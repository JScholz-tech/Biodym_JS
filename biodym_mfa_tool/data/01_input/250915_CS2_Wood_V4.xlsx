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CFF73808-3202-4ADA-BDCE-A2004E7CA604}" xr6:coauthVersionLast="47" xr6:coauthVersionMax="47" xr10:uidLastSave="{00000000-0000-0000-0000-000000000000}"/>
  <bookViews>
    <workbookView xWindow="-120" yWindow="-120" windowWidth="38640" windowHeight="21120" tabRatio="840" firstSheet="3" activeTab="10"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 i="15" l="1"/>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C42" i="46"/>
  <c r="B42" i="46" s="1"/>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A42" i="46"/>
  <c r="B41"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2" i="39"/>
  <c r="I2"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3" i="35"/>
  <c r="C6" i="35"/>
  <c r="C7" i="37"/>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5" i="15"/>
  <c r="B2" i="15"/>
  <c r="F9" i="48" l="1"/>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6" i="15"/>
  <c r="U7" i="15"/>
  <c r="BG75" i="33" l="1"/>
  <c r="AL76" i="33"/>
  <c r="BG76" i="33" l="1"/>
  <c r="AL77" i="33"/>
  <c r="AA60" i="2"/>
  <c r="AL78" i="33" l="1"/>
  <c r="BG77" i="33"/>
  <c r="AA280" i="2"/>
  <c r="AA274" i="2"/>
  <c r="AA273" i="2"/>
  <c r="AA269" i="2"/>
  <c r="AA268" i="2"/>
  <c r="AA259" i="2"/>
  <c r="AA255" i="2"/>
  <c r="AA254" i="2"/>
  <c r="AA253" i="2"/>
  <c r="AA251" i="2"/>
  <c r="AA247" i="2"/>
  <c r="AA243" i="2"/>
  <c r="AA242" i="2"/>
  <c r="AA241" i="2"/>
  <c r="AA239" i="2"/>
  <c r="AA235" i="2"/>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D2" i="2" l="1"/>
  <c r="AJ2" i="2"/>
  <c r="BG78" i="33"/>
  <c r="AL79" i="33"/>
  <c r="AA32" i="2"/>
  <c r="AJ32" i="2" s="1"/>
  <c r="AD89" i="2"/>
  <c r="AD90" i="2"/>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K5"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N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B5" i="46" l="1"/>
  <c r="N3" i="39"/>
  <c r="O3"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6"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6" i="15"/>
  <c r="B6" i="46" s="1"/>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AG18" i="2" l="1"/>
  <c r="AD18" i="2"/>
  <c r="AJ18" i="2"/>
  <c r="AA19" i="2"/>
  <c r="AJ47" i="2"/>
  <c r="AG47" i="2"/>
  <c r="AD47" i="2"/>
  <c r="AA48" i="2"/>
  <c r="AJ75" i="2"/>
  <c r="AG75" i="2"/>
  <c r="AD75" i="2"/>
  <c r="AA76" i="2"/>
  <c r="AD104" i="2"/>
  <c r="AJ104" i="2"/>
  <c r="AG104" i="2"/>
  <c r="AA105" i="2"/>
  <c r="AJ214" i="2"/>
  <c r="AG214" i="2"/>
  <c r="AD214" i="2"/>
  <c r="AA215" i="2"/>
  <c r="AG19" i="2" l="1"/>
  <c r="AD19" i="2"/>
  <c r="AJ19" i="2"/>
  <c r="AA20" i="2"/>
  <c r="AJ48" i="2"/>
  <c r="AG48" i="2"/>
  <c r="AD48" i="2"/>
  <c r="AA49" i="2"/>
  <c r="AD76" i="2"/>
  <c r="AG76" i="2"/>
  <c r="AJ76" i="2"/>
  <c r="AA77" i="2"/>
  <c r="AJ105" i="2"/>
  <c r="AD105" i="2"/>
  <c r="AG105" i="2"/>
  <c r="AA106" i="2"/>
  <c r="AA216" i="2"/>
  <c r="AJ215" i="2"/>
  <c r="AG215" i="2"/>
  <c r="AD215" i="2"/>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B15" i="46" l="1"/>
  <c r="S2" i="2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G344" i="2"/>
  <c r="D338" i="2"/>
  <c r="D339" i="2"/>
  <c r="G345" i="2"/>
  <c r="E344" i="2"/>
  <c r="E345" i="2"/>
  <c r="G338" i="2"/>
  <c r="G339" i="2"/>
  <c r="E338" i="2"/>
  <c r="E339" i="2"/>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68" i="15"/>
  <c r="C27" i="15"/>
  <c r="C15" i="15"/>
  <c r="C23" i="15"/>
  <c r="C47" i="15"/>
  <c r="C22" i="15"/>
  <c r="C66" i="15"/>
  <c r="C19" i="15"/>
  <c r="C58" i="15"/>
  <c r="C43" i="15"/>
  <c r="C57" i="15"/>
  <c r="C40" i="15"/>
  <c r="C44" i="15"/>
  <c r="C49" i="15"/>
  <c r="C65" i="15"/>
  <c r="X40" i="16"/>
  <c r="C36" i="15"/>
  <c r="C54" i="15"/>
  <c r="C64" i="15"/>
  <c r="C55" i="15"/>
  <c r="C45" i="15"/>
  <c r="C12" i="15"/>
  <c r="C69" i="15"/>
  <c r="C62" i="15"/>
  <c r="X18" i="16"/>
  <c r="C25" i="15"/>
  <c r="C28" i="15"/>
  <c r="C48" i="15"/>
  <c r="C26" i="15"/>
  <c r="C33" i="15"/>
  <c r="C60" i="15"/>
  <c r="C39" i="15"/>
  <c r="C20" i="15"/>
  <c r="C67" i="15"/>
  <c r="C50" i="15"/>
  <c r="C41" i="15"/>
  <c r="C14" i="15"/>
  <c r="C38" i="15"/>
  <c r="C59" i="15"/>
  <c r="C51" i="15"/>
  <c r="C29" i="15"/>
  <c r="C53" i="15"/>
  <c r="C42" i="15"/>
  <c r="C13" i="15"/>
  <c r="C21" i="15"/>
  <c r="C37" i="15"/>
  <c r="C63" i="15"/>
  <c r="C10" i="15"/>
  <c r="C35" i="15"/>
  <c r="C34" i="15"/>
  <c r="R4" i="16"/>
  <c r="C24" i="15"/>
  <c r="AD10" i="16" s="1"/>
  <c r="C46" i="15"/>
  <c r="C61" i="15"/>
  <c r="C52" i="15"/>
  <c r="C11" i="15"/>
  <c r="B20" i="46" s="1"/>
  <c r="H350" i="2"/>
  <c r="H272" i="2"/>
  <c r="H275" i="2"/>
  <c r="H266" i="2"/>
  <c r="H274" i="2"/>
  <c r="H269" i="2"/>
  <c r="H268" i="2"/>
  <c r="H325" i="2"/>
  <c r="H329" i="2"/>
  <c r="H347" i="2"/>
  <c r="H246" i="2"/>
  <c r="F309" i="2"/>
  <c r="C31" i="15"/>
  <c r="C9" i="15"/>
  <c r="B18" i="46" s="1"/>
  <c r="C32" i="15"/>
  <c r="C56" i="15"/>
  <c r="F91" i="2"/>
  <c r="H234" i="2"/>
  <c r="H225" i="2"/>
  <c r="H241" i="2"/>
  <c r="H249" i="2"/>
  <c r="H247" i="2"/>
  <c r="H245" i="2"/>
  <c r="K7" i="15"/>
  <c r="H259" i="2" s="1"/>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B22" i="46" l="1"/>
  <c r="B13" i="46"/>
  <c r="B21" i="46"/>
  <c r="B12" i="46"/>
  <c r="B16" i="46"/>
  <c r="H6" i="33"/>
  <c r="AB4" i="16"/>
  <c r="B19" i="46"/>
  <c r="O2" i="39"/>
  <c r="AL20" i="16"/>
  <c r="Z2" i="16"/>
  <c r="AB11" i="16"/>
  <c r="R5" i="16"/>
  <c r="T4" i="16"/>
  <c r="AD27" i="16"/>
  <c r="Z43" i="16"/>
  <c r="X44" i="16"/>
  <c r="R44" i="16"/>
  <c r="AB47"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13" i="16"/>
  <c r="T9" i="16"/>
  <c r="AL4" i="16"/>
  <c r="AF41" i="16"/>
  <c r="V3" i="16"/>
  <c r="AJ40" i="16"/>
  <c r="R30" i="16"/>
  <c r="T29" i="16"/>
  <c r="X10" i="16"/>
  <c r="AD17" i="16"/>
  <c r="AB27" i="16"/>
  <c r="AB38" i="16"/>
  <c r="X22" i="16"/>
  <c r="AF24" i="16"/>
  <c r="AB37" i="16"/>
  <c r="Z36" i="16"/>
  <c r="AJ15" i="16"/>
  <c r="AF42" i="16"/>
  <c r="AL12" i="16"/>
  <c r="AH16" i="16"/>
  <c r="Z13" i="16"/>
  <c r="R25" i="16"/>
  <c r="AL9" i="16"/>
  <c r="R41" i="16"/>
  <c r="T2" i="16"/>
  <c r="AF26" i="16"/>
  <c r="AF43" i="16"/>
  <c r="Z9" i="16"/>
  <c r="AJ19" i="16"/>
  <c r="AB28" i="16"/>
  <c r="AD44" i="16"/>
  <c r="AJ10" i="16"/>
  <c r="T24" i="16"/>
  <c r="T25" i="16"/>
  <c r="AH47" i="16"/>
  <c r="AD26" i="16"/>
  <c r="AJ22" i="16"/>
  <c r="AL5" i="16"/>
  <c r="AD30" i="16"/>
  <c r="AB18" i="16"/>
  <c r="T8" i="16"/>
  <c r="AL38" i="16"/>
  <c r="AB9" i="16"/>
  <c r="C16" i="15"/>
  <c r="F178" i="2"/>
  <c r="F179" i="2"/>
  <c r="F180" i="2"/>
  <c r="F181" i="2"/>
  <c r="F177" i="2"/>
  <c r="F182" i="2"/>
  <c r="C17" i="15"/>
  <c r="F209" i="2"/>
  <c r="F206" i="2"/>
  <c r="F210" i="2"/>
  <c r="F207" i="2"/>
  <c r="F211" i="2"/>
  <c r="F208" i="2"/>
  <c r="F147" i="2"/>
  <c r="AF38" i="16"/>
  <c r="AL30" i="16"/>
  <c r="AB40" i="16"/>
  <c r="T30" i="16"/>
  <c r="Z38" i="16"/>
  <c r="V6" i="16"/>
  <c r="T28" i="16"/>
  <c r="Z18" i="16"/>
  <c r="V43" i="16"/>
  <c r="AL37" i="16"/>
  <c r="AJ43" i="16"/>
  <c r="AH10" i="16"/>
  <c r="AF22" i="16"/>
  <c r="Z37" i="16"/>
  <c r="AF47" i="16"/>
  <c r="Z40" i="16"/>
  <c r="Z15" i="16"/>
  <c r="R17" i="16"/>
  <c r="V47" i="16"/>
  <c r="X15" i="16"/>
  <c r="AD22" i="16"/>
  <c r="AJ14" i="16"/>
  <c r="T42" i="16"/>
  <c r="Z3" i="16"/>
  <c r="V16" i="16"/>
  <c r="R22" i="16"/>
  <c r="AL25" i="16"/>
  <c r="AJ21" i="16"/>
  <c r="AH28" i="16"/>
  <c r="AB14" i="16"/>
  <c r="R40" i="16"/>
  <c r="X2" i="16"/>
  <c r="AJ34" i="16"/>
  <c r="V41" i="16"/>
  <c r="Z29" i="16"/>
  <c r="AL43" i="16"/>
  <c r="AD18" i="16"/>
  <c r="X34" i="16"/>
  <c r="AJ8" i="16"/>
  <c r="AB30" i="16"/>
  <c r="R34" i="16"/>
  <c r="X13" i="16"/>
  <c r="AD16" i="16"/>
  <c r="AD28" i="16"/>
  <c r="AJ31" i="16"/>
  <c r="T44" i="16"/>
  <c r="T35" i="16"/>
  <c r="AD33" i="16"/>
  <c r="R18" i="16"/>
  <c r="AD19" i="16"/>
  <c r="X3" i="16"/>
  <c r="AD31" i="16"/>
  <c r="AH6" i="16"/>
  <c r="T26" i="16"/>
  <c r="AJ2" i="16"/>
  <c r="Z28" i="16"/>
  <c r="R42" i="16"/>
  <c r="X19" i="16"/>
  <c r="X31" i="16"/>
  <c r="AH11" i="16"/>
  <c r="V38" i="16"/>
  <c r="T12" i="16"/>
  <c r="X29" i="16"/>
  <c r="AJ7" i="16"/>
  <c r="R19" i="16"/>
  <c r="T33" i="16"/>
  <c r="AJ11" i="16"/>
  <c r="R39" i="16"/>
  <c r="AD25" i="16"/>
  <c r="F312" i="2"/>
  <c r="F271" i="2"/>
  <c r="F266" i="2"/>
  <c r="F293" i="2"/>
  <c r="F278" i="2"/>
  <c r="F330" i="2"/>
  <c r="F310" i="2"/>
  <c r="F315" i="2"/>
  <c r="F302" i="2"/>
  <c r="F323" i="2"/>
  <c r="F283" i="2"/>
  <c r="F282" i="2"/>
  <c r="F299" i="2"/>
  <c r="F269" i="2"/>
  <c r="F313" i="2"/>
  <c r="F333" i="2"/>
  <c r="F328" i="2"/>
  <c r="F281" i="2"/>
  <c r="F272" i="2"/>
  <c r="F298" i="2"/>
  <c r="F304" i="2"/>
  <c r="F290" i="2"/>
  <c r="F327" i="2"/>
  <c r="F350" i="2"/>
  <c r="X32" i="16"/>
  <c r="F276" i="2"/>
  <c r="F273" i="2"/>
  <c r="F292" i="2"/>
  <c r="F318" i="2"/>
  <c r="F332" i="2"/>
  <c r="F291" i="2"/>
  <c r="F348" i="2"/>
  <c r="AB15" i="16"/>
  <c r="R24" i="16"/>
  <c r="F294" i="2"/>
  <c r="F265" i="2"/>
  <c r="F275" i="2"/>
  <c r="F306" i="2"/>
  <c r="F286" i="2"/>
  <c r="F287" i="2"/>
  <c r="F347" i="2"/>
  <c r="V11" i="16"/>
  <c r="R29" i="16"/>
  <c r="AB42" i="16"/>
  <c r="Z47" i="16"/>
  <c r="V26" i="16"/>
  <c r="R16" i="16"/>
  <c r="AJ9" i="16"/>
  <c r="AF39" i="16"/>
  <c r="AF20" i="16"/>
  <c r="AL3" i="16"/>
  <c r="T38" i="16"/>
  <c r="AL44" i="16"/>
  <c r="T23" i="16"/>
  <c r="AF3" i="16"/>
  <c r="AL15" i="16"/>
  <c r="AD8" i="16"/>
  <c r="AH36" i="16"/>
  <c r="AL19" i="16"/>
  <c r="AH26" i="16"/>
  <c r="X16" i="16"/>
  <c r="AD34" i="16"/>
  <c r="X6" i="16"/>
  <c r="AJ25" i="16"/>
  <c r="T47" i="16"/>
  <c r="T27" i="16"/>
  <c r="Z41" i="16"/>
  <c r="AD9" i="16"/>
  <c r="T39" i="16"/>
  <c r="Z20" i="16"/>
  <c r="AD39" i="16"/>
  <c r="AF44" i="16"/>
  <c r="AH24" i="16"/>
  <c r="AL26" i="16"/>
  <c r="Z16" i="16"/>
  <c r="X8" i="16"/>
  <c r="Z5" i="16"/>
  <c r="AJ20" i="16"/>
  <c r="AF30" i="16"/>
  <c r="T18" i="16"/>
  <c r="AL40" i="16"/>
  <c r="AJ13" i="16"/>
  <c r="R2" i="16"/>
  <c r="R28" i="16"/>
  <c r="AL18" i="16"/>
  <c r="X9" i="16"/>
  <c r="AD40" i="16"/>
  <c r="T20" i="16"/>
  <c r="R38" i="16"/>
  <c r="Z44" i="16"/>
  <c r="AB36" i="16"/>
  <c r="AJ27" i="16"/>
  <c r="AH17" i="16"/>
  <c r="AH9" i="16"/>
  <c r="T36" i="16"/>
  <c r="AH21" i="16"/>
  <c r="AD38" i="16"/>
  <c r="X25" i="16"/>
  <c r="AF32" i="16"/>
  <c r="T14" i="16"/>
  <c r="AF27" i="16"/>
  <c r="AJ35" i="16"/>
  <c r="AL39" i="16"/>
  <c r="T43" i="16"/>
  <c r="AH23" i="16"/>
  <c r="AL13" i="16"/>
  <c r="AH35" i="16"/>
  <c r="AJ39" i="16"/>
  <c r="AH20" i="16"/>
  <c r="AL36" i="16"/>
  <c r="X14" i="16"/>
  <c r="R31" i="16"/>
  <c r="AF23" i="16"/>
  <c r="AJ38" i="16"/>
  <c r="AD43" i="16"/>
  <c r="Z30" i="16"/>
  <c r="AH25" i="16"/>
  <c r="AB10" i="16"/>
  <c r="R27" i="16"/>
  <c r="X17" i="16"/>
  <c r="AD21" i="16"/>
  <c r="AL27" i="16"/>
  <c r="AJ41" i="16"/>
  <c r="AJ47" i="16"/>
  <c r="AF29" i="16"/>
  <c r="AH18" i="16"/>
  <c r="V9" i="16"/>
  <c r="AD23" i="16"/>
  <c r="V42" i="16"/>
  <c r="T34" i="16"/>
  <c r="AB34" i="16"/>
  <c r="AF19" i="16"/>
  <c r="R23" i="16"/>
  <c r="T41" i="16"/>
  <c r="Z39" i="16"/>
  <c r="AJ44" i="16"/>
  <c r="Z23" i="16"/>
  <c r="Z14" i="16"/>
  <c r="X7" i="16"/>
  <c r="Z35" i="16"/>
  <c r="X39" i="16"/>
  <c r="AB20" i="16"/>
  <c r="AH15" i="16"/>
  <c r="AH32" i="16"/>
  <c r="X23" i="16"/>
  <c r="AJ6" i="16"/>
  <c r="AL6" i="16"/>
  <c r="X38" i="16"/>
  <c r="X43" i="16"/>
  <c r="AJ37" i="16"/>
  <c r="AH7" i="16"/>
  <c r="V10" i="16"/>
  <c r="AL29" i="16"/>
  <c r="AL42" i="16"/>
  <c r="X21" i="16"/>
  <c r="AJ28" i="16"/>
  <c r="V17" i="16"/>
  <c r="AD47" i="16"/>
  <c r="AH30" i="16"/>
  <c r="V18" i="16"/>
  <c r="AL10" i="16"/>
  <c r="AL31" i="16"/>
  <c r="R32" i="16"/>
  <c r="AB35" i="16"/>
  <c r="AD20" i="16"/>
  <c r="AL14" i="16"/>
  <c r="T32" i="16"/>
  <c r="AH8" i="16"/>
  <c r="AL24" i="16"/>
  <c r="AH40" i="16"/>
  <c r="V20" i="16"/>
  <c r="X24" i="16"/>
  <c r="V15" i="16"/>
  <c r="AB32" i="16"/>
  <c r="AJ5" i="16"/>
  <c r="AD6" i="16"/>
  <c r="Z6" i="16"/>
  <c r="AH39" i="16"/>
  <c r="R43" i="16"/>
  <c r="AF35" i="16"/>
  <c r="X4" i="16"/>
  <c r="X37" i="16"/>
  <c r="AB7" i="16"/>
  <c r="AL2" i="16"/>
  <c r="Z42" i="16"/>
  <c r="R21" i="16"/>
  <c r="AH29" i="16"/>
  <c r="AJ42" i="16"/>
  <c r="X47" i="16"/>
  <c r="V30" i="16"/>
  <c r="Z25" i="16"/>
  <c r="AF10" i="16"/>
  <c r="AD32" i="16"/>
  <c r="AJ32" i="16"/>
  <c r="R36" i="16"/>
  <c r="AD36" i="16"/>
  <c r="AB21" i="16"/>
  <c r="AF17" i="16"/>
  <c r="AB8" i="16"/>
  <c r="AF36" i="16"/>
  <c r="AB26" i="16"/>
  <c r="V40" i="16"/>
  <c r="AL21" i="16"/>
  <c r="X5" i="16"/>
  <c r="AF16" i="16"/>
  <c r="V32" i="16"/>
  <c r="AD12" i="16"/>
  <c r="T6" i="16"/>
  <c r="AL11" i="16"/>
  <c r="V39" i="16"/>
  <c r="AH44" i="16"/>
  <c r="X35" i="16"/>
  <c r="AH14" i="16"/>
  <c r="V7" i="16"/>
  <c r="AF25" i="16"/>
  <c r="AH22" i="16"/>
  <c r="X42" i="16"/>
  <c r="R47" i="16"/>
  <c r="AF37" i="16"/>
  <c r="AL7" i="16"/>
  <c r="Z10" i="16"/>
  <c r="AJ26" i="16"/>
  <c r="V2" i="16"/>
  <c r="AH33" i="16"/>
  <c r="AH12" i="16"/>
  <c r="AL17" i="16"/>
  <c r="AB31" i="16"/>
  <c r="V8" i="16"/>
  <c r="X12" i="16"/>
  <c r="Z27" i="16"/>
  <c r="AB17" i="16"/>
  <c r="AF21" i="16"/>
  <c r="Z26" i="16"/>
  <c r="T16" i="16"/>
  <c r="AL33" i="16"/>
  <c r="X36" i="16"/>
  <c r="Z11" i="16"/>
  <c r="X11" i="16"/>
  <c r="AF40" i="16"/>
  <c r="AB44" i="16"/>
  <c r="AJ12" i="16"/>
  <c r="V14" i="16"/>
  <c r="AL8" i="16"/>
  <c r="AH13" i="16"/>
  <c r="AH19" i="16"/>
  <c r="AB22" i="16"/>
  <c r="AB25" i="16"/>
  <c r="T37" i="16"/>
  <c r="AF7" i="16"/>
  <c r="T10" i="16"/>
  <c r="AJ30" i="16"/>
  <c r="AF34" i="16"/>
  <c r="AB33" i="16"/>
  <c r="X33" i="16"/>
  <c r="X28" i="16"/>
  <c r="AL16" i="16"/>
  <c r="Z21" i="16"/>
  <c r="X27" i="16"/>
  <c r="AB41" i="16"/>
  <c r="AF33" i="16"/>
  <c r="V12" i="16"/>
  <c r="T11" i="16"/>
  <c r="X26" i="16"/>
  <c r="T40" i="16"/>
  <c r="V44" i="16"/>
  <c r="AD24" i="16"/>
  <c r="AJ3" i="16"/>
  <c r="AF15" i="16"/>
  <c r="AF8" i="16"/>
  <c r="AJ4" i="16"/>
  <c r="V13" i="16"/>
  <c r="AB19" i="16"/>
  <c r="V22" i="16"/>
  <c r="AF13" i="16"/>
  <c r="AH43" i="16"/>
  <c r="AD14" i="16"/>
  <c r="Z7" i="16"/>
  <c r="AJ23" i="16"/>
  <c r="AF14" i="16"/>
  <c r="AL32" i="16"/>
  <c r="AD35" i="16"/>
  <c r="R26" i="16"/>
  <c r="V24" i="16"/>
  <c r="V34" i="16"/>
  <c r="AD41" i="16"/>
  <c r="AF9" i="16"/>
  <c r="V29" i="16"/>
  <c r="AD42" i="16"/>
  <c r="T21" i="16"/>
  <c r="V28" i="16"/>
  <c r="AL41" i="16"/>
  <c r="Z33" i="16"/>
  <c r="AF6" i="16"/>
  <c r="V27" i="16"/>
  <c r="Z17" i="16"/>
  <c r="AL47" i="16"/>
  <c r="V5" i="16"/>
  <c r="T15" i="16"/>
  <c r="Z8" i="16"/>
  <c r="AH38" i="16"/>
  <c r="V19" i="16"/>
  <c r="AB43" i="16"/>
  <c r="R14" i="16"/>
  <c r="T7" i="16"/>
  <c r="AB23" i="16"/>
  <c r="AB16" i="16"/>
  <c r="Z4" i="16"/>
  <c r="AF12" i="16"/>
  <c r="X30" i="16"/>
  <c r="R12" i="16"/>
  <c r="Z34" i="16"/>
  <c r="V23" i="16"/>
  <c r="AH3" i="16"/>
  <c r="R37" i="16"/>
  <c r="R20" i="16"/>
  <c r="AB12" i="16"/>
  <c r="AB24" i="16"/>
  <c r="Z31" i="16"/>
  <c r="T17" i="16"/>
  <c r="AH41" i="16"/>
  <c r="AH34" i="16"/>
  <c r="V35" i="16"/>
  <c r="AH31" i="16"/>
  <c r="AH27" i="16"/>
  <c r="AF31" i="16"/>
  <c r="X41" i="16"/>
  <c r="AJ17" i="16"/>
  <c r="AD13" i="16"/>
  <c r="AL28" i="16"/>
  <c r="Z19" i="16"/>
  <c r="AJ24" i="16"/>
  <c r="X20" i="16"/>
  <c r="T22" i="16"/>
  <c r="AL22" i="16"/>
  <c r="AD29" i="16"/>
  <c r="AJ29" i="16"/>
  <c r="V37" i="16"/>
  <c r="Z12" i="16"/>
  <c r="V21" i="16"/>
  <c r="AD37" i="16"/>
  <c r="R15" i="16"/>
  <c r="AH42" i="16"/>
  <c r="Z24" i="16"/>
  <c r="V31" i="16"/>
  <c r="AL35" i="16"/>
  <c r="R33" i="16"/>
  <c r="T5" i="16"/>
  <c r="T31" i="16"/>
  <c r="Z22" i="16"/>
  <c r="V25" i="16"/>
  <c r="AF28" i="16"/>
  <c r="V36" i="16"/>
  <c r="AH37" i="16"/>
  <c r="AB39" i="16"/>
  <c r="Z32" i="16"/>
  <c r="AD15" i="16"/>
  <c r="V33" i="16"/>
  <c r="R13" i="16"/>
  <c r="AJ33" i="16"/>
  <c r="AJ36" i="16"/>
  <c r="AF18" i="16"/>
  <c r="AB29" i="16"/>
  <c r="AL23" i="16"/>
  <c r="AJ18" i="16"/>
  <c r="AL34" i="16"/>
  <c r="R35" i="16"/>
  <c r="T19" i="16"/>
  <c r="AJ16" i="16"/>
  <c r="R9" i="16"/>
  <c r="AF45" i="16"/>
  <c r="AF46" i="16"/>
  <c r="F176" i="2"/>
  <c r="C7" i="15"/>
  <c r="B7" i="46" s="1"/>
  <c r="R10" i="16"/>
  <c r="C8" i="15"/>
  <c r="F205" i="2"/>
  <c r="R8" i="16"/>
  <c r="F232" i="2"/>
  <c r="AF5" i="16"/>
  <c r="R11" i="16"/>
  <c r="C30" i="15"/>
  <c r="T13"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32" i="39" l="1"/>
  <c r="O32" i="39" s="1"/>
  <c r="B8" i="46"/>
  <c r="B10" i="46"/>
  <c r="N15" i="39"/>
  <c r="O15" i="39" s="1"/>
  <c r="N24" i="39"/>
  <c r="O24" i="39" s="1"/>
  <c r="N11" i="39"/>
  <c r="O11" i="39" s="1"/>
  <c r="N34" i="39"/>
  <c r="O34" i="39" s="1"/>
  <c r="B14" i="46"/>
  <c r="H2" i="33"/>
  <c r="AT2" i="33" s="1"/>
  <c r="B9" i="46"/>
  <c r="N5" i="39"/>
  <c r="O5" i="39" s="1"/>
  <c r="B11" i="46"/>
  <c r="AO6" i="33"/>
  <c r="BD6" i="33"/>
  <c r="AT6" i="33"/>
  <c r="AY6" i="33"/>
  <c r="I6" i="33"/>
  <c r="AE6" i="33"/>
  <c r="AJ6" i="33"/>
  <c r="N39" i="39"/>
  <c r="O39" i="39" s="1"/>
  <c r="B17" i="46"/>
  <c r="N16" i="39"/>
  <c r="O16" i="39" s="1"/>
  <c r="N7" i="39"/>
  <c r="O7" i="39" s="1"/>
  <c r="N41" i="39"/>
  <c r="O41" i="39" s="1"/>
  <c r="N20" i="39"/>
  <c r="O20" i="39" s="1"/>
  <c r="N33" i="39"/>
  <c r="O33" i="39" s="1"/>
  <c r="N19" i="39"/>
  <c r="O19" i="39" s="1"/>
  <c r="N44" i="39"/>
  <c r="O44" i="39" s="1"/>
  <c r="N46" i="39"/>
  <c r="O46" i="39" s="1"/>
  <c r="N49" i="39"/>
  <c r="O49" i="39" s="1"/>
  <c r="N23" i="39"/>
  <c r="O23" i="39" s="1"/>
  <c r="N26" i="39"/>
  <c r="O26" i="39" s="1"/>
  <c r="N40" i="39"/>
  <c r="O40" i="39" s="1"/>
  <c r="N43" i="39"/>
  <c r="O43" i="39" s="1"/>
  <c r="N30" i="39"/>
  <c r="O30" i="39" s="1"/>
  <c r="N29" i="39"/>
  <c r="O29" i="39" s="1"/>
  <c r="N27" i="39"/>
  <c r="O27" i="39" s="1"/>
  <c r="N47" i="39"/>
  <c r="O47" i="39" s="1"/>
  <c r="N21" i="39"/>
  <c r="O21" i="39" s="1"/>
  <c r="N42" i="39"/>
  <c r="O42" i="39" s="1"/>
  <c r="N22" i="39"/>
  <c r="O22" i="39" s="1"/>
  <c r="N37" i="39"/>
  <c r="O37" i="39" s="1"/>
  <c r="N10" i="39"/>
  <c r="O10" i="39" s="1"/>
  <c r="N8" i="39"/>
  <c r="O8" i="39" s="1"/>
  <c r="N25" i="39"/>
  <c r="O25" i="39" s="1"/>
  <c r="N13" i="39"/>
  <c r="O13" i="39" s="1"/>
  <c r="N50" i="39"/>
  <c r="O50" i="39" s="1"/>
  <c r="N14" i="39"/>
  <c r="O14" i="39" s="1"/>
  <c r="N28" i="39"/>
  <c r="O28" i="39" s="1"/>
  <c r="N31" i="39"/>
  <c r="O31" i="39" s="1"/>
  <c r="N6" i="39"/>
  <c r="O6" i="39" s="1"/>
  <c r="N35" i="39"/>
  <c r="O35" i="39" s="1"/>
  <c r="N17" i="39"/>
  <c r="O17" i="39" s="1"/>
  <c r="N9" i="39"/>
  <c r="O9" i="39" s="1"/>
  <c r="N12" i="39"/>
  <c r="O12" i="39" s="1"/>
  <c r="N45" i="39"/>
  <c r="O45" i="39" s="1"/>
  <c r="N18" i="39"/>
  <c r="O18" i="39" s="1"/>
  <c r="N48" i="39"/>
  <c r="O48" i="39" s="1"/>
  <c r="N36" i="39"/>
  <c r="O36" i="39" s="1"/>
  <c r="N38" i="39"/>
  <c r="O38" i="39" s="1"/>
  <c r="H5" i="33"/>
  <c r="AY5" i="33" s="1"/>
  <c r="N4" i="39"/>
  <c r="O4" i="39" s="1"/>
  <c r="H15" i="33"/>
  <c r="BD15" i="33" s="1"/>
  <c r="Z11" i="33"/>
  <c r="W11" i="33"/>
  <c r="Q11" i="33"/>
  <c r="T11" i="33"/>
  <c r="T21" i="33"/>
  <c r="T18" i="33"/>
  <c r="T22" i="33"/>
  <c r="T19" i="33"/>
  <c r="T20" i="33"/>
  <c r="H13" i="33"/>
  <c r="AO13" i="33" s="1"/>
  <c r="H14" i="33"/>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45" i="16"/>
  <c r="B254" i="2"/>
  <c r="B256" i="2"/>
  <c r="B235" i="2"/>
  <c r="B317" i="2"/>
  <c r="B339" i="2"/>
  <c r="B281" i="2"/>
  <c r="B332" i="2"/>
  <c r="B309" i="2"/>
  <c r="AL46" i="16"/>
  <c r="AD46" i="16"/>
  <c r="B237" i="2"/>
  <c r="B341" i="2"/>
  <c r="B244" i="2"/>
  <c r="B322" i="2"/>
  <c r="B296" i="2"/>
  <c r="B260" i="2"/>
  <c r="B292" i="2"/>
  <c r="B340" i="2"/>
  <c r="B333" i="2"/>
  <c r="B172" i="2"/>
  <c r="B165" i="2"/>
  <c r="B103" i="2"/>
  <c r="B116" i="2"/>
  <c r="B97" i="2"/>
  <c r="B135" i="2"/>
  <c r="B128" i="2"/>
  <c r="B79" i="2"/>
  <c r="B62" i="2"/>
  <c r="B77" i="2"/>
  <c r="B259" i="2"/>
  <c r="T45" i="16"/>
  <c r="B282" i="2"/>
  <c r="Z45" i="16"/>
  <c r="B257" i="2"/>
  <c r="AH46" i="16"/>
  <c r="AJ45" i="16"/>
  <c r="B280" i="2"/>
  <c r="B326" i="2"/>
  <c r="B335" i="2"/>
  <c r="B271" i="2"/>
  <c r="B285" i="2"/>
  <c r="B313" i="2"/>
  <c r="B241" i="2"/>
  <c r="B171" i="2"/>
  <c r="B175" i="2"/>
  <c r="B102" i="2"/>
  <c r="B93" i="2"/>
  <c r="B95" i="2"/>
  <c r="B133" i="2"/>
  <c r="B146" i="2"/>
  <c r="B68" i="2"/>
  <c r="B78" i="2"/>
  <c r="B87" i="2"/>
  <c r="B252" i="2"/>
  <c r="B320" i="2"/>
  <c r="B315" i="2"/>
  <c r="AB45" i="16"/>
  <c r="AB46" i="16"/>
  <c r="B345" i="2"/>
  <c r="B307" i="2"/>
  <c r="B277" i="2"/>
  <c r="B236" i="2"/>
  <c r="B274" i="2"/>
  <c r="B306" i="2"/>
  <c r="B325" i="2"/>
  <c r="B314" i="2"/>
  <c r="B159" i="2"/>
  <c r="B158" i="2"/>
  <c r="B111" i="2"/>
  <c r="B108" i="2"/>
  <c r="B105" i="2"/>
  <c r="B139" i="2"/>
  <c r="B85" i="2"/>
  <c r="B61" i="2"/>
  <c r="B80" i="2"/>
  <c r="R46" i="16"/>
  <c r="B327" i="2"/>
  <c r="V45" i="16"/>
  <c r="B262" i="2"/>
  <c r="B289" i="2"/>
  <c r="B278" i="2"/>
  <c r="B319" i="2"/>
  <c r="B270" i="2"/>
  <c r="B273" i="2"/>
  <c r="B247" i="2"/>
  <c r="B310" i="2"/>
  <c r="B312" i="2"/>
  <c r="B299" i="2"/>
  <c r="B147" i="2"/>
  <c r="B169" i="2"/>
  <c r="B164" i="2"/>
  <c r="B90" i="2"/>
  <c r="B96" i="2"/>
  <c r="B112" i="2"/>
  <c r="B134" i="2"/>
  <c r="B67" i="2"/>
  <c r="B72" i="2"/>
  <c r="B71" i="2"/>
  <c r="X46" i="16"/>
  <c r="B338" i="2"/>
  <c r="T46" i="16"/>
  <c r="B297" i="2"/>
  <c r="B279" i="2"/>
  <c r="B323" i="2"/>
  <c r="B295" i="2"/>
  <c r="B298" i="2"/>
  <c r="B266" i="2"/>
  <c r="B303" i="2"/>
  <c r="B334" i="2"/>
  <c r="B291" i="2"/>
  <c r="B272" i="2"/>
  <c r="B330" i="2"/>
  <c r="B246" i="2"/>
  <c r="B284" i="2"/>
  <c r="B157" i="2"/>
  <c r="B174" i="2"/>
  <c r="B104" i="2"/>
  <c r="B115" i="2"/>
  <c r="B144" i="2"/>
  <c r="B140" i="2"/>
  <c r="B88" i="2"/>
  <c r="B81" i="2"/>
  <c r="B23" i="2"/>
  <c r="Z46" i="16"/>
  <c r="X45"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46" i="16"/>
  <c r="V46" i="16"/>
  <c r="B350" i="2"/>
  <c r="R45" i="16"/>
  <c r="B248" i="2"/>
  <c r="B344" i="2"/>
  <c r="B324" i="2"/>
  <c r="B343" i="2"/>
  <c r="B294" i="2"/>
  <c r="B287" i="2"/>
  <c r="B283" i="2"/>
  <c r="B301" i="2"/>
  <c r="B150" i="2"/>
  <c r="B122" i="2"/>
  <c r="B166" i="2"/>
  <c r="B94" i="2"/>
  <c r="B106" i="2"/>
  <c r="B125" i="2"/>
  <c r="B130" i="2"/>
  <c r="B66" i="2"/>
  <c r="B60" i="2"/>
  <c r="B28" i="2"/>
  <c r="B348" i="2"/>
  <c r="B258" i="2"/>
  <c r="AH45" i="16"/>
  <c r="B349" i="2"/>
  <c r="B245" i="2"/>
  <c r="B336" i="2"/>
  <c r="B302" i="2"/>
  <c r="B269" i="2"/>
  <c r="B239" i="2"/>
  <c r="B149" i="2"/>
  <c r="B121" i="2"/>
  <c r="B162" i="2"/>
  <c r="B154" i="2"/>
  <c r="B89" i="2"/>
  <c r="B113" i="2"/>
  <c r="B136" i="2"/>
  <c r="B132" i="2"/>
  <c r="B73" i="2"/>
  <c r="B65" i="2"/>
  <c r="B30" i="2"/>
  <c r="B253" i="2"/>
  <c r="B234" i="2"/>
  <c r="B251" i="2"/>
  <c r="B261" i="2"/>
  <c r="AL45" i="16"/>
  <c r="B346" i="2"/>
  <c r="B249" i="2"/>
  <c r="B290" i="2"/>
  <c r="B265" i="2"/>
  <c r="B268" i="2"/>
  <c r="B120" i="2"/>
  <c r="B161" i="2"/>
  <c r="B160" i="2"/>
  <c r="B92" i="2"/>
  <c r="B109" i="2"/>
  <c r="B101" i="2"/>
  <c r="B142" i="2"/>
  <c r="B129" i="2"/>
  <c r="B86" i="2"/>
  <c r="B63" i="2"/>
  <c r="B82" i="2"/>
  <c r="B26" i="2"/>
  <c r="AD7"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N13" i="33"/>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3" i="16"/>
  <c r="N11" i="33"/>
  <c r="AF11" i="16"/>
  <c r="R7" i="16"/>
  <c r="AH4" i="16"/>
  <c r="AF4" i="16"/>
  <c r="T3" i="16"/>
  <c r="Q5" i="33" s="1"/>
  <c r="AD11" i="16"/>
  <c r="R3" i="16"/>
  <c r="AY2" i="33" l="1"/>
  <c r="AO2" i="33"/>
  <c r="AE2" i="33"/>
  <c r="I2" i="33"/>
  <c r="BD2" i="33"/>
  <c r="AJ2" i="33"/>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<sst xmlns="http://schemas.openxmlformats.org/spreadsheetml/2006/main" count="3639" uniqueCount="794">
  <si>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</si>
  <si>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</si>
  <si>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</si>
  <si>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</si>
  <si>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</si>
  <si>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</si>
  <si>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</si>
  <si>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</si>
  <si>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</si>
  <si>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</si>
  <si>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</si>
  <si>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</si>
  <si>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</si>
  <si>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</si>
  <si>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</si>
  <si>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</si>
  <si>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</si>
  <si>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</si>
  <si>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</si>
  <si>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</si>
  <si>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</si>
  <si>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</si>
  <si>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</si>
  <si>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</si>
  <si>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</si>
  <si>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</si>
  <si>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</si>
  <si>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</si>
  <si>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</si>
  <si>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</si>
  <si>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</si>
  <si>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</si>
  <si>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</si>
  <si>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</si>
  <si>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</si>
  <si>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</si>
  <si>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</si>
  <si>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</si>
  <si>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</si>
  <si>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</si>
  <si>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</si>
  <si>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</si>
  <si>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</si>
  <si>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</si>
  <si>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</si>
  <si>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</si>
  <si>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</si>
  <si>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</si>
  <si>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</si>
  <si>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</si>
  <si>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</si>
  <si>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</si>
  <si>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</si>
  <si>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</si>
  <si>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</si>
  <si>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</si>
  <si>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</si>
  <si>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</si>
  <si>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</si>
  <si>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</si>
  <si>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</si>
  <si>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</si>
  <si>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</si>
  <si>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</si>
  <si>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</si>
  <si>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</si>
  <si>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</si>
  <si>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</si>
  <si>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</si>
  <si>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</si>
  <si>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</si>
  <si>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</si>
  <si>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</si>
  <si>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</si>
  <si>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</si>
  <si>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</si>
  <si>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</si>
  <si>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</si>
  <si>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</si>
  <si>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</si>
  <si>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</si>
  <si>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</si>
  <si>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</si>
  <si>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</si>
  <si>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</si>
  <si>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</si>
  <si>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</si>
  <si>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</si>
  <si>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</si>
  <si>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</si>
  <si>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</si>
  <si>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</si>
  <si>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</si>
  <si>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</si>
  <si>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</si>
  <si>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</si>
  <si>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</si>
  <si>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</si>
  <si>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</si>
  <si>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</si>
  <si>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</si>
  <si>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</si>
  <si>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</si>
  <si>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</si>
  <si>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</si>
  <si>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</si>
  <si>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</si>
  <si>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</si>
  <si>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</si>
  <si>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</si>
  <si>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</si>
  <si>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</si>
  <si>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</si>
  <si>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</si>
  <si>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</si>
  <si>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</si>
  <si>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</si>
  <si>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</si>
  <si>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</si>
  <si>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</si>
  <si>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</si>
  <si>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</si>
  <si>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</si>
  <si>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</si>
  <si>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</si>
  <si>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</si>
  <si>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</si>
  <si>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</si>
  <si>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</si>
  <si>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</si>
  <si>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</si>
  <si>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</si>
  <si>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</si>
  <si>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</si>
  <si>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</si>
  <si>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</si>
  <si>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</si>
  <si>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</si>
  <si>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</si>
  <si>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</si>
  <si>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</si>
  <si>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</si>
  <si>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</si>
  <si>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</si>
  <si>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</si>
  <si>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</si>
  <si>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</si>
  <si>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</si>
  <si>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</si>
  <si>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</si>
  <si>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</si>
  <si>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</si>
  <si>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</si>
  <si>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</si>
  <si>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</si>
  <si>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</si>
  <si>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</si>
  <si>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</si>
  <si>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</si>
  <si>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</si>
  <si>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</si>
  <si>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</si>
  <si>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</si>
  <si>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</si>
  <si>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</si>
  <si>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</si>
  <si>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</si>
  <si>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</si>
  <si>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</si>
  <si>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</si>
  <si>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</si>
  <si>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</si>
  <si>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</si>
  <si>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</si>
  <si>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</si>
  <si>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</si>
  <si>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</si>
  <si>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</si>
  <si>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</si>
  <si>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</si>
  <si>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</si>
  <si>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</si>
  <si>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</si>
  <si>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</si>
  <si>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</si>
  <si>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</si>
  <si>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</si>
  <si>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</si>
  <si>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</si>
  <si>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</si>
  <si>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</si>
  <si>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</si>
  <si>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</si>
  <si>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</si>
  <si>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</si>
  <si>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</si>
  <si>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</si>
  <si>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</si>
  <si>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</si>
  <si>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</si>
  <si>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</si>
  <si>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</si>
  <si>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</si>
  <si>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</si>
  <si>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</si>
  <si>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</si>
  <si>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</si>
  <si>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</si>
  <si>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</si>
  <si>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</si>
  <si>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</si>
  <si>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</si>
  <si>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</si>
  <si>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</si>
  <si>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</si>
  <si>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</si>
  <si>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</si>
  <si>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</si>
  <si>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</si>
  <si>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</si>
  <si>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</si>
  <si>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</si>
  <si>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</si>
  <si>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</si>
  <si>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</si>
  <si>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</si>
  <si>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</si>
  <si>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</si>
  <si>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</si>
  <si>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</si>
  <si>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</si>
  <si>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</si>
  <si>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</si>
  <si>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</si>
  <si>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</si>
  <si>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</si>
  <si>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</si>
  <si>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</si>
  <si>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</si>
  <si>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</si>
  <si>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</si>
  <si>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</si>
  <si>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</si>
  <si>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</si>
  <si>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</si>
  <si>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</si>
  <si>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</si>
  <si>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</si>
  <si>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</si>
  <si>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</si>
  <si>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</si>
  <si>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</si>
  <si>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</si>
  <si>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</si>
  <si>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</si>
  <si>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</si>
  <si>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</si>
  <si>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</si>
  <si>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</si>
  <si>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</si>
  <si>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</si>
  <si>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</si>
  <si>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</si>
  <si>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</si>
  <si>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</si>
  <si>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</si>
  <si>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</si>
  <si>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</si>
  <si>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</si>
  <si>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</si>
  <si>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</si>
  <si>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</si>
  <si>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</si>
  <si>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</si>
  <si>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</si>
  <si>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</si>
  <si>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</si>
  <si>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</si>
  <si>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</si>
  <si>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</si>
  <si>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</si>
  <si>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</si>
  <si>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</si>
  <si>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</si>
  <si>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</si>
  <si>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</si>
  <si>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</si>
  <si>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</si>
  <si>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</si>
  <si>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</si>
  <si>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</si>
  <si>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</si>
  <si>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</si>
  <si>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</si>
  <si>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</si>
  <si>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</si>
  <si>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</si>
  <si>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</si>
  <si>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</si>
  <si>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</si>
  <si>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</si>
  <si>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</si>
  <si>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</si>
  <si>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</si>
  <si>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</si>
  <si>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</si>
  <si>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</si>
  <si>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</si>
  <si>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</si>
  <si>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</si>
  <si>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</si>
  <si>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</si>
  <si>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</si>
  <si>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</si>
  <si>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</si>
  <si>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</si>
  <si>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</si>
  <si>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</si>
  <si>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</si>
  <si>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</si>
  <si>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</si>
  <si>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</si>
  <si>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</si>
  <si>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</si>
  <si>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</si>
  <si>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</si>
  <si>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</si>
  <si>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</si>
  <si>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</si>
  <si>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</si>
  <si>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</si>
  <si>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</si>
  <si>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</si>
  <si>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</si>
  <si>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</si>
  <si>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</si>
  <si>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</si>
  <si>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</si>
  <si>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</si>
  <si>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</si>
  <si>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</si>
  <si>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</si>
  <si>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</si>
  <si>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</si>
  <si>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</si>
  <si>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</si>
  <si>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</si>
  <si>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</si>
  <si>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</si>
  <si>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</si>
  <si>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</si>
  <si>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</si>
  <si>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</si>
  <si>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</si>
  <si>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</si>
  <si>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</si>
  <si>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</si>
  <si>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</si>
  <si>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</si>
  <si>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</si>
  <si>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</si>
  <si>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</si>
  <si>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</si>
  <si>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bedding_Emissions_C</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</si>
  <si>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</si>
  <si>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</si>
  <si>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</si>
  <si>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</si>
  <si>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</si>
  <si>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</si>
  <si>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</si>
  <si>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</si>
  <si>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</si>
  <si>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</si>
  <si>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</si>
  <si>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</si>
  <si>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</si>
  <si>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</si>
  <si>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</si>
  <si>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</si>
  <si>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</si>
  <si>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</si>
  <si>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</si>
  <si>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</si>
  <si>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</si>
  <si>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</si>
  <si>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</si>
  <si>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</si>
  <si>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</si>
  <si>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</si>
  <si>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</si>
  <si>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</si>
  <si>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</si>
  <si>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</si>
  <si>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</si>
  <si>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</si>
  <si>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</si>
  <si>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</si>
  <si>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</si>
  <si>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</si>
  <si>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</si>
  <si>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</si>
  <si>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</si>
  <si>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</si>
  <si>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</si>
  <si>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</si>
  <si>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</si>
  <si>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</si>
  <si>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</si>
  <si>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</si>
  <si>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</si>
  <si>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</si>
  <si>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</si>
  <si>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</si>
  <si>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</si>
  <si>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</si>
  <si>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</si>
  <si>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</si>
  <si>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</si>
  <si>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</si>
  <si>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</si>
  <si>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</si>
  <si>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</si>
  <si>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</si>
  <si>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</si>
  <si>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</si>
  <si>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</si>
  <si>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</si>
  <si>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</si>
  <si>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</si>
  <si>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</si>
  <si>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</si>
  <si>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</si>
  <si>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</si>
  <si>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</si>
  <si>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</si>
  <si>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</si>
  <si>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</si>
  <si>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</si>
  <si>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</si>
  <si>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</si>
  <si>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</si>
  <si>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</si>
  <si>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</si>
  <si>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</si>
  <si>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</si>
  <si>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</si>
  <si>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</si>
  <si>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</si>
  <si>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</si>
  <si>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</si>
  <si>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</si>
  <si>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</si>
  <si>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</si>
  <si>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</si>
  <si>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</si>
  <si>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</si>
  <si>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</si>
  <si>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</si>
  <si>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</si>
  <si>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</si>
  <si>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</si>
  <si>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</si>
  <si>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</si>
  <si>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</si>
  <si>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</si>
  <si>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</si>
  <si>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</si>
  <si>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</si>
  <si>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</si>
  <si>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</si>
  <si>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</si>
  <si>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</si>
  <si>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</si>
  <si>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</si>
  <si>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</si>
  <si>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</si>
  <si>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</si>
  <si>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</si>
  <si>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</si>
  <si>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</si>
  <si>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</si>
  <si>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</si>
  <si>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</si>
  <si>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</si>
  <si>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</si>
  <si>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</si>
  <si>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</si>
  <si>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</si>
  <si>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</si>
  <si>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</si>
  <si>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</si>
  <si>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</si>
  <si>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</si>
  <si>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</si>
  <si>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</si>
  <si>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</si>
  <si>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</si>
  <si>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</si>
  <si>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</si>
  <si>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</si>
  <si>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</si>
  <si>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</si>
  <si>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</si>
  <si>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</si>
  <si>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</si>
  <si>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</si>
  <si>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</si>
  <si>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</si>
  <si>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</si>
  <si>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</si>
  <si>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</si>
  <si>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</si>
  <si>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</si>
  <si>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</si>
  <si>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</si>
  <si>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</si>
  <si>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</si>
  <si>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</si>
  <si>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</si>
  <si>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</si>
  <si>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</si>
  <si>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</si>
  <si>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</si>
  <si>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</si>
  <si>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</si>
  <si>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</si>
  <si>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</si>
  <si>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</si>
  <si>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</si>
  <si>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</si>
  <si>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</si>
  <si>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</si>
  <si>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</si>
  <si>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</si>
  <si>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</si>
  <si>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</si>
  <si>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</si>
  <si>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</si>
  <si>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</si>
  <si>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</si>
  <si>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</si>
  <si>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</si>
  <si>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</si>
  <si>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</si>
  <si>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</si>
  <si>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</si>
  <si>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</si>
  <si>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</si>
  <si>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</si>
  <si>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</si>
  <si>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</si>
  <si>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</si>
  <si>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</si>
  <si>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</si>
  <si>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</si>
  <si>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</si>
  <si>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</si>
  <si>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</si>
  <si>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</si>
  <si>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</si>
  <si>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</si>
  <si>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</si>
  <si>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</si>
  <si>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</si>
  <si>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</si>
  <si>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</si>
  <si>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</si>
  <si>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</si>
  <si>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</si>
  <si>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</si>
  <si>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</si>
  <si>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</si>
  <si>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</si>
  <si>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</si>
  <si>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</si>
  <si>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</si>
  <si>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</si>
  <si>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</si>
  <si>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</si>
  <si>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</si>
  <si>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</si>
  <si>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</si>
  <si>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</si>
  <si>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</si>
  <si>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</si>
  <si>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</si>
  <si>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</si>
  <si>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</si>
  <si>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</si>
  <si>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</si>
  <si>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</si>
  <si>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</si>
  <si>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</si>
  <si>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</si>
  <si>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</si>
  <si>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</si>
  <si>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</si>
  <si>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</si>
  <si>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</si>
  <si>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</si>
  <si>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</si>
  <si>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</si>
  <si>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</si>
  <si>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</si>
  <si>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</si>
  <si>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</si>
  <si>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</si>
  <si>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</si>
  <si>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</si>
  <si>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</si>
  <si>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</si>
  <si>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</si>
  <si>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</si>
  <si>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</si>
  <si>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</si>
  <si>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</si>
  <si>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</si>
  <si>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</si>
  <si>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</si>
  <si>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</si>
  <si>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</si>
  <si>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</si>
  <si>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</si>
  <si>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</si>
  <si>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</si>
  <si>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</si>
  <si>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</si>
  <si>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</si>
  <si>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</si>
  <si>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</si>
  <si>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</si>
  <si>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</si>
  <si>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</si>
  <si>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</si>
  <si>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</si>
  <si>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</si>
  <si>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</si>
  <si>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</si>
  <si>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</si>
  <si>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</si>
  <si>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</si>
  <si>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</si>
  <si>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</si>
  <si>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</si>
  <si>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</si>
  <si>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</si>
  <si>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</si>
  <si>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</si>
  <si>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</si>
  <si>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</si>
  <si>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</si>
  <si>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</si>
  <si>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</si>
  <si>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</si>
  <si>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</si>
  <si>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</si>
  <si>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</si>
  <si>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</si>
  <si>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</si>
  <si>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</si>
  <si>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</si>
  <si>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</si>
  <si>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</si>
  <si>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</si>
  <si>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</si>
  <si>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</si>
  <si>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</si>
  <si>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</si>
  <si>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</si>
  <si>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</si>
  <si>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</si>
  <si>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</si>
  <si>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</si>
  <si>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</si>
  <si>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</si>
  <si>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</si>
  <si>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</si>
  <si>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</si>
  <si>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</si>
  <si>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</si>
  <si>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</si>
  <si>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</si>
  <si>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</si>
  <si>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</si>
  <si>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</si>
  <si>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</si>
  <si>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</si>
  <si>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</si>
  <si>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</si>
  <si>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</si>
  <si>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</si>
  <si>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</si>
  <si>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</si>
  <si>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</si>
  <si>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</si>
  <si>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</si>
  <si>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</si>
  <si>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</si>
  <si>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</si>
  <si>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</si>
  <si>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</si>
  <si>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</si>
  <si>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</si>
  <si>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</si>
  <si>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</si>
  <si>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</si>
  <si>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</si>
  <si>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</si>
  <si>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</si>
  <si>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</si>
  <si>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</si>
  <si>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</si>
  <si>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</si>
  <si>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</si>
  <si>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</si>
  <si>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</si>
  <si>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</si>
  <si>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</si>
  <si>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</si>
  <si>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</si>
  <si>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</si>
  <si>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</si>
  <si>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</si>
  <si>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</si>
  <si>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</si>
  <si>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</si>
  <si>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</si>
  <si>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</si>
  <si>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</si>
  <si>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</si>
  <si>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</si>
  <si>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</si>
  <si>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</si>
  <si>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</si>
  <si>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</si>
  <si>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</si>
  <si>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</si>
  <si>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</si>
  <si>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</si>
  <si>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</si>
  <si>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</si>
  <si>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</si>
  <si>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</si>
  <si>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</si>
  <si>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</si>
  <si>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</si>
  <si>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</si>
  <si>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</si>
  <si>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</si>
  <si>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</si>
  <si>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</si>
  <si>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</si>
  <si>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</si>
  <si>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</si>
  <si>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</si>
  <si>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</si>
  <si>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</si>
  <si>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</si>
  <si>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</si>
  <si>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</si>
  <si>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</si>
  <si>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</si>
  <si>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</si>
  <si>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</si>
  <si>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</si>
  <si>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</si>
  <si>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</si>
  <si>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</si>
  <si>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</si>
  <si>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</si>
  <si>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</si>
  <si>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</si>
  <si>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</si>
  <si>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</si>
  <si>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</si>
  <si>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</si>
  <si>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</si>
  <si>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</si>
  <si>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</si>
  <si>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Processing_Waste(secondary)</t>
  </si>
  <si>
    <t>Particle_Board</t>
  </si>
  <si>
    <t>Particle_Board_EoL</t>
  </si>
  <si>
    <t>EoL_Wood_Incineration</t>
  </si>
  <si>
    <t>Incineration (plant)</t>
  </si>
  <si>
    <t>Incineration(BHKW)_Emissions_C</t>
  </si>
  <si>
    <t>Incineration(BHKW)_Emissions_E</t>
  </si>
  <si>
    <t>Short_Use</t>
  </si>
  <si>
    <t>Medium_Use</t>
  </si>
  <si>
    <t>Long_Use</t>
  </si>
  <si>
    <t>Short_Use_secondary</t>
  </si>
  <si>
    <t>Medium_Use_secondary</t>
  </si>
  <si>
    <t>Long_Use_secondary</t>
  </si>
  <si>
    <t>EoL_Wood_Secondary_processing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</si>
</sst>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89">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36" borderId="44" xfId="3" applyBorder="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2"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2">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31" dataCellStyle="04_Comments"/>
    <tableColumn id="1" xr3:uid="{23E8F131-81B2-4705-927A-A42C393BEDCE}" name="ID" dataDxfId="130">
      <calculatedColumnFormula>ROW()-1</calculatedColumnFormula>
    </tableColumn>
    <tableColumn id="2" xr3:uid="{D694ED25-71D4-4BD1-B627-FBE0FAE9FC8B}" name="Flow_ID" dataDxfId="129">
      <calculatedColumnFormula>"F_"&amp;LEFT(I2,2)&amp;"_"&amp;LEFT(K2,2)</calculatedColumnFormula>
    </tableColumn>
    <tableColumn id="3" xr3:uid="{CA1C6FA9-65CA-47E1-94EA-BBB750256C84}" name="Name(EN)" dataDxfId="128"/>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7">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6"/>
    <tableColumn id="22" xr3:uid="{ABA27704-56CF-4C30-88CB-BB6E944F7F08}" name="WC_source" dataDxfId="125"/>
    <tableColumn id="23" xr3:uid="{5CA0D08F-32C9-451C-A223-78F9E163EE87}" name="DM" dataDxfId="124"/>
    <tableColumn id="19" xr3:uid="{B3649430-F3A4-4F10-84D0-61D5F3B7C06D}" name="DM_source"/>
    <tableColumn id="20" xr3:uid="{826B197D-7E74-49DB-8367-DD0E48B963C3}" name="CC_DM[%]" dataDxfId="123"/>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2"/>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1">
      <calculatedColumnFormula>_xlfn.XLOOKUP(C2,Tab_Def_Flows[Name(EN)],Tab_Def_Flows[Process_ID_I],,0,)</calculatedColumnFormula>
    </tableColumn>
    <tableColumn id="34" xr3:uid="{1EF5EFE9-B149-4960-A691-8F1B8725DE37}" name="TC?" dataDxfId="120">
      <calculatedColumnFormula>_xlfn.XLOOKUP(C2,Tab_Def_Flows[Name(EN)],#REF!,,0,)</calculatedColumnFormula>
    </tableColumn>
    <tableColumn id="30" xr3:uid="{F13B49C3-7111-4C57-A913-01AB03549B56}" name="WC?" dataDxfId="119">
      <calculatedColumnFormula>_xlfn.XLOOKUP(C2,Tab_Def_Flows[Name(EN)],Tab_Def_Flows[WC?],,0,)</calculatedColumnFormula>
    </tableColumn>
    <tableColumn id="31" xr3:uid="{24B36152-385D-4D3C-A274-72EA56B6819A}" name="DM?" dataDxfId="118">
      <calculatedColumnFormula>_xlfn.XLOOKUP(C2,Tab_Def_Flows[Name(EN)],Tab_Def_Flows[DM?],,0,)</calculatedColumnFormula>
    </tableColumn>
    <tableColumn id="32" xr3:uid="{A086924B-597B-4B7A-B9B2-8397025FD97B}" name="CC?" dataDxfId="11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6"/>
    <tableColumn id="10" xr3:uid="{830F5101-5C33-4F82-BC56-E2BC7AF81364}" name="UoM_Source"/>
    <tableColumn id="11" xr3:uid="{4CDA8F79-829B-47EF-ADFC-3E43B62F90A4}" name="Name_Source"/>
    <tableColumn id="26" xr3:uid="{5682EF5B-30C4-46B4-B5FF-A174139B9E8A}" name="AVV" dataDxfId="115">
      <calculatedColumnFormula>INDEX(#REF!,MATCH(Tab_Data_Flows[[#This Row],[Name(EN)]],#REF!,0),12)</calculatedColumnFormula>
    </tableColumn>
    <tableColumn id="27" xr3:uid="{0FD99FBB-FEDB-4B73-A541-FB8A676D64E7}" name="Titel_Source" dataDxfId="11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3"/>
    <tableColumn id="25" xr3:uid="{94996270-9A62-4B8C-B04B-D56A7F9FDE30}" name="Name_CF" dataDxfId="112">
      <calculatedColumnFormula>#REF!</calculatedColumnFormula>
    </tableColumn>
    <tableColumn id="17" xr3:uid="{E761CF85-B508-4386-AFDF-6ABE121824EE}" name="Flow_Py" dataDxfId="111"/>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47" totalsRowShown="0" headerRowCellStyle="05_Header">
  <autoFilter ref="A1:AL47" xr:uid="{CEDB6F7C-CFD3-4534-80A6-FB20E3898B22}"/>
  <tableColumns count="38">
    <tableColumn id="39" xr3:uid="{488AB972-9613-4DA9-9600-5BFBE3896251}" name="Complete?" dataDxfId="110" dataCellStyle="04_Comments"/>
    <tableColumn id="1" xr3:uid="{A63F92FA-2376-4B5A-A2DF-588878E604E1}" name="ID" dataDxfId="109">
      <calculatedColumnFormula>ROW()-1</calculatedColumnFormula>
    </tableColumn>
    <tableColumn id="2" xr3:uid="{6D346BEA-29CA-401C-8ABB-6C62791A731A}" name="Process_ID" dataDxfId="10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7"/>
    <tableColumn id="14" xr3:uid="{334FD543-CE98-4427-87D5-A79F68872B3C}" name="Input_Flow_I_1" dataDxfId="106"/>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5">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4">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0" totalsRowShown="0" tableBorderDxfId="17" headerRowCellStyle="05_Header">
  <autoFilter ref="A1:U50" xr:uid="{7602A998-85E6-499A-B1A3-C584F22BB41F}"/>
  <tableColumns count="21">
    <tableColumn id="33" xr3:uid="{2E104FB0-3B3F-413B-B1B0-969D126AA7B1}" name="Complete?" dataDxfId="16" dataCellStyle="04_Comments"/>
    <tableColumn id="1" xr3:uid="{B9E05773-FB7F-407B-8FB3-BE93F6BB50D9}" name="ID" dataDxfId="15">
      <calculatedColumnFormula>ROW()-1</calculatedColumnFormula>
    </tableColumn>
    <tableColumn id="2" xr3:uid="{4324CFF4-5791-4829-80A7-8BA4CF2CD799}" name="Process_ID" dataDxfId="14">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3">
      <calculatedColumnFormula>_xlfn.XLOOKUP($D2,Tab_Def_Processes[Name(EN)],Tab_Def_Processes[Initial_Stock?],,0,)</calculatedColumnFormula>
    </tableColumn>
    <tableColumn id="12" xr3:uid="{1AEDC949-1281-46C8-9543-F9AB0A724F08}" name="DSM?" dataDxfId="12">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103" headerRowCellStyle="05_Header">
  <autoFilter ref="A1:U63" xr:uid="{7602A998-85E6-499A-B1A3-C584F22BB41F}"/>
  <tableColumns count="21">
    <tableColumn id="24" xr3:uid="{799CF049-9A74-47E4-BCE6-68EB92DFEDD4}" name="Complete?" dataDxfId="102" dataCellStyle="04_Comments"/>
    <tableColumn id="1" xr3:uid="{75AB9428-C675-46D8-B904-74A952E29611}" name="ID" dataDxfId="101">
      <calculatedColumnFormula>ROW()-1</calculatedColumnFormula>
    </tableColumn>
    <tableColumn id="22" xr3:uid="{055CB3E4-C1DF-486D-9F8E-E65039E95278}" name="Stock_ID" dataDxfId="100">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9"/>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8" headerRowBorderDxfId="97" tableBorderDxfId="96">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5" dataCellStyle="04_Comments"/>
    <tableColumn id="1" xr3:uid="{CE7CE076-C32F-4791-85A9-C6321A66E672}" name="ID" dataDxfId="94">
      <calculatedColumnFormula>ROW()-1</calculatedColumnFormula>
    </tableColumn>
    <tableColumn id="2" xr3:uid="{F7259AFD-9D16-4ACC-BDB2-8D0DCC203B92}" name="Process_ID" dataDxfId="93"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92"/>
    <tableColumn id="57" xr3:uid="{D3D78B03-02F6-42CA-BD33-6A54DF04FE86}" name="Column1"/>
    <tableColumn id="11" xr3:uid="{D4C9F650-44B6-4DD5-875E-10DEE39F6D03}" name="Input_Flow_I_1" dataDxfId="91">
      <calculatedColumnFormula>_xlfn.XLOOKUP($D2,Tab_Def_Processes[Name(EN)],Tab_Def_Processes[Input_Flow_I_1],,0,)</calculatedColumnFormula>
    </tableColumn>
    <tableColumn id="12" xr3:uid="{5D9673E4-4F5C-4A02-8FE3-DAF7E360A271}" name="Flow_ID_I_1" dataDxfId="90">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9">
      <calculatedColumnFormula>_xlfn.XLOOKUP($D2,Tab_Def_Processes[Name(EN)],Tab_Def_Processes[Input_Flow_I_2],,0,)</calculatedColumnFormula>
    </tableColumn>
    <tableColumn id="14" xr3:uid="{39DCAF4C-C94E-4F6B-9473-486EB368D1A4}" name="Flow_ID_I_3" dataDxfId="88">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7">
      <calculatedColumnFormula>_xlfn.XLOOKUP($D2,Tab_Def_Processes[Name(EN)],Tab_Def_Processes[Input_Flow_I_3],,0,)</calculatedColumnFormula>
    </tableColumn>
    <tableColumn id="16" xr3:uid="{59EB2AB7-4406-48E2-A12E-175CA457D434}" name="Flow ID I_3" dataDxfId="86">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5">
      <calculatedColumnFormula>_xlfn.XLOOKUP($D2,Tab_Def_Processes[Name(EN)],Tab_Def_Processes[Input_Flow_I_4],,0,)</calculatedColumnFormula>
    </tableColumn>
    <tableColumn id="18" xr3:uid="{6B6A8FB7-CFFD-4E02-B4C2-DA33227D2D15}" name="Flow ID I_4" dataDxfId="84">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83">
      <calculatedColumnFormula>_xlfn.XLOOKUP($D2,Tab_Def_Processes[Name(EN)],Tab_Def_Processes[Input_Flow_I_5],,0,)</calculatedColumnFormula>
    </tableColumn>
    <tableColumn id="20" xr3:uid="{4DEF4D28-396A-452E-A2BA-F6E3F074F47C}" name="Flow ID I_5" dataDxfId="82">
      <calculatedColumnFormula>_xlfn.XLOOKUP($D2,Tab_Def_Processes[Name(EN)],Tab_Def_Processes[Flow_ID_I_5],,0,)</calculatedColumnFormula>
    </tableColumn>
    <tableColumn id="39" xr3:uid="{31A505D2-1052-4114-89A3-0125D2AEA2C0}" name="Flow_TC_I_5_[%]"/>
    <tableColumn id="34" xr3:uid="{87220065-CDDC-4D7C-BE11-D9EA0B3FF3E5}" name="Sum_TC_I" dataDxfId="81">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80">
      <calculatedColumnFormula>_xlfn.XLOOKUP($D2,#REF!,#REF!,,0,)</calculatedColumnFormula>
    </tableColumn>
    <tableColumn id="22" xr3:uid="{B381C1D4-C8F7-4BE4-A024-4BBD1B417D36}" name="Flow_ID_O_1" dataDxfId="79">
      <calculatedColumnFormula>_xlfn.XLOOKUP($D2,#REF!,#REF!,,0,)</calculatedColumnFormula>
    </tableColumn>
    <tableColumn id="63" xr3:uid="{C44CA027-9688-45B0-88EB-F14F3A7BECB8}" name="TC_ID_O_1_Year" dataDxfId="78">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7"/>
    <tableColumn id="23" xr3:uid="{B25FB2F6-238F-410A-AF2E-782A213D011A}" name="Output_Flow_O_2" dataDxfId="76">
      <calculatedColumnFormula>_xlfn.XLOOKUP($D2,#REF!,#REF!,,0,)</calculatedColumnFormula>
    </tableColumn>
    <tableColumn id="24" xr3:uid="{97798FE5-868B-45C0-AE3B-C29AF4C86E8E}" name="Flow_ID_O_2" dataDxfId="75">
      <calculatedColumnFormula>_xlfn.XLOOKUP($D2,#REF!,#REF!,,0,)</calculatedColumnFormula>
    </tableColumn>
    <tableColumn id="64" xr3:uid="{3679F173-262B-4D42-9125-71B27049FF31}" name="TC_ID_O_2_Year" dataDxfId="74">
      <calculatedColumnFormula>Tab_Process_TCs2527[[#This Row],[Flow_ID]]</calculatedColumnFormula>
    </tableColumn>
    <tableColumn id="54" xr3:uid="{59052527-1CA5-4A17-978F-E10A4CF13AAE}" name="TC_ID_O_2" dataDxfId="73">
      <calculatedColumnFormula>"TC"&amp;"_"&amp;RIGHT(AI2,5)</calculatedColumnFormula>
    </tableColumn>
    <tableColumn id="41" xr3:uid="{7F915D49-034F-4E82-9BAA-B8ED5CA4F335}" name="TC_O_2_[%]" dataDxfId="72" dataCellStyle="Percent"/>
    <tableColumn id="25" xr3:uid="{5714904F-F57E-48CA-BFAA-826C1CEFD309}" name="Output_Flow_O_3" dataDxfId="71">
      <calculatedColumnFormula>_xlfn.XLOOKUP($D2,#REF!,#REF!,,0,)</calculatedColumnFormula>
    </tableColumn>
    <tableColumn id="26" xr3:uid="{BF841E8C-9EB2-40B0-BD1F-8C768DE188AD}" name="Flow_ID_O_3" dataDxfId="70">
      <calculatedColumnFormula>_xlfn.XLOOKUP($D2,#REF!,#REF!,,0,)</calculatedColumnFormula>
    </tableColumn>
    <tableColumn id="65" xr3:uid="{40F24D12-78F3-4E2A-85F5-F634958096FD}" name="TC_ID_O_3_Year" dataDxfId="69">
      <calculatedColumnFormula>Tab_Process_TCs2527[[#This Row],[Flow_ID]]</calculatedColumnFormula>
    </tableColumn>
    <tableColumn id="42" xr3:uid="{231A0501-9932-43B0-A3F9-EB8BB036203D}" name="TC_ID_O_3" dataDxfId="68">
      <calculatedColumnFormula>"TC"&amp;"_"&amp;RIGHT(AN2,5)</calculatedColumnFormula>
    </tableColumn>
    <tableColumn id="27" xr3:uid="{25A11679-9BF9-4DEC-B798-B8A275D3B8AC}" name="TC_O_3_[%]" dataDxfId="67" dataCellStyle="Percent"/>
    <tableColumn id="28" xr3:uid="{67E45B1E-4E5D-4D83-A664-45983FD6F9D1}" name="Output_Flow_O_4" dataDxfId="66">
      <calculatedColumnFormula>_xlfn.XLOOKUP($D2,#REF!,#REF!,,0,)</calculatedColumnFormula>
    </tableColumn>
    <tableColumn id="43" xr3:uid="{C5680328-8545-431B-B943-966088B5B85B}" name="Flow_ID_O_4" dataDxfId="65">
      <calculatedColumnFormula>_xlfn.XLOOKUP($D2,#REF!,#REF!,,0,)</calculatedColumnFormula>
    </tableColumn>
    <tableColumn id="66" xr3:uid="{3C939FEA-060E-42BF-AC8F-37677818A9F4}" name="TC_ID_O_4_Year" dataDxfId="64">
      <calculatedColumnFormula>Tab_Process_TCs2527[[#This Row],[Flow_ID]]</calculatedColumnFormula>
    </tableColumn>
    <tableColumn id="29" xr3:uid="{5B8610D8-109C-4CC7-9DE9-5EF61CC39BD7}" name="TC_ID_O_4" dataDxfId="63">
      <calculatedColumnFormula>"TC"&amp;"_"&amp;RIGHT(AN2,5)</calculatedColumnFormula>
    </tableColumn>
    <tableColumn id="30" xr3:uid="{8DFBA5BB-ECEC-455D-9C69-3FF71622F2AC}" name="TC_O_4_[%]" dataDxfId="62" dataCellStyle="Percent"/>
    <tableColumn id="44" xr3:uid="{5785B5EE-01FF-44CB-9D74-9D2780652646}" name="Output_Flow_O_5" dataDxfId="61">
      <calculatedColumnFormula>_xlfn.XLOOKUP($D2,#REF!,#REF!,,0,)</calculatedColumnFormula>
    </tableColumn>
    <tableColumn id="31" xr3:uid="{54C02504-99D3-419C-9253-1DA532111E60}" name="Flow_ID_O_5" dataDxfId="60">
      <calculatedColumnFormula>_xlfn.XLOOKUP($D2,#REF!,#REF!,,0,)</calculatedColumnFormula>
    </tableColumn>
    <tableColumn id="67" xr3:uid="{770D2E29-F077-423A-9DDE-B86470FADA38}" name="TC_ID_O_5_Year" dataDxfId="59">
      <calculatedColumnFormula>Tab_Process_TCs2527[[#This Row],[Flow_ID]]</calculatedColumnFormula>
    </tableColumn>
    <tableColumn id="46" xr3:uid="{CBB535D2-9A64-4C2F-AF19-4CF0A79C6798}" name="TC_ID_O_5" dataDxfId="58">
      <calculatedColumnFormula>"TC"&amp;"_"&amp;RIGHT(AX2,5)</calculatedColumnFormula>
    </tableColumn>
    <tableColumn id="45" xr3:uid="{43E42E8C-202D-4522-9E50-CB3B80F8EE29}" name="TC O_5_[%]" dataDxfId="57" dataCellStyle="Percent"/>
    <tableColumn id="32" xr3:uid="{FD3810B5-3F37-4777-8ACB-D2CAAFA5C5EB}" name="Output_Flow_O_6" dataDxfId="56">
      <calculatedColumnFormula>_xlfn.XLOOKUP($D2,#REF!,#REF!,,0,)</calculatedColumnFormula>
    </tableColumn>
    <tableColumn id="48" xr3:uid="{EF811571-9CC9-41DC-BFA4-320CD8D9C0C6}" name="Flow_ID_O_6" dataDxfId="55">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4">
      <calculatedColumnFormula>"TC"&amp;"_"&amp;RIGHT(BC2,5)</calculatedColumnFormula>
    </tableColumn>
    <tableColumn id="50" xr3:uid="{5AF5E9BC-3B3E-4244-A22E-AC3284E0E97C}" name="TC O_6_[%]" dataDxfId="53" dataCellStyle="Percent"/>
    <tableColumn id="51" xr3:uid="{B76A3DEE-BBAC-4CE1-BE1D-2941B928DB78}" name="Sum_TC_O" dataDxfId="52"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1" dataDxfId="50" tableBorderDxfId="49">
  <autoFilter ref="A1:R51" xr:uid="{258723AD-03F6-4700-9C12-0435A55E108D}"/>
  <tableColumns count="18">
    <tableColumn id="1" xr3:uid="{33B8EF63-7663-4BA6-9B91-D446C0C9C276}" name="Complete?" dataCellStyle="04_Comments"/>
    <tableColumn id="2" xr3:uid="{6589C290-508A-4E8E-8896-B6E09EB1B594}" name="ID" dataDxfId="48">
      <calculatedColumnFormula>ROW()-1</calculatedColumnFormula>
    </tableColumn>
    <tableColumn id="4" xr3:uid="{F4E33EB8-7313-4BD5-8A0A-D0E18A2A18E9}" name="Process_ID" dataDxfId="47">
      <calculatedColumnFormula>_xlfn.XLOOKUP($D2,Tab_Def_Processes[Name(EN)],Tab_Def_Processes[Process_ID],,0,)</calculatedColumnFormula>
    </tableColumn>
    <tableColumn id="5" xr3:uid="{E9F30AE4-3733-473D-B124-CDB1D225C217}" name="Name(EN)" dataDxfId="46"/>
    <tableColumn id="6" xr3:uid="{8636F935-6448-4819-ADDF-71DFA45559FA}" name="Process_Type" dataDxfId="45">
      <calculatedColumnFormula>_xlfn.XLOOKUP($D2,Tab_Def_Processes[Name(EN)],Tab_Def_Processes[Process_Type],,0,)</calculatedColumnFormula>
    </tableColumn>
    <tableColumn id="11" xr3:uid="{60B3771B-3986-46D1-B5BA-CE7814BD4A11}" name="TC?" dataDxfId="44">
      <calculatedColumnFormula>_xlfn.XLOOKUP($D2,Tab_Def_Processes[Name(EN)],Tab_Def_Processes[TC?],,0,)</calculatedColumnFormula>
    </tableColumn>
    <tableColumn id="12" xr3:uid="{A2F17CD8-5CAE-47C5-88AC-65F98D1E04A7}" name="Dyn_TC?" dataDxfId="43">
      <calculatedColumnFormula>_xlfn.XLOOKUP($D2,Tab_Def_Processes[Name(EN)],Tab_Def_Processes[Dyn_TC?],,0,)</calculatedColumnFormula>
    </tableColumn>
    <tableColumn id="13" xr3:uid="{AAC3F32E-5E29-4B43-870A-6E7FC451D4C7}" name="Stock?" dataDxfId="42">
      <calculatedColumnFormula>_xlfn.XLOOKUP($D2,Tab_Def_Processes[Name(EN)],Tab_Def_Processes[Stock?],,0,)</calculatedColumnFormula>
    </tableColumn>
    <tableColumn id="14" xr3:uid="{46AA84AB-D3F4-4DFC-AFA9-73ECA93071B0}" name="Initial_Stock?" dataDxfId="41">
      <calculatedColumnFormula>_xlfn.XLOOKUP($D2,Tab_Def_Processes[Name(EN)],Tab_Def_Processes[Initial_Stock?],,0,)</calculatedColumnFormula>
    </tableColumn>
    <tableColumn id="7" xr3:uid="{4D982150-569B-49F8-B2ED-A59759BD8284}" name="DSM?" dataDxfId="40"/>
    <tableColumn id="8" xr3:uid="{722B87D6-F9E5-415C-984B-850168F8B4C0}" name="FOMP?" dataDxfId="39"/>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1" tableBorderDxfId="10" headerRowCellStyle="05_Header">
  <autoFilter ref="A1:Q41" xr:uid="{258723AD-03F6-4700-9C12-0435A55E108D}"/>
  <tableColumns count="17">
    <tableColumn id="1" xr3:uid="{45321D18-7A58-4FFA-814A-4BFE5587094A}" name="Complete?" dataCellStyle="04_Comments"/>
    <tableColumn id="2" xr3:uid="{EC881CBD-180B-4D64-9A86-8AA6EC24B7F6}" name="ID" dataDxfId="9">
      <calculatedColumnFormula>ROW()-1</calculatedColumnFormula>
    </tableColumn>
    <tableColumn id="4" xr3:uid="{844E5006-9125-4DE3-A7C3-7D82AE3725EE}" name="Process_ID" dataDxfId="8">
      <calculatedColumnFormula>_xlfn.XLOOKUP($D2,Tab_Def_Processes[Name(EN)],Tab_Def_Processes[Process_ID],,0,)</calculatedColumnFormula>
    </tableColumn>
    <tableColumn id="5" xr3:uid="{0A9A4390-230F-4C39-9AF5-D72E04524EC5}" name="Name(EN)" dataDxfId="7"/>
    <tableColumn id="6" xr3:uid="{27F8000C-3015-4447-BAA8-364798FFAAFF}" name="Process_Type" dataDxfId="6">
      <calculatedColumnFormula>_xlfn.XLOOKUP($D2,Tab_Def_Processes[Name(EN)],Tab_Def_Processes[Process_Type],,0,)</calculatedColumnFormula>
    </tableColumn>
    <tableColumn id="11" xr3:uid="{CC767FA8-EDF4-482B-B626-0EE382C271A5}" name="TC?" dataDxfId="5">
      <calculatedColumnFormula>_xlfn.XLOOKUP($D2,Tab_Def_Processes[Name(EN)],Tab_Def_Processes[TC?],,0,)</calculatedColumnFormula>
    </tableColumn>
    <tableColumn id="12" xr3:uid="{E84B3ABE-4E12-4E6F-A681-7D39D8B20B42}" name="Dyn_TC?" dataDxfId="4">
      <calculatedColumnFormula>_xlfn.XLOOKUP($D2,Tab_Def_Processes[Name(EN)],Tab_Def_Processes[Dyn_TC?],,0,)</calculatedColumnFormula>
    </tableColumn>
    <tableColumn id="13" xr3:uid="{981DEE9B-FA47-4F47-8F80-39B1E8690449}" name="Stock?" dataDxfId="3">
      <calculatedColumnFormula>_xlfn.XLOOKUP($D2,Tab_Def_Processes[Name(EN)],Tab_Def_Processes[Stock?],,0,)</calculatedColumnFormula>
    </tableColumn>
    <tableColumn id="14" xr3:uid="{69989678-F20B-45BE-B37C-4E9CE9AA75DC}" name="Initial_Stock?" dataDxfId="2">
      <calculatedColumnFormula>_xlfn.XLOOKUP($D2,Tab_Def_Processes[Name(EN)],Tab_Def_Processes[Initial_Stock?],,0,)</calculatedColumnFormula>
    </tableColumn>
    <tableColumn id="7" xr3:uid="{3CFB9275-BB11-4A48-A179-F10B662CD314}" name="DSM?" dataDxfId="1">
      <calculatedColumnFormula>_xlfn.XLOOKUP($D2,Tab_Def_Processes[Name(EN)],Tab_Def_Processes[DSM?],,0,)</calculatedColumnFormula>
    </tableColumn>
    <tableColumn id="8" xr3:uid="{10C6F948-DB35-488A-BBCF-1C22C3F74E52}" name="FOMP?" dataDxfId="0">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38">
  <autoFilter ref="A1:P59" xr:uid="{FF9E0B7D-0B53-4192-BACF-A733D16BD97E}"/>
  <tableColumns count="16">
    <tableColumn id="1" xr3:uid="{AEAC6F38-4A16-4B89-B940-1815E01565C6}" name="Complete?" dataDxfId="37" dataCellStyle="04_Comments"/>
    <tableColumn id="2" xr3:uid="{974E84B3-B7E5-4EAB-BE6D-E4CA3B941720}" name="ID" dataDxfId="36" dataCellStyle="03_Auto_Calcaulation">
      <calculatedColumnFormula>ROW()-1</calculatedColumnFormula>
    </tableColumn>
    <tableColumn id="3" xr3:uid="{C80F74B1-CB58-477D-916E-9E36937DCC7C}" name="Process_ID" dataDxfId="35"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34" dataCellStyle="02_Data_Input (DD)"/>
    <tableColumn id="11" xr3:uid="{A6B3115D-C460-49E4-B156-47D34854C0D6}" name="Node_Color" dataDxfId="33"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32">
  <autoFilter ref="A1:F51" xr:uid="{C3FEF386-C709-41D8-A84A-E296EE975D12}"/>
  <tableColumns count="6">
    <tableColumn id="1" xr3:uid="{B6E6225C-23E8-433A-835E-8BB33C78FBC1}" name="ID" dataDxfId="31" dataCellStyle="03_Auto_Calcaulation">
      <calculatedColumnFormula>ROW()-1</calculatedColumnFormula>
    </tableColumn>
    <tableColumn id="2" xr3:uid="{D19AA7EE-8012-4211-95D9-A412AE73FEA7}" name="Flow_ID" dataDxfId="30"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9" headerRowBorderDxfId="28" tableBorderDxfId="27">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6" headerRowBorderDxfId="25" tableBorderDxfId="24">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23" headerRowBorderDxfId="22" tableBorderDxfId="21">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0" headerRowBorderDxfId="19" tableBorderDxfId="18">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254</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325</v>
      </c>
      <c r="T7">
        <v>2026</v>
      </c>
    </row>
    <row r="8" spans="2:20" x14ac:dyDescent="0.25">
      <c r="C8" t="s">
        <v>28</v>
      </c>
      <c r="F8" t="s">
        <v>10</v>
      </c>
      <c r="N8" s="11" t="s">
        <v>326</v>
      </c>
      <c r="O8" s="11"/>
      <c r="T8">
        <v>2027</v>
      </c>
    </row>
    <row r="9" spans="2:20" x14ac:dyDescent="0.25">
      <c r="F9" t="s">
        <v>9</v>
      </c>
      <c r="N9" s="189" t="s">
        <v>327</v>
      </c>
      <c r="O9" s="189"/>
      <c r="T9">
        <v>2028</v>
      </c>
    </row>
    <row r="10" spans="2:20" x14ac:dyDescent="0.25">
      <c r="N10" s="9" t="s">
        <v>328</v>
      </c>
      <c r="O10" s="9"/>
      <c r="T10">
        <v>2029</v>
      </c>
    </row>
    <row r="11" spans="2:20" x14ac:dyDescent="0.25">
      <c r="N11" s="37" t="s">
        <v>329</v>
      </c>
      <c r="O11" s="37"/>
      <c r="T11">
        <v>2030</v>
      </c>
    </row>
    <row r="12" spans="2:20" x14ac:dyDescent="0.25">
      <c r="B12" s="227" t="s">
        <v>29</v>
      </c>
      <c r="C12" s="227"/>
      <c r="D12" s="227"/>
      <c r="E12" s="227"/>
      <c r="F12" s="227"/>
      <c r="G12" s="227"/>
      <c r="H12" s="227"/>
      <c r="I12" s="227"/>
      <c r="J12" s="227"/>
      <c r="K12" s="227"/>
      <c r="L12" s="227"/>
      <c r="M12" s="227"/>
      <c r="T12">
        <v>2031</v>
      </c>
    </row>
    <row r="13" spans="2:20" x14ac:dyDescent="0.25">
      <c r="B13" s="227"/>
      <c r="C13" s="227"/>
      <c r="D13" s="227"/>
      <c r="E13" s="227"/>
      <c r="F13" s="227"/>
      <c r="G13" s="227"/>
      <c r="H13" s="227"/>
      <c r="I13" s="227"/>
      <c r="J13" s="227"/>
      <c r="K13" s="227"/>
      <c r="L13" s="227"/>
      <c r="M13" s="227"/>
      <c r="T13">
        <v>2032</v>
      </c>
    </row>
    <row r="14" spans="2:20" x14ac:dyDescent="0.25">
      <c r="B14" s="227"/>
      <c r="C14" s="227"/>
      <c r="D14" s="227"/>
      <c r="E14" s="227"/>
      <c r="F14" s="227"/>
      <c r="G14" s="227"/>
      <c r="H14" s="227"/>
      <c r="I14" s="227"/>
      <c r="J14" s="227"/>
      <c r="K14" s="227"/>
      <c r="L14" s="227"/>
      <c r="M14" s="227"/>
      <c r="T14">
        <v>2033</v>
      </c>
    </row>
    <row r="15" spans="2:20" x14ac:dyDescent="0.25">
      <c r="B15" s="228" t="s">
        <v>30</v>
      </c>
      <c r="C15" s="228"/>
      <c r="D15" s="228"/>
      <c r="E15" s="228"/>
      <c r="F15" s="228"/>
      <c r="G15" s="228"/>
      <c r="H15" s="228"/>
      <c r="I15" s="228"/>
      <c r="J15" s="228"/>
      <c r="K15" s="228"/>
      <c r="L15" s="228"/>
      <c r="T15">
        <v>2034</v>
      </c>
    </row>
    <row r="16" spans="2:20" x14ac:dyDescent="0.25">
      <c r="B16" s="228"/>
      <c r="C16" s="228"/>
      <c r="D16" s="228"/>
      <c r="E16" s="228"/>
      <c r="F16" s="228"/>
      <c r="G16" s="228"/>
      <c r="H16" s="228"/>
      <c r="I16" s="228"/>
      <c r="J16" s="228"/>
      <c r="K16" s="228"/>
      <c r="L16" s="228"/>
      <c r="T16">
        <v>2035</v>
      </c>
    </row>
    <row r="17" spans="2:20" x14ac:dyDescent="0.25">
      <c r="B17" s="228"/>
      <c r="C17" s="228"/>
      <c r="D17" s="228"/>
      <c r="E17" s="228"/>
      <c r="F17" s="228"/>
      <c r="G17" s="228"/>
      <c r="H17" s="228"/>
      <c r="I17" s="228"/>
      <c r="J17" s="228"/>
      <c r="K17" s="228"/>
      <c r="L17" s="228"/>
      <c r="T17">
        <v>2036</v>
      </c>
    </row>
    <row r="18" spans="2:20" x14ac:dyDescent="0.25">
      <c r="B18" s="228"/>
      <c r="C18" s="228"/>
      <c r="D18" s="228"/>
      <c r="E18" s="228"/>
      <c r="F18" s="228"/>
      <c r="G18" s="228"/>
      <c r="H18" s="228"/>
      <c r="I18" s="228"/>
      <c r="J18" s="228"/>
      <c r="K18" s="228"/>
      <c r="L18" s="228"/>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259</v>
      </c>
      <c r="C40" t="s">
        <v>260</v>
      </c>
    </row>
    <row r="41" spans="1:3" x14ac:dyDescent="0.25">
      <c r="C41" t="s">
        <v>261</v>
      </c>
    </row>
    <row r="45" spans="1:3" ht="18.75" x14ac:dyDescent="0.3">
      <c r="A45" s="195" t="s">
        <v>364</v>
      </c>
    </row>
    <row r="47" spans="1:3" ht="15.75" x14ac:dyDescent="0.25">
      <c r="A47" s="196" t="s">
        <v>365</v>
      </c>
    </row>
    <row r="48" spans="1:3" x14ac:dyDescent="0.25">
      <c r="A48" t="s">
        <v>366</v>
      </c>
    </row>
    <row r="49" spans="1:1" x14ac:dyDescent="0.25">
      <c r="A49" t="s">
        <v>367</v>
      </c>
    </row>
    <row r="50" spans="1:1" x14ac:dyDescent="0.25">
      <c r="A50" t="s">
        <v>368</v>
      </c>
    </row>
    <row r="51" spans="1:1" x14ac:dyDescent="0.25">
      <c r="A51" t="s">
        <v>369</v>
      </c>
    </row>
    <row r="52" spans="1:1" x14ac:dyDescent="0.25">
      <c r="A52" t="s">
        <v>370</v>
      </c>
    </row>
    <row r="53" spans="1:1" x14ac:dyDescent="0.25">
      <c r="A53" t="s">
        <v>371</v>
      </c>
    </row>
    <row r="54" spans="1:1" x14ac:dyDescent="0.25">
      <c r="A54" t="s">
        <v>372</v>
      </c>
    </row>
    <row r="55" spans="1:1" x14ac:dyDescent="0.25">
      <c r="A55" t="s">
        <v>373</v>
      </c>
    </row>
    <row r="56" spans="1:1" x14ac:dyDescent="0.25">
      <c r="A56" t="s">
        <v>374</v>
      </c>
    </row>
    <row r="57" spans="1:1" x14ac:dyDescent="0.25">
      <c r="A57" t="s">
        <v>375</v>
      </c>
    </row>
    <row r="59" spans="1:1" ht="15.75" x14ac:dyDescent="0.25">
      <c r="A59" s="196" t="s">
        <v>376</v>
      </c>
    </row>
    <row r="60" spans="1:1" x14ac:dyDescent="0.25">
      <c r="A60" t="s">
        <v>377</v>
      </c>
    </row>
    <row r="61" spans="1:1" x14ac:dyDescent="0.25">
      <c r="A61" t="s">
        <v>378</v>
      </c>
    </row>
    <row r="62" spans="1:1" x14ac:dyDescent="0.25">
      <c r="A62" t="s">
        <v>379</v>
      </c>
    </row>
    <row r="63" spans="1:1" x14ac:dyDescent="0.25">
      <c r="A63" t="s">
        <v>380</v>
      </c>
    </row>
    <row r="64" spans="1:1" x14ac:dyDescent="0.25">
      <c r="A64" t="s">
        <v>381</v>
      </c>
    </row>
    <row r="65" spans="1:1" x14ac:dyDescent="0.25">
      <c r="A65" t="s">
        <v>382</v>
      </c>
    </row>
    <row r="66" spans="1:1" ht="15.75" x14ac:dyDescent="0.25">
      <c r="A66" s="196"/>
    </row>
    <row r="67" spans="1:1" x14ac:dyDescent="0.25">
      <c r="A67" t="s">
        <v>383</v>
      </c>
    </row>
    <row r="68" spans="1:1" x14ac:dyDescent="0.25">
      <c r="A68" t="s">
        <v>384</v>
      </c>
    </row>
    <row r="69" spans="1:1" x14ac:dyDescent="0.25">
      <c r="A69" t="s">
        <v>385</v>
      </c>
    </row>
    <row r="70" spans="1:1" x14ac:dyDescent="0.25">
      <c r="A70" t="s">
        <v>386</v>
      </c>
    </row>
    <row r="71" spans="1:1" ht="15.75" x14ac:dyDescent="0.25">
      <c r="A71" s="196" t="s">
        <v>387</v>
      </c>
    </row>
    <row r="73" spans="1:1" x14ac:dyDescent="0.25">
      <c r="A73" t="s">
        <v>388</v>
      </c>
    </row>
    <row r="74" spans="1:1" x14ac:dyDescent="0.25">
      <c r="A74" t="s">
        <v>389</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341</v>
      </c>
    </row>
    <row r="2" spans="1:2" x14ac:dyDescent="0.25">
      <c r="A2" s="191" t="s">
        <v>342</v>
      </c>
      <c r="B2" t="s">
        <v>343</v>
      </c>
    </row>
    <row r="3" spans="1:2" x14ac:dyDescent="0.25">
      <c r="A3" t="s">
        <v>344</v>
      </c>
      <c r="B3" t="s">
        <v>345</v>
      </c>
    </row>
    <row r="4" spans="1:2" x14ac:dyDescent="0.25">
      <c r="A4">
        <v>2</v>
      </c>
      <c r="B4" t="s">
        <v>346</v>
      </c>
    </row>
    <row r="5" spans="1:2" x14ac:dyDescent="0.25">
      <c r="A5" t="s">
        <v>347</v>
      </c>
      <c r="B5" t="s">
        <v>348</v>
      </c>
    </row>
    <row r="6" spans="1:2" x14ac:dyDescent="0.25">
      <c r="A6" t="s">
        <v>349</v>
      </c>
      <c r="B6" t="s">
        <v>353</v>
      </c>
    </row>
    <row r="7" spans="1:2" x14ac:dyDescent="0.25">
      <c r="A7" t="s">
        <v>350</v>
      </c>
    </row>
    <row r="8" spans="1:2" x14ac:dyDescent="0.25">
      <c r="A8" t="s">
        <v>351</v>
      </c>
      <c r="B8" t="s">
        <v>352</v>
      </c>
    </row>
    <row r="9" spans="1:2" x14ac:dyDescent="0.25">
      <c r="A9" t="s">
        <v>354</v>
      </c>
      <c r="B9" t="s">
        <v>355</v>
      </c>
    </row>
    <row r="10" spans="1:2" x14ac:dyDescent="0.25">
      <c r="A10">
        <v>3</v>
      </c>
      <c r="B10" t="s">
        <v>356</v>
      </c>
    </row>
    <row r="11" spans="1:2" x14ac:dyDescent="0.25">
      <c r="A11" t="s">
        <v>357</v>
      </c>
      <c r="B11" t="s">
        <v>358</v>
      </c>
    </row>
    <row r="12" spans="1:2" x14ac:dyDescent="0.25">
      <c r="A12" t="s">
        <v>359</v>
      </c>
      <c r="B12" t="s">
        <v>360</v>
      </c>
    </row>
    <row r="13" spans="1:2" x14ac:dyDescent="0.25">
      <c r="A13">
        <v>4</v>
      </c>
      <c r="B13" t="s">
        <v>361</v>
      </c>
    </row>
    <row r="14" spans="1:2" x14ac:dyDescent="0.25">
      <c r="A14" t="s">
        <v>362</v>
      </c>
      <c r="B14" t="s">
        <v>361</v>
      </c>
    </row>
    <row r="17" spans="1:1" ht="15.75" x14ac:dyDescent="0.25">
      <c r="A17" s="196" t="s">
        <v>365</v>
      </c>
    </row>
    <row r="18" spans="1:1" x14ac:dyDescent="0.25">
      <c r="A18" t="s">
        <v>366</v>
      </c>
    </row>
    <row r="19" spans="1:1" x14ac:dyDescent="0.25">
      <c r="A19" t="s">
        <v>367</v>
      </c>
    </row>
    <row r="20" spans="1:1" x14ac:dyDescent="0.25">
      <c r="A20" t="s">
        <v>368</v>
      </c>
    </row>
    <row r="21" spans="1:1" x14ac:dyDescent="0.25">
      <c r="A21" t="s">
        <v>369</v>
      </c>
    </row>
    <row r="22" spans="1:1" x14ac:dyDescent="0.25">
      <c r="A22" t="s">
        <v>370</v>
      </c>
    </row>
    <row r="23" spans="1:1" x14ac:dyDescent="0.25">
      <c r="A23" t="s">
        <v>371</v>
      </c>
    </row>
    <row r="24" spans="1:1" x14ac:dyDescent="0.25">
      <c r="A24" t="s">
        <v>372</v>
      </c>
    </row>
    <row r="25" spans="1:1" x14ac:dyDescent="0.25">
      <c r="A25" t="s">
        <v>373</v>
      </c>
    </row>
    <row r="26" spans="1:1" x14ac:dyDescent="0.25">
      <c r="A26" t="s">
        <v>374</v>
      </c>
    </row>
    <row r="27" spans="1:1" x14ac:dyDescent="0.25">
      <c r="A27" t="s">
        <v>375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7" sqref="C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576</v>
      </c>
      <c r="B1" t="s">
        <v>463</v>
      </c>
      <c r="C1" t="s">
        <v>288</v>
      </c>
      <c r="D1" t="s">
        <v>6</v>
      </c>
      <c r="E1" t="s">
        <v>464</v>
      </c>
      <c r="F1" t="s">
        <v>465</v>
      </c>
    </row>
    <row r="2" spans="1:6" x14ac:dyDescent="0.25">
      <c r="A2" s="206" t="s">
        <v>462</v>
      </c>
      <c r="B2" s="207" t="s">
        <v>466</v>
      </c>
      <c r="C2" s="208">
        <v>2025</v>
      </c>
      <c r="D2" s="213" t="s">
        <v>467</v>
      </c>
      <c r="E2" s="213" t="s">
        <v>468</v>
      </c>
      <c r="F2" s="214" t="s">
        <v>469</v>
      </c>
    </row>
    <row r="3" spans="1:6" ht="15" customHeight="1" x14ac:dyDescent="0.25">
      <c r="A3" s="209"/>
      <c r="B3" s="9" t="s">
        <v>470</v>
      </c>
      <c r="C3" s="11">
        <v>2050</v>
      </c>
      <c r="D3" s="37" t="s">
        <v>471</v>
      </c>
      <c r="E3" s="37" t="s">
        <v>468</v>
      </c>
      <c r="F3" s="215" t="s">
        <v>469</v>
      </c>
    </row>
    <row r="4" spans="1:6" x14ac:dyDescent="0.25">
      <c r="A4" s="209"/>
      <c r="B4" s="9" t="s">
        <v>472</v>
      </c>
      <c r="C4" s="11" t="s">
        <v>391</v>
      </c>
      <c r="D4" s="37" t="s">
        <v>473</v>
      </c>
      <c r="E4" s="37" t="s">
        <v>468</v>
      </c>
      <c r="F4" s="215" t="s">
        <v>469</v>
      </c>
    </row>
    <row r="5" spans="1:6" x14ac:dyDescent="0.25">
      <c r="A5" s="209"/>
      <c r="B5" s="9" t="s">
        <v>474</v>
      </c>
      <c r="C5" s="11" t="s">
        <v>475</v>
      </c>
      <c r="D5" s="37" t="s">
        <v>476</v>
      </c>
      <c r="E5" s="37" t="s">
        <v>468</v>
      </c>
      <c r="F5" s="215" t="s">
        <v>469</v>
      </c>
    </row>
    <row r="6" spans="1:6" ht="15.75" thickBot="1" x14ac:dyDescent="0.3">
      <c r="A6" s="210"/>
      <c r="B6" s="19" t="s">
        <v>477</v>
      </c>
      <c r="C6" s="197" t="s">
        <v>390</v>
      </c>
      <c r="D6" s="216" t="s">
        <v>478</v>
      </c>
      <c r="E6" s="216" t="s">
        <v>468</v>
      </c>
      <c r="F6" s="217" t="s">
        <v>469</v>
      </c>
    </row>
    <row r="7" spans="1:6" x14ac:dyDescent="0.25">
      <c r="A7" s="206" t="s">
        <v>479</v>
      </c>
      <c r="B7" s="207" t="s">
        <v>480</v>
      </c>
      <c r="C7" s="11" t="b">
        <v>1</v>
      </c>
      <c r="D7" s="213" t="s">
        <v>481</v>
      </c>
      <c r="E7" s="213" t="s">
        <v>482</v>
      </c>
      <c r="F7" s="214" t="s">
        <v>469</v>
      </c>
    </row>
    <row r="8" spans="1:6" ht="15" customHeight="1" x14ac:dyDescent="0.25">
      <c r="A8" s="16"/>
      <c r="B8" s="9" t="s">
        <v>483</v>
      </c>
      <c r="C8" s="11" t="b">
        <v>0</v>
      </c>
      <c r="D8" s="37" t="s">
        <v>484</v>
      </c>
      <c r="E8" s="37" t="s">
        <v>482</v>
      </c>
      <c r="F8" s="215" t="s">
        <v>469</v>
      </c>
    </row>
    <row r="9" spans="1:6" x14ac:dyDescent="0.25">
      <c r="A9" s="16"/>
      <c r="B9" s="9" t="s">
        <v>577</v>
      </c>
      <c r="C9" s="11" t="b">
        <v>0</v>
      </c>
      <c r="D9" s="37" t="s">
        <v>485</v>
      </c>
      <c r="E9" s="37" t="s">
        <v>482</v>
      </c>
      <c r="F9" s="215" t="s">
        <v>486</v>
      </c>
    </row>
    <row r="10" spans="1:6" ht="15.75" thickBot="1" x14ac:dyDescent="0.3">
      <c r="A10" s="18"/>
      <c r="B10" s="19" t="s">
        <v>487</v>
      </c>
      <c r="C10" s="197">
        <v>25</v>
      </c>
      <c r="D10" s="216" t="s">
        <v>488</v>
      </c>
      <c r="E10" s="216" t="s">
        <v>482</v>
      </c>
      <c r="F10" s="217" t="s">
        <v>486</v>
      </c>
    </row>
    <row r="11" spans="1:6" ht="15" customHeight="1" x14ac:dyDescent="0.25">
      <c r="A11" s="206" t="s">
        <v>489</v>
      </c>
      <c r="B11" s="207" t="s">
        <v>460</v>
      </c>
      <c r="C11" s="208" t="b">
        <v>0</v>
      </c>
      <c r="D11" s="213" t="s">
        <v>490</v>
      </c>
      <c r="E11" s="213" t="s">
        <v>491</v>
      </c>
      <c r="F11" s="214" t="s">
        <v>486</v>
      </c>
    </row>
    <row r="12" spans="1:6" x14ac:dyDescent="0.25">
      <c r="A12" s="16"/>
      <c r="B12" s="9" t="s">
        <v>492</v>
      </c>
      <c r="C12" s="11" t="s">
        <v>458</v>
      </c>
      <c r="D12" s="37" t="s">
        <v>494</v>
      </c>
      <c r="E12" s="37" t="s">
        <v>491</v>
      </c>
      <c r="F12" s="215" t="s">
        <v>486</v>
      </c>
    </row>
    <row r="13" spans="1:6" x14ac:dyDescent="0.25">
      <c r="A13" s="16"/>
      <c r="B13" s="9" t="s">
        <v>495</v>
      </c>
      <c r="C13" s="11" t="s">
        <v>461</v>
      </c>
      <c r="D13" s="37" t="s">
        <v>496</v>
      </c>
      <c r="E13" s="37" t="s">
        <v>491</v>
      </c>
      <c r="F13" s="215" t="s">
        <v>486</v>
      </c>
    </row>
    <row r="14" spans="1:6" x14ac:dyDescent="0.25">
      <c r="A14" s="16"/>
      <c r="B14" s="9" t="s">
        <v>497</v>
      </c>
      <c r="C14" s="11" t="s">
        <v>493</v>
      </c>
      <c r="D14" s="37" t="s">
        <v>498</v>
      </c>
      <c r="E14" s="37" t="s">
        <v>491</v>
      </c>
      <c r="F14" s="215" t="s">
        <v>486</v>
      </c>
    </row>
    <row r="15" spans="1:6" ht="15.75" thickBot="1" x14ac:dyDescent="0.3">
      <c r="A15" s="18"/>
      <c r="B15" s="19" t="s">
        <v>499</v>
      </c>
      <c r="C15" s="197" t="s">
        <v>500</v>
      </c>
      <c r="D15" s="216" t="s">
        <v>501</v>
      </c>
      <c r="E15" s="216" t="s">
        <v>491</v>
      </c>
      <c r="F15" s="217" t="s">
        <v>486</v>
      </c>
    </row>
    <row r="16" spans="1:6" x14ac:dyDescent="0.25">
      <c r="A16" s="206" t="s">
        <v>552</v>
      </c>
      <c r="B16" s="207" t="s">
        <v>553</v>
      </c>
      <c r="C16" s="208" t="b">
        <v>1</v>
      </c>
      <c r="D16" s="213" t="s">
        <v>554</v>
      </c>
      <c r="E16" s="213" t="s">
        <v>555</v>
      </c>
      <c r="F16" s="214" t="s">
        <v>469</v>
      </c>
    </row>
    <row r="17" spans="1:6" x14ac:dyDescent="0.25">
      <c r="A17" s="16"/>
      <c r="B17" s="9" t="s">
        <v>556</v>
      </c>
      <c r="C17" s="11" t="b">
        <v>1</v>
      </c>
      <c r="D17" s="37" t="s">
        <v>557</v>
      </c>
      <c r="E17" s="37" t="s">
        <v>555</v>
      </c>
      <c r="F17" s="215" t="s">
        <v>469</v>
      </c>
    </row>
    <row r="18" spans="1:6" x14ac:dyDescent="0.25">
      <c r="A18" s="16"/>
      <c r="B18" s="9" t="s">
        <v>558</v>
      </c>
      <c r="C18" s="11" t="b">
        <v>1</v>
      </c>
      <c r="D18" s="37" t="s">
        <v>559</v>
      </c>
      <c r="E18" s="37" t="s">
        <v>555</v>
      </c>
      <c r="F18" s="215" t="s">
        <v>469</v>
      </c>
    </row>
    <row r="19" spans="1:6" ht="15.75" thickBot="1" x14ac:dyDescent="0.3">
      <c r="A19" s="18"/>
      <c r="B19" s="19" t="s">
        <v>560</v>
      </c>
      <c r="C19" s="197">
        <v>1E-3</v>
      </c>
      <c r="D19" s="216" t="s">
        <v>561</v>
      </c>
      <c r="E19" s="216" t="s">
        <v>555</v>
      </c>
      <c r="F19" s="217" t="s">
        <v>486</v>
      </c>
    </row>
    <row r="20" spans="1:6" x14ac:dyDescent="0.25">
      <c r="A20" s="206" t="s">
        <v>502</v>
      </c>
      <c r="B20" s="207" t="s">
        <v>503</v>
      </c>
      <c r="C20" s="208">
        <v>0.1</v>
      </c>
      <c r="D20" s="213" t="s">
        <v>504</v>
      </c>
      <c r="E20" s="213" t="s">
        <v>505</v>
      </c>
      <c r="F20" s="214" t="s">
        <v>469</v>
      </c>
    </row>
    <row r="21" spans="1:6" x14ac:dyDescent="0.25">
      <c r="A21" s="16"/>
      <c r="B21" s="9" t="s">
        <v>506</v>
      </c>
      <c r="C21" s="11" t="b">
        <v>0</v>
      </c>
      <c r="D21" s="37" t="s">
        <v>507</v>
      </c>
      <c r="E21" s="37" t="s">
        <v>505</v>
      </c>
      <c r="F21" s="215" t="s">
        <v>486</v>
      </c>
    </row>
    <row r="22" spans="1:6" x14ac:dyDescent="0.25">
      <c r="A22" s="16"/>
      <c r="B22" s="9" t="s">
        <v>508</v>
      </c>
      <c r="C22" s="11" t="s">
        <v>509</v>
      </c>
      <c r="D22" s="37" t="s">
        <v>510</v>
      </c>
      <c r="E22" s="37" t="s">
        <v>505</v>
      </c>
      <c r="F22" s="215" t="s">
        <v>486</v>
      </c>
    </row>
    <row r="23" spans="1:6" x14ac:dyDescent="0.25">
      <c r="A23" s="16"/>
      <c r="B23" s="9" t="s">
        <v>511</v>
      </c>
      <c r="C23" s="11" t="s">
        <v>512</v>
      </c>
      <c r="D23" s="37" t="s">
        <v>513</v>
      </c>
      <c r="E23" s="37" t="s">
        <v>505</v>
      </c>
      <c r="F23" s="215" t="s">
        <v>486</v>
      </c>
    </row>
    <row r="24" spans="1:6" x14ac:dyDescent="0.25">
      <c r="A24" s="16"/>
      <c r="B24" s="9" t="s">
        <v>514</v>
      </c>
      <c r="C24" s="11" t="b">
        <v>1</v>
      </c>
      <c r="D24" s="37" t="s">
        <v>515</v>
      </c>
      <c r="E24" s="37" t="s">
        <v>505</v>
      </c>
      <c r="F24" s="215" t="s">
        <v>486</v>
      </c>
    </row>
    <row r="25" spans="1:6" ht="15.75" thickBot="1" x14ac:dyDescent="0.3">
      <c r="A25" s="18"/>
      <c r="B25" s="19" t="s">
        <v>516</v>
      </c>
      <c r="C25" s="197" t="s">
        <v>509</v>
      </c>
      <c r="D25" s="216" t="s">
        <v>517</v>
      </c>
      <c r="E25" s="216" t="s">
        <v>505</v>
      </c>
      <c r="F25" s="217" t="s">
        <v>486</v>
      </c>
    </row>
    <row r="26" spans="1:6" x14ac:dyDescent="0.25">
      <c r="A26" s="206" t="s">
        <v>518</v>
      </c>
      <c r="B26" s="207" t="s">
        <v>519</v>
      </c>
      <c r="C26" s="208" t="s">
        <v>392</v>
      </c>
      <c r="D26" s="213" t="s">
        <v>520</v>
      </c>
      <c r="E26" s="213" t="s">
        <v>521</v>
      </c>
      <c r="F26" s="214" t="s">
        <v>469</v>
      </c>
    </row>
    <row r="27" spans="1:6" x14ac:dyDescent="0.25">
      <c r="A27" s="16"/>
      <c r="B27" s="9" t="s">
        <v>522</v>
      </c>
      <c r="C27" s="11" t="b">
        <v>1</v>
      </c>
      <c r="D27" s="37" t="s">
        <v>523</v>
      </c>
      <c r="E27" s="37" t="s">
        <v>521</v>
      </c>
      <c r="F27" s="215" t="s">
        <v>486</v>
      </c>
    </row>
    <row r="28" spans="1:6" x14ac:dyDescent="0.25">
      <c r="A28" s="16"/>
      <c r="B28" s="9" t="s">
        <v>524</v>
      </c>
      <c r="C28" s="11" t="s">
        <v>525</v>
      </c>
      <c r="D28" s="37" t="s">
        <v>526</v>
      </c>
      <c r="E28" s="37" t="s">
        <v>521</v>
      </c>
      <c r="F28" s="215" t="s">
        <v>486</v>
      </c>
    </row>
    <row r="29" spans="1:6" x14ac:dyDescent="0.25">
      <c r="A29" s="16"/>
      <c r="B29" s="9" t="s">
        <v>527</v>
      </c>
      <c r="C29" s="11" t="b">
        <v>1</v>
      </c>
      <c r="D29" s="37" t="s">
        <v>528</v>
      </c>
      <c r="E29" s="37" t="s">
        <v>521</v>
      </c>
      <c r="F29" s="215" t="s">
        <v>486</v>
      </c>
    </row>
    <row r="30" spans="1:6" ht="15.75" thickBot="1" x14ac:dyDescent="0.3">
      <c r="A30" s="211"/>
      <c r="B30" s="185" t="s">
        <v>529</v>
      </c>
      <c r="C30" s="186" t="s">
        <v>530</v>
      </c>
      <c r="D30" s="212" t="s">
        <v>531</v>
      </c>
      <c r="E30" s="212" t="s">
        <v>521</v>
      </c>
      <c r="F30" s="218" t="s">
        <v>486</v>
      </c>
    </row>
    <row r="31" spans="1:6" x14ac:dyDescent="0.25">
      <c r="A31" s="206" t="s">
        <v>532</v>
      </c>
      <c r="B31" s="207" t="s">
        <v>533</v>
      </c>
      <c r="C31" s="208">
        <v>1E-3</v>
      </c>
      <c r="D31" s="213" t="s">
        <v>534</v>
      </c>
      <c r="E31" s="213" t="s">
        <v>535</v>
      </c>
      <c r="F31" s="214" t="s">
        <v>536</v>
      </c>
    </row>
    <row r="32" spans="1:6" x14ac:dyDescent="0.25">
      <c r="A32" s="16"/>
      <c r="B32" s="9" t="s">
        <v>537</v>
      </c>
      <c r="C32" s="11" t="s">
        <v>393</v>
      </c>
      <c r="D32" s="37" t="s">
        <v>538</v>
      </c>
      <c r="E32" s="37" t="s">
        <v>535</v>
      </c>
      <c r="F32" s="215" t="s">
        <v>536</v>
      </c>
    </row>
    <row r="33" spans="1:6" x14ac:dyDescent="0.25">
      <c r="A33" s="16"/>
      <c r="B33" s="9" t="s">
        <v>539</v>
      </c>
      <c r="C33" s="11" t="s">
        <v>540</v>
      </c>
      <c r="D33" s="37" t="s">
        <v>541</v>
      </c>
      <c r="E33" s="37" t="s">
        <v>535</v>
      </c>
      <c r="F33" s="215" t="s">
        <v>536</v>
      </c>
    </row>
    <row r="34" spans="1:6" x14ac:dyDescent="0.25">
      <c r="A34" s="16"/>
      <c r="B34" s="9" t="s">
        <v>542</v>
      </c>
      <c r="C34" s="11" t="b">
        <v>0</v>
      </c>
      <c r="D34" s="37" t="s">
        <v>543</v>
      </c>
      <c r="E34" s="37" t="s">
        <v>535</v>
      </c>
      <c r="F34" s="215" t="s">
        <v>536</v>
      </c>
    </row>
    <row r="35" spans="1:6" x14ac:dyDescent="0.25">
      <c r="A35" s="16"/>
      <c r="B35" s="9" t="s">
        <v>544</v>
      </c>
      <c r="C35" s="11" t="b">
        <v>0</v>
      </c>
      <c r="D35" s="37" t="s">
        <v>545</v>
      </c>
      <c r="E35" s="37" t="s">
        <v>535</v>
      </c>
      <c r="F35" s="215" t="s">
        <v>536</v>
      </c>
    </row>
    <row r="36" spans="1:6" x14ac:dyDescent="0.25">
      <c r="A36" s="16"/>
      <c r="B36" s="9" t="s">
        <v>546</v>
      </c>
      <c r="C36" s="11" t="b">
        <v>1</v>
      </c>
      <c r="D36" s="37" t="s">
        <v>547</v>
      </c>
      <c r="E36" s="37" t="s">
        <v>535</v>
      </c>
      <c r="F36" s="215" t="s">
        <v>536</v>
      </c>
    </row>
    <row r="37" spans="1:6" x14ac:dyDescent="0.25">
      <c r="A37" s="16"/>
      <c r="B37" s="9" t="s">
        <v>548</v>
      </c>
      <c r="C37" s="11" t="b">
        <v>0</v>
      </c>
      <c r="D37" s="37" t="s">
        <v>549</v>
      </c>
      <c r="E37" s="37" t="s">
        <v>535</v>
      </c>
      <c r="F37" s="215" t="s">
        <v>536</v>
      </c>
    </row>
    <row r="38" spans="1:6" ht="15.75" thickBot="1" x14ac:dyDescent="0.3">
      <c r="A38" s="18"/>
      <c r="B38" s="19" t="s">
        <v>550</v>
      </c>
      <c r="C38" s="197" t="b">
        <v>1</v>
      </c>
      <c r="D38" s="216" t="s">
        <v>551</v>
      </c>
      <c r="E38" s="216" t="s">
        <v>535</v>
      </c>
      <c r="F38" s="217" t="s">
        <v>536</v>
      </c>
    </row>
    <row r="39" spans="1:6" x14ac:dyDescent="0.25">
      <c r="A39" s="206" t="s">
        <v>562</v>
      </c>
      <c r="B39" s="207" t="s">
        <v>563</v>
      </c>
      <c r="C39" s="208">
        <v>15</v>
      </c>
      <c r="D39" s="213" t="s">
        <v>564</v>
      </c>
      <c r="E39" s="213" t="s">
        <v>565</v>
      </c>
      <c r="F39" s="214" t="s">
        <v>469</v>
      </c>
    </row>
    <row r="40" spans="1:6" x14ac:dyDescent="0.25">
      <c r="A40" s="16"/>
      <c r="B40" s="9" t="s">
        <v>566</v>
      </c>
      <c r="C40" s="11">
        <v>1E-4</v>
      </c>
      <c r="D40" s="37" t="s">
        <v>567</v>
      </c>
      <c r="E40" s="37" t="s">
        <v>565</v>
      </c>
      <c r="F40" s="215" t="s">
        <v>469</v>
      </c>
    </row>
    <row r="41" spans="1:6" x14ac:dyDescent="0.25">
      <c r="A41" s="16"/>
      <c r="B41" s="9" t="s">
        <v>568</v>
      </c>
      <c r="C41" s="11" t="s">
        <v>569</v>
      </c>
      <c r="D41" s="37" t="s">
        <v>570</v>
      </c>
      <c r="E41" s="37" t="s">
        <v>565</v>
      </c>
      <c r="F41" s="215" t="s">
        <v>486</v>
      </c>
    </row>
    <row r="42" spans="1:6" x14ac:dyDescent="0.25">
      <c r="A42" s="16"/>
      <c r="B42" s="9" t="s">
        <v>571</v>
      </c>
      <c r="C42" s="11" t="s">
        <v>572</v>
      </c>
      <c r="D42" s="37" t="s">
        <v>573</v>
      </c>
      <c r="E42" s="37" t="s">
        <v>565</v>
      </c>
      <c r="F42" s="215" t="s">
        <v>486</v>
      </c>
    </row>
    <row r="43" spans="1:6" ht="15.75" thickBot="1" x14ac:dyDescent="0.3">
      <c r="A43" s="18"/>
      <c r="B43" s="19" t="s">
        <v>574</v>
      </c>
      <c r="C43" s="197" t="b">
        <v>1</v>
      </c>
      <c r="D43" s="216" t="s">
        <v>575</v>
      </c>
      <c r="E43" s="216" t="s">
        <v>565</v>
      </c>
      <c r="F43" s="217" t="s">
        <v>486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30" zoomScaleNormal="130" workbookViewId="0">
      <pane xSplit="4" ySplit="7" topLeftCell="H8" activePane="bottomRight" state="frozen"/>
      <selection pane="topRight" activeCell="E1" sqref="E1"/>
      <selection pane="bottomLeft" activeCell="A14" sqref="A14"/>
      <selection pane="bottomRight" activeCell="H23" sqref="H23"/>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87</v>
      </c>
      <c r="B1" s="193" t="s">
        <v>31</v>
      </c>
      <c r="C1" s="193" t="s">
        <v>40</v>
      </c>
      <c r="D1" s="193" t="s">
        <v>89</v>
      </c>
      <c r="E1" s="193" t="s">
        <v>36</v>
      </c>
      <c r="F1" s="193" t="s">
        <v>41</v>
      </c>
      <c r="G1" s="193" t="s">
        <v>42</v>
      </c>
      <c r="H1" s="193" t="s">
        <v>43</v>
      </c>
      <c r="I1" s="193" t="s">
        <v>44</v>
      </c>
      <c r="J1" s="193" t="s">
        <v>45</v>
      </c>
      <c r="K1" s="193" t="s">
        <v>46</v>
      </c>
      <c r="L1" s="193" t="s">
        <v>105</v>
      </c>
      <c r="M1" s="193" t="s">
        <v>107</v>
      </c>
      <c r="N1" s="193" t="s">
        <v>106</v>
      </c>
      <c r="O1" s="193" t="s">
        <v>180</v>
      </c>
      <c r="P1" s="193" t="s">
        <v>109</v>
      </c>
      <c r="Q1" s="193" t="s">
        <v>181</v>
      </c>
      <c r="R1" s="193" t="s">
        <v>111</v>
      </c>
      <c r="S1" s="193" t="s">
        <v>141</v>
      </c>
      <c r="T1" s="193" t="s">
        <v>142</v>
      </c>
      <c r="U1" s="193" t="s">
        <v>182</v>
      </c>
      <c r="V1" s="193" t="s">
        <v>140</v>
      </c>
    </row>
    <row r="2" spans="1:24" x14ac:dyDescent="0.25">
      <c r="A2" s="194" t="b">
        <v>1</v>
      </c>
      <c r="B2" s="43">
        <f t="shared" ref="B2:B52" si="0">ROW()-1</f>
        <v>1</v>
      </c>
      <c r="C2" s="9" t="str">
        <f t="shared" ref="C2:C5" si="1">"F_"&amp;LEFT(I2,2)&amp;"_"&amp;LEFT(K2,2)</f>
        <v>F_00_02</v>
      </c>
      <c r="D2" s="11" t="s">
        <v>269</v>
      </c>
      <c r="E2" s="37"/>
      <c r="F2" s="37"/>
      <c r="G2" s="37"/>
      <c r="H2" s="189" t="s">
        <v>427</v>
      </c>
      <c r="I2" s="9" t="str">
        <f>_xlfn.XLOOKUP(H2,Tab_Def_Processes[Name(EN)],Tab_Def_Processes[Process_ID],,0,)</f>
        <v>00</v>
      </c>
      <c r="J2" s="189" t="s">
        <v>769</v>
      </c>
      <c r="K2" s="17" t="str">
        <f>_xlfn.XLOOKUP(J2,Tab_Def_Processes[Name(EN)],Tab_Def_Processes[Process_ID],,0,)</f>
        <v>02</v>
      </c>
      <c r="L2" s="189" t="s">
        <v>7</v>
      </c>
      <c r="M2" s="189" t="s">
        <v>7</v>
      </c>
      <c r="N2" s="189" t="s">
        <v>7</v>
      </c>
      <c r="O2" s="183">
        <v>0.5</v>
      </c>
      <c r="P2" s="55" t="s">
        <v>183</v>
      </c>
      <c r="Q2" s="183">
        <v>0.5</v>
      </c>
      <c r="R2" s="55" t="s">
        <v>183</v>
      </c>
      <c r="S2" s="183">
        <v>0.5</v>
      </c>
      <c r="T2" s="55" t="s">
        <v>183</v>
      </c>
      <c r="U2" s="190">
        <f>Tab_Def_Flows[[#This Row],[CC_DM'[%']]]*Tab_Def_Flows[[#This Row],[DM]]</f>
        <v>0.25</v>
      </c>
      <c r="V2" s="11" t="s">
        <v>184</v>
      </c>
    </row>
    <row r="3" spans="1:24" x14ac:dyDescent="0.25">
      <c r="A3" s="194" t="b">
        <v>1</v>
      </c>
      <c r="B3" s="43">
        <f t="shared" si="0"/>
        <v>2</v>
      </c>
      <c r="C3" s="9" t="str">
        <f t="shared" si="1"/>
        <v>F_01_02</v>
      </c>
      <c r="D3" s="11" t="s">
        <v>270</v>
      </c>
      <c r="E3" s="37"/>
      <c r="F3" s="37"/>
      <c r="G3" s="37"/>
      <c r="H3" s="189" t="s">
        <v>428</v>
      </c>
      <c r="I3" s="9" t="str">
        <f>_xlfn.XLOOKUP(H3,Tab_Def_Processes[Name(EN)],Tab_Def_Processes[Process_ID],,0,)</f>
        <v>01</v>
      </c>
      <c r="J3" s="189" t="s">
        <v>769</v>
      </c>
      <c r="K3" s="17" t="str">
        <f>_xlfn.XLOOKUP(J3,Tab_Def_Processes[Name(EN)],Tab_Def_Processes[Process_ID],,0,)</f>
        <v>02</v>
      </c>
      <c r="L3" s="189" t="s">
        <v>7</v>
      </c>
      <c r="M3" s="189" t="s">
        <v>7</v>
      </c>
      <c r="N3" s="189" t="s">
        <v>7</v>
      </c>
      <c r="O3" s="183">
        <v>0.5</v>
      </c>
      <c r="P3" s="55" t="s">
        <v>183</v>
      </c>
      <c r="Q3" s="183">
        <v>0.5</v>
      </c>
      <c r="R3" s="55" t="s">
        <v>183</v>
      </c>
      <c r="S3" s="183">
        <v>0.5</v>
      </c>
      <c r="T3" s="55" t="s">
        <v>183</v>
      </c>
      <c r="U3" s="190">
        <f>Tab_Def_Flows[[#This Row],[CC_DM'[%']]]*Tab_Def_Flows[[#This Row],[DM]]</f>
        <v>0.25</v>
      </c>
      <c r="V3" s="11" t="s">
        <v>184</v>
      </c>
    </row>
    <row r="4" spans="1:24" x14ac:dyDescent="0.25">
      <c r="A4" s="194" t="b">
        <v>1</v>
      </c>
      <c r="B4" s="43">
        <f t="shared" si="0"/>
        <v>3</v>
      </c>
      <c r="C4" s="9" t="str">
        <f t="shared" si="1"/>
        <v>F_02_03</v>
      </c>
      <c r="D4" s="11" t="s">
        <v>775</v>
      </c>
      <c r="E4" s="37"/>
      <c r="F4" s="37"/>
      <c r="G4" s="37"/>
      <c r="H4" s="189" t="s">
        <v>769</v>
      </c>
      <c r="I4" s="9" t="str">
        <f>_xlfn.XLOOKUP(H4,Tab_Def_Processes[Name(EN)],Tab_Def_Processes[Process_ID],,0,)</f>
        <v>02</v>
      </c>
      <c r="J4" s="189" t="s">
        <v>777</v>
      </c>
      <c r="K4" s="17" t="str">
        <f>_xlfn.XLOOKUP(J4,Tab_Def_Processes[Name(EN)],Tab_Def_Processes[Process_ID],,0,)</f>
        <v>03</v>
      </c>
      <c r="L4" s="189" t="s">
        <v>7</v>
      </c>
      <c r="M4" s="189" t="s">
        <v>7</v>
      </c>
      <c r="N4" s="189" t="s">
        <v>7</v>
      </c>
      <c r="O4" s="183">
        <v>0.5</v>
      </c>
      <c r="P4" s="55" t="s">
        <v>183</v>
      </c>
      <c r="Q4" s="183">
        <v>0.5</v>
      </c>
      <c r="R4" s="55" t="s">
        <v>183</v>
      </c>
      <c r="S4" s="183">
        <v>0.5</v>
      </c>
      <c r="T4" s="55" t="s">
        <v>183</v>
      </c>
      <c r="U4" s="190">
        <f>Tab_Def_Flows[[#This Row],[CC_DM'[%']]]*Tab_Def_Flows[[#This Row],[DM]]</f>
        <v>0.25</v>
      </c>
      <c r="V4" s="11" t="s">
        <v>184</v>
      </c>
      <c r="X4" s="202"/>
    </row>
    <row r="5" spans="1:24" x14ac:dyDescent="0.25">
      <c r="A5" s="194" t="b">
        <v>1</v>
      </c>
      <c r="B5" s="43">
        <f t="shared" si="0"/>
        <v>4</v>
      </c>
      <c r="C5" s="9" t="str">
        <f t="shared" si="1"/>
        <v>F_03_04</v>
      </c>
      <c r="D5" s="11" t="s">
        <v>776</v>
      </c>
      <c r="E5" s="37"/>
      <c r="F5" s="37"/>
      <c r="G5" s="37"/>
      <c r="H5" s="189" t="s">
        <v>777</v>
      </c>
      <c r="I5" s="9" t="str">
        <f>_xlfn.XLOOKUP(H5,Tab_Def_Processes[Name(EN)],Tab_Def_Processes[Process_ID],,0,)</f>
        <v>03</v>
      </c>
      <c r="J5" s="189" t="s">
        <v>770</v>
      </c>
      <c r="K5" s="17" t="str">
        <f>_xlfn.XLOOKUP(J5,Tab_Def_Processes[Name(EN)],Tab_Def_Processes[Process_ID],,0,)</f>
        <v>04</v>
      </c>
      <c r="L5" s="189" t="s">
        <v>7</v>
      </c>
      <c r="M5" s="189" t="s">
        <v>7</v>
      </c>
      <c r="N5" s="189" t="s">
        <v>7</v>
      </c>
      <c r="O5" s="183">
        <v>0.5</v>
      </c>
      <c r="P5" s="55" t="s">
        <v>183</v>
      </c>
      <c r="Q5" s="183">
        <v>0.5</v>
      </c>
      <c r="R5" s="55" t="s">
        <v>183</v>
      </c>
      <c r="S5" s="183">
        <v>0.5</v>
      </c>
      <c r="T5" s="55" t="s">
        <v>183</v>
      </c>
      <c r="U5" s="190">
        <f>Tab_Def_Flows[[#This Row],[CC_DM'[%']]]*Tab_Def_Flows[[#This Row],[DM]]</f>
        <v>0.25</v>
      </c>
      <c r="V5" s="11" t="s">
        <v>184</v>
      </c>
    </row>
    <row r="6" spans="1:24" x14ac:dyDescent="0.25">
      <c r="A6" s="194" t="b">
        <v>1</v>
      </c>
      <c r="B6" s="43">
        <f t="shared" si="0"/>
        <v>5</v>
      </c>
      <c r="C6" s="9" t="str">
        <f t="shared" ref="C6:C59" si="2">"F_"&amp;LEFT(I6,2)&amp;"_"&amp;LEFT(K6,2)</f>
        <v>F_04_00</v>
      </c>
      <c r="D6" s="11" t="s">
        <v>785</v>
      </c>
      <c r="E6" s="37"/>
      <c r="F6" s="37"/>
      <c r="G6" s="37"/>
      <c r="H6" s="189" t="s">
        <v>770</v>
      </c>
      <c r="I6" s="9" t="str">
        <f>_xlfn.XLOOKUP(H6,Tab_Def_Processes[Name(EN)],Tab_Def_Processes[Process_ID],,0,)</f>
        <v>04</v>
      </c>
      <c r="J6" s="189" t="s">
        <v>427</v>
      </c>
      <c r="K6" s="17" t="str">
        <f>_xlfn.XLOOKUP(J6,Tab_Def_Processes[Name(EN)],Tab_Def_Processes[Process_ID],,0,)</f>
        <v>00</v>
      </c>
      <c r="L6" s="189" t="s">
        <v>7</v>
      </c>
      <c r="M6" s="189" t="s">
        <v>7</v>
      </c>
      <c r="N6" s="189" t="s">
        <v>7</v>
      </c>
      <c r="O6" s="183">
        <v>0.5</v>
      </c>
      <c r="P6" s="55" t="s">
        <v>183</v>
      </c>
      <c r="Q6" s="183">
        <v>0.5</v>
      </c>
      <c r="R6" s="55" t="s">
        <v>183</v>
      </c>
      <c r="S6" s="183">
        <v>0.5</v>
      </c>
      <c r="T6" s="55" t="s">
        <v>183</v>
      </c>
      <c r="U6" s="190">
        <f>Tab_Def_Flows[[#This Row],[CC_DM'[%']]]*Tab_Def_Flows[[#This Row],[DM]]</f>
        <v>0.25</v>
      </c>
      <c r="V6" s="11" t="s">
        <v>184</v>
      </c>
    </row>
    <row r="7" spans="1:24" x14ac:dyDescent="0.25">
      <c r="A7" s="194" t="b">
        <v>1</v>
      </c>
      <c r="B7" s="43">
        <f t="shared" si="0"/>
        <v>6</v>
      </c>
      <c r="C7" s="9" t="str">
        <f t="shared" si="2"/>
        <v>F_04_01</v>
      </c>
      <c r="D7" s="11" t="s">
        <v>786</v>
      </c>
      <c r="E7" s="37"/>
      <c r="F7" s="37"/>
      <c r="G7" s="37"/>
      <c r="H7" s="189" t="s">
        <v>770</v>
      </c>
      <c r="I7" s="9" t="str">
        <f>_xlfn.XLOOKUP(H7,Tab_Def_Processes[Name(EN)],Tab_Def_Processes[Process_ID],,0,)</f>
        <v>04</v>
      </c>
      <c r="J7" s="189" t="s">
        <v>428</v>
      </c>
      <c r="K7" s="17" t="str">
        <f>_xlfn.XLOOKUP(J7,Tab_Def_Processes[Name(EN)],Tab_Def_Processes[Process_ID],,0,)</f>
        <v>01</v>
      </c>
      <c r="L7" s="189" t="s">
        <v>7</v>
      </c>
      <c r="M7" s="189" t="s">
        <v>7</v>
      </c>
      <c r="N7" s="189" t="s">
        <v>7</v>
      </c>
      <c r="O7" s="183">
        <v>0.5</v>
      </c>
      <c r="P7" s="55" t="s">
        <v>183</v>
      </c>
      <c r="Q7" s="183">
        <v>0.5</v>
      </c>
      <c r="R7" s="55" t="s">
        <v>183</v>
      </c>
      <c r="S7" s="183">
        <v>0.5</v>
      </c>
      <c r="T7" s="55" t="s">
        <v>183</v>
      </c>
      <c r="U7" s="190">
        <f>Tab_Def_Flows[[#This Row],[CC_DM'[%']]]*Tab_Def_Flows[[#This Row],[DM]]</f>
        <v>0.25</v>
      </c>
      <c r="V7" s="11" t="s">
        <v>184</v>
      </c>
    </row>
    <row r="8" spans="1:24" x14ac:dyDescent="0.25">
      <c r="A8" s="194" t="b">
        <v>0</v>
      </c>
      <c r="B8" s="43">
        <f t="shared" si="0"/>
        <v>7</v>
      </c>
      <c r="C8" s="9" t="str">
        <f t="shared" si="2"/>
        <v>F_03_05</v>
      </c>
      <c r="D8" s="11" t="s">
        <v>778</v>
      </c>
      <c r="E8" s="37"/>
      <c r="F8" s="37"/>
      <c r="G8" s="37"/>
      <c r="H8" s="189" t="s">
        <v>777</v>
      </c>
      <c r="I8" s="9" t="str">
        <f>_xlfn.XLOOKUP(H8,Tab_Def_Processes[Name(EN)],Tab_Def_Processes[Process_ID],,0,)</f>
        <v>03</v>
      </c>
      <c r="J8" s="189" t="s">
        <v>771</v>
      </c>
      <c r="K8" s="17" t="str">
        <f>_xlfn.XLOOKUP(J8,Tab_Def_Processes[Name(EN)],Tab_Def_Processes[Process_ID],,0,)</f>
        <v>05</v>
      </c>
      <c r="L8" s="189" t="s">
        <v>7</v>
      </c>
      <c r="M8" s="189" t="s">
        <v>7</v>
      </c>
      <c r="N8" s="189" t="s">
        <v>7</v>
      </c>
      <c r="O8" s="183">
        <v>0.5</v>
      </c>
      <c r="P8" s="55" t="s">
        <v>183</v>
      </c>
      <c r="Q8" s="183">
        <v>0.5</v>
      </c>
      <c r="R8" s="55" t="s">
        <v>183</v>
      </c>
      <c r="S8" s="183">
        <v>0.5</v>
      </c>
      <c r="T8" s="55" t="s">
        <v>183</v>
      </c>
      <c r="U8" s="190">
        <f>Tab_Def_Flows[[#This Row],[CC_DM'[%']]]*Tab_Def_Flows[[#This Row],[DM]]</f>
        <v>0.25</v>
      </c>
      <c r="V8" s="11" t="s">
        <v>184</v>
      </c>
    </row>
    <row r="9" spans="1:24" x14ac:dyDescent="0.25">
      <c r="A9" s="194" t="b">
        <v>0</v>
      </c>
      <c r="B9" s="43">
        <f t="shared" si="0"/>
        <v>8</v>
      </c>
      <c r="C9" s="9" t="str">
        <f t="shared" si="2"/>
        <v>F_05_06</v>
      </c>
      <c r="D9" s="11" t="s">
        <v>779</v>
      </c>
      <c r="E9" s="37"/>
      <c r="F9" s="37"/>
      <c r="G9" s="37"/>
      <c r="H9" s="189" t="s">
        <v>771</v>
      </c>
      <c r="I9" s="9" t="str">
        <f>_xlfn.XLOOKUP(H9,Tab_Def_Processes[Name(EN)],Tab_Def_Processes[Process_ID],,0,)</f>
        <v>05</v>
      </c>
      <c r="J9" s="189" t="s">
        <v>772</v>
      </c>
      <c r="K9" s="17" t="str">
        <f>_xlfn.XLOOKUP(J9,Tab_Def_Processes[Name(EN)],Tab_Def_Processes[Process_ID],,0,)</f>
        <v>06</v>
      </c>
      <c r="L9" s="189" t="s">
        <v>7</v>
      </c>
      <c r="M9" s="189" t="s">
        <v>7</v>
      </c>
      <c r="N9" s="189" t="s">
        <v>7</v>
      </c>
      <c r="O9" s="183">
        <v>0.5</v>
      </c>
      <c r="P9" s="55" t="s">
        <v>183</v>
      </c>
      <c r="Q9" s="183">
        <v>0.5</v>
      </c>
      <c r="R9" s="55" t="s">
        <v>183</v>
      </c>
      <c r="S9" s="183">
        <v>0.5</v>
      </c>
      <c r="T9" s="55" t="s">
        <v>183</v>
      </c>
      <c r="U9" s="190">
        <f>Tab_Def_Flows[[#This Row],[CC_DM'[%']]]*Tab_Def_Flows[[#This Row],[DM]]</f>
        <v>0.25</v>
      </c>
      <c r="V9" s="11"/>
    </row>
    <row r="10" spans="1:24" x14ac:dyDescent="0.25">
      <c r="A10" s="194" t="b">
        <v>0</v>
      </c>
      <c r="B10" s="43">
        <f t="shared" si="0"/>
        <v>9</v>
      </c>
      <c r="C10" s="9" t="str">
        <f t="shared" si="2"/>
        <v>F_06_07</v>
      </c>
      <c r="D10" s="11" t="s">
        <v>793</v>
      </c>
      <c r="E10" s="37"/>
      <c r="F10" s="37"/>
      <c r="G10" s="37"/>
      <c r="H10" s="189" t="s">
        <v>772</v>
      </c>
      <c r="I10" s="9" t="str">
        <f>_xlfn.XLOOKUP(H10,Tab_Def_Processes[Name(EN)],Tab_Def_Processes[Process_ID],,0,)</f>
        <v>06</v>
      </c>
      <c r="J10" s="189" t="s">
        <v>773</v>
      </c>
      <c r="K10" s="17" t="str">
        <f>_xlfn.XLOOKUP(J10,Tab_Def_Processes[Name(EN)],Tab_Def_Processes[Process_ID],,0,)</f>
        <v>07</v>
      </c>
      <c r="L10" s="189" t="s">
        <v>7</v>
      </c>
      <c r="M10" s="189" t="s">
        <v>7</v>
      </c>
      <c r="N10" s="189" t="s">
        <v>7</v>
      </c>
      <c r="O10" s="183">
        <v>0.5</v>
      </c>
      <c r="P10" s="55" t="s">
        <v>183</v>
      </c>
      <c r="Q10" s="183">
        <v>0.5</v>
      </c>
      <c r="R10" s="55" t="s">
        <v>183</v>
      </c>
      <c r="S10" s="183">
        <v>0.5</v>
      </c>
      <c r="T10" s="55" t="s">
        <v>183</v>
      </c>
      <c r="U10" s="190">
        <f>Tab_Def_Flows[[#This Row],[CC_DM'[%']]]*Tab_Def_Flows[[#This Row],[DM]]</f>
        <v>0.25</v>
      </c>
      <c r="V10" s="11"/>
    </row>
    <row r="11" spans="1:24" x14ac:dyDescent="0.25">
      <c r="A11" s="194" t="b">
        <v>0</v>
      </c>
      <c r="B11" s="43">
        <f t="shared" si="0"/>
        <v>10</v>
      </c>
      <c r="C11" s="9" t="str">
        <f t="shared" si="2"/>
        <v>F_06_08</v>
      </c>
      <c r="D11" s="11" t="s">
        <v>783</v>
      </c>
      <c r="E11" s="37"/>
      <c r="F11" s="37"/>
      <c r="G11" s="37"/>
      <c r="H11" s="189" t="s">
        <v>772</v>
      </c>
      <c r="I11" s="9" t="str">
        <f>_xlfn.XLOOKUP(H11,Tab_Def_Processes[Name(EN)],Tab_Def_Processes[Process_ID],,0,)</f>
        <v>06</v>
      </c>
      <c r="J11" s="189" t="s">
        <v>784</v>
      </c>
      <c r="K11" s="17" t="str">
        <f>_xlfn.XLOOKUP(J11,Tab_Def_Processes[Name(EN)],Tab_Def_Processes[Process_ID],,0,)</f>
        <v>08</v>
      </c>
      <c r="L11" s="189" t="s">
        <v>7</v>
      </c>
      <c r="M11" s="189" t="s">
        <v>7</v>
      </c>
      <c r="N11" s="189" t="s">
        <v>7</v>
      </c>
      <c r="O11" s="183">
        <v>0.5</v>
      </c>
      <c r="P11" s="55" t="s">
        <v>183</v>
      </c>
      <c r="Q11" s="183">
        <v>0.5</v>
      </c>
      <c r="R11" s="55" t="s">
        <v>183</v>
      </c>
      <c r="S11" s="183">
        <v>0.5</v>
      </c>
      <c r="T11" s="55" t="s">
        <v>183</v>
      </c>
      <c r="U11" s="190">
        <f>Tab_Def_Flows[[#This Row],[CC_DM'[%']]]*Tab_Def_Flows[[#This Row],[DM]]</f>
        <v>0.25</v>
      </c>
      <c r="V11" s="11"/>
    </row>
    <row r="12" spans="1:24" x14ac:dyDescent="0.25">
      <c r="A12" s="194" t="b">
        <v>0</v>
      </c>
      <c r="B12" s="43">
        <f t="shared" si="0"/>
        <v>11</v>
      </c>
      <c r="C12" s="9" t="str">
        <f t="shared" si="2"/>
        <v>F_07_09</v>
      </c>
      <c r="D12" s="11" t="s">
        <v>781</v>
      </c>
      <c r="E12" s="37"/>
      <c r="F12" s="37"/>
      <c r="G12" s="37"/>
      <c r="H12" s="189" t="s">
        <v>773</v>
      </c>
      <c r="I12" s="9" t="str">
        <f>_xlfn.XLOOKUP(H12,Tab_Def_Processes[Name(EN)],Tab_Def_Processes[Process_ID],,0,)</f>
        <v>07</v>
      </c>
      <c r="J12" s="189" t="s">
        <v>774</v>
      </c>
      <c r="K12" s="17" t="str">
        <f>_xlfn.XLOOKUP(J12,Tab_Def_Processes[Name(EN)],Tab_Def_Processes[Process_ID],,0,)</f>
        <v>09</v>
      </c>
      <c r="L12" s="189" t="s">
        <v>7</v>
      </c>
      <c r="M12" s="189" t="s">
        <v>7</v>
      </c>
      <c r="N12" s="189" t="s">
        <v>7</v>
      </c>
      <c r="O12" s="183">
        <v>0.5</v>
      </c>
      <c r="P12" s="55" t="s">
        <v>183</v>
      </c>
      <c r="Q12" s="183">
        <v>0.5</v>
      </c>
      <c r="R12" s="55" t="s">
        <v>183</v>
      </c>
      <c r="S12" s="183">
        <v>0.5</v>
      </c>
      <c r="T12" s="55" t="s">
        <v>183</v>
      </c>
      <c r="U12" s="190">
        <f>Tab_Def_Flows[[#This Row],[CC_DM'[%']]]*Tab_Def_Flows[[#This Row],[DM]]</f>
        <v>0.25</v>
      </c>
      <c r="V12" s="11"/>
    </row>
    <row r="13" spans="1:24" x14ac:dyDescent="0.25">
      <c r="A13" s="194" t="b">
        <v>0</v>
      </c>
      <c r="B13" s="43">
        <f t="shared" si="0"/>
        <v>12</v>
      </c>
      <c r="C13" s="9" t="str">
        <f t="shared" si="2"/>
        <v>F_07_04</v>
      </c>
      <c r="D13" s="11" t="s">
        <v>780</v>
      </c>
      <c r="E13" s="37"/>
      <c r="F13" s="37"/>
      <c r="G13" s="37"/>
      <c r="H13" s="189" t="s">
        <v>773</v>
      </c>
      <c r="I13" s="9" t="str">
        <f>_xlfn.XLOOKUP(H13,Tab_Def_Processes[Name(EN)],Tab_Def_Processes[Process_ID],,0,)</f>
        <v>07</v>
      </c>
      <c r="J13" s="189" t="s">
        <v>770</v>
      </c>
      <c r="K13" s="17" t="str">
        <f>_xlfn.XLOOKUP(J13,Tab_Def_Processes[Name(EN)],Tab_Def_Processes[Process_ID],,0,)</f>
        <v>04</v>
      </c>
      <c r="L13" s="189" t="s">
        <v>7</v>
      </c>
      <c r="M13" s="189" t="s">
        <v>7</v>
      </c>
      <c r="N13" s="189" t="s">
        <v>7</v>
      </c>
      <c r="O13" s="183">
        <v>0.5</v>
      </c>
      <c r="P13" s="55" t="s">
        <v>183</v>
      </c>
      <c r="Q13" s="183">
        <v>0.5</v>
      </c>
      <c r="R13" s="55" t="s">
        <v>183</v>
      </c>
      <c r="S13" s="183">
        <v>0.5</v>
      </c>
      <c r="T13" s="55" t="s">
        <v>183</v>
      </c>
      <c r="U13" s="190">
        <f>Tab_Def_Flows[[#This Row],[CC_DM'[%']]]*Tab_Def_Flows[[#This Row],[DM]]</f>
        <v>0.25</v>
      </c>
      <c r="V13" s="11"/>
    </row>
    <row r="14" spans="1:24" x14ac:dyDescent="0.25">
      <c r="A14" s="194" t="b">
        <v>0</v>
      </c>
      <c r="B14" s="43">
        <f t="shared" si="0"/>
        <v>13</v>
      </c>
      <c r="C14" s="9" t="str">
        <f t="shared" si="2"/>
        <v>F_09_06</v>
      </c>
      <c r="D14" s="11" t="s">
        <v>782</v>
      </c>
      <c r="E14" s="37"/>
      <c r="F14" s="37"/>
      <c r="G14" s="37"/>
      <c r="H14" s="189" t="s">
        <v>774</v>
      </c>
      <c r="I14" s="9" t="str">
        <f>_xlfn.XLOOKUP(H14,Tab_Def_Processes[Name(EN)],Tab_Def_Processes[Process_ID],,0,)</f>
        <v>09</v>
      </c>
      <c r="J14" s="189" t="s">
        <v>772</v>
      </c>
      <c r="K14" s="17" t="str">
        <f>_xlfn.XLOOKUP(J14,Tab_Def_Processes[Name(EN)],Tab_Def_Processes[Process_ID],,0,)</f>
        <v>06</v>
      </c>
      <c r="L14" s="189" t="s">
        <v>7</v>
      </c>
      <c r="M14" s="189" t="s">
        <v>7</v>
      </c>
      <c r="N14" s="189" t="s">
        <v>7</v>
      </c>
      <c r="O14" s="183">
        <v>0.5</v>
      </c>
      <c r="P14" s="55" t="s">
        <v>183</v>
      </c>
      <c r="Q14" s="183">
        <v>0.5</v>
      </c>
      <c r="R14" s="55" t="s">
        <v>183</v>
      </c>
      <c r="S14" s="183">
        <v>0.5</v>
      </c>
      <c r="T14" s="55" t="s">
        <v>183</v>
      </c>
      <c r="U14" s="190">
        <f>Tab_Def_Flows[[#This Row],[CC_DM'[%']]]*Tab_Def_Flows[[#This Row],[DM]]</f>
        <v>0.25</v>
      </c>
      <c r="V14" s="11"/>
    </row>
    <row r="15" spans="1:24" x14ac:dyDescent="0.25">
      <c r="A15" s="194" t="b">
        <v>0</v>
      </c>
      <c r="B15" s="43">
        <f t="shared" si="0"/>
        <v>14</v>
      </c>
      <c r="C15" s="9" t="str">
        <f t="shared" si="2"/>
        <v>F_10_10</v>
      </c>
      <c r="D15" s="11"/>
      <c r="E15" s="37"/>
      <c r="F15" s="37"/>
      <c r="G15" s="37"/>
      <c r="H15" s="189"/>
      <c r="I15" s="9" t="str">
        <f>_xlfn.XLOOKUP(H15,Tab_Def_Processes[Name(EN)],Tab_Def_Processes[Process_ID],,0,)</f>
        <v>10</v>
      </c>
      <c r="J15" s="189"/>
      <c r="K15" s="17" t="str">
        <f>_xlfn.XLOOKUP(J15,Tab_Def_Processes[Name(EN)],Tab_Def_Processes[Process_ID],,0,)</f>
        <v>10</v>
      </c>
      <c r="L15" s="189"/>
      <c r="M15" s="189"/>
      <c r="N15" s="189"/>
      <c r="O15" s="183"/>
      <c r="P15" s="55"/>
      <c r="R15" s="55"/>
      <c r="S15" s="183"/>
      <c r="T15" s="55"/>
      <c r="U15" s="190">
        <f>Tab_Def_Flows[[#This Row],[CC_DM'[%']]]*Tab_Def_Flows[[#This Row],[DM]]</f>
        <v>0</v>
      </c>
      <c r="V15" s="11"/>
    </row>
    <row r="16" spans="1:24" x14ac:dyDescent="0.25">
      <c r="A16" s="194" t="b">
        <v>0</v>
      </c>
      <c r="B16" s="43">
        <f t="shared" si="0"/>
        <v>15</v>
      </c>
      <c r="C16" s="9" t="str">
        <f t="shared" si="2"/>
        <v>F_10_10</v>
      </c>
      <c r="D16" s="11"/>
      <c r="E16" s="37"/>
      <c r="F16" s="37"/>
      <c r="G16" s="37"/>
      <c r="H16" s="189"/>
      <c r="I16" s="9" t="str">
        <f>_xlfn.XLOOKUP(H16,Tab_Def_Processes[Name(EN)],Tab_Def_Processes[Process_ID],,0,)</f>
        <v>10</v>
      </c>
      <c r="J16" s="189"/>
      <c r="K16" s="17" t="str">
        <f>_xlfn.XLOOKUP(J16,Tab_Def_Processes[Name(EN)],Tab_Def_Processes[Process_ID],,0,)</f>
        <v>10</v>
      </c>
      <c r="L16" s="189"/>
      <c r="M16" s="189"/>
      <c r="N16" s="189"/>
      <c r="O16" s="183"/>
      <c r="P16" s="55"/>
      <c r="R16" s="55"/>
      <c r="S16" s="183"/>
      <c r="T16" s="55"/>
      <c r="U16" s="190">
        <f>Tab_Def_Flows[[#This Row],[CC_DM'[%']]]*Tab_Def_Flows[[#This Row],[DM]]</f>
        <v>0</v>
      </c>
      <c r="V16" s="11"/>
    </row>
    <row r="17" spans="1:22" x14ac:dyDescent="0.25">
      <c r="A17" s="194" t="b">
        <v>0</v>
      </c>
      <c r="B17" s="43">
        <f t="shared" si="0"/>
        <v>16</v>
      </c>
      <c r="C17" s="9" t="str">
        <f t="shared" si="2"/>
        <v>F_10_10</v>
      </c>
      <c r="D17" s="11"/>
      <c r="E17" s="37"/>
      <c r="F17" s="37"/>
      <c r="G17" s="37"/>
      <c r="H17" s="189"/>
      <c r="I17" s="9" t="str">
        <f>_xlfn.XLOOKUP(H17,Tab_Def_Processes[Name(EN)],Tab_Def_Processes[Process_ID],,0,)</f>
        <v>10</v>
      </c>
      <c r="J17" s="189"/>
      <c r="K17" s="17" t="str">
        <f>_xlfn.XLOOKUP(J17,Tab_Def_Processes[Name(EN)],Tab_Def_Processes[Process_ID],,0,)</f>
        <v>10</v>
      </c>
      <c r="L17" s="189"/>
      <c r="M17" s="189"/>
      <c r="N17" s="189"/>
      <c r="O17" s="183"/>
      <c r="P17" s="55"/>
      <c r="R17" s="55"/>
      <c r="S17" s="183"/>
      <c r="T17" s="55"/>
      <c r="U17" s="190">
        <f>Tab_Def_Flows[[#This Row],[CC_DM'[%']]]*Tab_Def_Flows[[#This Row],[DM]]</f>
        <v>0</v>
      </c>
      <c r="V17" s="11"/>
    </row>
    <row r="18" spans="1:22" x14ac:dyDescent="0.25">
      <c r="A18" s="194" t="b">
        <v>0</v>
      </c>
      <c r="B18" s="43">
        <f t="shared" si="0"/>
        <v>17</v>
      </c>
      <c r="C18" s="9" t="str">
        <f t="shared" si="2"/>
        <v>F_10_10</v>
      </c>
      <c r="D18" s="11"/>
      <c r="E18" s="37"/>
      <c r="F18" s="37"/>
      <c r="G18" s="37"/>
      <c r="H18" s="189"/>
      <c r="I18" s="9" t="str">
        <f>_xlfn.XLOOKUP(H18,Tab_Def_Processes[Name(EN)],Tab_Def_Processes[Process_ID],,0,)</f>
        <v>10</v>
      </c>
      <c r="J18" s="189"/>
      <c r="K18" s="17" t="str">
        <f>_xlfn.XLOOKUP(J18,Tab_Def_Processes[Name(EN)],Tab_Def_Processes[Process_ID],,0,)</f>
        <v>10</v>
      </c>
      <c r="L18" s="189"/>
      <c r="M18" s="189"/>
      <c r="N18" s="189"/>
      <c r="O18" s="183"/>
      <c r="P18" s="55"/>
      <c r="R18" s="55"/>
      <c r="S18" s="183"/>
      <c r="T18" s="55"/>
      <c r="U18" s="190">
        <f>Tab_Def_Flows[[#This Row],[CC_DM'[%']]]*Tab_Def_Flows[[#This Row],[DM]]</f>
        <v>0</v>
      </c>
      <c r="V18" s="11"/>
    </row>
    <row r="19" spans="1:22" x14ac:dyDescent="0.25">
      <c r="A19" s="194" t="b">
        <v>0</v>
      </c>
      <c r="B19" s="43">
        <f t="shared" si="0"/>
        <v>18</v>
      </c>
      <c r="C19" s="9" t="str">
        <f t="shared" si="2"/>
        <v>F_10_10</v>
      </c>
      <c r="D19" s="11"/>
      <c r="E19" s="37"/>
      <c r="F19" s="37"/>
      <c r="G19" s="37"/>
      <c r="H19" s="189"/>
      <c r="I19" s="9" t="str">
        <f>_xlfn.XLOOKUP(H19,Tab_Def_Processes[Name(EN)],Tab_Def_Processes[Process_ID],,0,)</f>
        <v>10</v>
      </c>
      <c r="J19" s="189"/>
      <c r="K19" s="17" t="str">
        <f>_xlfn.XLOOKUP(J19,Tab_Def_Processes[Name(EN)],Tab_Def_Processes[Process_ID],,0,)</f>
        <v>10</v>
      </c>
      <c r="L19" s="189"/>
      <c r="M19" s="189"/>
      <c r="N19" s="189"/>
      <c r="O19" s="183"/>
      <c r="P19" s="55"/>
      <c r="R19" s="55"/>
      <c r="S19" s="183"/>
      <c r="T19" s="55"/>
      <c r="U19" s="190">
        <f>Tab_Def_Flows[[#This Row],[CC_DM'[%']]]*Tab_Def_Flows[[#This Row],[DM]]</f>
        <v>0</v>
      </c>
      <c r="V19" s="11"/>
    </row>
    <row r="20" spans="1:22" x14ac:dyDescent="0.25">
      <c r="A20" s="194" t="b">
        <v>0</v>
      </c>
      <c r="B20" s="43">
        <f t="shared" si="0"/>
        <v>19</v>
      </c>
      <c r="C20" s="9" t="str">
        <f t="shared" si="2"/>
        <v>F_10_10</v>
      </c>
      <c r="D20" s="11"/>
      <c r="E20" s="37"/>
      <c r="F20" s="37"/>
      <c r="G20" s="37"/>
      <c r="H20" s="189"/>
      <c r="I20" s="9" t="str">
        <f>_xlfn.XLOOKUP(H20,Tab_Def_Processes[Name(EN)],Tab_Def_Processes[Process_ID],,0,)</f>
        <v>10</v>
      </c>
      <c r="J20" s="189"/>
      <c r="K20" s="17" t="str">
        <f>_xlfn.XLOOKUP(J20,Tab_Def_Processes[Name(EN)],Tab_Def_Processes[Process_ID],,0,)</f>
        <v>10</v>
      </c>
      <c r="L20" s="189"/>
      <c r="M20" s="189"/>
      <c r="N20" s="189"/>
      <c r="O20" s="183"/>
      <c r="P20" s="55"/>
      <c r="R20" s="55"/>
      <c r="S20" s="183"/>
      <c r="T20" s="55"/>
      <c r="U20" s="190">
        <f>Tab_Def_Flows[[#This Row],[CC_DM'[%']]]*Tab_Def_Flows[[#This Row],[DM]]</f>
        <v>0</v>
      </c>
      <c r="V20" s="11"/>
    </row>
    <row r="21" spans="1:22" x14ac:dyDescent="0.25">
      <c r="A21" s="194" t="b">
        <v>0</v>
      </c>
      <c r="B21" s="43">
        <f t="shared" si="0"/>
        <v>20</v>
      </c>
      <c r="C21" s="9" t="str">
        <f t="shared" si="2"/>
        <v>F_10_10</v>
      </c>
      <c r="D21" s="11"/>
      <c r="E21" s="37"/>
      <c r="F21" s="37"/>
      <c r="G21" s="37"/>
      <c r="H21" s="189"/>
      <c r="I21" s="9" t="str">
        <f>_xlfn.XLOOKUP(H21,Tab_Def_Processes[Name(EN)],Tab_Def_Processes[Process_ID],,0,)</f>
        <v>10</v>
      </c>
      <c r="J21" s="189"/>
      <c r="K21" s="17" t="str">
        <f>_xlfn.XLOOKUP(J21,Tab_Def_Processes[Name(EN)],Tab_Def_Processes[Process_ID],,0,)</f>
        <v>10</v>
      </c>
      <c r="L21" s="189"/>
      <c r="M21" s="189"/>
      <c r="N21" s="189"/>
      <c r="O21" s="183"/>
      <c r="P21" s="55"/>
      <c r="R21" s="55"/>
      <c r="S21" s="183"/>
      <c r="T21" s="55"/>
      <c r="U21" s="190">
        <f>Tab_Def_Flows[[#This Row],[CC_DM'[%']]]*Tab_Def_Flows[[#This Row],[DM]]</f>
        <v>0</v>
      </c>
      <c r="V21" s="11"/>
    </row>
    <row r="22" spans="1:22" x14ac:dyDescent="0.25">
      <c r="A22" s="194" t="b">
        <v>0</v>
      </c>
      <c r="B22" s="43">
        <f t="shared" si="0"/>
        <v>21</v>
      </c>
      <c r="C22" s="9" t="str">
        <f t="shared" si="2"/>
        <v>F_10_10</v>
      </c>
      <c r="D22" s="11"/>
      <c r="E22" s="37"/>
      <c r="F22" s="37"/>
      <c r="G22" s="37"/>
      <c r="H22" s="189"/>
      <c r="I22" s="9" t="str">
        <f>_xlfn.XLOOKUP(H22,Tab_Def_Processes[Name(EN)],Tab_Def_Processes[Process_ID],,0,)</f>
        <v>10</v>
      </c>
      <c r="J22" s="189"/>
      <c r="K22" s="17" t="str">
        <f>_xlfn.XLOOKUP(J22,Tab_Def_Processes[Name(EN)],Tab_Def_Processes[Process_ID],,0,)</f>
        <v>10</v>
      </c>
      <c r="L22" s="189"/>
      <c r="M22" s="189"/>
      <c r="N22" s="189"/>
      <c r="O22" s="183"/>
      <c r="P22" s="55"/>
      <c r="R22" s="55"/>
      <c r="S22" s="183"/>
      <c r="T22" s="55"/>
      <c r="U22" s="190">
        <f>Tab_Def_Flows[[#This Row],[CC_DM'[%']]]*Tab_Def_Flows[[#This Row],[DM]]</f>
        <v>0</v>
      </c>
      <c r="V22" s="11"/>
    </row>
    <row r="23" spans="1:22" x14ac:dyDescent="0.25">
      <c r="A23" s="194" t="b">
        <v>0</v>
      </c>
      <c r="B23" s="43">
        <f t="shared" si="0"/>
        <v>22</v>
      </c>
      <c r="C23" s="9" t="str">
        <f t="shared" si="2"/>
        <v>F_10_10</v>
      </c>
      <c r="D23" s="11"/>
      <c r="E23" s="37"/>
      <c r="F23" s="37"/>
      <c r="G23" s="37"/>
      <c r="H23" s="189"/>
      <c r="I23" s="9" t="str">
        <f>_xlfn.XLOOKUP(H23,Tab_Def_Processes[Name(EN)],Tab_Def_Processes[Process_ID],,0,)</f>
        <v>10</v>
      </c>
      <c r="J23" s="189"/>
      <c r="K23" s="17" t="str">
        <f>_xlfn.XLOOKUP(J23,Tab_Def_Processes[Name(EN)],Tab_Def_Processes[Process_ID],,0,)</f>
        <v>10</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F_10_10</v>
      </c>
      <c r="D24" s="11"/>
      <c r="E24" s="37"/>
      <c r="F24" s="37"/>
      <c r="G24" s="37"/>
      <c r="H24" s="189"/>
      <c r="I24" s="9" t="str">
        <f>_xlfn.XLOOKUP(H24,Tab_Def_Processes[Name(EN)],Tab_Def_Processes[Process_ID],,0,)</f>
        <v>10</v>
      </c>
      <c r="J24" s="189"/>
      <c r="K24" s="17" t="str">
        <f>_xlfn.XLOOKUP(J24,Tab_Def_Processes[Name(EN)],Tab_Def_Processes[Process_ID],,0,)</f>
        <v>10</v>
      </c>
      <c r="L24" s="189"/>
      <c r="M24" s="189"/>
      <c r="N24" s="189"/>
      <c r="O24" s="183"/>
      <c r="P24" s="40"/>
      <c r="R24" s="40"/>
      <c r="S24" s="183"/>
      <c r="T24" s="40"/>
      <c r="U24" s="190">
        <f>Tab_Def_Flows[[#This Row],[CC_DM'[%']]]*Tab_Def_Flows[[#This Row],[DM]]</f>
        <v>0</v>
      </c>
      <c r="V24" s="11"/>
    </row>
    <row r="25" spans="1:22" x14ac:dyDescent="0.25">
      <c r="A25" s="194" t="b">
        <v>0</v>
      </c>
      <c r="B25" s="43">
        <f t="shared" si="0"/>
        <v>24</v>
      </c>
      <c r="C25" s="9" t="str">
        <f t="shared" si="2"/>
        <v>F_10_10</v>
      </c>
      <c r="D25" s="11"/>
      <c r="E25" s="37"/>
      <c r="F25" s="37"/>
      <c r="G25" s="37"/>
      <c r="H25" s="189"/>
      <c r="I25" s="9" t="str">
        <f>_xlfn.XLOOKUP(H25,Tab_Def_Processes[Name(EN)],Tab_Def_Processes[Process_ID],,0,)</f>
        <v>10</v>
      </c>
      <c r="J25" s="189"/>
      <c r="K25" s="17" t="str">
        <f>_xlfn.XLOOKUP(J25,Tab_Def_Processes[Name(EN)],Tab_Def_Processes[Process_ID],,0,)</f>
        <v>10</v>
      </c>
      <c r="L25" s="189"/>
      <c r="M25" s="189"/>
      <c r="N25" s="189"/>
      <c r="O25" s="183"/>
      <c r="P25" s="40"/>
      <c r="R25" s="40"/>
      <c r="S25" s="183"/>
      <c r="T25" s="40"/>
      <c r="U25" s="190">
        <f>Tab_Def_Flows[[#This Row],[CC_DM'[%']]]*Tab_Def_Flows[[#This Row],[DM]]</f>
        <v>0</v>
      </c>
      <c r="V25" s="11"/>
    </row>
    <row r="26" spans="1:22" x14ac:dyDescent="0.25">
      <c r="A26" s="194" t="b">
        <v>0</v>
      </c>
      <c r="B26" s="43">
        <f t="shared" si="0"/>
        <v>25</v>
      </c>
      <c r="C26" s="9" t="str">
        <f t="shared" si="2"/>
        <v>F_10_10</v>
      </c>
      <c r="D26" s="11"/>
      <c r="E26" s="37"/>
      <c r="F26" s="37"/>
      <c r="G26" s="37"/>
      <c r="H26" s="189"/>
      <c r="I26" s="9" t="str">
        <f>_xlfn.XLOOKUP(H26,Tab_Def_Processes[Name(EN)],Tab_Def_Processes[Process_ID],,0,)</f>
        <v>10</v>
      </c>
      <c r="J26" s="189"/>
      <c r="K26" s="17" t="str">
        <f>_xlfn.XLOOKUP(J26,Tab_Def_Processes[Name(EN)],Tab_Def_Processes[Process_ID],,0,)</f>
        <v>10</v>
      </c>
      <c r="L26" s="189"/>
      <c r="M26" s="189"/>
      <c r="N26" s="189"/>
      <c r="O26" s="183"/>
      <c r="P26" s="40"/>
      <c r="R26" s="40"/>
      <c r="S26" s="183"/>
      <c r="T26" s="40"/>
      <c r="U26" s="190">
        <f>Tab_Def_Flows[[#This Row],[CC_DM'[%']]]*Tab_Def_Flows[[#This Row],[DM]]</f>
        <v>0</v>
      </c>
      <c r="V26" s="11"/>
    </row>
    <row r="27" spans="1:22" x14ac:dyDescent="0.25">
      <c r="A27" s="194" t="b">
        <v>0</v>
      </c>
      <c r="B27" s="43">
        <f t="shared" si="0"/>
        <v>26</v>
      </c>
      <c r="C27" s="9" t="str">
        <f t="shared" si="2"/>
        <v>F_10_10</v>
      </c>
      <c r="D27" s="11"/>
      <c r="E27" s="37"/>
      <c r="F27" s="37"/>
      <c r="G27" s="37"/>
      <c r="H27" s="189"/>
      <c r="I27" s="9" t="str">
        <f>_xlfn.XLOOKUP(H27,Tab_Def_Processes[Name(EN)],Tab_Def_Processes[Process_ID],,0,)</f>
        <v>10</v>
      </c>
      <c r="J27" s="189"/>
      <c r="K27" s="17" t="str">
        <f>_xlfn.XLOOKUP(J27,Tab_Def_Processes[Name(EN)],Tab_Def_Processes[Process_ID],,0,)</f>
        <v>10</v>
      </c>
      <c r="L27" s="189"/>
      <c r="M27" s="189"/>
      <c r="N27" s="189"/>
      <c r="O27" s="183"/>
      <c r="P27" s="40"/>
      <c r="R27" s="40"/>
      <c r="S27" s="183"/>
      <c r="T27" s="40"/>
      <c r="U27" s="190">
        <f>Tab_Def_Flows[[#This Row],[CC_DM'[%']]]*Tab_Def_Flows[[#This Row],[DM]]</f>
        <v>0</v>
      </c>
      <c r="V27" s="11"/>
    </row>
    <row r="28" spans="1:22" x14ac:dyDescent="0.25">
      <c r="A28" s="194" t="b">
        <v>0</v>
      </c>
      <c r="B28" s="43">
        <f t="shared" si="0"/>
        <v>27</v>
      </c>
      <c r="C28" s="9" t="str">
        <f t="shared" si="2"/>
        <v>F_10_10</v>
      </c>
      <c r="D28" s="11"/>
      <c r="E28" s="37"/>
      <c r="F28" s="37"/>
      <c r="G28" s="37"/>
      <c r="H28" s="189"/>
      <c r="I28" s="9" t="str">
        <f>_xlfn.XLOOKUP(H28,Tab_Def_Processes[Name(EN)],Tab_Def_Processes[Process_ID],,0,)</f>
        <v>10</v>
      </c>
      <c r="J28" s="189"/>
      <c r="K28" s="17" t="str">
        <f>_xlfn.XLOOKUP(J28,Tab_Def_Processes[Name(EN)],Tab_Def_Processes[Process_ID],,0,)</f>
        <v>10</v>
      </c>
      <c r="L28" s="189"/>
      <c r="M28" s="189"/>
      <c r="N28" s="189"/>
      <c r="O28" s="183"/>
      <c r="P28" s="40"/>
      <c r="R28" s="40"/>
      <c r="S28" s="183"/>
      <c r="T28" s="40"/>
      <c r="U28" s="190">
        <f>Tab_Def_Flows[[#This Row],[CC_DM'[%']]]*Tab_Def_Flows[[#This Row],[DM]]</f>
        <v>0</v>
      </c>
      <c r="V28" s="11"/>
    </row>
    <row r="29" spans="1:22" x14ac:dyDescent="0.25">
      <c r="A29" s="194" t="b">
        <v>0</v>
      </c>
      <c r="B29" s="43">
        <f t="shared" si="0"/>
        <v>28</v>
      </c>
      <c r="C29" s="9" t="str">
        <f t="shared" si="2"/>
        <v>F_10_10</v>
      </c>
      <c r="D29" s="11"/>
      <c r="E29" s="37"/>
      <c r="F29" s="37"/>
      <c r="G29" s="37"/>
      <c r="H29" s="189"/>
      <c r="I29" s="9" t="str">
        <f>_xlfn.XLOOKUP(H29,Tab_Def_Processes[Name(EN)],Tab_Def_Processes[Process_ID],,0,)</f>
        <v>10</v>
      </c>
      <c r="J29" s="189"/>
      <c r="K29" s="17" t="str">
        <f>_xlfn.XLOOKUP(J29,Tab_Def_Processes[Name(EN)],Tab_Def_Processes[Process_ID],,0,)</f>
        <v>10</v>
      </c>
      <c r="L29" s="189"/>
      <c r="M29" s="189"/>
      <c r="N29" s="189"/>
      <c r="O29" s="183"/>
      <c r="P29" s="40"/>
      <c r="R29" s="40"/>
      <c r="S29" s="183"/>
      <c r="T29" s="40"/>
      <c r="U29" s="190">
        <f>Tab_Def_Flows[[#This Row],[CC_DM'[%']]]*Tab_Def_Flows[[#This Row],[DM]]</f>
        <v>0</v>
      </c>
      <c r="V29" s="11"/>
    </row>
    <row r="30" spans="1:22" x14ac:dyDescent="0.25">
      <c r="A30" s="194" t="b">
        <v>0</v>
      </c>
      <c r="B30" s="43">
        <f t="shared" si="0"/>
        <v>29</v>
      </c>
      <c r="C30" s="9" t="str">
        <f t="shared" si="2"/>
        <v>F_10_10</v>
      </c>
      <c r="D30" s="11"/>
      <c r="E30" s="37"/>
      <c r="F30" s="37"/>
      <c r="G30" s="37"/>
      <c r="H30" s="189"/>
      <c r="I30" s="9" t="str">
        <f>_xlfn.XLOOKUP(H30,Tab_Def_Processes[Name(EN)],Tab_Def_Processes[Process_ID],,0,)</f>
        <v>10</v>
      </c>
      <c r="J30" s="189"/>
      <c r="K30" s="17" t="str">
        <f>_xlfn.XLOOKUP(J30,Tab_Def_Processes[Name(EN)],Tab_Def_Processes[Process_ID],,0,)</f>
        <v>10</v>
      </c>
      <c r="L30" s="189"/>
      <c r="M30" s="189"/>
      <c r="N30" s="189"/>
      <c r="O30" s="183"/>
      <c r="P30" s="40"/>
      <c r="R30" s="40"/>
      <c r="S30" s="183"/>
      <c r="T30" s="40"/>
      <c r="U30" s="190">
        <f>Tab_Def_Flows[[#This Row],[CC_DM'[%']]]*Tab_Def_Flows[[#This Row],[DM]]</f>
        <v>0</v>
      </c>
      <c r="V30" s="11"/>
    </row>
    <row r="31" spans="1:22" x14ac:dyDescent="0.25">
      <c r="A31" s="194" t="b">
        <v>0</v>
      </c>
      <c r="B31" s="43">
        <f t="shared" si="0"/>
        <v>30</v>
      </c>
      <c r="C31" s="9" t="str">
        <f t="shared" si="2"/>
        <v>F_10_10</v>
      </c>
      <c r="D31" s="11"/>
      <c r="E31" s="37"/>
      <c r="F31" s="37"/>
      <c r="G31" s="37"/>
      <c r="H31" s="189"/>
      <c r="I31" s="9" t="str">
        <f>_xlfn.XLOOKUP(H31,Tab_Def_Processes[Name(EN)],Tab_Def_Processes[Process_ID],,0,)</f>
        <v>10</v>
      </c>
      <c r="J31" s="189"/>
      <c r="K31" s="17" t="str">
        <f>_xlfn.XLOOKUP(J31,Tab_Def_Processes[Name(EN)],Tab_Def_Processes[Process_ID],,0,)</f>
        <v>10</v>
      </c>
      <c r="L31" s="189"/>
      <c r="M31" s="189"/>
      <c r="N31" s="189"/>
      <c r="O31" s="183"/>
      <c r="P31" s="40"/>
      <c r="R31" s="40"/>
      <c r="S31" s="183"/>
      <c r="T31" s="40"/>
      <c r="U31" s="190">
        <f>Tab_Def_Flows[[#This Row],[CC_DM'[%']]]*Tab_Def_Flows[[#This Row],[DM]]</f>
        <v>0</v>
      </c>
      <c r="V31" s="11"/>
    </row>
    <row r="32" spans="1:22" x14ac:dyDescent="0.25">
      <c r="A32" s="194" t="b">
        <v>0</v>
      </c>
      <c r="B32" s="43">
        <f t="shared" si="0"/>
        <v>31</v>
      </c>
      <c r="C32" s="9" t="str">
        <f t="shared" si="2"/>
        <v>F_10_10</v>
      </c>
      <c r="D32" s="11"/>
      <c r="E32" s="37"/>
      <c r="F32" s="37"/>
      <c r="G32" s="37"/>
      <c r="H32" s="189"/>
      <c r="I32" s="9" t="str">
        <f>_xlfn.XLOOKUP(H32,Tab_Def_Processes[Name(EN)],Tab_Def_Processes[Process_ID],,0,)</f>
        <v>10</v>
      </c>
      <c r="J32" s="189"/>
      <c r="K32" s="17" t="str">
        <f>_xlfn.XLOOKUP(J32,Tab_Def_Processes[Name(EN)],Tab_Def_Processes[Process_ID],,0,)</f>
        <v>10</v>
      </c>
      <c r="L32" s="189"/>
      <c r="M32" s="189"/>
      <c r="N32" s="189"/>
      <c r="O32" s="183"/>
      <c r="P32" s="40"/>
      <c r="R32" s="40"/>
      <c r="S32" s="183"/>
      <c r="T32" s="40"/>
      <c r="U32" s="190">
        <f>Tab_Def_Flows[[#This Row],[CC_DM'[%']]]*Tab_Def_Flows[[#This Row],[DM]]</f>
        <v>0</v>
      </c>
      <c r="V32" s="11"/>
    </row>
    <row r="33" spans="1:22" x14ac:dyDescent="0.25">
      <c r="A33" s="194" t="b">
        <v>0</v>
      </c>
      <c r="B33" s="43">
        <f t="shared" si="0"/>
        <v>32</v>
      </c>
      <c r="C33" s="9" t="str">
        <f t="shared" si="2"/>
        <v>F_10_10</v>
      </c>
      <c r="D33" s="11"/>
      <c r="E33" s="37"/>
      <c r="F33" s="37"/>
      <c r="G33" s="37"/>
      <c r="H33" s="189"/>
      <c r="I33" s="9" t="str">
        <f>_xlfn.XLOOKUP(H33,Tab_Def_Processes[Name(EN)],Tab_Def_Processes[Process_ID],,0,)</f>
        <v>10</v>
      </c>
      <c r="J33" s="189"/>
      <c r="K33" s="17" t="str">
        <f>_xlfn.XLOOKUP(J33,Tab_Def_Processes[Name(EN)],Tab_Def_Processes[Process_ID],,0,)</f>
        <v>10</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F_10_10</v>
      </c>
      <c r="D34" s="11"/>
      <c r="E34" s="37"/>
      <c r="F34" s="37"/>
      <c r="G34" s="37"/>
      <c r="H34" s="189"/>
      <c r="I34" s="9" t="str">
        <f>_xlfn.XLOOKUP(H34,Tab_Def_Processes[Name(EN)],Tab_Def_Processes[Process_ID],,0,)</f>
        <v>10</v>
      </c>
      <c r="J34" s="189"/>
      <c r="K34" s="17" t="str">
        <f>_xlfn.XLOOKUP(J34,Tab_Def_Processes[Name(EN)],Tab_Def_Processes[Process_ID],,0,)</f>
        <v>10</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F_10_10</v>
      </c>
      <c r="D35" s="11"/>
      <c r="E35" s="37"/>
      <c r="F35" s="37"/>
      <c r="G35" s="37"/>
      <c r="H35" s="189"/>
      <c r="I35" s="9" t="str">
        <f>_xlfn.XLOOKUP(H35,Tab_Def_Processes[Name(EN)],Tab_Def_Processes[Process_ID],,0,)</f>
        <v>10</v>
      </c>
      <c r="J35" s="189"/>
      <c r="K35" s="17" t="str">
        <f>_xlfn.XLOOKUP(J35,Tab_Def_Processes[Name(EN)],Tab_Def_Processes[Process_ID],,0,)</f>
        <v>10</v>
      </c>
      <c r="L35" s="189"/>
      <c r="M35" s="189"/>
      <c r="N35" s="189"/>
      <c r="O35" s="183"/>
      <c r="P35" s="40"/>
      <c r="R35" s="40"/>
      <c r="S35" s="183"/>
      <c r="T35" s="40"/>
      <c r="U35" s="190">
        <f>Tab_Def_Flows[[#This Row],[CC_DM'[%']]]*Tab_Def_Flows[[#This Row],[DM]]</f>
        <v>0</v>
      </c>
      <c r="V35" s="11"/>
    </row>
    <row r="36" spans="1:22" ht="15.75" customHeight="1" x14ac:dyDescent="0.25">
      <c r="A36" s="194" t="b">
        <v>0</v>
      </c>
      <c r="B36" s="43">
        <f t="shared" si="0"/>
        <v>35</v>
      </c>
      <c r="C36" s="9" t="str">
        <f t="shared" si="2"/>
        <v>F_10_10</v>
      </c>
      <c r="D36" s="11"/>
      <c r="E36" s="37"/>
      <c r="F36" s="37"/>
      <c r="G36" s="37"/>
      <c r="H36" s="189"/>
      <c r="I36" s="9" t="str">
        <f>_xlfn.XLOOKUP(H36,Tab_Def_Processes[Name(EN)],Tab_Def_Processes[Process_ID],,0,)</f>
        <v>10</v>
      </c>
      <c r="J36" s="189"/>
      <c r="K36" s="17" t="str">
        <f>_xlfn.XLOOKUP(J36,Tab_Def_Processes[Name(EN)],Tab_Def_Processes[Process_ID],,0,)</f>
        <v>10</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F_10_10</v>
      </c>
      <c r="D37" s="11"/>
      <c r="E37" s="37"/>
      <c r="F37" s="37"/>
      <c r="G37" s="37"/>
      <c r="H37" s="189"/>
      <c r="I37" s="9" t="str">
        <f>_xlfn.XLOOKUP(H37,Tab_Def_Processes[Name(EN)],Tab_Def_Processes[Process_ID],,0,)</f>
        <v>10</v>
      </c>
      <c r="J37" s="189"/>
      <c r="K37" s="17" t="str">
        <f>_xlfn.XLOOKUP(J37,Tab_Def_Processes[Name(EN)],Tab_Def_Processes[Process_ID],,0,)</f>
        <v>10</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F_10_10</v>
      </c>
      <c r="D38" s="11"/>
      <c r="E38" s="37"/>
      <c r="F38" s="37"/>
      <c r="G38" s="37"/>
      <c r="H38" s="189"/>
      <c r="I38" s="9" t="str">
        <f>_xlfn.XLOOKUP(H38,Tab_Def_Processes[Name(EN)],Tab_Def_Processes[Process_ID],,0,)</f>
        <v>10</v>
      </c>
      <c r="J38" s="189"/>
      <c r="K38" s="17" t="str">
        <f>_xlfn.XLOOKUP(J38,Tab_Def_Processes[Name(EN)],Tab_Def_Processes[Process_ID],,0,)</f>
        <v>10</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F_10_10</v>
      </c>
      <c r="D39" s="11"/>
      <c r="E39" s="37"/>
      <c r="F39" s="37"/>
      <c r="G39" s="37"/>
      <c r="H39" s="189"/>
      <c r="I39" s="9" t="str">
        <f>_xlfn.XLOOKUP(H39,Tab_Def_Processes[Name(EN)],Tab_Def_Processes[Process_ID],,0,)</f>
        <v>10</v>
      </c>
      <c r="J39" s="189"/>
      <c r="K39" s="17" t="str">
        <f>_xlfn.XLOOKUP(J39,Tab_Def_Processes[Name(EN)],Tab_Def_Processes[Process_ID],,0,)</f>
        <v>10</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F_10_10</v>
      </c>
      <c r="D40" s="11"/>
      <c r="E40" s="37"/>
      <c r="F40" s="37"/>
      <c r="G40" s="37"/>
      <c r="H40" s="189"/>
      <c r="I40" s="9" t="str">
        <f>_xlfn.XLOOKUP(H40,Tab_Def_Processes[Name(EN)],Tab_Def_Processes[Process_ID],,0,)</f>
        <v>10</v>
      </c>
      <c r="J40" s="189"/>
      <c r="K40" s="17" t="str">
        <f>_xlfn.XLOOKUP(J40,Tab_Def_Processes[Name(EN)],Tab_Def_Processes[Process_ID],,0,)</f>
        <v>10</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F_10_10</v>
      </c>
      <c r="D41" s="11"/>
      <c r="E41" s="37"/>
      <c r="F41" s="37"/>
      <c r="G41" s="37"/>
      <c r="H41" s="189"/>
      <c r="I41" s="9" t="str">
        <f>_xlfn.XLOOKUP(H41,Tab_Def_Processes[Name(EN)],Tab_Def_Processes[Process_ID],,0,)</f>
        <v>10</v>
      </c>
      <c r="J41" s="189"/>
      <c r="K41" s="17" t="str">
        <f>_xlfn.XLOOKUP(J41,Tab_Def_Processes[Name(EN)],Tab_Def_Processes[Process_ID],,0,)</f>
        <v>10</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F_10_10</v>
      </c>
      <c r="D42" s="11"/>
      <c r="E42" s="37"/>
      <c r="F42" s="37"/>
      <c r="G42" s="37"/>
      <c r="H42" s="189"/>
      <c r="I42" s="9" t="str">
        <f>_xlfn.XLOOKUP(H42,Tab_Def_Processes[Name(EN)],Tab_Def_Processes[Process_ID],,0,)</f>
        <v>10</v>
      </c>
      <c r="J42" s="189"/>
      <c r="K42" s="17" t="str">
        <f>_xlfn.XLOOKUP(J42,Tab_Def_Processes[Name(EN)],Tab_Def_Processes[Process_ID],,0,)</f>
        <v>10</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F_10_10</v>
      </c>
      <c r="D43" s="11"/>
      <c r="E43" s="37"/>
      <c r="F43" s="37"/>
      <c r="G43" s="37"/>
      <c r="H43" s="189"/>
      <c r="I43" s="9" t="str">
        <f>_xlfn.XLOOKUP(H43,Tab_Def_Processes[Name(EN)],Tab_Def_Processes[Process_ID],,0,)</f>
        <v>10</v>
      </c>
      <c r="J43" s="189"/>
      <c r="K43" s="17" t="str">
        <f>_xlfn.XLOOKUP(J43,Tab_Def_Processes[Name(EN)],Tab_Def_Processes[Process_ID],,0,)</f>
        <v>10</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F_10_10</v>
      </c>
      <c r="D44" s="11"/>
      <c r="E44" s="37"/>
      <c r="F44" s="37"/>
      <c r="G44" s="37"/>
      <c r="H44" s="189"/>
      <c r="I44" s="9" t="str">
        <f>_xlfn.XLOOKUP(H44,Tab_Def_Processes[Name(EN)],Tab_Def_Processes[Process_ID],,0,)</f>
        <v>10</v>
      </c>
      <c r="J44" s="189"/>
      <c r="K44" s="17" t="str">
        <f>_xlfn.XLOOKUP(J44,Tab_Def_Processes[Name(EN)],Tab_Def_Processes[Process_ID],,0,)</f>
        <v>10</v>
      </c>
      <c r="L44" s="189"/>
      <c r="M44" s="189"/>
      <c r="N44" s="189"/>
      <c r="O44" s="183"/>
      <c r="P44" s="40"/>
      <c r="R44" s="40"/>
      <c r="S44" s="183"/>
      <c r="T44" s="40"/>
      <c r="U44" s="190">
        <f>Tab_Def_Flows[[#This Row],[CC_DM'[%']]]*Tab_Def_Flows[[#This Row],[DM]]</f>
        <v>0</v>
      </c>
      <c r="V44" s="11"/>
    </row>
    <row r="45" spans="1:22" ht="15" customHeight="1" x14ac:dyDescent="0.25">
      <c r="A45" s="194" t="b">
        <v>0</v>
      </c>
      <c r="B45" s="43">
        <f t="shared" si="0"/>
        <v>44</v>
      </c>
      <c r="C45" s="9" t="str">
        <f t="shared" si="2"/>
        <v>F_10_10</v>
      </c>
      <c r="D45" s="11"/>
      <c r="E45" s="38"/>
      <c r="F45" s="37"/>
      <c r="G45" s="38"/>
      <c r="H45" s="189"/>
      <c r="I45" s="9" t="str">
        <f>_xlfn.XLOOKUP(H45,Tab_Def_Processes[Name(EN)],Tab_Def_Processes[Process_ID],,0,)</f>
        <v>10</v>
      </c>
      <c r="J45" s="189"/>
      <c r="K45" s="17" t="str">
        <f>_xlfn.XLOOKUP(J45,Tab_Def_Processes[Name(EN)],Tab_Def_Processes[Process_ID],,0,)</f>
        <v>10</v>
      </c>
      <c r="L45" s="189"/>
      <c r="M45" s="189"/>
      <c r="N45" s="189"/>
      <c r="O45" s="183"/>
      <c r="P45" s="40"/>
      <c r="R45" s="40"/>
      <c r="S45" s="183"/>
      <c r="T45" s="40"/>
      <c r="U45" s="190">
        <f>Tab_Def_Flows[[#This Row],[CC_DM'[%']]]*Tab_Def_Flows[[#This Row],[DM]]</f>
        <v>0</v>
      </c>
      <c r="V45" s="11"/>
    </row>
    <row r="46" spans="1:22" ht="15" customHeight="1" x14ac:dyDescent="0.25">
      <c r="A46" s="194" t="b">
        <v>0</v>
      </c>
      <c r="B46" s="43">
        <f t="shared" si="0"/>
        <v>45</v>
      </c>
      <c r="C46" s="9" t="str">
        <f t="shared" si="2"/>
        <v>F_10_10</v>
      </c>
      <c r="D46" s="11"/>
      <c r="E46" s="38"/>
      <c r="F46" s="37"/>
      <c r="G46" s="38"/>
      <c r="H46" s="189"/>
      <c r="I46" s="9" t="str">
        <f>_xlfn.XLOOKUP(H46,Tab_Def_Processes[Name(EN)],Tab_Def_Processes[Process_ID],,0,)</f>
        <v>10</v>
      </c>
      <c r="J46" s="189"/>
      <c r="K46" s="17" t="str">
        <f>_xlfn.XLOOKUP(J46,Tab_Def_Processes[Name(EN)],Tab_Def_Processes[Process_ID],,0,)</f>
        <v>10</v>
      </c>
      <c r="L46" s="189"/>
      <c r="M46" s="189"/>
      <c r="N46" s="189"/>
      <c r="O46" s="183"/>
      <c r="P46" s="40"/>
      <c r="R46" s="40"/>
      <c r="S46" s="183"/>
      <c r="T46" s="40"/>
      <c r="U46" s="190">
        <f>Tab_Def_Flows[[#This Row],[CC_DM'[%']]]*Tab_Def_Flows[[#This Row],[DM]]</f>
        <v>0</v>
      </c>
      <c r="V46" s="11"/>
    </row>
    <row r="47" spans="1:22" ht="15" customHeight="1" x14ac:dyDescent="0.25">
      <c r="A47" s="194" t="b">
        <v>0</v>
      </c>
      <c r="B47" s="43">
        <f t="shared" si="0"/>
        <v>46</v>
      </c>
      <c r="C47" s="9" t="str">
        <f t="shared" si="2"/>
        <v>F_10_10</v>
      </c>
      <c r="D47" s="11"/>
      <c r="E47" s="38"/>
      <c r="F47" s="37"/>
      <c r="G47" s="38"/>
      <c r="H47" s="189"/>
      <c r="I47" s="9" t="str">
        <f>_xlfn.XLOOKUP(H47,Tab_Def_Processes[Name(EN)],Tab_Def_Processes[Process_ID],,0,)</f>
        <v>10</v>
      </c>
      <c r="J47" s="189"/>
      <c r="K47" s="17" t="str">
        <f>_xlfn.XLOOKUP(J47,Tab_Def_Processes[Name(EN)],Tab_Def_Processes[Process_ID],,0,)</f>
        <v>10</v>
      </c>
      <c r="L47" s="189"/>
      <c r="M47" s="189"/>
      <c r="N47" s="189"/>
      <c r="O47" s="183"/>
      <c r="P47" s="40"/>
      <c r="R47" s="40"/>
      <c r="S47" s="183"/>
      <c r="T47" s="40"/>
      <c r="U47" s="190">
        <f>Tab_Def_Flows[[#This Row],[CC_DM'[%']]]*Tab_Def_Flows[[#This Row],[DM]]</f>
        <v>0</v>
      </c>
      <c r="V47" s="11"/>
    </row>
    <row r="48" spans="1:22" ht="15" customHeight="1" x14ac:dyDescent="0.25">
      <c r="A48" s="194" t="b">
        <v>0</v>
      </c>
      <c r="B48" s="43">
        <f t="shared" si="0"/>
        <v>47</v>
      </c>
      <c r="C48" s="9" t="str">
        <f t="shared" si="2"/>
        <v>F_10_10</v>
      </c>
      <c r="D48" s="11"/>
      <c r="E48" s="38"/>
      <c r="F48" s="37"/>
      <c r="G48" s="38"/>
      <c r="H48" s="189"/>
      <c r="I48" s="9" t="str">
        <f>_xlfn.XLOOKUP(H48,Tab_Def_Processes[Name(EN)],Tab_Def_Processes[Process_ID],,0,)</f>
        <v>10</v>
      </c>
      <c r="J48" s="189"/>
      <c r="K48" s="17" t="str">
        <f>_xlfn.XLOOKUP(J48,Tab_Def_Processes[Name(EN)],Tab_Def_Processes[Process_ID],,0,)</f>
        <v>10</v>
      </c>
      <c r="L48" s="189"/>
      <c r="M48" s="189"/>
      <c r="N48" s="189"/>
      <c r="O48" s="183"/>
      <c r="P48" s="40"/>
      <c r="R48" s="40"/>
      <c r="S48" s="183"/>
      <c r="T48" s="40"/>
      <c r="U48" s="190">
        <f>Tab_Def_Flows[[#This Row],[CC_DM'[%']]]*Tab_Def_Flows[[#This Row],[DM]]</f>
        <v>0</v>
      </c>
      <c r="V48" s="11"/>
    </row>
    <row r="49" spans="1:22" ht="15" customHeight="1" x14ac:dyDescent="0.25">
      <c r="A49" s="194" t="b">
        <v>0</v>
      </c>
      <c r="B49" s="43">
        <f t="shared" si="0"/>
        <v>48</v>
      </c>
      <c r="C49" s="9" t="str">
        <f t="shared" si="2"/>
        <v>F_10_10</v>
      </c>
      <c r="D49" s="11"/>
      <c r="E49" s="37"/>
      <c r="F49" s="37"/>
      <c r="G49" s="38"/>
      <c r="H49" s="189"/>
      <c r="I49" s="9" t="str">
        <f>_xlfn.XLOOKUP(H49,Tab_Def_Processes[Name(EN)],Tab_Def_Processes[Process_ID],,0,)</f>
        <v>10</v>
      </c>
      <c r="J49" s="189"/>
      <c r="K49" s="17" t="str">
        <f>_xlfn.XLOOKUP(J49,Tab_Def_Processes[Name(EN)],Tab_Def_Processes[Process_ID],,0,)</f>
        <v>10</v>
      </c>
      <c r="L49" s="189"/>
      <c r="M49" s="189"/>
      <c r="N49" s="189"/>
      <c r="O49" s="183"/>
      <c r="P49" s="40"/>
      <c r="R49" s="40"/>
      <c r="S49" s="183"/>
      <c r="T49" s="40"/>
      <c r="U49" s="190">
        <f>Tab_Def_Flows[[#This Row],[CC_DM'[%']]]*Tab_Def_Flows[[#This Row],[DM]]</f>
        <v>0</v>
      </c>
      <c r="V49" s="11"/>
    </row>
    <row r="50" spans="1:22" ht="15" customHeight="1" x14ac:dyDescent="0.25">
      <c r="A50" s="194" t="b">
        <v>0</v>
      </c>
      <c r="B50" s="43">
        <f t="shared" si="0"/>
        <v>49</v>
      </c>
      <c r="C50" s="9" t="str">
        <f t="shared" si="2"/>
        <v>F_10_10</v>
      </c>
      <c r="D50" s="11"/>
      <c r="E50" s="37"/>
      <c r="F50" s="37"/>
      <c r="G50" s="38"/>
      <c r="H50" s="189"/>
      <c r="I50" s="9" t="str">
        <f>_xlfn.XLOOKUP(H50,Tab_Def_Processes[Name(EN)],Tab_Def_Processes[Process_ID],,0,)</f>
        <v>10</v>
      </c>
      <c r="J50" s="189"/>
      <c r="K50" s="17" t="str">
        <f>_xlfn.XLOOKUP(J50,Tab_Def_Processes[Name(EN)],Tab_Def_Processes[Process_ID],,0,)</f>
        <v>10</v>
      </c>
      <c r="L50" s="189"/>
      <c r="M50" s="189"/>
      <c r="N50" s="189"/>
      <c r="O50" s="183"/>
      <c r="P50" s="40"/>
      <c r="R50" s="40"/>
      <c r="S50" s="183"/>
      <c r="T50" s="40"/>
      <c r="U50" s="190">
        <f>Tab_Def_Flows[[#This Row],[CC_DM'[%']]]*Tab_Def_Flows[[#This Row],[DM]]</f>
        <v>0</v>
      </c>
      <c r="V50" s="11"/>
    </row>
    <row r="51" spans="1:22" ht="15" customHeight="1" x14ac:dyDescent="0.25">
      <c r="A51" s="194" t="b">
        <v>0</v>
      </c>
      <c r="B51" s="43">
        <f t="shared" si="0"/>
        <v>50</v>
      </c>
      <c r="C51" s="9" t="str">
        <f t="shared" si="2"/>
        <v>F_10_10</v>
      </c>
      <c r="D51" s="11"/>
      <c r="E51" s="37"/>
      <c r="F51" s="37"/>
      <c r="G51" s="38"/>
      <c r="H51" s="189"/>
      <c r="I51" s="9" t="str">
        <f>_xlfn.XLOOKUP(H51,Tab_Def_Processes[Name(EN)],Tab_Def_Processes[Process_ID],,0,)</f>
        <v>10</v>
      </c>
      <c r="J51" s="189"/>
      <c r="K51" s="17" t="str">
        <f>_xlfn.XLOOKUP(J51,Tab_Def_Processes[Name(EN)],Tab_Def_Processes[Process_ID],,0,)</f>
        <v>10</v>
      </c>
      <c r="L51" s="189"/>
      <c r="M51" s="189"/>
      <c r="N51" s="189"/>
      <c r="O51" s="183"/>
      <c r="P51" s="40"/>
      <c r="R51" s="40"/>
      <c r="S51" s="183"/>
      <c r="T51" s="40"/>
      <c r="U51" s="190">
        <f>Tab_Def_Flows[[#This Row],[CC_DM'[%']]]*Tab_Def_Flows[[#This Row],[DM]]</f>
        <v>0</v>
      </c>
      <c r="V51" s="11"/>
    </row>
    <row r="52" spans="1:22" ht="15" customHeight="1" x14ac:dyDescent="0.25">
      <c r="A52" s="194" t="b">
        <v>0</v>
      </c>
      <c r="B52" s="43">
        <f t="shared" si="0"/>
        <v>51</v>
      </c>
      <c r="C52" s="9" t="str">
        <f t="shared" si="2"/>
        <v>F_10_10</v>
      </c>
      <c r="D52" s="11"/>
      <c r="E52" s="37"/>
      <c r="F52" s="37"/>
      <c r="G52" s="38"/>
      <c r="H52" s="189"/>
      <c r="I52" s="9" t="str">
        <f>_xlfn.XLOOKUP(H52,Tab_Def_Processes[Name(EN)],Tab_Def_Processes[Process_ID],,0,)</f>
        <v>10</v>
      </c>
      <c r="J52" s="189"/>
      <c r="K52" s="17" t="str">
        <f>_xlfn.XLOOKUP(J52,Tab_Def_Processes[Name(EN)],Tab_Def_Processes[Process_ID],,0,)</f>
        <v>10</v>
      </c>
      <c r="L52" s="189"/>
      <c r="M52" s="189"/>
      <c r="N52" s="189"/>
      <c r="O52" s="183"/>
      <c r="P52" s="40"/>
      <c r="R52" s="40"/>
      <c r="S52" s="183"/>
      <c r="T52" s="40"/>
      <c r="U52" s="190">
        <f>Tab_Def_Flows[[#This Row],[CC_DM'[%']]]*Tab_Def_Flows[[#This Row],[DM]]</f>
        <v>0</v>
      </c>
      <c r="V52" s="11"/>
    </row>
    <row r="53" spans="1:22" x14ac:dyDescent="0.25">
      <c r="A53" s="194" t="b">
        <v>0</v>
      </c>
      <c r="B53" s="43">
        <f t="shared" ref="B53:B70" si="3">ROW()-1</f>
        <v>52</v>
      </c>
      <c r="C53" s="9" t="str">
        <f t="shared" si="2"/>
        <v>F_10_10</v>
      </c>
      <c r="D53" s="11"/>
      <c r="E53" s="37"/>
      <c r="F53" s="37"/>
      <c r="G53" s="37"/>
      <c r="H53" s="189"/>
      <c r="I53" s="9" t="str">
        <f>_xlfn.XLOOKUP(H53,Tab_Def_Processes[Name(EN)],Tab_Def_Processes[Process_ID],,0,)</f>
        <v>10</v>
      </c>
      <c r="J53" s="189"/>
      <c r="K53" s="17" t="str">
        <f>_xlfn.XLOOKUP(J53,Tab_Def_Processes[Name(EN)],Tab_Def_Processes[Process_ID],,0,)</f>
        <v>10</v>
      </c>
      <c r="L53" s="189"/>
      <c r="M53" s="189"/>
      <c r="N53" s="189"/>
      <c r="O53" s="183"/>
      <c r="P53" s="40"/>
      <c r="R53" s="40"/>
      <c r="S53" s="183"/>
      <c r="T53" s="40"/>
      <c r="U53" s="190">
        <f>Tab_Def_Flows[[#This Row],[CC_DM'[%']]]*Tab_Def_Flows[[#This Row],[DM]]</f>
        <v>0</v>
      </c>
      <c r="V53" s="11"/>
    </row>
    <row r="54" spans="1:22" x14ac:dyDescent="0.25">
      <c r="A54" s="194" t="b">
        <v>0</v>
      </c>
      <c r="B54" s="43">
        <f t="shared" si="3"/>
        <v>53</v>
      </c>
      <c r="C54" s="9" t="str">
        <f t="shared" si="2"/>
        <v>F_10_10</v>
      </c>
      <c r="D54" s="11"/>
      <c r="E54" s="37"/>
      <c r="F54" s="37"/>
      <c r="G54" s="37"/>
      <c r="H54" s="189"/>
      <c r="I54" s="9" t="str">
        <f>_xlfn.XLOOKUP(H54,Tab_Def_Processes[Name(EN)],Tab_Def_Processes[Process_ID],,0,)</f>
        <v>10</v>
      </c>
      <c r="J54" s="189"/>
      <c r="K54" s="17" t="str">
        <f>_xlfn.XLOOKUP(J54,Tab_Def_Processes[Name(EN)],Tab_Def_Processes[Process_ID],,0,)</f>
        <v>10</v>
      </c>
      <c r="L54" s="189"/>
      <c r="M54" s="189"/>
      <c r="N54" s="189"/>
      <c r="O54" s="183"/>
      <c r="P54" s="40"/>
      <c r="R54" s="40"/>
      <c r="S54" s="183"/>
      <c r="T54" s="40"/>
      <c r="U54" s="190">
        <f>Tab_Def_Flows[[#This Row],[CC_DM'[%']]]*Tab_Def_Flows[[#This Row],[DM]]</f>
        <v>0</v>
      </c>
      <c r="V54" s="11"/>
    </row>
    <row r="55" spans="1:22" x14ac:dyDescent="0.25">
      <c r="A55" s="194" t="b">
        <v>0</v>
      </c>
      <c r="B55" s="43">
        <f t="shared" si="3"/>
        <v>54</v>
      </c>
      <c r="C55" s="9" t="str">
        <f t="shared" si="2"/>
        <v>F_10_10</v>
      </c>
      <c r="D55" s="11"/>
      <c r="E55" s="37"/>
      <c r="F55" s="37"/>
      <c r="G55" s="37"/>
      <c r="H55" s="189"/>
      <c r="I55" s="9" t="str">
        <f>_xlfn.XLOOKUP(H55,Tab_Def_Processes[Name(EN)],Tab_Def_Processes[Process_ID],,0,)</f>
        <v>10</v>
      </c>
      <c r="J55" s="189"/>
      <c r="K55" s="17" t="str">
        <f>_xlfn.XLOOKUP(J55,Tab_Def_Processes[Name(EN)],Tab_Def_Processes[Process_ID],,0,)</f>
        <v>10</v>
      </c>
      <c r="L55" s="189"/>
      <c r="M55" s="189"/>
      <c r="N55" s="189"/>
      <c r="O55" s="183"/>
      <c r="P55" s="40"/>
      <c r="R55" s="40"/>
      <c r="S55" s="183"/>
      <c r="T55" s="40"/>
      <c r="U55" s="190">
        <f>Tab_Def_Flows[[#This Row],[CC_DM'[%']]]*Tab_Def_Flows[[#This Row],[DM]]</f>
        <v>0</v>
      </c>
      <c r="V55" s="11"/>
    </row>
    <row r="56" spans="1:22" x14ac:dyDescent="0.25">
      <c r="A56" s="194" t="b">
        <v>0</v>
      </c>
      <c r="B56" s="43">
        <f t="shared" si="3"/>
        <v>55</v>
      </c>
      <c r="C56" s="9" t="str">
        <f t="shared" si="2"/>
        <v>F_10_10</v>
      </c>
      <c r="D56" s="11"/>
      <c r="E56" s="37"/>
      <c r="F56" s="37"/>
      <c r="G56" s="37"/>
      <c r="H56" s="189"/>
      <c r="I56" s="9" t="str">
        <f>_xlfn.XLOOKUP(H56,Tab_Def_Processes[Name(EN)],Tab_Def_Processes[Process_ID],,0,)</f>
        <v>10</v>
      </c>
      <c r="J56" s="189"/>
      <c r="K56" s="17" t="str">
        <f>_xlfn.XLOOKUP(J56,Tab_Def_Processes[Name(EN)],Tab_Def_Processes[Process_ID],,0,)</f>
        <v>10</v>
      </c>
      <c r="L56" s="189"/>
      <c r="M56" s="189"/>
      <c r="N56" s="189"/>
      <c r="O56" s="183"/>
      <c r="P56" s="40"/>
      <c r="R56" s="40"/>
      <c r="S56" s="183"/>
      <c r="T56" s="40"/>
      <c r="U56" s="190">
        <f>Tab_Def_Flows[[#This Row],[CC_DM'[%']]]*Tab_Def_Flows[[#This Row],[DM]]</f>
        <v>0</v>
      </c>
      <c r="V56" s="11"/>
    </row>
    <row r="57" spans="1:22" x14ac:dyDescent="0.25">
      <c r="A57" s="194" t="b">
        <v>0</v>
      </c>
      <c r="B57" s="43">
        <f t="shared" si="3"/>
        <v>56</v>
      </c>
      <c r="C57" s="9" t="str">
        <f t="shared" si="2"/>
        <v>F_10_10</v>
      </c>
      <c r="D57" s="11"/>
      <c r="E57" s="37"/>
      <c r="F57" s="37"/>
      <c r="G57" s="37"/>
      <c r="H57" s="189"/>
      <c r="I57" s="9" t="str">
        <f>_xlfn.XLOOKUP(H57,Tab_Def_Processes[Name(EN)],Tab_Def_Processes[Process_ID],,0,)</f>
        <v>10</v>
      </c>
      <c r="J57" s="189"/>
      <c r="K57" s="17" t="str">
        <f>_xlfn.XLOOKUP(J57,Tab_Def_Processes[Name(EN)],Tab_Def_Processes[Process_ID],,0,)</f>
        <v>10</v>
      </c>
      <c r="L57" s="189"/>
      <c r="M57" s="189"/>
      <c r="N57" s="189"/>
      <c r="O57" s="183"/>
      <c r="P57" s="40"/>
      <c r="R57" s="40"/>
      <c r="S57" s="183"/>
      <c r="T57" s="40"/>
      <c r="U57" s="190">
        <f>Tab_Def_Flows[[#This Row],[CC_DM'[%']]]*Tab_Def_Flows[[#This Row],[DM]]</f>
        <v>0</v>
      </c>
      <c r="V57" s="11"/>
    </row>
    <row r="58" spans="1:22" x14ac:dyDescent="0.25">
      <c r="A58" s="194" t="b">
        <v>0</v>
      </c>
      <c r="B58" s="43">
        <f t="shared" si="3"/>
        <v>57</v>
      </c>
      <c r="C58" s="9" t="str">
        <f t="shared" si="2"/>
        <v>F_10_10</v>
      </c>
      <c r="D58" s="11"/>
      <c r="E58" s="37"/>
      <c r="F58" s="37"/>
      <c r="G58" s="37"/>
      <c r="H58" s="189"/>
      <c r="I58" s="9" t="str">
        <f>_xlfn.XLOOKUP(H58,Tab_Def_Processes[Name(EN)],Tab_Def_Processes[Process_ID],,0,)</f>
        <v>10</v>
      </c>
      <c r="J58" s="189"/>
      <c r="K58" s="17" t="str">
        <f>_xlfn.XLOOKUP(J58,Tab_Def_Processes[Name(EN)],Tab_Def_Processes[Process_ID],,0,)</f>
        <v>10</v>
      </c>
      <c r="L58" s="189"/>
      <c r="M58" s="189"/>
      <c r="N58" s="189"/>
      <c r="O58" s="183"/>
      <c r="P58" s="40"/>
      <c r="R58" s="40"/>
      <c r="S58" s="183"/>
      <c r="T58" s="40"/>
      <c r="U58" s="190">
        <f>Tab_Def_Flows[[#This Row],[CC_DM'[%']]]*Tab_Def_Flows[[#This Row],[DM]]</f>
        <v>0</v>
      </c>
      <c r="V58" s="11"/>
    </row>
    <row r="59" spans="1:22" x14ac:dyDescent="0.25">
      <c r="A59" s="194" t="b">
        <v>0</v>
      </c>
      <c r="B59" s="43">
        <f t="shared" si="3"/>
        <v>58</v>
      </c>
      <c r="C59" s="9" t="str">
        <f t="shared" si="2"/>
        <v>F_10_10</v>
      </c>
      <c r="D59" s="11"/>
      <c r="E59" s="37"/>
      <c r="F59" s="37"/>
      <c r="G59" s="37"/>
      <c r="H59" s="189"/>
      <c r="I59" s="9" t="str">
        <f>_xlfn.XLOOKUP(H59,Tab_Def_Processes[Name(EN)],Tab_Def_Processes[Process_ID],,0,)</f>
        <v>10</v>
      </c>
      <c r="J59" s="189"/>
      <c r="K59" s="17" t="str">
        <f>_xlfn.XLOOKUP(J59,Tab_Def_Processes[Name(EN)],Tab_Def_Processes[Process_ID],,0,)</f>
        <v>10</v>
      </c>
      <c r="L59" s="189"/>
      <c r="M59" s="189"/>
      <c r="N59" s="189"/>
      <c r="O59" s="183"/>
      <c r="P59" s="40"/>
      <c r="R59" s="40"/>
      <c r="S59" s="183"/>
      <c r="T59" s="40"/>
      <c r="U59" s="190">
        <f>Tab_Def_Flows[[#This Row],[CC_DM'[%']]]*Tab_Def_Flows[[#This Row],[DM]]</f>
        <v>0</v>
      </c>
      <c r="V59" s="11"/>
    </row>
    <row r="60" spans="1:22" x14ac:dyDescent="0.25">
      <c r="A60" s="194" t="b">
        <v>0</v>
      </c>
      <c r="B60" s="43">
        <f t="shared" si="3"/>
        <v>59</v>
      </c>
      <c r="C60" s="9" t="str">
        <f t="shared" ref="C60:C69" si="4">"F_"&amp;LEFT(I60,2)&amp;"_"&amp;LEFT(K60,2)</f>
        <v>F_10_10</v>
      </c>
      <c r="D60" s="11"/>
      <c r="E60" s="37"/>
      <c r="F60" s="37"/>
      <c r="G60" s="37"/>
      <c r="H60" s="189"/>
      <c r="I60" s="9" t="str">
        <f>_xlfn.XLOOKUP(H60,Tab_Def_Processes[Name(EN)],Tab_Def_Processes[Process_ID],,0,)</f>
        <v>10</v>
      </c>
      <c r="J60" s="189"/>
      <c r="K60" s="17" t="str">
        <f>_xlfn.XLOOKUP(J60,Tab_Def_Processes[Name(EN)],Tab_Def_Processes[Process_ID],,0,)</f>
        <v>10</v>
      </c>
      <c r="L60" s="189"/>
      <c r="M60" s="189"/>
      <c r="N60" s="189"/>
      <c r="O60" s="183"/>
      <c r="P60" s="40"/>
      <c r="R60" s="40"/>
      <c r="S60" s="183"/>
      <c r="T60" s="40"/>
      <c r="U60" s="190">
        <f>Tab_Def_Flows[[#This Row],[CC_DM'[%']]]*Tab_Def_Flows[[#This Row],[DM]]</f>
        <v>0</v>
      </c>
      <c r="V60" s="11"/>
    </row>
    <row r="61" spans="1:22" x14ac:dyDescent="0.25">
      <c r="A61" s="194" t="b">
        <v>0</v>
      </c>
      <c r="B61" s="43">
        <f t="shared" si="3"/>
        <v>60</v>
      </c>
      <c r="C61" s="9" t="str">
        <f t="shared" si="4"/>
        <v>F_10_10</v>
      </c>
      <c r="D61" s="11"/>
      <c r="E61" s="37"/>
      <c r="F61" s="37"/>
      <c r="G61" s="37"/>
      <c r="H61" s="189"/>
      <c r="I61" s="9" t="str">
        <f>_xlfn.XLOOKUP(H61,Tab_Def_Processes[Name(EN)],Tab_Def_Processes[Process_ID],,0,)</f>
        <v>10</v>
      </c>
      <c r="J61" s="189"/>
      <c r="K61" s="17" t="str">
        <f>_xlfn.XLOOKUP(J61,Tab_Def_Processes[Name(EN)],Tab_Def_Processes[Process_ID],,0,)</f>
        <v>10</v>
      </c>
      <c r="L61" s="189"/>
      <c r="M61" s="189"/>
      <c r="N61" s="189"/>
      <c r="O61" s="183"/>
      <c r="P61" s="40"/>
      <c r="R61" s="40"/>
      <c r="S61" s="183"/>
      <c r="T61" s="40"/>
      <c r="U61" s="190">
        <f>Tab_Def_Flows[[#This Row],[CC_DM'[%']]]*Tab_Def_Flows[[#This Row],[DM]]</f>
        <v>0</v>
      </c>
      <c r="V61" s="11"/>
    </row>
    <row r="62" spans="1:22" x14ac:dyDescent="0.25">
      <c r="A62" s="194" t="b">
        <v>0</v>
      </c>
      <c r="B62" s="43">
        <f t="shared" si="3"/>
        <v>61</v>
      </c>
      <c r="C62" s="9" t="str">
        <f t="shared" si="4"/>
        <v>F_10_10</v>
      </c>
      <c r="D62" s="11"/>
      <c r="E62" s="37"/>
      <c r="F62" s="37"/>
      <c r="G62" s="37"/>
      <c r="H62" s="189"/>
      <c r="I62" s="9" t="str">
        <f>_xlfn.XLOOKUP(H62,Tab_Def_Processes[Name(EN)],Tab_Def_Processes[Process_ID],,0,)</f>
        <v>10</v>
      </c>
      <c r="J62" s="189"/>
      <c r="K62" s="17" t="str">
        <f>_xlfn.XLOOKUP(J62,Tab_Def_Processes[Name(EN)],Tab_Def_Processes[Process_ID],,0,)</f>
        <v>10</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4"/>
        <v>F_10_10</v>
      </c>
      <c r="D63" s="11"/>
      <c r="E63" s="37"/>
      <c r="F63" s="37"/>
      <c r="G63" s="37"/>
      <c r="H63" s="189"/>
      <c r="I63" s="9" t="str">
        <f>_xlfn.XLOOKUP(H63,Tab_Def_Processes[Name(EN)],Tab_Def_Processes[Process_ID],,0,)</f>
        <v>10</v>
      </c>
      <c r="J63" s="189"/>
      <c r="K63" s="17" t="str">
        <f>_xlfn.XLOOKUP(J63,Tab_Def_Processes[Name(EN)],Tab_Def_Processes[Process_ID],,0,)</f>
        <v>10</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4"/>
        <v>F_10_10</v>
      </c>
      <c r="D64" s="11"/>
      <c r="E64" s="37"/>
      <c r="F64" s="37"/>
      <c r="G64" s="37"/>
      <c r="H64" s="189"/>
      <c r="I64" s="9" t="str">
        <f>_xlfn.XLOOKUP(H64,Tab_Def_Processes[Name(EN)],Tab_Def_Processes[Process_ID],,0,)</f>
        <v>10</v>
      </c>
      <c r="J64" s="189"/>
      <c r="K64" s="17" t="str">
        <f>_xlfn.XLOOKUP(J64,Tab_Def_Processes[Name(EN)],Tab_Def_Processes[Process_ID],,0,)</f>
        <v>10</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4"/>
        <v>F_10_10</v>
      </c>
      <c r="D65" s="11"/>
      <c r="E65" s="37"/>
      <c r="F65" s="37"/>
      <c r="G65" s="37"/>
      <c r="H65" s="189"/>
      <c r="I65" s="9" t="str">
        <f>_xlfn.XLOOKUP(H65,Tab_Def_Processes[Name(EN)],Tab_Def_Processes[Process_ID],,0,)</f>
        <v>10</v>
      </c>
      <c r="J65" s="189"/>
      <c r="K65" s="17" t="str">
        <f>_xlfn.XLOOKUP(J65,Tab_Def_Processes[Name(EN)],Tab_Def_Processes[Process_ID],,0,)</f>
        <v>10</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4"/>
        <v>F_10_10</v>
      </c>
      <c r="D66" s="11"/>
      <c r="E66" s="37"/>
      <c r="F66" s="37"/>
      <c r="G66" s="37"/>
      <c r="H66" s="189"/>
      <c r="I66" s="9" t="str">
        <f>_xlfn.XLOOKUP(H66,Tab_Def_Processes[Name(EN)],Tab_Def_Processes[Process_ID],,0,)</f>
        <v>10</v>
      </c>
      <c r="J66" s="189"/>
      <c r="K66" s="17" t="str">
        <f>_xlfn.XLOOKUP(J66,Tab_Def_Processes[Name(EN)],Tab_Def_Processes[Process_ID],,0,)</f>
        <v>10</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4"/>
        <v>F_10_10</v>
      </c>
      <c r="D67" s="11"/>
      <c r="E67" s="37"/>
      <c r="F67" s="37"/>
      <c r="G67" s="37"/>
      <c r="H67" s="189"/>
      <c r="I67" s="9" t="str">
        <f>_xlfn.XLOOKUP(H67,Tab_Def_Processes[Name(EN)],Tab_Def_Processes[Process_ID],,0,)</f>
        <v>10</v>
      </c>
      <c r="J67" s="189"/>
      <c r="K67" s="17" t="str">
        <f>_xlfn.XLOOKUP(J67,Tab_Def_Processes[Name(EN)],Tab_Def_Processes[Process_ID],,0,)</f>
        <v>10</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4"/>
        <v>F_10_10</v>
      </c>
      <c r="D68" s="11"/>
      <c r="E68" s="37"/>
      <c r="F68" s="37"/>
      <c r="G68" s="37"/>
      <c r="H68" s="189"/>
      <c r="I68" s="9" t="str">
        <f>_xlfn.XLOOKUP(H68,Tab_Def_Processes[Name(EN)],Tab_Def_Processes[Process_ID],,0,)</f>
        <v>10</v>
      </c>
      <c r="J68" s="189"/>
      <c r="K68" s="17" t="str">
        <f>_xlfn.XLOOKUP(J68,Tab_Def_Processes[Name(EN)],Tab_Def_Processes[Process_ID],,0,)</f>
        <v>10</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si="4"/>
        <v>F_10_10</v>
      </c>
      <c r="D69" s="11"/>
      <c r="E69" s="37"/>
      <c r="F69" s="37"/>
      <c r="G69" s="37"/>
      <c r="H69" s="189"/>
      <c r="I69" s="9" t="str">
        <f>_xlfn.XLOOKUP(H69,Tab_Def_Processes[Name(EN)],Tab_Def_Processes[Process_ID],,0,)</f>
        <v>10</v>
      </c>
      <c r="J69" s="189"/>
      <c r="K69" s="17" t="str">
        <f>_xlfn.XLOOKUP(J69,Tab_Def_Processes[Name(EN)],Tab_Def_Processes[Process_ID],,0,)</f>
        <v>10</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
        <v>34</v>
      </c>
      <c r="D70" s="11" t="s">
        <v>34</v>
      </c>
      <c r="E70" s="37"/>
      <c r="F70" s="37"/>
      <c r="G70" s="37"/>
      <c r="H70" s="189"/>
      <c r="I70" s="9"/>
      <c r="J70" s="189"/>
      <c r="K70" s="17"/>
      <c r="L70" s="189"/>
      <c r="M70" s="189"/>
      <c r="N70" s="189"/>
      <c r="O70" s="183"/>
      <c r="P70" s="40"/>
      <c r="R70" s="40"/>
      <c r="S70" s="183"/>
      <c r="T70" s="40"/>
      <c r="U70" s="190">
        <f>Tab_Def_Flows[[#This Row],[CC_DM'[%']]]*Tab_Def_Flows[[#This Row],[DM]]</f>
        <v>0</v>
      </c>
      <c r="V70"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L2:N7 L9:N70</xm:sqref>
        </x14:dataValidation>
        <x14:dataValidation type="list" allowBlank="1" showInputMessage="1" showErrorMessage="1" xr:uid="{4802C009-D5CD-4ED0-AC7A-55F162A86DD7}">
          <x14:formula1>
            <xm:f>'2_1_Definition_Processes'!$D$2:$D$47</xm:f>
          </x14:formula1>
          <xm:sqref>H2:H70 J2:J70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31" zoomScale="115" zoomScaleNormal="115" workbookViewId="0">
      <selection activeCell="C55" sqref="C5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31</v>
      </c>
      <c r="B1" s="193" t="s">
        <v>40</v>
      </c>
      <c r="C1" s="193" t="s">
        <v>89</v>
      </c>
      <c r="D1" s="193" t="s">
        <v>41</v>
      </c>
      <c r="E1" s="193" t="s">
        <v>43</v>
      </c>
      <c r="F1" s="193" t="s">
        <v>44</v>
      </c>
      <c r="G1" s="193" t="s">
        <v>45</v>
      </c>
      <c r="H1" s="193" t="s">
        <v>46</v>
      </c>
      <c r="I1" s="193" t="s">
        <v>64</v>
      </c>
      <c r="J1" s="193" t="s">
        <v>105</v>
      </c>
      <c r="K1" s="193" t="s">
        <v>107</v>
      </c>
      <c r="L1" s="193" t="s">
        <v>106</v>
      </c>
      <c r="M1" s="193" t="s">
        <v>58</v>
      </c>
      <c r="N1" s="193" t="s">
        <v>57</v>
      </c>
      <c r="O1" s="193" t="s">
        <v>55</v>
      </c>
      <c r="P1" s="193" t="s">
        <v>56</v>
      </c>
      <c r="Q1" s="193" t="s">
        <v>47</v>
      </c>
      <c r="R1" s="193" t="s">
        <v>37</v>
      </c>
      <c r="S1" s="193" t="s">
        <v>48</v>
      </c>
      <c r="T1" s="193" t="s">
        <v>49</v>
      </c>
      <c r="U1" s="193" t="s">
        <v>50</v>
      </c>
      <c r="V1" s="193" t="s">
        <v>51</v>
      </c>
      <c r="W1" s="193" t="s">
        <v>5</v>
      </c>
      <c r="X1" s="193" t="s">
        <v>52</v>
      </c>
      <c r="Y1" s="193" t="s">
        <v>53</v>
      </c>
      <c r="Z1" s="193" t="s">
        <v>54</v>
      </c>
      <c r="AA1" s="193" t="s">
        <v>59</v>
      </c>
      <c r="AB1" s="193" t="s">
        <v>60</v>
      </c>
      <c r="AC1" s="193" t="s">
        <v>108</v>
      </c>
      <c r="AD1" s="193" t="s">
        <v>114</v>
      </c>
      <c r="AE1" s="193" t="s">
        <v>118</v>
      </c>
      <c r="AF1" s="193" t="s">
        <v>110</v>
      </c>
      <c r="AG1" s="193" t="s">
        <v>115</v>
      </c>
      <c r="AH1" s="193" t="s">
        <v>117</v>
      </c>
      <c r="AI1" s="193" t="s">
        <v>112</v>
      </c>
      <c r="AJ1" s="193" t="s">
        <v>119</v>
      </c>
      <c r="AK1" s="193" t="s">
        <v>116</v>
      </c>
    </row>
    <row r="2" spans="1:37" x14ac:dyDescent="0.25">
      <c r="A2" s="16">
        <f>ROW()-1</f>
        <v>1</v>
      </c>
      <c r="B2" s="9" t="str">
        <f>_xlfn.XLOOKUP(C2,Tab_Def_Flows[Name(EN)],Tab_Def_Flows[Flow_ID],,0,)</f>
        <v>F_00_02</v>
      </c>
      <c r="C2" s="11" t="s">
        <v>269</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Forestry</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104</v>
      </c>
      <c r="O2" s="48">
        <v>297904.57</v>
      </c>
      <c r="P2" s="11"/>
      <c r="Q2" s="11" t="s">
        <v>113</v>
      </c>
      <c r="R2" s="11"/>
      <c r="S2" s="11"/>
      <c r="T2" s="11"/>
      <c r="U2" s="11"/>
      <c r="V2" s="11"/>
      <c r="W2" s="11"/>
      <c r="X2" s="11" t="s">
        <v>8</v>
      </c>
      <c r="Y2" s="41"/>
      <c r="Z2" s="11"/>
      <c r="AA2" s="35">
        <f>IF(X2="no",O2,O2*Y2)</f>
        <v>297904.57</v>
      </c>
      <c r="AB2" s="11" t="s">
        <v>267</v>
      </c>
      <c r="AC2" s="190">
        <f>INDEX(Tab_Def_Flows[[Flow_ID]:[CC_DM_source]],MATCH(Tab_Data_Flows[[#This Row],[Name(EN)]],Tab_Def_Flows[Name(EN)],0),13)</f>
        <v>0.5</v>
      </c>
      <c r="AD2" s="9">
        <f>IF(J2="Yes",AA2*Tab_Data_Flows[[#This Row],[WC_'[%']]],"N.A.")</f>
        <v>148952.285</v>
      </c>
      <c r="AE2" s="9" t="str">
        <f>Tab_Data_Flows[[#This Row],[UoM_Flow_Py]]</f>
        <v>Mg</v>
      </c>
      <c r="AF2" s="190">
        <f>INDEX(Tab_Def_Flows[[Flow_ID]:[CC_DM_source]],MATCH(Tab_Data_Flows[[#This Row],[Name(EN)]],Tab_Def_Flows[Name(EN)],0),15)</f>
        <v>0.5</v>
      </c>
      <c r="AG2" s="9">
        <f>IF(K2="Yes",AF2*Tab_Data_Flows[[#This Row],[Flow_Py]],"N.A.")</f>
        <v>148952.285</v>
      </c>
      <c r="AH2" s="9" t="str">
        <f>Tab_Data_Flows[[#This Row],[UoM_Flow_Py]]</f>
        <v>Mg</v>
      </c>
      <c r="AI2" s="190">
        <f>INDEX(Tab_Def_Flows[[Flow_ID]:[CC_DM_source]],MATCH(Tab_Data_Flows[[#This Row],[Name(EN)]],Tab_Def_Flows[Name(EN)],0),17)</f>
        <v>0.5</v>
      </c>
      <c r="AJ2" s="9">
        <f>IF(L2="Yes",AI2*Tab_Data_Flows[[#This Row],[Flow_Py]]*Tab_Data_Flows[[#This Row],[DM_'[%']]],"N.A.")</f>
        <v>74476.142500000002</v>
      </c>
      <c r="AK2" s="9" t="str">
        <f>Tab_Data_Flows[[#This Row],[UoM_Flow_Py]]</f>
        <v>Mg</v>
      </c>
    </row>
    <row r="3" spans="1:37" x14ac:dyDescent="0.25">
      <c r="A3" s="16">
        <f t="shared" ref="A3:A66" si="0">ROW()-1</f>
        <v>2</v>
      </c>
      <c r="B3" s="9" t="str">
        <f>_xlfn.XLOOKUP(C3,Tab_Def_Flows[Name(EN)],Tab_Def_Flows[Flow_ID],,0,)</f>
        <v>F_00_02</v>
      </c>
      <c r="C3" s="11" t="s">
        <v>269</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Forestry</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104</v>
      </c>
      <c r="O3" s="48">
        <v>339142.51</v>
      </c>
      <c r="P3" s="11"/>
      <c r="Q3" s="11" t="s">
        <v>113</v>
      </c>
      <c r="R3" s="11"/>
      <c r="S3" s="11"/>
      <c r="T3" s="11"/>
      <c r="U3" s="11"/>
      <c r="V3" s="11"/>
      <c r="W3" s="11"/>
      <c r="X3" s="11" t="s">
        <v>8</v>
      </c>
      <c r="Y3" s="41"/>
      <c r="Z3" s="11"/>
      <c r="AA3" s="35">
        <f t="shared" ref="AA3:AA66" si="1">IF(X3="no",O3,O3*Y3)</f>
        <v>339142.51</v>
      </c>
      <c r="AB3" s="11" t="s">
        <v>267</v>
      </c>
      <c r="AC3" s="190">
        <f>INDEX(Tab_Def_Flows[[Flow_ID]:[CC_DM_source]],MATCH(Tab_Data_Flows[[#This Row],[Name(EN)]],Tab_Def_Flows[Name(EN)],0),13)</f>
        <v>0.5</v>
      </c>
      <c r="AD3" s="9">
        <f>IF(J3="Yes",AA3*Tab_Data_Flows[[#This Row],[WC_'[%']]],"N.A.")</f>
        <v>169571.255</v>
      </c>
      <c r="AE3" s="9" t="str">
        <f>Tab_Data_Flows[[#This Row],[UoM_Flow_Py]]</f>
        <v>Mg</v>
      </c>
      <c r="AF3" s="190">
        <f>INDEX(Tab_Def_Flows[[Flow_ID]:[CC_DM_source]],MATCH(Tab_Data_Flows[[#This Row],[Name(EN)]],Tab_Def_Flows[Name(EN)],0),15)</f>
        <v>0.5</v>
      </c>
      <c r="AG3" s="9">
        <f>IF(K3="Yes",AF3*Tab_Data_Flows[[#This Row],[Flow_Py]],"N.A.")</f>
        <v>169571.255</v>
      </c>
      <c r="AH3" s="9" t="str">
        <f>Tab_Data_Flows[[#This Row],[UoM_Flow_Py]]</f>
        <v>Mg</v>
      </c>
      <c r="AI3" s="190">
        <f>INDEX(Tab_Def_Flows[[Flow_ID]:[CC_DM_source]],MATCH(Tab_Data_Flows[[#This Row],[Name(EN)]],Tab_Def_Flows[Name(EN)],0),17)</f>
        <v>0.5</v>
      </c>
      <c r="AJ3" s="9">
        <f>IF(L3="Yes",AI3*Tab_Data_Flows[[#This Row],[Flow_Py]]*Tab_Data_Flows[[#This Row],[DM_'[%']]],"N.A.")</f>
        <v>84785.627500000002</v>
      </c>
      <c r="AK3" s="9" t="str">
        <f>Tab_Data_Flows[[#This Row],[UoM_Flow_Py]]</f>
        <v>Mg</v>
      </c>
    </row>
    <row r="4" spans="1:37" x14ac:dyDescent="0.25">
      <c r="A4" s="16">
        <f t="shared" si="0"/>
        <v>3</v>
      </c>
      <c r="B4" s="9" t="str">
        <f>_xlfn.XLOOKUP(C4,Tab_Def_Flows[Name(EN)],Tab_Def_Flows[Flow_ID],,0,)</f>
        <v>F_00_02</v>
      </c>
      <c r="C4" s="11" t="s">
        <v>269</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Forestry</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104</v>
      </c>
      <c r="O4" s="48">
        <v>257050.15</v>
      </c>
      <c r="P4" s="11"/>
      <c r="Q4" s="11" t="s">
        <v>113</v>
      </c>
      <c r="R4" s="11"/>
      <c r="S4" s="11"/>
      <c r="T4" s="11"/>
      <c r="U4" s="11"/>
      <c r="V4" s="11"/>
      <c r="W4" s="11"/>
      <c r="X4" s="11" t="s">
        <v>8</v>
      </c>
      <c r="Y4" s="41"/>
      <c r="Z4" s="11"/>
      <c r="AA4" s="35">
        <f t="shared" si="1"/>
        <v>257050.15</v>
      </c>
      <c r="AB4" s="11" t="s">
        <v>267</v>
      </c>
      <c r="AC4" s="190">
        <f>INDEX(Tab_Def_Flows[[Flow_ID]:[CC_DM_source]],MATCH(Tab_Data_Flows[[#This Row],[Name(EN)]],Tab_Def_Flows[Name(EN)],0),13)</f>
        <v>0.5</v>
      </c>
      <c r="AD4" s="9">
        <f>IF(J4="Yes",AA4*Tab_Data_Flows[[#This Row],[WC_'[%']]],"N.A.")</f>
        <v>128525.075</v>
      </c>
      <c r="AE4" s="9" t="str">
        <f>Tab_Data_Flows[[#This Row],[UoM_Flow_Py]]</f>
        <v>Mg</v>
      </c>
      <c r="AF4" s="190">
        <f>INDEX(Tab_Def_Flows[[Flow_ID]:[CC_DM_source]],MATCH(Tab_Data_Flows[[#This Row],[Name(EN)]],Tab_Def_Flows[Name(EN)],0),15)</f>
        <v>0.5</v>
      </c>
      <c r="AG4" s="9">
        <f>IF(K4="Yes",AF4*Tab_Data_Flows[[#This Row],[Flow_Py]],"N.A.")</f>
        <v>128525.075</v>
      </c>
      <c r="AH4" s="9" t="str">
        <f>Tab_Data_Flows[[#This Row],[UoM_Flow_Py]]</f>
        <v>Mg</v>
      </c>
      <c r="AI4" s="190">
        <f>INDEX(Tab_Def_Flows[[Flow_ID]:[CC_DM_source]],MATCH(Tab_Data_Flows[[#This Row],[Name(EN)]],Tab_Def_Flows[Name(EN)],0),17)</f>
        <v>0.5</v>
      </c>
      <c r="AJ4" s="9">
        <f>IF(L4="Yes",AI4*Tab_Data_Flows[[#This Row],[Flow_Py]]*Tab_Data_Flows[[#This Row],[DM_'[%']]],"N.A.")</f>
        <v>64262.537499999999</v>
      </c>
      <c r="AK4" s="9" t="str">
        <f>Tab_Data_Flows[[#This Row],[UoM_Flow_Py]]</f>
        <v>Mg</v>
      </c>
    </row>
    <row r="5" spans="1:37" x14ac:dyDescent="0.25">
      <c r="A5" s="16">
        <f t="shared" si="0"/>
        <v>4</v>
      </c>
      <c r="B5" s="9" t="str">
        <f>_xlfn.XLOOKUP(C5,Tab_Def_Flows[Name(EN)],Tab_Def_Flows[Flow_ID],,0,)</f>
        <v>F_00_02</v>
      </c>
      <c r="C5" s="11" t="s">
        <v>269</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Forestry</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104</v>
      </c>
      <c r="O5" s="48">
        <v>264047.96999999997</v>
      </c>
      <c r="P5" s="11"/>
      <c r="Q5" s="11" t="s">
        <v>113</v>
      </c>
      <c r="R5" s="11"/>
      <c r="S5" s="11"/>
      <c r="T5" s="11"/>
      <c r="U5" s="11"/>
      <c r="V5" s="11"/>
      <c r="W5" s="11"/>
      <c r="X5" s="11" t="s">
        <v>8</v>
      </c>
      <c r="Y5" s="41"/>
      <c r="Z5" s="11"/>
      <c r="AA5" s="35">
        <f t="shared" si="1"/>
        <v>264047.96999999997</v>
      </c>
      <c r="AB5" s="11" t="s">
        <v>267</v>
      </c>
      <c r="AC5" s="190">
        <f>INDEX(Tab_Def_Flows[[Flow_ID]:[CC_DM_source]],MATCH(Tab_Data_Flows[[#This Row],[Name(EN)]],Tab_Def_Flows[Name(EN)],0),13)</f>
        <v>0.5</v>
      </c>
      <c r="AD5" s="9">
        <f>IF(J5="Yes",AA5*Tab_Data_Flows[[#This Row],[WC_'[%']]],"N.A.")</f>
        <v>132023.98499999999</v>
      </c>
      <c r="AE5" s="9" t="str">
        <f>Tab_Data_Flows[[#This Row],[UoM_Flow_Py]]</f>
        <v>Mg</v>
      </c>
      <c r="AF5" s="190">
        <f>INDEX(Tab_Def_Flows[[Flow_ID]:[CC_DM_source]],MATCH(Tab_Data_Flows[[#This Row],[Name(EN)]],Tab_Def_Flows[Name(EN)],0),15)</f>
        <v>0.5</v>
      </c>
      <c r="AG5" s="9">
        <f>IF(K5="Yes",AF5*Tab_Data_Flows[[#This Row],[Flow_Py]],"N.A.")</f>
        <v>132023.98499999999</v>
      </c>
      <c r="AH5" s="9" t="str">
        <f>Tab_Data_Flows[[#This Row],[UoM_Flow_Py]]</f>
        <v>Mg</v>
      </c>
      <c r="AI5" s="190">
        <f>INDEX(Tab_Def_Flows[[Flow_ID]:[CC_DM_source]],MATCH(Tab_Data_Flows[[#This Row],[Name(EN)]],Tab_Def_Flows[Name(EN)],0),17)</f>
        <v>0.5</v>
      </c>
      <c r="AJ5" s="9">
        <f>IF(L5="Yes",AI5*Tab_Data_Flows[[#This Row],[Flow_Py]]*Tab_Data_Flows[[#This Row],[DM_'[%']]],"N.A.")</f>
        <v>66011.992499999993</v>
      </c>
      <c r="AK5" s="9" t="str">
        <f>Tab_Data_Flows[[#This Row],[UoM_Flow_Py]]</f>
        <v>Mg</v>
      </c>
    </row>
    <row r="6" spans="1:37" x14ac:dyDescent="0.25">
      <c r="A6" s="16">
        <f t="shared" si="0"/>
        <v>5</v>
      </c>
      <c r="B6" s="9" t="str">
        <f>_xlfn.XLOOKUP(C6,Tab_Def_Flows[Name(EN)],Tab_Def_Flows[Flow_ID],,0,)</f>
        <v>F_00_02</v>
      </c>
      <c r="C6" s="11" t="s">
        <v>269</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Forestry</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104</v>
      </c>
      <c r="O6" s="48">
        <v>344153.42</v>
      </c>
      <c r="P6" s="11"/>
      <c r="Q6" s="11" t="s">
        <v>113</v>
      </c>
      <c r="R6" s="11"/>
      <c r="S6" s="11"/>
      <c r="T6" s="11"/>
      <c r="U6" s="11"/>
      <c r="V6" s="11"/>
      <c r="W6" s="11"/>
      <c r="X6" s="11" t="s">
        <v>8</v>
      </c>
      <c r="Y6" s="41"/>
      <c r="Z6" s="11"/>
      <c r="AA6" s="35">
        <f t="shared" si="1"/>
        <v>344153.42</v>
      </c>
      <c r="AB6" s="11" t="s">
        <v>267</v>
      </c>
      <c r="AC6" s="190">
        <f>INDEX(Tab_Def_Flows[[Flow_ID]:[CC_DM_source]],MATCH(Tab_Data_Flows[[#This Row],[Name(EN)]],Tab_Def_Flows[Name(EN)],0),13)</f>
        <v>0.5</v>
      </c>
      <c r="AD6" s="9">
        <f>IF(J6="Yes",AA6*Tab_Data_Flows[[#This Row],[WC_'[%']]],"N.A.")</f>
        <v>172076.71</v>
      </c>
      <c r="AE6" s="9" t="str">
        <f>Tab_Data_Flows[[#This Row],[UoM_Flow_Py]]</f>
        <v>Mg</v>
      </c>
      <c r="AF6" s="190">
        <f>INDEX(Tab_Def_Flows[[Flow_ID]:[CC_DM_source]],MATCH(Tab_Data_Flows[[#This Row],[Name(EN)]],Tab_Def_Flows[Name(EN)],0),15)</f>
        <v>0.5</v>
      </c>
      <c r="AG6" s="9">
        <f>IF(K6="Yes",AF6*Tab_Data_Flows[[#This Row],[Flow_Py]],"N.A.")</f>
        <v>172076.71</v>
      </c>
      <c r="AH6" s="9" t="str">
        <f>Tab_Data_Flows[[#This Row],[UoM_Flow_Py]]</f>
        <v>Mg</v>
      </c>
      <c r="AI6" s="190">
        <f>INDEX(Tab_Def_Flows[[Flow_ID]:[CC_DM_source]],MATCH(Tab_Data_Flows[[#This Row],[Name(EN)]],Tab_Def_Flows[Name(EN)],0),17)</f>
        <v>0.5</v>
      </c>
      <c r="AJ6" s="9">
        <f>IF(L6="Yes",AI6*Tab_Data_Flows[[#This Row],[Flow_Py]]*Tab_Data_Flows[[#This Row],[DM_'[%']]],"N.A.")</f>
        <v>86038.354999999996</v>
      </c>
      <c r="AK6" s="9" t="str">
        <f>Tab_Data_Flows[[#This Row],[UoM_Flow_Py]]</f>
        <v>Mg</v>
      </c>
    </row>
    <row r="7" spans="1:37" x14ac:dyDescent="0.25">
      <c r="A7" s="16">
        <f t="shared" si="0"/>
        <v>6</v>
      </c>
      <c r="B7" s="9" t="str">
        <f>_xlfn.XLOOKUP(C7,Tab_Def_Flows[Name(EN)],Tab_Def_Flows[Flow_ID],,0,)</f>
        <v>F_00_02</v>
      </c>
      <c r="C7" s="11" t="s">
        <v>269</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Forestry</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104</v>
      </c>
      <c r="O7" s="48">
        <v>315342.38</v>
      </c>
      <c r="P7" s="11"/>
      <c r="Q7" s="11" t="s">
        <v>113</v>
      </c>
      <c r="R7" s="11"/>
      <c r="S7" s="11"/>
      <c r="T7" s="11"/>
      <c r="U7" s="11"/>
      <c r="V7" s="11"/>
      <c r="W7" s="11"/>
      <c r="X7" s="11" t="s">
        <v>8</v>
      </c>
      <c r="Y7" s="41"/>
      <c r="Z7" s="11"/>
      <c r="AA7" s="35">
        <f t="shared" si="1"/>
        <v>315342.38</v>
      </c>
      <c r="AB7" s="11" t="s">
        <v>267</v>
      </c>
      <c r="AC7" s="190">
        <f>INDEX(Tab_Def_Flows[[Flow_ID]:[CC_DM_source]],MATCH(Tab_Data_Flows[[#This Row],[Name(EN)]],Tab_Def_Flows[Name(EN)],0),13)</f>
        <v>0.5</v>
      </c>
      <c r="AD7" s="9">
        <f>IF(J7="Yes",AA7*Tab_Data_Flows[[#This Row],[WC_'[%']]],"N.A.")</f>
        <v>157671.19</v>
      </c>
      <c r="AE7" s="9" t="str">
        <f>Tab_Data_Flows[[#This Row],[UoM_Flow_Py]]</f>
        <v>Mg</v>
      </c>
      <c r="AF7" s="190">
        <f>INDEX(Tab_Def_Flows[[Flow_ID]:[CC_DM_source]],MATCH(Tab_Data_Flows[[#This Row],[Name(EN)]],Tab_Def_Flows[Name(EN)],0),15)</f>
        <v>0.5</v>
      </c>
      <c r="AG7" s="9">
        <f>IF(K7="Yes",AF7*Tab_Data_Flows[[#This Row],[Flow_Py]],"N.A.")</f>
        <v>157671.19</v>
      </c>
      <c r="AH7" s="9" t="str">
        <f>Tab_Data_Flows[[#This Row],[UoM_Flow_Py]]</f>
        <v>Mg</v>
      </c>
      <c r="AI7" s="190">
        <f>INDEX(Tab_Def_Flows[[Flow_ID]:[CC_DM_source]],MATCH(Tab_Data_Flows[[#This Row],[Name(EN)]],Tab_Def_Flows[Name(EN)],0),17)</f>
        <v>0.5</v>
      </c>
      <c r="AJ7" s="9">
        <f>IF(L7="Yes",AI7*Tab_Data_Flows[[#This Row],[Flow_Py]]*Tab_Data_Flows[[#This Row],[DM_'[%']]],"N.A.")</f>
        <v>78835.595000000001</v>
      </c>
      <c r="AK7" s="9" t="str">
        <f>Tab_Data_Flows[[#This Row],[UoM_Flow_Py]]</f>
        <v>Mg</v>
      </c>
    </row>
    <row r="8" spans="1:37" x14ac:dyDescent="0.25">
      <c r="A8" s="16">
        <f t="shared" si="0"/>
        <v>7</v>
      </c>
      <c r="B8" s="9" t="str">
        <f>_xlfn.XLOOKUP(C8,Tab_Def_Flows[Name(EN)],Tab_Def_Flows[Flow_ID],,0,)</f>
        <v>F_00_02</v>
      </c>
      <c r="C8" s="11" t="s">
        <v>269</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Forestry</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104</v>
      </c>
      <c r="O8" s="48">
        <v>374614.06</v>
      </c>
      <c r="P8" s="11"/>
      <c r="Q8" s="11" t="s">
        <v>113</v>
      </c>
      <c r="R8" s="11"/>
      <c r="S8" s="11"/>
      <c r="T8" s="11"/>
      <c r="U8" s="11"/>
      <c r="V8" s="11"/>
      <c r="W8" s="11"/>
      <c r="X8" s="11" t="s">
        <v>8</v>
      </c>
      <c r="Y8" s="41"/>
      <c r="Z8" s="11"/>
      <c r="AA8" s="35">
        <f t="shared" si="1"/>
        <v>374614.06</v>
      </c>
      <c r="AB8" s="11" t="s">
        <v>267</v>
      </c>
      <c r="AC8" s="190">
        <f>INDEX(Tab_Def_Flows[[Flow_ID]:[CC_DM_source]],MATCH(Tab_Data_Flows[[#This Row],[Name(EN)]],Tab_Def_Flows[Name(EN)],0),13)</f>
        <v>0.5</v>
      </c>
      <c r="AD8" s="9">
        <f>IF(J8="Yes",AA8*Tab_Data_Flows[[#This Row],[WC_'[%']]],"N.A.")</f>
        <v>187307.03</v>
      </c>
      <c r="AE8" s="9" t="str">
        <f>Tab_Data_Flows[[#This Row],[UoM_Flow_Py]]</f>
        <v>Mg</v>
      </c>
      <c r="AF8" s="190">
        <f>INDEX(Tab_Def_Flows[[Flow_ID]:[CC_DM_source]],MATCH(Tab_Data_Flows[[#This Row],[Name(EN)]],Tab_Def_Flows[Name(EN)],0),15)</f>
        <v>0.5</v>
      </c>
      <c r="AG8" s="9">
        <f>IF(K8="Yes",AF8*Tab_Data_Flows[[#This Row],[Flow_Py]],"N.A.")</f>
        <v>187307.03</v>
      </c>
      <c r="AH8" s="9" t="str">
        <f>Tab_Data_Flows[[#This Row],[UoM_Flow_Py]]</f>
        <v>Mg</v>
      </c>
      <c r="AI8" s="190">
        <f>INDEX(Tab_Def_Flows[[Flow_ID]:[CC_DM_source]],MATCH(Tab_Data_Flows[[#This Row],[Name(EN)]],Tab_Def_Flows[Name(EN)],0),17)</f>
        <v>0.5</v>
      </c>
      <c r="AJ8" s="9">
        <f>IF(L8="Yes",AI8*Tab_Data_Flows[[#This Row],[Flow_Py]]*Tab_Data_Flows[[#This Row],[DM_'[%']]],"N.A.")</f>
        <v>93653.514999999999</v>
      </c>
      <c r="AK8" s="9" t="str">
        <f>Tab_Data_Flows[[#This Row],[UoM_Flow_Py]]</f>
        <v>Mg</v>
      </c>
    </row>
    <row r="9" spans="1:37" x14ac:dyDescent="0.25">
      <c r="A9" s="16">
        <f t="shared" si="0"/>
        <v>8</v>
      </c>
      <c r="B9" s="9" t="str">
        <f>_xlfn.XLOOKUP(C9,Tab_Def_Flows[Name(EN)],Tab_Def_Flows[Flow_ID],,0,)</f>
        <v>F_00_02</v>
      </c>
      <c r="C9" s="11" t="s">
        <v>269</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Forestry</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104</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267</v>
      </c>
      <c r="AC9" s="190">
        <f>INDEX(Tab_Def_Flows[[Flow_ID]:[CC_DM_source]],MATCH(Tab_Data_Flows[[#This Row],[Name(EN)]],Tab_Def_Flows[Name(EN)],0),13)</f>
        <v>0.5</v>
      </c>
      <c r="AD9" s="9">
        <f>IF(J9="Yes",AA9*Tab_Data_Flows[[#This Row],[WC_'[%']]],"N.A.")</f>
        <v>176525.505</v>
      </c>
      <c r="AE9" s="9" t="str">
        <f>Tab_Data_Flows[[#This Row],[UoM_Flow_Py]]</f>
        <v>Mg</v>
      </c>
      <c r="AF9" s="190">
        <f>INDEX(Tab_Def_Flows[[Flow_ID]:[CC_DM_source]],MATCH(Tab_Data_Flows[[#This Row],[Name(EN)]],Tab_Def_Flows[Name(EN)],0),15)</f>
        <v>0.5</v>
      </c>
      <c r="AG9" s="9">
        <f>IF(K9="Yes",AF9*Tab_Data_Flows[[#This Row],[Flow_Py]],"N.A.")</f>
        <v>176525.505</v>
      </c>
      <c r="AH9" s="9" t="str">
        <f>Tab_Data_Flows[[#This Row],[UoM_Flow_Py]]</f>
        <v>Mg</v>
      </c>
      <c r="AI9" s="190">
        <f>INDEX(Tab_Def_Flows[[Flow_ID]:[CC_DM_source]],MATCH(Tab_Data_Flows[[#This Row],[Name(EN)]],Tab_Def_Flows[Name(EN)],0),17)</f>
        <v>0.5</v>
      </c>
      <c r="AJ9" s="9">
        <f>IF(L9="Yes",AI9*Tab_Data_Flows[[#This Row],[Flow_Py]]*Tab_Data_Flows[[#This Row],[DM_'[%']]],"N.A.")</f>
        <v>88262.752500000002</v>
      </c>
      <c r="AK9" s="9" t="str">
        <f>Tab_Data_Flows[[#This Row],[UoM_Flow_Py]]</f>
        <v>Mg</v>
      </c>
    </row>
    <row r="10" spans="1:37" x14ac:dyDescent="0.25">
      <c r="A10" s="16">
        <f t="shared" si="0"/>
        <v>9</v>
      </c>
      <c r="B10" s="9" t="str">
        <f>_xlfn.XLOOKUP(C10,Tab_Def_Flows[Name(EN)],Tab_Def_Flows[Flow_ID],,0,)</f>
        <v>F_00_02</v>
      </c>
      <c r="C10" s="11" t="s">
        <v>269</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Forestry</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104</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267</v>
      </c>
      <c r="AC10" s="190">
        <f>INDEX(Tab_Def_Flows[[Flow_ID]:[CC_DM_source]],MATCH(Tab_Data_Flows[[#This Row],[Name(EN)]],Tab_Def_Flows[Name(EN)],0),13)</f>
        <v>0.5</v>
      </c>
      <c r="AD10" s="9">
        <f>IF(J10="Yes",AA10*Tab_Data_Flows[[#This Row],[WC_'[%']]],"N.A.")</f>
        <v>194741.57500000001</v>
      </c>
      <c r="AE10" s="9" t="str">
        <f>Tab_Data_Flows[[#This Row],[UoM_Flow_Py]]</f>
        <v>Mg</v>
      </c>
      <c r="AF10" s="190">
        <f>INDEX(Tab_Def_Flows[[Flow_ID]:[CC_DM_source]],MATCH(Tab_Data_Flows[[#This Row],[Name(EN)]],Tab_Def_Flows[Name(EN)],0),15)</f>
        <v>0.5</v>
      </c>
      <c r="AG10" s="9">
        <f>IF(K10="Yes",AF10*Tab_Data_Flows[[#This Row],[Flow_Py]],"N.A.")</f>
        <v>194741.57500000001</v>
      </c>
      <c r="AH10" s="9" t="str">
        <f>Tab_Data_Flows[[#This Row],[UoM_Flow_Py]]</f>
        <v>Mg</v>
      </c>
      <c r="AI10" s="190">
        <f>INDEX(Tab_Def_Flows[[Flow_ID]:[CC_DM_source]],MATCH(Tab_Data_Flows[[#This Row],[Name(EN)]],Tab_Def_Flows[Name(EN)],0),17)</f>
        <v>0.5</v>
      </c>
      <c r="AJ10" s="9">
        <f>IF(L10="Yes",AI10*Tab_Data_Flows[[#This Row],[Flow_Py]]*Tab_Data_Flows[[#This Row],[DM_'[%']]],"N.A.")</f>
        <v>97370.787500000006</v>
      </c>
      <c r="AK10" s="9" t="str">
        <f>Tab_Data_Flows[[#This Row],[UoM_Flow_Py]]</f>
        <v>Mg</v>
      </c>
    </row>
    <row r="11" spans="1:37" x14ac:dyDescent="0.25">
      <c r="A11" s="16">
        <f t="shared" si="0"/>
        <v>10</v>
      </c>
      <c r="B11" s="9" t="str">
        <f>_xlfn.XLOOKUP(C11,Tab_Def_Flows[Name(EN)],Tab_Def_Flows[Flow_ID],,0,)</f>
        <v>F_00_02</v>
      </c>
      <c r="C11" s="11" t="s">
        <v>269</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Forestry</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104</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267</v>
      </c>
      <c r="AC11" s="190">
        <f>INDEX(Tab_Def_Flows[[Flow_ID]:[CC_DM_source]],MATCH(Tab_Data_Flows[[#This Row],[Name(EN)]],Tab_Def_Flows[Name(EN)],0),13)</f>
        <v>0.5</v>
      </c>
      <c r="AD11" s="9">
        <f>IF(J11="Yes",AA11*Tab_Data_Flows[[#This Row],[WC_'[%']]],"N.A.")</f>
        <v>170588.22500000001</v>
      </c>
      <c r="AE11" s="9" t="str">
        <f>Tab_Data_Flows[[#This Row],[UoM_Flow_Py]]</f>
        <v>Mg</v>
      </c>
      <c r="AF11" s="190">
        <f>INDEX(Tab_Def_Flows[[Flow_ID]:[CC_DM_source]],MATCH(Tab_Data_Flows[[#This Row],[Name(EN)]],Tab_Def_Flows[Name(EN)],0),15)</f>
        <v>0.5</v>
      </c>
      <c r="AG11" s="9">
        <f>IF(K11="Yes",AF11*Tab_Data_Flows[[#This Row],[Flow_Py]],"N.A.")</f>
        <v>170588.22500000001</v>
      </c>
      <c r="AH11" s="9" t="str">
        <f>Tab_Data_Flows[[#This Row],[UoM_Flow_Py]]</f>
        <v>Mg</v>
      </c>
      <c r="AI11" s="190">
        <f>INDEX(Tab_Def_Flows[[Flow_ID]:[CC_DM_source]],MATCH(Tab_Data_Flows[[#This Row],[Name(EN)]],Tab_Def_Flows[Name(EN)],0),17)</f>
        <v>0.5</v>
      </c>
      <c r="AJ11" s="9">
        <f>IF(L11="Yes",AI11*Tab_Data_Flows[[#This Row],[Flow_Py]]*Tab_Data_Flows[[#This Row],[DM_'[%']]],"N.A.")</f>
        <v>85294.112500000003</v>
      </c>
      <c r="AK11" s="9" t="str">
        <f>Tab_Data_Flows[[#This Row],[UoM_Flow_Py]]</f>
        <v>Mg</v>
      </c>
    </row>
    <row r="12" spans="1:37" x14ac:dyDescent="0.25">
      <c r="A12" s="16">
        <f t="shared" si="0"/>
        <v>11</v>
      </c>
      <c r="B12" s="9" t="str">
        <f>_xlfn.XLOOKUP(C12,Tab_Def_Flows[Name(EN)],Tab_Def_Flows[Flow_ID],,0,)</f>
        <v>F_00_02</v>
      </c>
      <c r="C12" s="11" t="s">
        <v>269</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Forestry</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104</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267</v>
      </c>
      <c r="AC12" s="190">
        <f>INDEX(Tab_Def_Flows[[Flow_ID]:[CC_DM_source]],MATCH(Tab_Data_Flows[[#This Row],[Name(EN)]],Tab_Def_Flows[Name(EN)],0),13)</f>
        <v>0.5</v>
      </c>
      <c r="AD12" s="9">
        <f>IF(J12="Yes",AA12*Tab_Data_Flows[[#This Row],[WC_'[%']]],"N.A.")</f>
        <v>161225.07</v>
      </c>
      <c r="AE12" s="9" t="str">
        <f>Tab_Data_Flows[[#This Row],[UoM_Flow_Py]]</f>
        <v>Mg</v>
      </c>
      <c r="AF12" s="190">
        <f>INDEX(Tab_Def_Flows[[Flow_ID]:[CC_DM_source]],MATCH(Tab_Data_Flows[[#This Row],[Name(EN)]],Tab_Def_Flows[Name(EN)],0),15)</f>
        <v>0.5</v>
      </c>
      <c r="AG12" s="9">
        <f>IF(K12="Yes",AF12*Tab_Data_Flows[[#This Row],[Flow_Py]],"N.A.")</f>
        <v>161225.07</v>
      </c>
      <c r="AH12" s="9" t="str">
        <f>Tab_Data_Flows[[#This Row],[UoM_Flow_Py]]</f>
        <v>Mg</v>
      </c>
      <c r="AI12" s="190">
        <f>INDEX(Tab_Def_Flows[[Flow_ID]:[CC_DM_source]],MATCH(Tab_Data_Flows[[#This Row],[Name(EN)]],Tab_Def_Flows[Name(EN)],0),17)</f>
        <v>0.5</v>
      </c>
      <c r="AJ12" s="9">
        <f>IF(L12="Yes",AI12*Tab_Data_Flows[[#This Row],[Flow_Py]]*Tab_Data_Flows[[#This Row],[DM_'[%']]],"N.A.")</f>
        <v>80612.535000000003</v>
      </c>
      <c r="AK12" s="9" t="str">
        <f>Tab_Data_Flows[[#This Row],[UoM_Flow_Py]]</f>
        <v>Mg</v>
      </c>
    </row>
    <row r="13" spans="1:37" x14ac:dyDescent="0.25">
      <c r="A13" s="16">
        <f t="shared" si="0"/>
        <v>12</v>
      </c>
      <c r="B13" s="9" t="str">
        <f>_xlfn.XLOOKUP(C13,Tab_Def_Flows[Name(EN)],Tab_Def_Flows[Flow_ID],,0,)</f>
        <v>F_00_02</v>
      </c>
      <c r="C13" s="11" t="s">
        <v>269</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Forestry</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104</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267</v>
      </c>
      <c r="AC13" s="190">
        <f>INDEX(Tab_Def_Flows[[Flow_ID]:[CC_DM_source]],MATCH(Tab_Data_Flows[[#This Row],[Name(EN)]],Tab_Def_Flows[Name(EN)],0),13)</f>
        <v>0.5</v>
      </c>
      <c r="AD13" s="9">
        <f>IF(J13="Yes",AA13*Tab_Data_Flows[[#This Row],[WC_'[%']]],"N.A.")</f>
        <v>160118.64499999999</v>
      </c>
      <c r="AE13" s="9" t="str">
        <f>Tab_Data_Flows[[#This Row],[UoM_Flow_Py]]</f>
        <v>Mg</v>
      </c>
      <c r="AF13" s="190">
        <f>INDEX(Tab_Def_Flows[[Flow_ID]:[CC_DM_source]],MATCH(Tab_Data_Flows[[#This Row],[Name(EN)]],Tab_Def_Flows[Name(EN)],0),15)</f>
        <v>0.5</v>
      </c>
      <c r="AG13" s="9">
        <f>IF(K13="Yes",AF13*Tab_Data_Flows[[#This Row],[Flow_Py]],"N.A.")</f>
        <v>160118.64499999999</v>
      </c>
      <c r="AH13" s="9" t="str">
        <f>Tab_Data_Flows[[#This Row],[UoM_Flow_Py]]</f>
        <v>Mg</v>
      </c>
      <c r="AI13" s="190">
        <f>INDEX(Tab_Def_Flows[[Flow_ID]:[CC_DM_source]],MATCH(Tab_Data_Flows[[#This Row],[Name(EN)]],Tab_Def_Flows[Name(EN)],0),17)</f>
        <v>0.5</v>
      </c>
      <c r="AJ13" s="9">
        <f>IF(L13="Yes",AI13*Tab_Data_Flows[[#This Row],[Flow_Py]]*Tab_Data_Flows[[#This Row],[DM_'[%']]],"N.A.")</f>
        <v>80059.322499999995</v>
      </c>
      <c r="AK13" s="9" t="str">
        <f>Tab_Data_Flows[[#This Row],[UoM_Flow_Py]]</f>
        <v>Mg</v>
      </c>
    </row>
    <row r="14" spans="1:37" x14ac:dyDescent="0.25">
      <c r="A14" s="16">
        <f t="shared" si="0"/>
        <v>13</v>
      </c>
      <c r="B14" s="9" t="str">
        <f>_xlfn.XLOOKUP(C14,Tab_Def_Flows[Name(EN)],Tab_Def_Flows[Flow_ID],,0,)</f>
        <v>F_00_02</v>
      </c>
      <c r="C14" s="11" t="s">
        <v>269</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Forestry</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104</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267</v>
      </c>
      <c r="AC14" s="190">
        <f>INDEX(Tab_Def_Flows[[Flow_ID]:[CC_DM_source]],MATCH(Tab_Data_Flows[[#This Row],[Name(EN)]],Tab_Def_Flows[Name(EN)],0),13)</f>
        <v>0.5</v>
      </c>
      <c r="AD14" s="9">
        <f>IF(J14="Yes",AA14*Tab_Data_Flows[[#This Row],[WC_'[%']]],"N.A.")</f>
        <v>189952.005</v>
      </c>
      <c r="AE14" s="9" t="str">
        <f>Tab_Data_Flows[[#This Row],[UoM_Flow_Py]]</f>
        <v>Mg</v>
      </c>
      <c r="AF14" s="190">
        <f>INDEX(Tab_Def_Flows[[Flow_ID]:[CC_DM_source]],MATCH(Tab_Data_Flows[[#This Row],[Name(EN)]],Tab_Def_Flows[Name(EN)],0),15)</f>
        <v>0.5</v>
      </c>
      <c r="AG14" s="9">
        <f>IF(K14="Yes",AF14*Tab_Data_Flows[[#This Row],[Flow_Py]],"N.A.")</f>
        <v>189952.005</v>
      </c>
      <c r="AH14" s="9" t="str">
        <f>Tab_Data_Flows[[#This Row],[UoM_Flow_Py]]</f>
        <v>Mg</v>
      </c>
      <c r="AI14" s="190">
        <f>INDEX(Tab_Def_Flows[[Flow_ID]:[CC_DM_source]],MATCH(Tab_Data_Flows[[#This Row],[Name(EN)]],Tab_Def_Flows[Name(EN)],0),17)</f>
        <v>0.5</v>
      </c>
      <c r="AJ14" s="9">
        <f>IF(L14="Yes",AI14*Tab_Data_Flows[[#This Row],[Flow_Py]]*Tab_Data_Flows[[#This Row],[DM_'[%']]],"N.A.")</f>
        <v>94976.002500000002</v>
      </c>
      <c r="AK14" s="9" t="str">
        <f>Tab_Data_Flows[[#This Row],[UoM_Flow_Py]]</f>
        <v>Mg</v>
      </c>
    </row>
    <row r="15" spans="1:37" x14ac:dyDescent="0.25">
      <c r="A15" s="16">
        <f t="shared" si="0"/>
        <v>14</v>
      </c>
      <c r="B15" s="9" t="str">
        <f>_xlfn.XLOOKUP(C15,Tab_Def_Flows[Name(EN)],Tab_Def_Flows[Flow_ID],,0,)</f>
        <v>F_00_02</v>
      </c>
      <c r="C15" s="11" t="s">
        <v>269</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Forestry</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104</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267</v>
      </c>
      <c r="AC15" s="190">
        <f>INDEX(Tab_Def_Flows[[Flow_ID]:[CC_DM_source]],MATCH(Tab_Data_Flows[[#This Row],[Name(EN)]],Tab_Def_Flows[Name(EN)],0),13)</f>
        <v>0.5</v>
      </c>
      <c r="AD15" s="9">
        <f>IF(J15="Yes",AA15*Tab_Data_Flows[[#This Row],[WC_'[%']]],"N.A.")</f>
        <v>182613.005</v>
      </c>
      <c r="AE15" s="9" t="str">
        <f>Tab_Data_Flows[[#This Row],[UoM_Flow_Py]]</f>
        <v>Mg</v>
      </c>
      <c r="AF15" s="190">
        <f>INDEX(Tab_Def_Flows[[Flow_ID]:[CC_DM_source]],MATCH(Tab_Data_Flows[[#This Row],[Name(EN)]],Tab_Def_Flows[Name(EN)],0),15)</f>
        <v>0.5</v>
      </c>
      <c r="AG15" s="9">
        <f>IF(K15="Yes",AF15*Tab_Data_Flows[[#This Row],[Flow_Py]],"N.A.")</f>
        <v>182613.005</v>
      </c>
      <c r="AH15" s="9" t="str">
        <f>Tab_Data_Flows[[#This Row],[UoM_Flow_Py]]</f>
        <v>Mg</v>
      </c>
      <c r="AI15" s="190">
        <f>INDEX(Tab_Def_Flows[[Flow_ID]:[CC_DM_source]],MATCH(Tab_Data_Flows[[#This Row],[Name(EN)]],Tab_Def_Flows[Name(EN)],0),17)</f>
        <v>0.5</v>
      </c>
      <c r="AJ15" s="9">
        <f>IF(L15="Yes",AI15*Tab_Data_Flows[[#This Row],[Flow_Py]]*Tab_Data_Flows[[#This Row],[DM_'[%']]],"N.A.")</f>
        <v>91306.502500000002</v>
      </c>
      <c r="AK15" s="9" t="str">
        <f>Tab_Data_Flows[[#This Row],[UoM_Flow_Py]]</f>
        <v>Mg</v>
      </c>
    </row>
    <row r="16" spans="1:37" x14ac:dyDescent="0.25">
      <c r="A16" s="16">
        <f t="shared" si="0"/>
        <v>15</v>
      </c>
      <c r="B16" s="9" t="str">
        <f>_xlfn.XLOOKUP(C16,Tab_Def_Flows[Name(EN)],Tab_Def_Flows[Flow_ID],,0,)</f>
        <v>F_00_02</v>
      </c>
      <c r="C16" s="11" t="s">
        <v>269</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Forestry</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104</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267</v>
      </c>
      <c r="AC16" s="190">
        <f>INDEX(Tab_Def_Flows[[Flow_ID]:[CC_DM_source]],MATCH(Tab_Data_Flows[[#This Row],[Name(EN)]],Tab_Def_Flows[Name(EN)],0),13)</f>
        <v>0.5</v>
      </c>
      <c r="AD16" s="9">
        <f>IF(J16="Yes",AA16*Tab_Data_Flows[[#This Row],[WC_'[%']]],"N.A.")</f>
        <v>158914.435</v>
      </c>
      <c r="AE16" s="9" t="str">
        <f>Tab_Data_Flows[[#This Row],[UoM_Flow_Py]]</f>
        <v>Mg</v>
      </c>
      <c r="AF16" s="190">
        <f>INDEX(Tab_Def_Flows[[Flow_ID]:[CC_DM_source]],MATCH(Tab_Data_Flows[[#This Row],[Name(EN)]],Tab_Def_Flows[Name(EN)],0),15)</f>
        <v>0.5</v>
      </c>
      <c r="AG16" s="9">
        <f>IF(K16="Yes",AF16*Tab_Data_Flows[[#This Row],[Flow_Py]],"N.A.")</f>
        <v>158914.435</v>
      </c>
      <c r="AH16" s="9" t="str">
        <f>Tab_Data_Flows[[#This Row],[UoM_Flow_Py]]</f>
        <v>Mg</v>
      </c>
      <c r="AI16" s="190">
        <f>INDEX(Tab_Def_Flows[[Flow_ID]:[CC_DM_source]],MATCH(Tab_Data_Flows[[#This Row],[Name(EN)]],Tab_Def_Flows[Name(EN)],0),17)</f>
        <v>0.5</v>
      </c>
      <c r="AJ16" s="9">
        <f>IF(L16="Yes",AI16*Tab_Data_Flows[[#This Row],[Flow_Py]]*Tab_Data_Flows[[#This Row],[DM_'[%']]],"N.A.")</f>
        <v>79457.217499999999</v>
      </c>
      <c r="AK16" s="9" t="str">
        <f>Tab_Data_Flows[[#This Row],[UoM_Flow_Py]]</f>
        <v>Mg</v>
      </c>
    </row>
    <row r="17" spans="1:37" x14ac:dyDescent="0.25">
      <c r="A17" s="16">
        <f t="shared" si="0"/>
        <v>16</v>
      </c>
      <c r="B17" s="9" t="str">
        <f>_xlfn.XLOOKUP(C17,Tab_Def_Flows[Name(EN)],Tab_Def_Flows[Flow_ID],,0,)</f>
        <v>F_00_02</v>
      </c>
      <c r="C17" s="11" t="s">
        <v>269</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Forestry</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104</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267</v>
      </c>
      <c r="AC17" s="190">
        <f>INDEX(Tab_Def_Flows[[Flow_ID]:[CC_DM_source]],MATCH(Tab_Data_Flows[[#This Row],[Name(EN)]],Tab_Def_Flows[Name(EN)],0),13)</f>
        <v>0.5</v>
      </c>
      <c r="AD17" s="9">
        <f>IF(J17="Yes",AA17*Tab_Data_Flows[[#This Row],[WC_'[%']]],"N.A.")</f>
        <v>197934.45</v>
      </c>
      <c r="AE17" s="9" t="str">
        <f>Tab_Data_Flows[[#This Row],[UoM_Flow_Py]]</f>
        <v>Mg</v>
      </c>
      <c r="AF17" s="190">
        <f>INDEX(Tab_Def_Flows[[Flow_ID]:[CC_DM_source]],MATCH(Tab_Data_Flows[[#This Row],[Name(EN)]],Tab_Def_Flows[Name(EN)],0),15)</f>
        <v>0.5</v>
      </c>
      <c r="AG17" s="9">
        <f>IF(K17="Yes",AF17*Tab_Data_Flows[[#This Row],[Flow_Py]],"N.A.")</f>
        <v>197934.45</v>
      </c>
      <c r="AH17" s="9" t="str">
        <f>Tab_Data_Flows[[#This Row],[UoM_Flow_Py]]</f>
        <v>Mg</v>
      </c>
      <c r="AI17" s="190">
        <f>INDEX(Tab_Def_Flows[[Flow_ID]:[CC_DM_source]],MATCH(Tab_Data_Flows[[#This Row],[Name(EN)]],Tab_Def_Flows[Name(EN)],0),17)</f>
        <v>0.5</v>
      </c>
      <c r="AJ17" s="9">
        <f>IF(L17="Yes",AI17*Tab_Data_Flows[[#This Row],[Flow_Py]]*Tab_Data_Flows[[#This Row],[DM_'[%']]],"N.A.")</f>
        <v>98967.225000000006</v>
      </c>
      <c r="AK17" s="9" t="str">
        <f>Tab_Data_Flows[[#This Row],[UoM_Flow_Py]]</f>
        <v>Mg</v>
      </c>
    </row>
    <row r="18" spans="1:37" x14ac:dyDescent="0.25">
      <c r="A18" s="16">
        <f t="shared" si="0"/>
        <v>17</v>
      </c>
      <c r="B18" s="9" t="str">
        <f>_xlfn.XLOOKUP(C18,Tab_Def_Flows[Name(EN)],Tab_Def_Flows[Flow_ID],,0,)</f>
        <v>F_00_02</v>
      </c>
      <c r="C18" s="11" t="s">
        <v>269</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Forestry</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104</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267</v>
      </c>
      <c r="AC18" s="190">
        <f>INDEX(Tab_Def_Flows[[Flow_ID]:[CC_DM_source]],MATCH(Tab_Data_Flows[[#This Row],[Name(EN)]],Tab_Def_Flows[Name(EN)],0),13)</f>
        <v>0.5</v>
      </c>
      <c r="AD18" s="9">
        <f>IF(J18="Yes",AA18*Tab_Data_Flows[[#This Row],[WC_'[%']]],"N.A.")</f>
        <v>162139.25</v>
      </c>
      <c r="AE18" s="9" t="str">
        <f>Tab_Data_Flows[[#This Row],[UoM_Flow_Py]]</f>
        <v>Mg</v>
      </c>
      <c r="AF18" s="190">
        <f>INDEX(Tab_Def_Flows[[Flow_ID]:[CC_DM_source]],MATCH(Tab_Data_Flows[[#This Row],[Name(EN)]],Tab_Def_Flows[Name(EN)],0),15)</f>
        <v>0.5</v>
      </c>
      <c r="AG18" s="9">
        <f>IF(K18="Yes",AF18*Tab_Data_Flows[[#This Row],[Flow_Py]],"N.A.")</f>
        <v>162139.25</v>
      </c>
      <c r="AH18" s="9" t="str">
        <f>Tab_Data_Flows[[#This Row],[UoM_Flow_Py]]</f>
        <v>Mg</v>
      </c>
      <c r="AI18" s="190">
        <f>INDEX(Tab_Def_Flows[[Flow_ID]:[CC_DM_source]],MATCH(Tab_Data_Flows[[#This Row],[Name(EN)]],Tab_Def_Flows[Name(EN)],0),17)</f>
        <v>0.5</v>
      </c>
      <c r="AJ18" s="9">
        <f>IF(L18="Yes",AI18*Tab_Data_Flows[[#This Row],[Flow_Py]]*Tab_Data_Flows[[#This Row],[DM_'[%']]],"N.A.")</f>
        <v>81069.625</v>
      </c>
      <c r="AK18" s="9" t="str">
        <f>Tab_Data_Flows[[#This Row],[UoM_Flow_Py]]</f>
        <v>Mg</v>
      </c>
    </row>
    <row r="19" spans="1:37" x14ac:dyDescent="0.25">
      <c r="A19" s="16">
        <f t="shared" si="0"/>
        <v>18</v>
      </c>
      <c r="B19" s="9" t="str">
        <f>_xlfn.XLOOKUP(C19,Tab_Def_Flows[Name(EN)],Tab_Def_Flows[Flow_ID],,0,)</f>
        <v>F_00_02</v>
      </c>
      <c r="C19" s="11" t="s">
        <v>269</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Forestry</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104</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267</v>
      </c>
      <c r="AC19" s="190">
        <f>INDEX(Tab_Def_Flows[[Flow_ID]:[CC_DM_source]],MATCH(Tab_Data_Flows[[#This Row],[Name(EN)]],Tab_Def_Flows[Name(EN)],0),13)</f>
        <v>0.5</v>
      </c>
      <c r="AD19" s="9">
        <f>IF(J19="Yes",AA19*Tab_Data_Flows[[#This Row],[WC_'[%']]],"N.A.")</f>
        <v>178001.42499999999</v>
      </c>
      <c r="AE19" s="9" t="str">
        <f>Tab_Data_Flows[[#This Row],[UoM_Flow_Py]]</f>
        <v>Mg</v>
      </c>
      <c r="AF19" s="190">
        <f>INDEX(Tab_Def_Flows[[Flow_ID]:[CC_DM_source]],MATCH(Tab_Data_Flows[[#This Row],[Name(EN)]],Tab_Def_Flows[Name(EN)],0),15)</f>
        <v>0.5</v>
      </c>
      <c r="AG19" s="9">
        <f>IF(K19="Yes",AF19*Tab_Data_Flows[[#This Row],[Flow_Py]],"N.A.")</f>
        <v>178001.42499999999</v>
      </c>
      <c r="AH19" s="9" t="str">
        <f>Tab_Data_Flows[[#This Row],[UoM_Flow_Py]]</f>
        <v>Mg</v>
      </c>
      <c r="AI19" s="190">
        <f>INDEX(Tab_Def_Flows[[Flow_ID]:[CC_DM_source]],MATCH(Tab_Data_Flows[[#This Row],[Name(EN)]],Tab_Def_Flows[Name(EN)],0),17)</f>
        <v>0.5</v>
      </c>
      <c r="AJ19" s="9">
        <f>IF(L19="Yes",AI19*Tab_Data_Flows[[#This Row],[Flow_Py]]*Tab_Data_Flows[[#This Row],[DM_'[%']]],"N.A.")</f>
        <v>89000.712499999994</v>
      </c>
      <c r="AK19" s="9" t="str">
        <f>Tab_Data_Flows[[#This Row],[UoM_Flow_Py]]</f>
        <v>Mg</v>
      </c>
    </row>
    <row r="20" spans="1:37" x14ac:dyDescent="0.25">
      <c r="A20" s="16">
        <f t="shared" si="0"/>
        <v>19</v>
      </c>
      <c r="B20" s="9" t="str">
        <f>_xlfn.XLOOKUP(C20,Tab_Def_Flows[Name(EN)],Tab_Def_Flows[Flow_ID],,0,)</f>
        <v>F_00_02</v>
      </c>
      <c r="C20" s="11" t="s">
        <v>269</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Forestry</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104</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267</v>
      </c>
      <c r="AC20" s="190">
        <f>INDEX(Tab_Def_Flows[[Flow_ID]:[CC_DM_source]],MATCH(Tab_Data_Flows[[#This Row],[Name(EN)]],Tab_Def_Flows[Name(EN)],0),13)</f>
        <v>0.5</v>
      </c>
      <c r="AD20" s="9">
        <f>IF(J20="Yes",AA20*Tab_Data_Flows[[#This Row],[WC_'[%']]],"N.A.")</f>
        <v>172345.51</v>
      </c>
      <c r="AE20" s="9" t="str">
        <f>Tab_Data_Flows[[#This Row],[UoM_Flow_Py]]</f>
        <v>Mg</v>
      </c>
      <c r="AF20" s="190">
        <f>INDEX(Tab_Def_Flows[[Flow_ID]:[CC_DM_source]],MATCH(Tab_Data_Flows[[#This Row],[Name(EN)]],Tab_Def_Flows[Name(EN)],0),15)</f>
        <v>0.5</v>
      </c>
      <c r="AG20" s="9">
        <f>IF(K20="Yes",AF20*Tab_Data_Flows[[#This Row],[Flow_Py]],"N.A.")</f>
        <v>172345.51</v>
      </c>
      <c r="AH20" s="9" t="str">
        <f>Tab_Data_Flows[[#This Row],[UoM_Flow_Py]]</f>
        <v>Mg</v>
      </c>
      <c r="AI20" s="190">
        <f>INDEX(Tab_Def_Flows[[Flow_ID]:[CC_DM_source]],MATCH(Tab_Data_Flows[[#This Row],[Name(EN)]],Tab_Def_Flows[Name(EN)],0),17)</f>
        <v>0.5</v>
      </c>
      <c r="AJ20" s="9">
        <f>IF(L20="Yes",AI20*Tab_Data_Flows[[#This Row],[Flow_Py]]*Tab_Data_Flows[[#This Row],[DM_'[%']]],"N.A.")</f>
        <v>86172.755000000005</v>
      </c>
      <c r="AK20" s="9" t="str">
        <f>Tab_Data_Flows[[#This Row],[UoM_Flow_Py]]</f>
        <v>Mg</v>
      </c>
    </row>
    <row r="21" spans="1:37" x14ac:dyDescent="0.25">
      <c r="A21" s="16">
        <f t="shared" si="0"/>
        <v>20</v>
      </c>
      <c r="B21" s="9" t="str">
        <f>_xlfn.XLOOKUP(C21,Tab_Def_Flows[Name(EN)],Tab_Def_Flows[Flow_ID],,0,)</f>
        <v>F_00_02</v>
      </c>
      <c r="C21" s="11" t="s">
        <v>269</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Forestry</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104</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267</v>
      </c>
      <c r="AC21" s="190">
        <f>INDEX(Tab_Def_Flows[[Flow_ID]:[CC_DM_source]],MATCH(Tab_Data_Flows[[#This Row],[Name(EN)]],Tab_Def_Flows[Name(EN)],0),13)</f>
        <v>0.5</v>
      </c>
      <c r="AD21" s="9">
        <f>IF(J21="Yes",AA21*Tab_Data_Flows[[#This Row],[WC_'[%']]],"N.A.")</f>
        <v>153746.08499999999</v>
      </c>
      <c r="AE21" s="9" t="str">
        <f>Tab_Data_Flows[[#This Row],[UoM_Flow_Py]]</f>
        <v>Mg</v>
      </c>
      <c r="AF21" s="190">
        <f>INDEX(Tab_Def_Flows[[Flow_ID]:[CC_DM_source]],MATCH(Tab_Data_Flows[[#This Row],[Name(EN)]],Tab_Def_Flows[Name(EN)],0),15)</f>
        <v>0.5</v>
      </c>
      <c r="AG21" s="9">
        <f>IF(K21="Yes",AF21*Tab_Data_Flows[[#This Row],[Flow_Py]],"N.A.")</f>
        <v>153746.08499999999</v>
      </c>
      <c r="AH21" s="9" t="str">
        <f>Tab_Data_Flows[[#This Row],[UoM_Flow_Py]]</f>
        <v>Mg</v>
      </c>
      <c r="AI21" s="190">
        <f>INDEX(Tab_Def_Flows[[Flow_ID]:[CC_DM_source]],MATCH(Tab_Data_Flows[[#This Row],[Name(EN)]],Tab_Def_Flows[Name(EN)],0),17)</f>
        <v>0.5</v>
      </c>
      <c r="AJ21" s="9">
        <f>IF(L21="Yes",AI21*Tab_Data_Flows[[#This Row],[Flow_Py]]*Tab_Data_Flows[[#This Row],[DM_'[%']]],"N.A.")</f>
        <v>76873.042499999996</v>
      </c>
      <c r="AK21" s="9" t="str">
        <f>Tab_Data_Flows[[#This Row],[UoM_Flow_Py]]</f>
        <v>Mg</v>
      </c>
    </row>
    <row r="22" spans="1:37" x14ac:dyDescent="0.25">
      <c r="A22" s="16">
        <f t="shared" si="0"/>
        <v>21</v>
      </c>
      <c r="B22" s="9" t="str">
        <f>_xlfn.XLOOKUP(C22,Tab_Def_Flows[Name(EN)],Tab_Def_Flows[Flow_ID],,0,)</f>
        <v>F_00_02</v>
      </c>
      <c r="C22" s="11" t="s">
        <v>269</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Forestry</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104</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267</v>
      </c>
      <c r="AC22" s="190">
        <f>INDEX(Tab_Def_Flows[[Flow_ID]:[CC_DM_source]],MATCH(Tab_Data_Flows[[#This Row],[Name(EN)]],Tab_Def_Flows[Name(EN)],0),13)</f>
        <v>0.5</v>
      </c>
      <c r="AD22" s="9">
        <f>IF(J22="Yes",AA22*Tab_Data_Flows[[#This Row],[WC_'[%']]],"N.A.")</f>
        <v>158283.375</v>
      </c>
      <c r="AE22" s="9" t="str">
        <f>Tab_Data_Flows[[#This Row],[UoM_Flow_Py]]</f>
        <v>Mg</v>
      </c>
      <c r="AF22" s="190">
        <f>INDEX(Tab_Def_Flows[[Flow_ID]:[CC_DM_source]],MATCH(Tab_Data_Flows[[#This Row],[Name(EN)]],Tab_Def_Flows[Name(EN)],0),15)</f>
        <v>0.5</v>
      </c>
      <c r="AG22" s="9">
        <f>IF(K22="Yes",AF22*Tab_Data_Flows[[#This Row],[Flow_Py]],"N.A.")</f>
        <v>158283.375</v>
      </c>
      <c r="AH22" s="9" t="str">
        <f>Tab_Data_Flows[[#This Row],[UoM_Flow_Py]]</f>
        <v>Mg</v>
      </c>
      <c r="AI22" s="190">
        <f>INDEX(Tab_Def_Flows[[Flow_ID]:[CC_DM_source]],MATCH(Tab_Data_Flows[[#This Row],[Name(EN)]],Tab_Def_Flows[Name(EN)],0),17)</f>
        <v>0.5</v>
      </c>
      <c r="AJ22" s="9">
        <f>IF(L22="Yes",AI22*Tab_Data_Flows[[#This Row],[Flow_Py]]*Tab_Data_Flows[[#This Row],[DM_'[%']]],"N.A.")</f>
        <v>79141.6875</v>
      </c>
      <c r="AK22" s="9" t="str">
        <f>Tab_Data_Flows[[#This Row],[UoM_Flow_Py]]</f>
        <v>Mg</v>
      </c>
    </row>
    <row r="23" spans="1:37" x14ac:dyDescent="0.25">
      <c r="A23" s="16">
        <f t="shared" si="0"/>
        <v>22</v>
      </c>
      <c r="B23" s="9" t="str">
        <f>_xlfn.XLOOKUP(C23,Tab_Def_Flows[Name(EN)],Tab_Def_Flows[Flow_ID],,0,)</f>
        <v>F_00_02</v>
      </c>
      <c r="C23" s="11" t="s">
        <v>269</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Forestry</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104</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267</v>
      </c>
      <c r="AC23" s="190">
        <f>INDEX(Tab_Def_Flows[[Flow_ID]:[CC_DM_source]],MATCH(Tab_Data_Flows[[#This Row],[Name(EN)]],Tab_Def_Flows[Name(EN)],0),13)</f>
        <v>0.5</v>
      </c>
      <c r="AD23" s="9">
        <f>IF(J23="Yes",AA23*Tab_Data_Flows[[#This Row],[WC_'[%']]],"N.A.")</f>
        <v>173694.465</v>
      </c>
      <c r="AE23" s="9" t="str">
        <f>Tab_Data_Flows[[#This Row],[UoM_Flow_Py]]</f>
        <v>Mg</v>
      </c>
      <c r="AF23" s="190">
        <f>INDEX(Tab_Def_Flows[[Flow_ID]:[CC_DM_source]],MATCH(Tab_Data_Flows[[#This Row],[Name(EN)]],Tab_Def_Flows[Name(EN)],0),15)</f>
        <v>0.5</v>
      </c>
      <c r="AG23" s="9">
        <f>IF(K23="Yes",AF23*Tab_Data_Flows[[#This Row],[Flow_Py]],"N.A.")</f>
        <v>173694.465</v>
      </c>
      <c r="AH23" s="9" t="str">
        <f>Tab_Data_Flows[[#This Row],[UoM_Flow_Py]]</f>
        <v>Mg</v>
      </c>
      <c r="AI23" s="190">
        <f>INDEX(Tab_Def_Flows[[Flow_ID]:[CC_DM_source]],MATCH(Tab_Data_Flows[[#This Row],[Name(EN)]],Tab_Def_Flows[Name(EN)],0),17)</f>
        <v>0.5</v>
      </c>
      <c r="AJ23" s="9">
        <f>IF(L23="Yes",AI23*Tab_Data_Flows[[#This Row],[Flow_Py]]*Tab_Data_Flows[[#This Row],[DM_'[%']]],"N.A.")</f>
        <v>86847.232499999998</v>
      </c>
      <c r="AK23" s="9" t="str">
        <f>Tab_Data_Flows[[#This Row],[UoM_Flow_Py]]</f>
        <v>Mg</v>
      </c>
    </row>
    <row r="24" spans="1:37" x14ac:dyDescent="0.25">
      <c r="A24" s="16">
        <f t="shared" si="0"/>
        <v>23</v>
      </c>
      <c r="B24" s="9" t="str">
        <f>_xlfn.XLOOKUP(C24,Tab_Def_Flows[Name(EN)],Tab_Def_Flows[Flow_ID],,0,)</f>
        <v>F_00_02</v>
      </c>
      <c r="C24" s="11" t="s">
        <v>269</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Forestry</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104</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267</v>
      </c>
      <c r="AC24" s="190">
        <f>INDEX(Tab_Def_Flows[[Flow_ID]:[CC_DM_source]],MATCH(Tab_Data_Flows[[#This Row],[Name(EN)]],Tab_Def_Flows[Name(EN)],0),13)</f>
        <v>0.5</v>
      </c>
      <c r="AD24" s="9">
        <f>IF(J24="Yes",AA24*Tab_Data_Flows[[#This Row],[WC_'[%']]],"N.A.")</f>
        <v>176899.66500000001</v>
      </c>
      <c r="AE24" s="9" t="str">
        <f>Tab_Data_Flows[[#This Row],[UoM_Flow_Py]]</f>
        <v>Mg</v>
      </c>
      <c r="AF24" s="190">
        <f>INDEX(Tab_Def_Flows[[Flow_ID]:[CC_DM_source]],MATCH(Tab_Data_Flows[[#This Row],[Name(EN)]],Tab_Def_Flows[Name(EN)],0),15)</f>
        <v>0.5</v>
      </c>
      <c r="AG24" s="9">
        <f>IF(K24="Yes",AF24*Tab_Data_Flows[[#This Row],[Flow_Py]],"N.A.")</f>
        <v>176899.66500000001</v>
      </c>
      <c r="AH24" s="9" t="str">
        <f>Tab_Data_Flows[[#This Row],[UoM_Flow_Py]]</f>
        <v>Mg</v>
      </c>
      <c r="AI24" s="190">
        <f>INDEX(Tab_Def_Flows[[Flow_ID]:[CC_DM_source]],MATCH(Tab_Data_Flows[[#This Row],[Name(EN)]],Tab_Def_Flows[Name(EN)],0),17)</f>
        <v>0.5</v>
      </c>
      <c r="AJ24" s="9">
        <f>IF(L24="Yes",AI24*Tab_Data_Flows[[#This Row],[Flow_Py]]*Tab_Data_Flows[[#This Row],[DM_'[%']]],"N.A.")</f>
        <v>88449.832500000004</v>
      </c>
      <c r="AK24" s="9" t="str">
        <f>Tab_Data_Flows[[#This Row],[UoM_Flow_Py]]</f>
        <v>Mg</v>
      </c>
    </row>
    <row r="25" spans="1:37" x14ac:dyDescent="0.25">
      <c r="A25" s="16">
        <f t="shared" si="0"/>
        <v>24</v>
      </c>
      <c r="B25" s="9" t="str">
        <f>_xlfn.XLOOKUP(C25,Tab_Def_Flows[Name(EN)],Tab_Def_Flows[Flow_ID],,0,)</f>
        <v>F_00_02</v>
      </c>
      <c r="C25" s="11" t="s">
        <v>269</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Forestry</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104</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267</v>
      </c>
      <c r="AC25" s="190">
        <f>INDEX(Tab_Def_Flows[[Flow_ID]:[CC_DM_source]],MATCH(Tab_Data_Flows[[#This Row],[Name(EN)]],Tab_Def_Flows[Name(EN)],0),13)</f>
        <v>0.5</v>
      </c>
      <c r="AD25" s="9">
        <f>IF(J25="Yes",AA25*Tab_Data_Flows[[#This Row],[WC_'[%']]],"N.A.")</f>
        <v>144755.405</v>
      </c>
      <c r="AE25" s="9" t="str">
        <f>Tab_Data_Flows[[#This Row],[UoM_Flow_Py]]</f>
        <v>Mg</v>
      </c>
      <c r="AF25" s="190">
        <f>INDEX(Tab_Def_Flows[[Flow_ID]:[CC_DM_source]],MATCH(Tab_Data_Flows[[#This Row],[Name(EN)]],Tab_Def_Flows[Name(EN)],0),15)</f>
        <v>0.5</v>
      </c>
      <c r="AG25" s="9">
        <f>IF(K25="Yes",AF25*Tab_Data_Flows[[#This Row],[Flow_Py]],"N.A.")</f>
        <v>144755.405</v>
      </c>
      <c r="AH25" s="9" t="str">
        <f>Tab_Data_Flows[[#This Row],[UoM_Flow_Py]]</f>
        <v>Mg</v>
      </c>
      <c r="AI25" s="190">
        <f>INDEX(Tab_Def_Flows[[Flow_ID]:[CC_DM_source]],MATCH(Tab_Data_Flows[[#This Row],[Name(EN)]],Tab_Def_Flows[Name(EN)],0),17)</f>
        <v>0.5</v>
      </c>
      <c r="AJ25" s="9">
        <f>IF(L25="Yes",AI25*Tab_Data_Flows[[#This Row],[Flow_Py]]*Tab_Data_Flows[[#This Row],[DM_'[%']]],"N.A.")</f>
        <v>72377.702499999999</v>
      </c>
      <c r="AK25" s="9" t="str">
        <f>Tab_Data_Flows[[#This Row],[UoM_Flow_Py]]</f>
        <v>Mg</v>
      </c>
    </row>
    <row r="26" spans="1:37" x14ac:dyDescent="0.25">
      <c r="A26" s="16">
        <f t="shared" si="0"/>
        <v>25</v>
      </c>
      <c r="B26" s="9" t="str">
        <f>_xlfn.XLOOKUP(C26,Tab_Def_Flows[Name(EN)],Tab_Def_Flows[Flow_ID],,0,)</f>
        <v>F_00_02</v>
      </c>
      <c r="C26" s="11" t="s">
        <v>269</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Forestry</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104</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267</v>
      </c>
      <c r="AC26" s="190">
        <f>INDEX(Tab_Def_Flows[[Flow_ID]:[CC_DM_source]],MATCH(Tab_Data_Flows[[#This Row],[Name(EN)]],Tab_Def_Flows[Name(EN)],0),13)</f>
        <v>0.5</v>
      </c>
      <c r="AD26" s="9">
        <f>IF(J26="Yes",AA26*Tab_Data_Flows[[#This Row],[WC_'[%']]],"N.A.")</f>
        <v>170880.02499999999</v>
      </c>
      <c r="AE26" s="9" t="str">
        <f>Tab_Data_Flows[[#This Row],[UoM_Flow_Py]]</f>
        <v>Mg</v>
      </c>
      <c r="AF26" s="190">
        <f>INDEX(Tab_Def_Flows[[Flow_ID]:[CC_DM_source]],MATCH(Tab_Data_Flows[[#This Row],[Name(EN)]],Tab_Def_Flows[Name(EN)],0),15)</f>
        <v>0.5</v>
      </c>
      <c r="AG26" s="9">
        <f>IF(K26="Yes",AF26*Tab_Data_Flows[[#This Row],[Flow_Py]],"N.A.")</f>
        <v>170880.02499999999</v>
      </c>
      <c r="AH26" s="9" t="str">
        <f>Tab_Data_Flows[[#This Row],[UoM_Flow_Py]]</f>
        <v>Mg</v>
      </c>
      <c r="AI26" s="190">
        <f>INDEX(Tab_Def_Flows[[Flow_ID]:[CC_DM_source]],MATCH(Tab_Data_Flows[[#This Row],[Name(EN)]],Tab_Def_Flows[Name(EN)],0),17)</f>
        <v>0.5</v>
      </c>
      <c r="AJ26" s="9">
        <f>IF(L26="Yes",AI26*Tab_Data_Flows[[#This Row],[Flow_Py]]*Tab_Data_Flows[[#This Row],[DM_'[%']]],"N.A.")</f>
        <v>85440.012499999997</v>
      </c>
      <c r="AK26" s="9" t="str">
        <f>Tab_Data_Flows[[#This Row],[UoM_Flow_Py]]</f>
        <v>Mg</v>
      </c>
    </row>
    <row r="27" spans="1:37" x14ac:dyDescent="0.25">
      <c r="A27" s="16">
        <f t="shared" si="0"/>
        <v>26</v>
      </c>
      <c r="B27" s="9" t="str">
        <f>_xlfn.XLOOKUP(C27,Tab_Def_Flows[Name(EN)],Tab_Def_Flows[Flow_ID],,0,)</f>
        <v>F_00_02</v>
      </c>
      <c r="C27" s="11" t="s">
        <v>269</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Forestry</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104</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267</v>
      </c>
      <c r="AC27" s="190">
        <f>INDEX(Tab_Def_Flows[[Flow_ID]:[CC_DM_source]],MATCH(Tab_Data_Flows[[#This Row],[Name(EN)]],Tab_Def_Flows[Name(EN)],0),13)</f>
        <v>0.5</v>
      </c>
      <c r="AD27" s="9">
        <f>IF(J27="Yes",AA27*Tab_Data_Flows[[#This Row],[WC_'[%']]],"N.A.")</f>
        <v>167957.655</v>
      </c>
      <c r="AE27" s="9" t="str">
        <f>Tab_Data_Flows[[#This Row],[UoM_Flow_Py]]</f>
        <v>Mg</v>
      </c>
      <c r="AF27" s="190">
        <f>INDEX(Tab_Def_Flows[[Flow_ID]:[CC_DM_source]],MATCH(Tab_Data_Flows[[#This Row],[Name(EN)]],Tab_Def_Flows[Name(EN)],0),15)</f>
        <v>0.5</v>
      </c>
      <c r="AG27" s="9">
        <f>IF(K27="Yes",AF27*Tab_Data_Flows[[#This Row],[Flow_Py]],"N.A.")</f>
        <v>167957.655</v>
      </c>
      <c r="AH27" s="9" t="str">
        <f>Tab_Data_Flows[[#This Row],[UoM_Flow_Py]]</f>
        <v>Mg</v>
      </c>
      <c r="AI27" s="190">
        <f>INDEX(Tab_Def_Flows[[Flow_ID]:[CC_DM_source]],MATCH(Tab_Data_Flows[[#This Row],[Name(EN)]],Tab_Def_Flows[Name(EN)],0),17)</f>
        <v>0.5</v>
      </c>
      <c r="AJ27" s="9">
        <f>IF(L27="Yes",AI27*Tab_Data_Flows[[#This Row],[Flow_Py]]*Tab_Data_Flows[[#This Row],[DM_'[%']]],"N.A.")</f>
        <v>83978.827499999999</v>
      </c>
      <c r="AK27" s="9" t="str">
        <f>Tab_Data_Flows[[#This Row],[UoM_Flow_Py]]</f>
        <v>Mg</v>
      </c>
    </row>
    <row r="28" spans="1:37" x14ac:dyDescent="0.25">
      <c r="A28" s="16">
        <f t="shared" si="0"/>
        <v>27</v>
      </c>
      <c r="B28" s="9" t="str">
        <f>_xlfn.XLOOKUP(C28,Tab_Def_Flows[Name(EN)],Tab_Def_Flows[Flow_ID],,0,)</f>
        <v>F_01_02</v>
      </c>
      <c r="C28" s="11" t="s">
        <v>270</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Forestry</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104</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267</v>
      </c>
      <c r="AC28" s="190">
        <f>INDEX(Tab_Def_Flows[[Flow_ID]:[CC_DM_source]],MATCH(Tab_Data_Flows[[#This Row],[Name(EN)]],Tab_Def_Flows[Name(EN)],0),13)</f>
        <v>0.5</v>
      </c>
      <c r="AD28" s="9">
        <f>IF(J28="Yes",AA28*Tab_Data_Flows[[#This Row],[WC_'[%']]],"N.A.")</f>
        <v>211881.74</v>
      </c>
      <c r="AE28" s="9" t="str">
        <f>Tab_Data_Flows[[#This Row],[UoM_Flow_Py]]</f>
        <v>Mg</v>
      </c>
      <c r="AF28" s="190">
        <f>INDEX(Tab_Def_Flows[[Flow_ID]:[CC_DM_source]],MATCH(Tab_Data_Flows[[#This Row],[Name(EN)]],Tab_Def_Flows[Name(EN)],0),15)</f>
        <v>0.5</v>
      </c>
      <c r="AG28" s="9">
        <f>IF(K28="Yes",AF28*Tab_Data_Flows[[#This Row],[Flow_Py]],"N.A.")</f>
        <v>211881.74</v>
      </c>
      <c r="AH28" s="9" t="str">
        <f>Tab_Data_Flows[[#This Row],[UoM_Flow_Py]]</f>
        <v>Mg</v>
      </c>
      <c r="AI28" s="190">
        <f>INDEX(Tab_Def_Flows[[Flow_ID]:[CC_DM_source]],MATCH(Tab_Data_Flows[[#This Row],[Name(EN)]],Tab_Def_Flows[Name(EN)],0),17)</f>
        <v>0.5</v>
      </c>
      <c r="AJ28" s="9">
        <f>IF(L28="Yes",AI28*Tab_Data_Flows[[#This Row],[Flow_Py]]*Tab_Data_Flows[[#This Row],[DM_'[%']]],"N.A.")</f>
        <v>105940.87</v>
      </c>
      <c r="AK28" s="9" t="str">
        <f>Tab_Data_Flows[[#This Row],[UoM_Flow_Py]]</f>
        <v>Mg</v>
      </c>
    </row>
    <row r="29" spans="1:37" x14ac:dyDescent="0.25">
      <c r="A29" s="16">
        <f t="shared" si="0"/>
        <v>28</v>
      </c>
      <c r="B29" s="9" t="str">
        <f>_xlfn.XLOOKUP(C29,Tab_Def_Flows[Name(EN)],Tab_Def_Flows[Flow_ID],,0,)</f>
        <v>F_01_02</v>
      </c>
      <c r="C29" s="11" t="s">
        <v>270</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Forestry</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104</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267</v>
      </c>
      <c r="AC29" s="190">
        <f>INDEX(Tab_Def_Flows[[Flow_ID]:[CC_DM_source]],MATCH(Tab_Data_Flows[[#This Row],[Name(EN)]],Tab_Def_Flows[Name(EN)],0),13)</f>
        <v>0.5</v>
      </c>
      <c r="AD29" s="9">
        <f>IF(J29="Yes",AA29*Tab_Data_Flows[[#This Row],[WC_'[%']]],"N.A.")</f>
        <v>241211.82</v>
      </c>
      <c r="AE29" s="9" t="str">
        <f>Tab_Data_Flows[[#This Row],[UoM_Flow_Py]]</f>
        <v>Mg</v>
      </c>
      <c r="AF29" s="190">
        <f>INDEX(Tab_Def_Flows[[Flow_ID]:[CC_DM_source]],MATCH(Tab_Data_Flows[[#This Row],[Name(EN)]],Tab_Def_Flows[Name(EN)],0),15)</f>
        <v>0.5</v>
      </c>
      <c r="AG29" s="9">
        <f>IF(K29="Yes",AF29*Tab_Data_Flows[[#This Row],[Flow_Py]],"N.A.")</f>
        <v>241211.82</v>
      </c>
      <c r="AH29" s="9" t="str">
        <f>Tab_Data_Flows[[#This Row],[UoM_Flow_Py]]</f>
        <v>Mg</v>
      </c>
      <c r="AI29" s="190">
        <f>INDEX(Tab_Def_Flows[[Flow_ID]:[CC_DM_source]],MATCH(Tab_Data_Flows[[#This Row],[Name(EN)]],Tab_Def_Flows[Name(EN)],0),17)</f>
        <v>0.5</v>
      </c>
      <c r="AJ29" s="9">
        <f>IF(L29="Yes",AI29*Tab_Data_Flows[[#This Row],[Flow_Py]]*Tab_Data_Flows[[#This Row],[DM_'[%']]],"N.A.")</f>
        <v>120605.91</v>
      </c>
      <c r="AK29" s="9" t="str">
        <f>Tab_Data_Flows[[#This Row],[UoM_Flow_Py]]</f>
        <v>Mg</v>
      </c>
    </row>
    <row r="30" spans="1:37" x14ac:dyDescent="0.25">
      <c r="A30" s="16">
        <f t="shared" si="0"/>
        <v>29</v>
      </c>
      <c r="B30" s="9" t="str">
        <f>_xlfn.XLOOKUP(C30,Tab_Def_Flows[Name(EN)],Tab_Def_Flows[Flow_ID],,0,)</f>
        <v>F_01_02</v>
      </c>
      <c r="C30" s="11" t="s">
        <v>270</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Forestry</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104</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267</v>
      </c>
      <c r="AC30" s="190">
        <f>INDEX(Tab_Def_Flows[[Flow_ID]:[CC_DM_source]],MATCH(Tab_Data_Flows[[#This Row],[Name(EN)]],Tab_Def_Flows[Name(EN)],0),13)</f>
        <v>0.5</v>
      </c>
      <c r="AD30" s="9">
        <f>IF(J30="Yes",AA30*Tab_Data_Flows[[#This Row],[WC_'[%']]],"N.A.")</f>
        <v>182824.42499999999</v>
      </c>
      <c r="AE30" s="9" t="str">
        <f>Tab_Data_Flows[[#This Row],[UoM_Flow_Py]]</f>
        <v>Mg</v>
      </c>
      <c r="AF30" s="190">
        <f>INDEX(Tab_Def_Flows[[Flow_ID]:[CC_DM_source]],MATCH(Tab_Data_Flows[[#This Row],[Name(EN)]],Tab_Def_Flows[Name(EN)],0),15)</f>
        <v>0.5</v>
      </c>
      <c r="AG30" s="9">
        <f>IF(K30="Yes",AF30*Tab_Data_Flows[[#This Row],[Flow_Py]],"N.A.")</f>
        <v>182824.42499999999</v>
      </c>
      <c r="AH30" s="9" t="str">
        <f>Tab_Data_Flows[[#This Row],[UoM_Flow_Py]]</f>
        <v>Mg</v>
      </c>
      <c r="AI30" s="190">
        <f>INDEX(Tab_Def_Flows[[Flow_ID]:[CC_DM_source]],MATCH(Tab_Data_Flows[[#This Row],[Name(EN)]],Tab_Def_Flows[Name(EN)],0),17)</f>
        <v>0.5</v>
      </c>
      <c r="AJ30" s="9">
        <f>IF(L30="Yes",AI30*Tab_Data_Flows[[#This Row],[Flow_Py]]*Tab_Data_Flows[[#This Row],[DM_'[%']]],"N.A.")</f>
        <v>91412.212499999994</v>
      </c>
      <c r="AK30" s="9" t="str">
        <f>Tab_Data_Flows[[#This Row],[UoM_Flow_Py]]</f>
        <v>Mg</v>
      </c>
    </row>
    <row r="31" spans="1:37" x14ac:dyDescent="0.25">
      <c r="A31" s="16">
        <f t="shared" si="0"/>
        <v>30</v>
      </c>
      <c r="B31" s="9" t="str">
        <f>_xlfn.XLOOKUP(C31,Tab_Def_Flows[Name(EN)],Tab_Def_Flows[Flow_ID],,0,)</f>
        <v>F_01_02</v>
      </c>
      <c r="C31" s="11" t="s">
        <v>270</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Forestry</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104</v>
      </c>
      <c r="O31" s="48">
        <v>375603.12</v>
      </c>
      <c r="P31" s="11"/>
      <c r="Q31" s="11"/>
      <c r="R31" s="11"/>
      <c r="S31" s="11"/>
      <c r="T31" s="11"/>
      <c r="U31" s="11"/>
      <c r="V31" s="11"/>
      <c r="W31" s="11"/>
      <c r="X31" s="11" t="s">
        <v>8</v>
      </c>
      <c r="Y31" s="41"/>
      <c r="Z31" s="11"/>
      <c r="AA31" s="35">
        <f t="shared" si="1"/>
        <v>375603.12</v>
      </c>
      <c r="AB31" s="11" t="s">
        <v>267</v>
      </c>
      <c r="AC31" s="190">
        <f>INDEX(Tab_Def_Flows[[Flow_ID]:[CC_DM_source]],MATCH(Tab_Data_Flows[[#This Row],[Name(EN)]],Tab_Def_Flows[Name(EN)],0),13)</f>
        <v>0.5</v>
      </c>
      <c r="AD31" s="9">
        <f>IF(J31="Yes",AA31*Tab_Data_Flows[[#This Row],[WC_'[%']]],"N.A.")</f>
        <v>187801.56</v>
      </c>
      <c r="AE31" s="9" t="str">
        <f>Tab_Data_Flows[[#This Row],[UoM_Flow_Py]]</f>
        <v>Mg</v>
      </c>
      <c r="AF31" s="190">
        <f>INDEX(Tab_Def_Flows[[Flow_ID]:[CC_DM_source]],MATCH(Tab_Data_Flows[[#This Row],[Name(EN)]],Tab_Def_Flows[Name(EN)],0),15)</f>
        <v>0.5</v>
      </c>
      <c r="AG31" s="9">
        <f>IF(K31="Yes",AF31*Tab_Data_Flows[[#This Row],[Flow_Py]],"N.A.")</f>
        <v>187801.56</v>
      </c>
      <c r="AH31" s="9" t="str">
        <f>Tab_Data_Flows[[#This Row],[UoM_Flow_Py]]</f>
        <v>Mg</v>
      </c>
      <c r="AI31" s="190">
        <f>INDEX(Tab_Def_Flows[[Flow_ID]:[CC_DM_source]],MATCH(Tab_Data_Flows[[#This Row],[Name(EN)]],Tab_Def_Flows[Name(EN)],0),17)</f>
        <v>0.5</v>
      </c>
      <c r="AJ31" s="9">
        <f>IF(L31="Yes",AI31*Tab_Data_Flows[[#This Row],[Flow_Py]]*Tab_Data_Flows[[#This Row],[DM_'[%']]],"N.A.")</f>
        <v>93900.78</v>
      </c>
      <c r="AK31" s="9" t="str">
        <f>Tab_Data_Flows[[#This Row],[UoM_Flow_Py]]</f>
        <v>Mg</v>
      </c>
    </row>
    <row r="32" spans="1:37" x14ac:dyDescent="0.25">
      <c r="A32" s="16">
        <f t="shared" si="0"/>
        <v>31</v>
      </c>
      <c r="B32" s="9" t="str">
        <f>_xlfn.XLOOKUP(C32,Tab_Def_Flows[Name(EN)],Tab_Def_Flows[Flow_ID],,0,)</f>
        <v>F_01_02</v>
      </c>
      <c r="C32" s="11" t="s">
        <v>270</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Forestry</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104</v>
      </c>
      <c r="O32" s="48">
        <v>489551.57</v>
      </c>
      <c r="P32" s="11"/>
      <c r="Q32" s="11"/>
      <c r="R32" s="11"/>
      <c r="S32" s="11"/>
      <c r="T32" s="11"/>
      <c r="U32" s="11"/>
      <c r="V32" s="11"/>
      <c r="W32" s="11"/>
      <c r="X32" s="11" t="s">
        <v>8</v>
      </c>
      <c r="Y32" s="41"/>
      <c r="Z32" s="11"/>
      <c r="AA32" s="35">
        <f t="shared" si="1"/>
        <v>489551.57</v>
      </c>
      <c r="AB32" s="11" t="s">
        <v>267</v>
      </c>
      <c r="AC32" s="190">
        <f>INDEX(Tab_Def_Flows[[Flow_ID]:[CC_DM_source]],MATCH(Tab_Data_Flows[[#This Row],[Name(EN)]],Tab_Def_Flows[Name(EN)],0),13)</f>
        <v>0.5</v>
      </c>
      <c r="AD32" s="9">
        <f>IF(J32="Yes",AA32*Tab_Data_Flows[[#This Row],[WC_'[%']]],"N.A.")</f>
        <v>244775.785</v>
      </c>
      <c r="AE32" s="9" t="str">
        <f>Tab_Data_Flows[[#This Row],[UoM_Flow_Py]]</f>
        <v>Mg</v>
      </c>
      <c r="AF32" s="190">
        <f>INDEX(Tab_Def_Flows[[Flow_ID]:[CC_DM_source]],MATCH(Tab_Data_Flows[[#This Row],[Name(EN)]],Tab_Def_Flows[Name(EN)],0),15)</f>
        <v>0.5</v>
      </c>
      <c r="AG32" s="9">
        <f>IF(K32="Yes",AF32*Tab_Data_Flows[[#This Row],[Flow_Py]],"N.A.")</f>
        <v>244775.785</v>
      </c>
      <c r="AH32" s="9" t="str">
        <f>Tab_Data_Flows[[#This Row],[UoM_Flow_Py]]</f>
        <v>Mg</v>
      </c>
      <c r="AI32" s="190">
        <f>INDEX(Tab_Def_Flows[[Flow_ID]:[CC_DM_source]],MATCH(Tab_Data_Flows[[#This Row],[Name(EN)]],Tab_Def_Flows[Name(EN)],0),17)</f>
        <v>0.5</v>
      </c>
      <c r="AJ32" s="9">
        <f>IF(L32="Yes",AI32*Tab_Data_Flows[[#This Row],[Flow_Py]]*Tab_Data_Flows[[#This Row],[DM_'[%']]],"N.A.")</f>
        <v>122387.8925</v>
      </c>
      <c r="AK32" s="9" t="str">
        <f>Tab_Data_Flows[[#This Row],[UoM_Flow_Py]]</f>
        <v>Mg</v>
      </c>
    </row>
    <row r="33" spans="1:37" x14ac:dyDescent="0.25">
      <c r="A33" s="16">
        <f t="shared" si="0"/>
        <v>32</v>
      </c>
      <c r="B33" s="9" t="str">
        <f>_xlfn.XLOOKUP(C33,Tab_Def_Flows[Name(EN)],Tab_Def_Flows[Flow_ID],,0,)</f>
        <v>F_01_02</v>
      </c>
      <c r="C33" s="11" t="s">
        <v>270</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Forestry</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104</v>
      </c>
      <c r="O33" s="48">
        <v>448568.43</v>
      </c>
      <c r="P33" s="11"/>
      <c r="Q33" s="11"/>
      <c r="R33" s="11"/>
      <c r="S33" s="11"/>
      <c r="T33" s="11"/>
      <c r="U33" s="11"/>
      <c r="V33" s="11"/>
      <c r="W33" s="11"/>
      <c r="X33" s="11" t="s">
        <v>8</v>
      </c>
      <c r="Y33" s="41"/>
      <c r="Z33" s="11"/>
      <c r="AA33" s="35">
        <f t="shared" si="1"/>
        <v>448568.43</v>
      </c>
      <c r="AB33" s="11" t="s">
        <v>267</v>
      </c>
      <c r="AC33" s="190">
        <f>INDEX(Tab_Def_Flows[[Flow_ID]:[CC_DM_source]],MATCH(Tab_Data_Flows[[#This Row],[Name(EN)]],Tab_Def_Flows[Name(EN)],0),13)</f>
        <v>0.5</v>
      </c>
      <c r="AD33" s="9">
        <f>IF(J33="Yes",AA33*Tab_Data_Flows[[#This Row],[WC_'[%']]],"N.A.")</f>
        <v>224284.215</v>
      </c>
      <c r="AE33" s="9" t="str">
        <f>Tab_Data_Flows[[#This Row],[UoM_Flow_Py]]</f>
        <v>Mg</v>
      </c>
      <c r="AF33" s="190">
        <f>INDEX(Tab_Def_Flows[[Flow_ID]:[CC_DM_source]],MATCH(Tab_Data_Flows[[#This Row],[Name(EN)]],Tab_Def_Flows[Name(EN)],0),15)</f>
        <v>0.5</v>
      </c>
      <c r="AG33" s="9">
        <f>IF(K33="Yes",AF33*Tab_Data_Flows[[#This Row],[Flow_Py]],"N.A.")</f>
        <v>224284.215</v>
      </c>
      <c r="AH33" s="9" t="str">
        <f>Tab_Data_Flows[[#This Row],[UoM_Flow_Py]]</f>
        <v>Mg</v>
      </c>
      <c r="AI33" s="190">
        <f>INDEX(Tab_Def_Flows[[Flow_ID]:[CC_DM_source]],MATCH(Tab_Data_Flows[[#This Row],[Name(EN)]],Tab_Def_Flows[Name(EN)],0),17)</f>
        <v>0.5</v>
      </c>
      <c r="AJ33" s="9">
        <f>IF(L33="Yes",AI33*Tab_Data_Flows[[#This Row],[Flow_Py]]*Tab_Data_Flows[[#This Row],[DM_'[%']]],"N.A.")</f>
        <v>112142.1075</v>
      </c>
      <c r="AK33" s="9" t="str">
        <f>Tab_Data_Flows[[#This Row],[UoM_Flow_Py]]</f>
        <v>Mg</v>
      </c>
    </row>
    <row r="34" spans="1:37" x14ac:dyDescent="0.25">
      <c r="A34" s="16">
        <f t="shared" si="0"/>
        <v>33</v>
      </c>
      <c r="B34" s="9" t="str">
        <f>_xlfn.XLOOKUP(C34,Tab_Def_Flows[Name(EN)],Tab_Def_Flows[Flow_ID],,0,)</f>
        <v>F_01_02</v>
      </c>
      <c r="C34" s="11" t="s">
        <v>270</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Forestry</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104</v>
      </c>
      <c r="O34" s="48">
        <v>532881.24</v>
      </c>
      <c r="P34" s="11"/>
      <c r="Q34" s="11"/>
      <c r="R34" s="11"/>
      <c r="S34" s="11"/>
      <c r="T34" s="11"/>
      <c r="U34" s="11"/>
      <c r="V34" s="11"/>
      <c r="W34" s="11"/>
      <c r="X34" s="11" t="s">
        <v>8</v>
      </c>
      <c r="Y34" s="41"/>
      <c r="Z34" s="11"/>
      <c r="AA34" s="35">
        <f t="shared" si="1"/>
        <v>532881.24</v>
      </c>
      <c r="AB34" s="11" t="s">
        <v>267</v>
      </c>
      <c r="AC34" s="190">
        <f>INDEX(Tab_Def_Flows[[Flow_ID]:[CC_DM_source]],MATCH(Tab_Data_Flows[[#This Row],[Name(EN)]],Tab_Def_Flows[Name(EN)],0),13)</f>
        <v>0.5</v>
      </c>
      <c r="AD34" s="9">
        <f>IF(J34="Yes",AA34*Tab_Data_Flows[[#This Row],[WC_'[%']]],"N.A.")</f>
        <v>266440.62</v>
      </c>
      <c r="AE34" s="9" t="str">
        <f>Tab_Data_Flows[[#This Row],[UoM_Flow_Py]]</f>
        <v>Mg</v>
      </c>
      <c r="AF34" s="190">
        <f>INDEX(Tab_Def_Flows[[Flow_ID]:[CC_DM_source]],MATCH(Tab_Data_Flows[[#This Row],[Name(EN)]],Tab_Def_Flows[Name(EN)],0),15)</f>
        <v>0.5</v>
      </c>
      <c r="AG34" s="9">
        <f>IF(K34="Yes",AF34*Tab_Data_Flows[[#This Row],[Flow_Py]],"N.A.")</f>
        <v>266440.62</v>
      </c>
      <c r="AH34" s="9" t="str">
        <f>Tab_Data_Flows[[#This Row],[UoM_Flow_Py]]</f>
        <v>Mg</v>
      </c>
      <c r="AI34" s="190">
        <f>INDEX(Tab_Def_Flows[[Flow_ID]:[CC_DM_source]],MATCH(Tab_Data_Flows[[#This Row],[Name(EN)]],Tab_Def_Flows[Name(EN)],0),17)</f>
        <v>0.5</v>
      </c>
      <c r="AJ34" s="9">
        <f>IF(L34="Yes",AI34*Tab_Data_Flows[[#This Row],[Flow_Py]]*Tab_Data_Flows[[#This Row],[DM_'[%']]],"N.A.")</f>
        <v>133220.31</v>
      </c>
      <c r="AK34" s="9" t="str">
        <f>Tab_Data_Flows[[#This Row],[UoM_Flow_Py]]</f>
        <v>Mg</v>
      </c>
    </row>
    <row r="35" spans="1:37" x14ac:dyDescent="0.25">
      <c r="A35" s="16">
        <f t="shared" si="0"/>
        <v>34</v>
      </c>
      <c r="B35" s="9" t="str">
        <f>_xlfn.XLOOKUP(C35,Tab_Def_Flows[Name(EN)],Tab_Def_Flows[Flow_ID],,0,)</f>
        <v>F_01_02</v>
      </c>
      <c r="C35" s="11" t="s">
        <v>270</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Forestry</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104</v>
      </c>
      <c r="O35" s="48">
        <v>502208.22</v>
      </c>
      <c r="P35" s="11"/>
      <c r="Q35" s="11"/>
      <c r="R35" s="11"/>
      <c r="S35" s="11"/>
      <c r="T35" s="11"/>
      <c r="U35" s="11"/>
      <c r="V35" s="11"/>
      <c r="W35" s="11"/>
      <c r="X35" s="11" t="s">
        <v>8</v>
      </c>
      <c r="Y35" s="41"/>
      <c r="Z35" s="11"/>
      <c r="AA35" s="35">
        <f t="shared" si="1"/>
        <v>502208.22</v>
      </c>
      <c r="AB35" s="11" t="s">
        <v>267</v>
      </c>
      <c r="AC35" s="190">
        <f>INDEX(Tab_Def_Flows[[Flow_ID]:[CC_DM_source]],MATCH(Tab_Data_Flows[[#This Row],[Name(EN)]],Tab_Def_Flows[Name(EN)],0),13)</f>
        <v>0.5</v>
      </c>
      <c r="AD35" s="9">
        <f>IF(J35="Yes",AA35*Tab_Data_Flows[[#This Row],[WC_'[%']]],"N.A.")</f>
        <v>251104.11</v>
      </c>
      <c r="AE35" s="9" t="str">
        <f>Tab_Data_Flows[[#This Row],[UoM_Flow_Py]]</f>
        <v>Mg</v>
      </c>
      <c r="AF35" s="190">
        <f>INDEX(Tab_Def_Flows[[Flow_ID]:[CC_DM_source]],MATCH(Tab_Data_Flows[[#This Row],[Name(EN)]],Tab_Def_Flows[Name(EN)],0),15)</f>
        <v>0.5</v>
      </c>
      <c r="AG35" s="9">
        <f>IF(K35="Yes",AF35*Tab_Data_Flows[[#This Row],[Flow_Py]],"N.A.")</f>
        <v>251104.11</v>
      </c>
      <c r="AH35" s="9" t="str">
        <f>Tab_Data_Flows[[#This Row],[UoM_Flow_Py]]</f>
        <v>Mg</v>
      </c>
      <c r="AI35" s="190">
        <f>INDEX(Tab_Def_Flows[[Flow_ID]:[CC_DM_source]],MATCH(Tab_Data_Flows[[#This Row],[Name(EN)]],Tab_Def_Flows[Name(EN)],0),17)</f>
        <v>0.5</v>
      </c>
      <c r="AJ35" s="9">
        <f>IF(L35="Yes",AI35*Tab_Data_Flows[[#This Row],[Flow_Py]]*Tab_Data_Flows[[#This Row],[DM_'[%']]],"N.A.")</f>
        <v>125552.05499999999</v>
      </c>
      <c r="AK35" s="9" t="str">
        <f>Tab_Data_Flows[[#This Row],[UoM_Flow_Py]]</f>
        <v>Mg</v>
      </c>
    </row>
    <row r="36" spans="1:37" x14ac:dyDescent="0.25">
      <c r="A36" s="16">
        <f t="shared" si="0"/>
        <v>35</v>
      </c>
      <c r="B36" s="9" t="str">
        <f>_xlfn.XLOOKUP(C36,Tab_Def_Flows[Name(EN)],Tab_Def_Flows[Flow_ID],,0,)</f>
        <v>F_01_02</v>
      </c>
      <c r="C36" s="11" t="s">
        <v>270</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Forestry</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104</v>
      </c>
      <c r="O36" s="48">
        <v>554032.24</v>
      </c>
      <c r="P36" s="11"/>
      <c r="Q36" s="11"/>
      <c r="R36" s="11"/>
      <c r="S36" s="11"/>
      <c r="T36" s="11"/>
      <c r="U36" s="11"/>
      <c r="V36" s="11"/>
      <c r="W36" s="11"/>
      <c r="X36" s="11" t="s">
        <v>8</v>
      </c>
      <c r="Y36" s="41"/>
      <c r="Z36" s="11"/>
      <c r="AA36" s="35">
        <f t="shared" si="1"/>
        <v>554032.24</v>
      </c>
      <c r="AB36" s="11" t="s">
        <v>267</v>
      </c>
      <c r="AC36" s="190">
        <f>INDEX(Tab_Def_Flows[[Flow_ID]:[CC_DM_source]],MATCH(Tab_Data_Flows[[#This Row],[Name(EN)]],Tab_Def_Flows[Name(EN)],0),13)</f>
        <v>0.5</v>
      </c>
      <c r="AD36" s="9">
        <f>IF(J36="Yes",AA36*Tab_Data_Flows[[#This Row],[WC_'[%']]],"N.A.")</f>
        <v>277016.12</v>
      </c>
      <c r="AE36" s="9" t="str">
        <f>Tab_Data_Flows[[#This Row],[UoM_Flow_Py]]</f>
        <v>Mg</v>
      </c>
      <c r="AF36" s="190">
        <f>INDEX(Tab_Def_Flows[[Flow_ID]:[CC_DM_source]],MATCH(Tab_Data_Flows[[#This Row],[Name(EN)]],Tab_Def_Flows[Name(EN)],0),15)</f>
        <v>0.5</v>
      </c>
      <c r="AG36" s="9">
        <f>IF(K36="Yes",AF36*Tab_Data_Flows[[#This Row],[Flow_Py]],"N.A.")</f>
        <v>277016.12</v>
      </c>
      <c r="AH36" s="9" t="str">
        <f>Tab_Data_Flows[[#This Row],[UoM_Flow_Py]]</f>
        <v>Mg</v>
      </c>
      <c r="AI36" s="190">
        <f>INDEX(Tab_Def_Flows[[Flow_ID]:[CC_DM_source]],MATCH(Tab_Data_Flows[[#This Row],[Name(EN)]],Tab_Def_Flows[Name(EN)],0),17)</f>
        <v>0.5</v>
      </c>
      <c r="AJ36" s="9">
        <f>IF(L36="Yes",AI36*Tab_Data_Flows[[#This Row],[Flow_Py]]*Tab_Data_Flows[[#This Row],[DM_'[%']]],"N.A.")</f>
        <v>138508.06</v>
      </c>
      <c r="AK36" s="9" t="str">
        <f>Tab_Data_Flows[[#This Row],[UoM_Flow_Py]]</f>
        <v>Mg</v>
      </c>
    </row>
    <row r="37" spans="1:37" x14ac:dyDescent="0.25">
      <c r="A37" s="16">
        <f t="shared" si="0"/>
        <v>36</v>
      </c>
      <c r="B37" s="9" t="str">
        <f>_xlfn.XLOOKUP(C37,Tab_Def_Flows[Name(EN)],Tab_Def_Flows[Flow_ID],,0,)</f>
        <v>F_01_02</v>
      </c>
      <c r="C37" s="11" t="s">
        <v>270</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Forestry</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104</v>
      </c>
      <c r="O37" s="48">
        <v>485316.89</v>
      </c>
      <c r="P37" s="11"/>
      <c r="Q37" s="11"/>
      <c r="R37" s="11"/>
      <c r="S37" s="11"/>
      <c r="T37" s="11"/>
      <c r="U37" s="11"/>
      <c r="V37" s="11"/>
      <c r="W37" s="11"/>
      <c r="X37" s="11" t="s">
        <v>8</v>
      </c>
      <c r="Y37" s="41"/>
      <c r="Z37" s="11"/>
      <c r="AA37" s="35">
        <f t="shared" si="1"/>
        <v>485316.89</v>
      </c>
      <c r="AB37" s="11" t="s">
        <v>267</v>
      </c>
      <c r="AC37" s="190">
        <f>INDEX(Tab_Def_Flows[[Flow_ID]:[CC_DM_source]],MATCH(Tab_Data_Flows[[#This Row],[Name(EN)]],Tab_Def_Flows[Name(EN)],0),13)</f>
        <v>0.5</v>
      </c>
      <c r="AD37" s="9">
        <f>IF(J37="Yes",AA37*Tab_Data_Flows[[#This Row],[WC_'[%']]],"N.A.")</f>
        <v>242658.44500000001</v>
      </c>
      <c r="AE37" s="9" t="str">
        <f>Tab_Data_Flows[[#This Row],[UoM_Flow_Py]]</f>
        <v>Mg</v>
      </c>
      <c r="AF37" s="190">
        <f>INDEX(Tab_Def_Flows[[Flow_ID]:[CC_DM_source]],MATCH(Tab_Data_Flows[[#This Row],[Name(EN)]],Tab_Def_Flows[Name(EN)],0),15)</f>
        <v>0.5</v>
      </c>
      <c r="AG37" s="9">
        <f>IF(K37="Yes",AF37*Tab_Data_Flows[[#This Row],[Flow_Py]],"N.A.")</f>
        <v>242658.44500000001</v>
      </c>
      <c r="AH37" s="9" t="str">
        <f>Tab_Data_Flows[[#This Row],[UoM_Flow_Py]]</f>
        <v>Mg</v>
      </c>
      <c r="AI37" s="190">
        <f>INDEX(Tab_Def_Flows[[Flow_ID]:[CC_DM_source]],MATCH(Tab_Data_Flows[[#This Row],[Name(EN)]],Tab_Def_Flows[Name(EN)],0),17)</f>
        <v>0.5</v>
      </c>
      <c r="AJ37" s="9">
        <f>IF(L37="Yes",AI37*Tab_Data_Flows[[#This Row],[Flow_Py]]*Tab_Data_Flows[[#This Row],[DM_'[%']]],"N.A.")</f>
        <v>121329.2225</v>
      </c>
      <c r="AK37" s="9" t="str">
        <f>Tab_Data_Flows[[#This Row],[UoM_Flow_Py]]</f>
        <v>Mg</v>
      </c>
    </row>
    <row r="38" spans="1:37" x14ac:dyDescent="0.25">
      <c r="A38" s="16">
        <f t="shared" si="0"/>
        <v>37</v>
      </c>
      <c r="B38" s="9" t="str">
        <f>_xlfn.XLOOKUP(C38,Tab_Def_Flows[Name(EN)],Tab_Def_Flows[Flow_ID],,0,)</f>
        <v>F_01_02</v>
      </c>
      <c r="C38" s="11" t="s">
        <v>270</v>
      </c>
      <c r="D38" s="9"/>
      <c r="E38" s="9" t="str">
        <f>_xlfn.XLOOKUP(C38,Tab_Def_Flows[Name(EN)],Tab_Def_Flows[Output_Process],,0,)</f>
        <v>Environment</v>
      </c>
      <c r="F38" s="9" t="str">
        <f>_xlfn.XLOOKUP(C38,Tab_Def_Flows[Name(EN)],Tab_Def_Flows[Process_ID_O],,0,)</f>
        <v>01</v>
      </c>
      <c r="G38" s="9" t="str">
        <f>_xlfn.XLOOKUP(C38,Tab_Def_Flows[Name(EN)],Tab_Def_Flows[Input_Process],,0,)</f>
        <v>Forestry</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267</v>
      </c>
      <c r="AC38" s="190">
        <f>INDEX(Tab_Def_Flows[[Flow_ID]:[CC_DM_source]],MATCH(Tab_Data_Flows[[#This Row],[Name(EN)]],Tab_Def_Flows[Name(EN)],0),13)</f>
        <v>0.5</v>
      </c>
      <c r="AD38" s="9">
        <f>IF(J38="Yes",AA38*Tab_Data_Flows[[#This Row],[WC_'[%']]],"N.A.")</f>
        <v>229339.54</v>
      </c>
      <c r="AE38" s="9" t="str">
        <f>Tab_Data_Flows[[#This Row],[UoM_Flow_Py]]</f>
        <v>Mg</v>
      </c>
      <c r="AF38" s="190">
        <f>INDEX(Tab_Def_Flows[[Flow_ID]:[CC_DM_source]],MATCH(Tab_Data_Flows[[#This Row],[Name(EN)]],Tab_Def_Flows[Name(EN)],0),15)</f>
        <v>0.5</v>
      </c>
      <c r="AG38" s="9">
        <f>IF(K38="Yes",AF38*Tab_Data_Flows[[#This Row],[Flow_Py]],"N.A.")</f>
        <v>229339.54</v>
      </c>
      <c r="AH38" s="9" t="str">
        <f>Tab_Data_Flows[[#This Row],[UoM_Flow_Py]]</f>
        <v>Mg</v>
      </c>
      <c r="AI38" s="190">
        <f>INDEX(Tab_Def_Flows[[Flow_ID]:[CC_DM_source]],MATCH(Tab_Data_Flows[[#This Row],[Name(EN)]],Tab_Def_Flows[Name(EN)],0),17)</f>
        <v>0.5</v>
      </c>
      <c r="AJ38" s="9">
        <f>IF(L38="Yes",AI38*Tab_Data_Flows[[#This Row],[Flow_Py]]*Tab_Data_Flows[[#This Row],[DM_'[%']]],"N.A.")</f>
        <v>114669.77</v>
      </c>
      <c r="AK38" s="9" t="str">
        <f>Tab_Data_Flows[[#This Row],[UoM_Flow_Py]]</f>
        <v>Mg</v>
      </c>
    </row>
    <row r="39" spans="1:37" x14ac:dyDescent="0.25">
      <c r="A39" s="16">
        <f t="shared" si="0"/>
        <v>38</v>
      </c>
      <c r="B39" s="9" t="str">
        <f>_xlfn.XLOOKUP(C39,Tab_Def_Flows[Name(EN)],Tab_Def_Flows[Flow_ID],,0,)</f>
        <v>F_01_02</v>
      </c>
      <c r="C39" s="11" t="s">
        <v>270</v>
      </c>
      <c r="D39" s="9"/>
      <c r="E39" s="9" t="str">
        <f>_xlfn.XLOOKUP(C39,Tab_Def_Flows[Name(EN)],Tab_Def_Flows[Output_Process],,0,)</f>
        <v>Environment</v>
      </c>
      <c r="F39" s="9" t="str">
        <f>_xlfn.XLOOKUP(C39,Tab_Def_Flows[Name(EN)],Tab_Def_Flows[Process_ID_O],,0,)</f>
        <v>01</v>
      </c>
      <c r="G39" s="9" t="str">
        <f>_xlfn.XLOOKUP(C39,Tab_Def_Flows[Name(EN)],Tab_Def_Flows[Input_Process],,0,)</f>
        <v>Forestry</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267</v>
      </c>
      <c r="AC39" s="190">
        <f>INDEX(Tab_Def_Flows[[Flow_ID]:[CC_DM_source]],MATCH(Tab_Data_Flows[[#This Row],[Name(EN)]],Tab_Def_Flows[Name(EN)],0),13)</f>
        <v>0.5</v>
      </c>
      <c r="AD39" s="9">
        <f>IF(J39="Yes",AA39*Tab_Data_Flows[[#This Row],[WC_'[%']]],"N.A.")</f>
        <v>227765.67</v>
      </c>
      <c r="AE39" s="9" t="str">
        <f>Tab_Data_Flows[[#This Row],[UoM_Flow_Py]]</f>
        <v>Mg</v>
      </c>
      <c r="AF39" s="190">
        <f>INDEX(Tab_Def_Flows[[Flow_ID]:[CC_DM_source]],MATCH(Tab_Data_Flows[[#This Row],[Name(EN)]],Tab_Def_Flows[Name(EN)],0),15)</f>
        <v>0.5</v>
      </c>
      <c r="AG39" s="9">
        <f>IF(K39="Yes",AF39*Tab_Data_Flows[[#This Row],[Flow_Py]],"N.A.")</f>
        <v>227765.67</v>
      </c>
      <c r="AH39" s="9" t="str">
        <f>Tab_Data_Flows[[#This Row],[UoM_Flow_Py]]</f>
        <v>Mg</v>
      </c>
      <c r="AI39" s="190">
        <f>INDEX(Tab_Def_Flows[[Flow_ID]:[CC_DM_source]],MATCH(Tab_Data_Flows[[#This Row],[Name(EN)]],Tab_Def_Flows[Name(EN)],0),17)</f>
        <v>0.5</v>
      </c>
      <c r="AJ39" s="9">
        <f>IF(L39="Yes",AI39*Tab_Data_Flows[[#This Row],[Flow_Py]]*Tab_Data_Flows[[#This Row],[DM_'[%']]],"N.A.")</f>
        <v>113882.83500000001</v>
      </c>
      <c r="AK39" s="9" t="str">
        <f>Tab_Data_Flows[[#This Row],[UoM_Flow_Py]]</f>
        <v>Mg</v>
      </c>
    </row>
    <row r="40" spans="1:37" x14ac:dyDescent="0.25">
      <c r="A40" s="16">
        <f t="shared" si="0"/>
        <v>39</v>
      </c>
      <c r="B40" s="9" t="str">
        <f>_xlfn.XLOOKUP(C40,Tab_Def_Flows[Name(EN)],Tab_Def_Flows[Flow_ID],,0,)</f>
        <v>F_01_02</v>
      </c>
      <c r="C40" s="11" t="s">
        <v>270</v>
      </c>
      <c r="D40" s="9"/>
      <c r="E40" s="9" t="str">
        <f>_xlfn.XLOOKUP(C40,Tab_Def_Flows[Name(EN)],Tab_Def_Flows[Output_Process],,0,)</f>
        <v>Environment</v>
      </c>
      <c r="F40" s="9" t="str">
        <f>_xlfn.XLOOKUP(C40,Tab_Def_Flows[Name(EN)],Tab_Def_Flows[Process_ID_O],,0,)</f>
        <v>01</v>
      </c>
      <c r="G40" s="9" t="str">
        <f>_xlfn.XLOOKUP(C40,Tab_Def_Flows[Name(EN)],Tab_Def_Flows[Input_Process],,0,)</f>
        <v>Forestry</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267</v>
      </c>
      <c r="AC40" s="190">
        <f>INDEX(Tab_Def_Flows[[Flow_ID]:[CC_DM_source]],MATCH(Tab_Data_Flows[[#This Row],[Name(EN)]],Tab_Def_Flows[Name(EN)],0),13)</f>
        <v>0.5</v>
      </c>
      <c r="AD40" s="9">
        <f>IF(J40="Yes",AA40*Tab_Data_Flows[[#This Row],[WC_'[%']]],"N.A.")</f>
        <v>270203.05</v>
      </c>
      <c r="AE40" s="9" t="str">
        <f>Tab_Data_Flows[[#This Row],[UoM_Flow_Py]]</f>
        <v>Mg</v>
      </c>
      <c r="AF40" s="190">
        <f>INDEX(Tab_Def_Flows[[Flow_ID]:[CC_DM_source]],MATCH(Tab_Data_Flows[[#This Row],[Name(EN)]],Tab_Def_Flows[Name(EN)],0),15)</f>
        <v>0.5</v>
      </c>
      <c r="AG40" s="9">
        <f>IF(K40="Yes",AF40*Tab_Data_Flows[[#This Row],[Flow_Py]],"N.A.")</f>
        <v>270203.05</v>
      </c>
      <c r="AH40" s="9" t="str">
        <f>Tab_Data_Flows[[#This Row],[UoM_Flow_Py]]</f>
        <v>Mg</v>
      </c>
      <c r="AI40" s="190">
        <f>INDEX(Tab_Def_Flows[[Flow_ID]:[CC_DM_source]],MATCH(Tab_Data_Flows[[#This Row],[Name(EN)]],Tab_Def_Flows[Name(EN)],0),17)</f>
        <v>0.5</v>
      </c>
      <c r="AJ40" s="9">
        <f>IF(L40="Yes",AI40*Tab_Data_Flows[[#This Row],[Flow_Py]]*Tab_Data_Flows[[#This Row],[DM_'[%']]],"N.A.")</f>
        <v>135101.52499999999</v>
      </c>
      <c r="AK40" s="9" t="str">
        <f>Tab_Data_Flows[[#This Row],[UoM_Flow_Py]]</f>
        <v>Mg</v>
      </c>
    </row>
    <row r="41" spans="1:37" x14ac:dyDescent="0.25">
      <c r="A41" s="16">
        <f t="shared" si="0"/>
        <v>40</v>
      </c>
      <c r="B41" s="9" t="str">
        <f>_xlfn.XLOOKUP(C41,Tab_Def_Flows[Name(EN)],Tab_Def_Flows[Flow_ID],,0,)</f>
        <v>F_01_02</v>
      </c>
      <c r="C41" s="11" t="s">
        <v>270</v>
      </c>
      <c r="D41" s="9"/>
      <c r="E41" s="9" t="str">
        <f>_xlfn.XLOOKUP(C41,Tab_Def_Flows[Name(EN)],Tab_Def_Flows[Output_Process],,0,)</f>
        <v>Environment</v>
      </c>
      <c r="F41" s="9" t="str">
        <f>_xlfn.XLOOKUP(C41,Tab_Def_Flows[Name(EN)],Tab_Def_Flows[Process_ID_O],,0,)</f>
        <v>01</v>
      </c>
      <c r="G41" s="9" t="str">
        <f>_xlfn.XLOOKUP(C41,Tab_Def_Flows[Name(EN)],Tab_Def_Flows[Input_Process],,0,)</f>
        <v>Forestry</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267</v>
      </c>
      <c r="AC41" s="190">
        <f>INDEX(Tab_Def_Flows[[Flow_ID]:[CC_DM_source]],MATCH(Tab_Data_Flows[[#This Row],[Name(EN)]],Tab_Def_Flows[Name(EN)],0),13)</f>
        <v>0.5</v>
      </c>
      <c r="AD41" s="9">
        <f>IF(J41="Yes",AA41*Tab_Data_Flows[[#This Row],[WC_'[%']]],"N.A.")</f>
        <v>259763.46</v>
      </c>
      <c r="AE41" s="9" t="str">
        <f>Tab_Data_Flows[[#This Row],[UoM_Flow_Py]]</f>
        <v>Mg</v>
      </c>
      <c r="AF41" s="190">
        <f>INDEX(Tab_Def_Flows[[Flow_ID]:[CC_DM_source]],MATCH(Tab_Data_Flows[[#This Row],[Name(EN)]],Tab_Def_Flows[Name(EN)],0),15)</f>
        <v>0.5</v>
      </c>
      <c r="AG41" s="9">
        <f>IF(K41="Yes",AF41*Tab_Data_Flows[[#This Row],[Flow_Py]],"N.A.")</f>
        <v>259763.46</v>
      </c>
      <c r="AH41" s="9" t="str">
        <f>Tab_Data_Flows[[#This Row],[UoM_Flow_Py]]</f>
        <v>Mg</v>
      </c>
      <c r="AI41" s="190">
        <f>INDEX(Tab_Def_Flows[[Flow_ID]:[CC_DM_source]],MATCH(Tab_Data_Flows[[#This Row],[Name(EN)]],Tab_Def_Flows[Name(EN)],0),17)</f>
        <v>0.5</v>
      </c>
      <c r="AJ41" s="9">
        <f>IF(L41="Yes",AI41*Tab_Data_Flows[[#This Row],[Flow_Py]]*Tab_Data_Flows[[#This Row],[DM_'[%']]],"N.A.")</f>
        <v>129881.73</v>
      </c>
      <c r="AK41" s="9" t="str">
        <f>Tab_Data_Flows[[#This Row],[UoM_Flow_Py]]</f>
        <v>Mg</v>
      </c>
    </row>
    <row r="42" spans="1:37" x14ac:dyDescent="0.25">
      <c r="A42" s="16">
        <f t="shared" si="0"/>
        <v>41</v>
      </c>
      <c r="B42" s="9" t="str">
        <f>_xlfn.XLOOKUP(C42,Tab_Def_Flows[Name(EN)],Tab_Def_Flows[Flow_ID],,0,)</f>
        <v>F_01_02</v>
      </c>
      <c r="C42" s="11" t="s">
        <v>270</v>
      </c>
      <c r="D42" s="9"/>
      <c r="E42" s="9" t="str">
        <f>_xlfn.XLOOKUP(C42,Tab_Def_Flows[Name(EN)],Tab_Def_Flows[Output_Process],,0,)</f>
        <v>Environment</v>
      </c>
      <c r="F42" s="9" t="str">
        <f>_xlfn.XLOOKUP(C42,Tab_Def_Flows[Name(EN)],Tab_Def_Flows[Process_ID_O],,0,)</f>
        <v>01</v>
      </c>
      <c r="G42" s="9" t="str">
        <f>_xlfn.XLOOKUP(C42,Tab_Def_Flows[Name(EN)],Tab_Def_Flows[Input_Process],,0,)</f>
        <v>Forestry</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267</v>
      </c>
      <c r="AC42" s="190">
        <f>INDEX(Tab_Def_Flows[[Flow_ID]:[CC_DM_source]],MATCH(Tab_Data_Flows[[#This Row],[Name(EN)]],Tab_Def_Flows[Name(EN)],0),13)</f>
        <v>0.5</v>
      </c>
      <c r="AD42" s="9">
        <f>IF(J42="Yes",AA42*Tab_Data_Flows[[#This Row],[WC_'[%']]],"N.A.")</f>
        <v>226052.70499999999</v>
      </c>
      <c r="AE42" s="9" t="str">
        <f>Tab_Data_Flows[[#This Row],[UoM_Flow_Py]]</f>
        <v>Mg</v>
      </c>
      <c r="AF42" s="190">
        <f>INDEX(Tab_Def_Flows[[Flow_ID]:[CC_DM_source]],MATCH(Tab_Data_Flows[[#This Row],[Name(EN)]],Tab_Def_Flows[Name(EN)],0),15)</f>
        <v>0.5</v>
      </c>
      <c r="AG42" s="9">
        <f>IF(K42="Yes",AF42*Tab_Data_Flows[[#This Row],[Flow_Py]],"N.A.")</f>
        <v>226052.70499999999</v>
      </c>
      <c r="AH42" s="9" t="str">
        <f>Tab_Data_Flows[[#This Row],[UoM_Flow_Py]]</f>
        <v>Mg</v>
      </c>
      <c r="AI42" s="190">
        <f>INDEX(Tab_Def_Flows[[Flow_ID]:[CC_DM_source]],MATCH(Tab_Data_Flows[[#This Row],[Name(EN)]],Tab_Def_Flows[Name(EN)],0),17)</f>
        <v>0.5</v>
      </c>
      <c r="AJ42" s="9">
        <f>IF(L42="Yes",AI42*Tab_Data_Flows[[#This Row],[Flow_Py]]*Tab_Data_Flows[[#This Row],[DM_'[%']]],"N.A.")</f>
        <v>113026.35249999999</v>
      </c>
      <c r="AK42" s="9" t="str">
        <f>Tab_Data_Flows[[#This Row],[UoM_Flow_Py]]</f>
        <v>Mg</v>
      </c>
    </row>
    <row r="43" spans="1:37" x14ac:dyDescent="0.25">
      <c r="A43" s="16">
        <f t="shared" si="0"/>
        <v>42</v>
      </c>
      <c r="B43" s="9" t="str">
        <f>_xlfn.XLOOKUP(C43,Tab_Def_Flows[Name(EN)],Tab_Def_Flows[Flow_ID],,0,)</f>
        <v>F_01_02</v>
      </c>
      <c r="C43" s="11" t="s">
        <v>270</v>
      </c>
      <c r="D43" s="9"/>
      <c r="E43" s="9" t="str">
        <f>_xlfn.XLOOKUP(C43,Tab_Def_Flows[Name(EN)],Tab_Def_Flows[Output_Process],,0,)</f>
        <v>Environment</v>
      </c>
      <c r="F43" s="9" t="str">
        <f>_xlfn.XLOOKUP(C43,Tab_Def_Flows[Name(EN)],Tab_Def_Flows[Process_ID_O],,0,)</f>
        <v>01</v>
      </c>
      <c r="G43" s="9" t="str">
        <f>_xlfn.XLOOKUP(C43,Tab_Def_Flows[Name(EN)],Tab_Def_Flows[Input_Process],,0,)</f>
        <v>Forestry</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267</v>
      </c>
      <c r="AC43" s="190">
        <f>INDEX(Tab_Def_Flows[[Flow_ID]:[CC_DM_source]],MATCH(Tab_Data_Flows[[#This Row],[Name(EN)]],Tab_Def_Flows[Name(EN)],0),13)</f>
        <v>0.5</v>
      </c>
      <c r="AD43" s="9">
        <f>IF(J43="Yes",AA43*Tab_Data_Flows[[#This Row],[WC_'[%']]],"N.A.")</f>
        <v>281557.92</v>
      </c>
      <c r="AE43" s="9" t="str">
        <f>Tab_Data_Flows[[#This Row],[UoM_Flow_Py]]</f>
        <v>Mg</v>
      </c>
      <c r="AF43" s="190">
        <f>INDEX(Tab_Def_Flows[[Flow_ID]:[CC_DM_source]],MATCH(Tab_Data_Flows[[#This Row],[Name(EN)]],Tab_Def_Flows[Name(EN)],0),15)</f>
        <v>0.5</v>
      </c>
      <c r="AG43" s="9">
        <f>IF(K43="Yes",AF43*Tab_Data_Flows[[#This Row],[Flow_Py]],"N.A.")</f>
        <v>281557.92</v>
      </c>
      <c r="AH43" s="9" t="str">
        <f>Tab_Data_Flows[[#This Row],[UoM_Flow_Py]]</f>
        <v>Mg</v>
      </c>
      <c r="AI43" s="190">
        <f>INDEX(Tab_Def_Flows[[Flow_ID]:[CC_DM_source]],MATCH(Tab_Data_Flows[[#This Row],[Name(EN)]],Tab_Def_Flows[Name(EN)],0),17)</f>
        <v>0.5</v>
      </c>
      <c r="AJ43" s="9">
        <f>IF(L43="Yes",AI43*Tab_Data_Flows[[#This Row],[Flow_Py]]*Tab_Data_Flows[[#This Row],[DM_'[%']]],"N.A.")</f>
        <v>140778.96</v>
      </c>
      <c r="AK43" s="9" t="str">
        <f>Tab_Data_Flows[[#This Row],[UoM_Flow_Py]]</f>
        <v>Mg</v>
      </c>
    </row>
    <row r="44" spans="1:37" x14ac:dyDescent="0.25">
      <c r="A44" s="16">
        <f t="shared" si="0"/>
        <v>43</v>
      </c>
      <c r="B44" s="9" t="str">
        <f>_xlfn.XLOOKUP(C44,Tab_Def_Flows[Name(EN)],Tab_Def_Flows[Flow_ID],,0,)</f>
        <v>F_01_02</v>
      </c>
      <c r="C44" s="11" t="s">
        <v>270</v>
      </c>
      <c r="D44" s="9"/>
      <c r="E44" s="9" t="str">
        <f>_xlfn.XLOOKUP(C44,Tab_Def_Flows[Name(EN)],Tab_Def_Flows[Output_Process],,0,)</f>
        <v>Environment</v>
      </c>
      <c r="F44" s="9" t="str">
        <f>_xlfn.XLOOKUP(C44,Tab_Def_Flows[Name(EN)],Tab_Def_Flows[Process_ID_O],,0,)</f>
        <v>01</v>
      </c>
      <c r="G44" s="9" t="str">
        <f>_xlfn.XLOOKUP(C44,Tab_Def_Flows[Name(EN)],Tab_Def_Flows[Input_Process],,0,)</f>
        <v>Forestry</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267</v>
      </c>
      <c r="AC44" s="190">
        <f>INDEX(Tab_Def_Flows[[Flow_ID]:[CC_DM_source]],MATCH(Tab_Data_Flows[[#This Row],[Name(EN)]],Tab_Def_Flows[Name(EN)],0),13)</f>
        <v>0.5</v>
      </c>
      <c r="AD44" s="9">
        <f>IF(J44="Yes",AA44*Tab_Data_Flows[[#This Row],[WC_'[%']]],"N.A.")</f>
        <v>230639.94</v>
      </c>
      <c r="AE44" s="9" t="str">
        <f>Tab_Data_Flows[[#This Row],[UoM_Flow_Py]]</f>
        <v>Mg</v>
      </c>
      <c r="AF44" s="190">
        <f>INDEX(Tab_Def_Flows[[Flow_ID]:[CC_DM_source]],MATCH(Tab_Data_Flows[[#This Row],[Name(EN)]],Tab_Def_Flows[Name(EN)],0),15)</f>
        <v>0.5</v>
      </c>
      <c r="AG44" s="9">
        <f>IF(K44="Yes",AF44*Tab_Data_Flows[[#This Row],[Flow_Py]],"N.A.")</f>
        <v>230639.94</v>
      </c>
      <c r="AH44" s="9" t="str">
        <f>Tab_Data_Flows[[#This Row],[UoM_Flow_Py]]</f>
        <v>Mg</v>
      </c>
      <c r="AI44" s="190">
        <f>INDEX(Tab_Def_Flows[[Flow_ID]:[CC_DM_source]],MATCH(Tab_Data_Flows[[#This Row],[Name(EN)]],Tab_Def_Flows[Name(EN)],0),17)</f>
        <v>0.5</v>
      </c>
      <c r="AJ44" s="9">
        <f>IF(L44="Yes",AI44*Tab_Data_Flows[[#This Row],[Flow_Py]]*Tab_Data_Flows[[#This Row],[DM_'[%']]],"N.A.")</f>
        <v>115319.97</v>
      </c>
      <c r="AK44" s="9" t="str">
        <f>Tab_Data_Flows[[#This Row],[UoM_Flow_Py]]</f>
        <v>Mg</v>
      </c>
    </row>
    <row r="45" spans="1:37" x14ac:dyDescent="0.25">
      <c r="A45" s="16">
        <f t="shared" si="0"/>
        <v>44</v>
      </c>
      <c r="B45" s="9" t="str">
        <f>_xlfn.XLOOKUP(C45,Tab_Def_Flows[Name(EN)],Tab_Def_Flows[Flow_ID],,0,)</f>
        <v>F_01_02</v>
      </c>
      <c r="C45" s="11" t="s">
        <v>270</v>
      </c>
      <c r="D45" s="9"/>
      <c r="E45" s="9" t="str">
        <f>_xlfn.XLOOKUP(C45,Tab_Def_Flows[Name(EN)],Tab_Def_Flows[Output_Process],,0,)</f>
        <v>Environment</v>
      </c>
      <c r="F45" s="9" t="str">
        <f>_xlfn.XLOOKUP(C45,Tab_Def_Flows[Name(EN)],Tab_Def_Flows[Process_ID_O],,0,)</f>
        <v>01</v>
      </c>
      <c r="G45" s="9" t="str">
        <f>_xlfn.XLOOKUP(C45,Tab_Def_Flows[Name(EN)],Tab_Def_Flows[Input_Process],,0,)</f>
        <v>Forestry</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267</v>
      </c>
      <c r="AC45" s="190">
        <f>INDEX(Tab_Def_Flows[[Flow_ID]:[CC_DM_source]],MATCH(Tab_Data_Flows[[#This Row],[Name(EN)]],Tab_Def_Flows[Name(EN)],0),13)</f>
        <v>0.5</v>
      </c>
      <c r="AD45" s="9">
        <f>IF(J45="Yes",AA45*Tab_Data_Flows[[#This Row],[WC_'[%']]],"N.A.")</f>
        <v>253203.57500000001</v>
      </c>
      <c r="AE45" s="9" t="str">
        <f>Tab_Data_Flows[[#This Row],[UoM_Flow_Py]]</f>
        <v>Mg</v>
      </c>
      <c r="AF45" s="190">
        <f>INDEX(Tab_Def_Flows[[Flow_ID]:[CC_DM_source]],MATCH(Tab_Data_Flows[[#This Row],[Name(EN)]],Tab_Def_Flows[Name(EN)],0),15)</f>
        <v>0.5</v>
      </c>
      <c r="AG45" s="9">
        <f>IF(K45="Yes",AF45*Tab_Data_Flows[[#This Row],[Flow_Py]],"N.A.")</f>
        <v>253203.57500000001</v>
      </c>
      <c r="AH45" s="9" t="str">
        <f>Tab_Data_Flows[[#This Row],[UoM_Flow_Py]]</f>
        <v>Mg</v>
      </c>
      <c r="AI45" s="190">
        <f>INDEX(Tab_Def_Flows[[Flow_ID]:[CC_DM_source]],MATCH(Tab_Data_Flows[[#This Row],[Name(EN)]],Tab_Def_Flows[Name(EN)],0),17)</f>
        <v>0.5</v>
      </c>
      <c r="AJ45" s="9">
        <f>IF(L45="Yes",AI45*Tab_Data_Flows[[#This Row],[Flow_Py]]*Tab_Data_Flows[[#This Row],[DM_'[%']]],"N.A.")</f>
        <v>126601.78750000001</v>
      </c>
      <c r="AK45" s="9" t="str">
        <f>Tab_Data_Flows[[#This Row],[UoM_Flow_Py]]</f>
        <v>Mg</v>
      </c>
    </row>
    <row r="46" spans="1:37" x14ac:dyDescent="0.25">
      <c r="A46" s="16">
        <f t="shared" si="0"/>
        <v>45</v>
      </c>
      <c r="B46" s="9" t="str">
        <f>_xlfn.XLOOKUP(C46,Tab_Def_Flows[Name(EN)],Tab_Def_Flows[Flow_ID],,0,)</f>
        <v>F_01_02</v>
      </c>
      <c r="C46" s="11" t="s">
        <v>270</v>
      </c>
      <c r="D46" s="9"/>
      <c r="E46" s="9" t="str">
        <f>_xlfn.XLOOKUP(C46,Tab_Def_Flows[Name(EN)],Tab_Def_Flows[Output_Process],,0,)</f>
        <v>Environment</v>
      </c>
      <c r="F46" s="9" t="str">
        <f>_xlfn.XLOOKUP(C46,Tab_Def_Flows[Name(EN)],Tab_Def_Flows[Process_ID_O],,0,)</f>
        <v>01</v>
      </c>
      <c r="G46" s="9" t="str">
        <f>_xlfn.XLOOKUP(C46,Tab_Def_Flows[Name(EN)],Tab_Def_Flows[Input_Process],,0,)</f>
        <v>Forestry</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267</v>
      </c>
      <c r="AC46" s="190">
        <f>INDEX(Tab_Def_Flows[[Flow_ID]:[CC_DM_source]],MATCH(Tab_Data_Flows[[#This Row],[Name(EN)]],Tab_Def_Flows[Name(EN)],0),13)</f>
        <v>0.5</v>
      </c>
      <c r="AD46" s="9">
        <f>IF(J46="Yes",AA46*Tab_Data_Flows[[#This Row],[WC_'[%']]],"N.A.")</f>
        <v>245158.14499999999</v>
      </c>
      <c r="AE46" s="9" t="str">
        <f>Tab_Data_Flows[[#This Row],[UoM_Flow_Py]]</f>
        <v>Mg</v>
      </c>
      <c r="AF46" s="190">
        <f>INDEX(Tab_Def_Flows[[Flow_ID]:[CC_DM_source]],MATCH(Tab_Data_Flows[[#This Row],[Name(EN)]],Tab_Def_Flows[Name(EN)],0),15)</f>
        <v>0.5</v>
      </c>
      <c r="AG46" s="9">
        <f>IF(K46="Yes",AF46*Tab_Data_Flows[[#This Row],[Flow_Py]],"N.A.")</f>
        <v>245158.14499999999</v>
      </c>
      <c r="AH46" s="9" t="str">
        <f>Tab_Data_Flows[[#This Row],[UoM_Flow_Py]]</f>
        <v>Mg</v>
      </c>
      <c r="AI46" s="190">
        <f>INDEX(Tab_Def_Flows[[Flow_ID]:[CC_DM_source]],MATCH(Tab_Data_Flows[[#This Row],[Name(EN)]],Tab_Def_Flows[Name(EN)],0),17)</f>
        <v>0.5</v>
      </c>
      <c r="AJ46" s="9">
        <f>IF(L46="Yes",AI46*Tab_Data_Flows[[#This Row],[Flow_Py]]*Tab_Data_Flows[[#This Row],[DM_'[%']]],"N.A.")</f>
        <v>122579.07249999999</v>
      </c>
      <c r="AK46" s="9" t="str">
        <f>Tab_Data_Flows[[#This Row],[UoM_Flow_Py]]</f>
        <v>Mg</v>
      </c>
    </row>
    <row r="47" spans="1:37" x14ac:dyDescent="0.25">
      <c r="A47" s="16">
        <f t="shared" si="0"/>
        <v>46</v>
      </c>
      <c r="B47" s="9" t="str">
        <f>_xlfn.XLOOKUP(C47,Tab_Def_Flows[Name(EN)],Tab_Def_Flows[Flow_ID],,0,)</f>
        <v>F_01_02</v>
      </c>
      <c r="C47" s="11" t="s">
        <v>270</v>
      </c>
      <c r="D47" s="9"/>
      <c r="E47" s="9" t="str">
        <f>_xlfn.XLOOKUP(C47,Tab_Def_Flows[Name(EN)],Tab_Def_Flows[Output_Process],,0,)</f>
        <v>Environment</v>
      </c>
      <c r="F47" s="9" t="str">
        <f>_xlfn.XLOOKUP(C47,Tab_Def_Flows[Name(EN)],Tab_Def_Flows[Process_ID_O],,0,)</f>
        <v>01</v>
      </c>
      <c r="G47" s="9" t="str">
        <f>_xlfn.XLOOKUP(C47,Tab_Def_Flows[Name(EN)],Tab_Def_Flows[Input_Process],,0,)</f>
        <v>Forestry</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267</v>
      </c>
      <c r="AC47" s="190">
        <f>INDEX(Tab_Def_Flows[[Flow_ID]:[CC_DM_source]],MATCH(Tab_Data_Flows[[#This Row],[Name(EN)]],Tab_Def_Flows[Name(EN)],0),13)</f>
        <v>0.5</v>
      </c>
      <c r="AD47" s="9">
        <f>IF(J47="Yes",AA47*Tab_Data_Flows[[#This Row],[WC_'[%']]],"N.A.")</f>
        <v>218700.82500000001</v>
      </c>
      <c r="AE47" s="9" t="str">
        <f>Tab_Data_Flows[[#This Row],[UoM_Flow_Py]]</f>
        <v>Mg</v>
      </c>
      <c r="AF47" s="190">
        <f>INDEX(Tab_Def_Flows[[Flow_ID]:[CC_DM_source]],MATCH(Tab_Data_Flows[[#This Row],[Name(EN)]],Tab_Def_Flows[Name(EN)],0),15)</f>
        <v>0.5</v>
      </c>
      <c r="AG47" s="9">
        <f>IF(K47="Yes",AF47*Tab_Data_Flows[[#This Row],[Flow_Py]],"N.A.")</f>
        <v>218700.82500000001</v>
      </c>
      <c r="AH47" s="9" t="str">
        <f>Tab_Data_Flows[[#This Row],[UoM_Flow_Py]]</f>
        <v>Mg</v>
      </c>
      <c r="AI47" s="190">
        <f>INDEX(Tab_Def_Flows[[Flow_ID]:[CC_DM_source]],MATCH(Tab_Data_Flows[[#This Row],[Name(EN)]],Tab_Def_Flows[Name(EN)],0),17)</f>
        <v>0.5</v>
      </c>
      <c r="AJ47" s="9">
        <f>IF(L47="Yes",AI47*Tab_Data_Flows[[#This Row],[Flow_Py]]*Tab_Data_Flows[[#This Row],[DM_'[%']]],"N.A.")</f>
        <v>109350.41250000001</v>
      </c>
      <c r="AK47" s="9" t="str">
        <f>Tab_Data_Flows[[#This Row],[UoM_Flow_Py]]</f>
        <v>Mg</v>
      </c>
    </row>
    <row r="48" spans="1:37" x14ac:dyDescent="0.25">
      <c r="A48" s="16">
        <f t="shared" si="0"/>
        <v>47</v>
      </c>
      <c r="B48" s="9" t="str">
        <f>_xlfn.XLOOKUP(C48,Tab_Def_Flows[Name(EN)],Tab_Def_Flows[Flow_ID],,0,)</f>
        <v>F_01_02</v>
      </c>
      <c r="C48" s="11" t="s">
        <v>270</v>
      </c>
      <c r="D48" s="9"/>
      <c r="E48" s="9" t="str">
        <f>_xlfn.XLOOKUP(C48,Tab_Def_Flows[Name(EN)],Tab_Def_Flows[Output_Process],,0,)</f>
        <v>Environment</v>
      </c>
      <c r="F48" s="9" t="str">
        <f>_xlfn.XLOOKUP(C48,Tab_Def_Flows[Name(EN)],Tab_Def_Flows[Process_ID_O],,0,)</f>
        <v>01</v>
      </c>
      <c r="G48" s="9" t="str">
        <f>_xlfn.XLOOKUP(C48,Tab_Def_Flows[Name(EN)],Tab_Def_Flows[Input_Process],,0,)</f>
        <v>Forestry</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267</v>
      </c>
      <c r="AC48" s="190">
        <f>INDEX(Tab_Def_Flows[[Flow_ID]:[CC_DM_source]],MATCH(Tab_Data_Flows[[#This Row],[Name(EN)]],Tab_Def_Flows[Name(EN)],0),13)</f>
        <v>0.5</v>
      </c>
      <c r="AD48" s="9">
        <f>IF(J48="Yes",AA48*Tab_Data_Flows[[#This Row],[WC_'[%']]],"N.A.")</f>
        <v>225155.03</v>
      </c>
      <c r="AE48" s="9" t="str">
        <f>Tab_Data_Flows[[#This Row],[UoM_Flow_Py]]</f>
        <v>Mg</v>
      </c>
      <c r="AF48" s="190">
        <f>INDEX(Tab_Def_Flows[[Flow_ID]:[CC_DM_source]],MATCH(Tab_Data_Flows[[#This Row],[Name(EN)]],Tab_Def_Flows[Name(EN)],0),15)</f>
        <v>0.5</v>
      </c>
      <c r="AG48" s="9">
        <f>IF(K48="Yes",AF48*Tab_Data_Flows[[#This Row],[Flow_Py]],"N.A.")</f>
        <v>225155.03</v>
      </c>
      <c r="AH48" s="9" t="str">
        <f>Tab_Data_Flows[[#This Row],[UoM_Flow_Py]]</f>
        <v>Mg</v>
      </c>
      <c r="AI48" s="190">
        <f>INDEX(Tab_Def_Flows[[Flow_ID]:[CC_DM_source]],MATCH(Tab_Data_Flows[[#This Row],[Name(EN)]],Tab_Def_Flows[Name(EN)],0),17)</f>
        <v>0.5</v>
      </c>
      <c r="AJ48" s="9">
        <f>IF(L48="Yes",AI48*Tab_Data_Flows[[#This Row],[Flow_Py]]*Tab_Data_Flows[[#This Row],[DM_'[%']]],"N.A.")</f>
        <v>112577.515</v>
      </c>
      <c r="AK48" s="9" t="str">
        <f>Tab_Data_Flows[[#This Row],[UoM_Flow_Py]]</f>
        <v>Mg</v>
      </c>
    </row>
    <row r="49" spans="1:37" x14ac:dyDescent="0.25">
      <c r="A49" s="16">
        <f t="shared" si="0"/>
        <v>48</v>
      </c>
      <c r="B49" s="9" t="str">
        <f>_xlfn.XLOOKUP(C49,Tab_Def_Flows[Name(EN)],Tab_Def_Flows[Flow_ID],,0,)</f>
        <v>F_01_02</v>
      </c>
      <c r="C49" s="11" t="s">
        <v>270</v>
      </c>
      <c r="D49" s="9"/>
      <c r="E49" s="9" t="str">
        <f>_xlfn.XLOOKUP(C49,Tab_Def_Flows[Name(EN)],Tab_Def_Flows[Output_Process],,0,)</f>
        <v>Environment</v>
      </c>
      <c r="F49" s="9" t="str">
        <f>_xlfn.XLOOKUP(C49,Tab_Def_Flows[Name(EN)],Tab_Def_Flows[Process_ID_O],,0,)</f>
        <v>01</v>
      </c>
      <c r="G49" s="9" t="str">
        <f>_xlfn.XLOOKUP(C49,Tab_Def_Flows[Name(EN)],Tab_Def_Flows[Input_Process],,0,)</f>
        <v>Forestry</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267</v>
      </c>
      <c r="AC49" s="190">
        <f>INDEX(Tab_Def_Flows[[Flow_ID]:[CC_DM_source]],MATCH(Tab_Data_Flows[[#This Row],[Name(EN)]],Tab_Def_Flows[Name(EN)],0),13)</f>
        <v>0.5</v>
      </c>
      <c r="AD49" s="9">
        <f>IF(J49="Yes",AA49*Tab_Data_Flows[[#This Row],[WC_'[%']]],"N.A.")</f>
        <v>247077.01</v>
      </c>
      <c r="AE49" s="9" t="str">
        <f>Tab_Data_Flows[[#This Row],[UoM_Flow_Py]]</f>
        <v>Mg</v>
      </c>
      <c r="AF49" s="190">
        <f>INDEX(Tab_Def_Flows[[Flow_ID]:[CC_DM_source]],MATCH(Tab_Data_Flows[[#This Row],[Name(EN)]],Tab_Def_Flows[Name(EN)],0),15)</f>
        <v>0.5</v>
      </c>
      <c r="AG49" s="9">
        <f>IF(K49="Yes",AF49*Tab_Data_Flows[[#This Row],[Flow_Py]],"N.A.")</f>
        <v>247077.01</v>
      </c>
      <c r="AH49" s="9" t="str">
        <f>Tab_Data_Flows[[#This Row],[UoM_Flow_Py]]</f>
        <v>Mg</v>
      </c>
      <c r="AI49" s="190">
        <f>INDEX(Tab_Def_Flows[[Flow_ID]:[CC_DM_source]],MATCH(Tab_Data_Flows[[#This Row],[Name(EN)]],Tab_Def_Flows[Name(EN)],0),17)</f>
        <v>0.5</v>
      </c>
      <c r="AJ49" s="9">
        <f>IF(L49="Yes",AI49*Tab_Data_Flows[[#This Row],[Flow_Py]]*Tab_Data_Flows[[#This Row],[DM_'[%']]],"N.A.")</f>
        <v>123538.505</v>
      </c>
      <c r="AK49" s="9" t="str">
        <f>Tab_Data_Flows[[#This Row],[UoM_Flow_Py]]</f>
        <v>Mg</v>
      </c>
    </row>
    <row r="50" spans="1:37" x14ac:dyDescent="0.25">
      <c r="A50" s="16">
        <f t="shared" si="0"/>
        <v>49</v>
      </c>
      <c r="B50" s="9" t="str">
        <f>_xlfn.XLOOKUP(C50,Tab_Def_Flows[Name(EN)],Tab_Def_Flows[Flow_ID],,0,)</f>
        <v>F_01_02</v>
      </c>
      <c r="C50" s="11" t="s">
        <v>270</v>
      </c>
      <c r="D50" s="9"/>
      <c r="E50" s="9" t="str">
        <f>_xlfn.XLOOKUP(C50,Tab_Def_Flows[Name(EN)],Tab_Def_Flows[Output_Process],,0,)</f>
        <v>Environment</v>
      </c>
      <c r="F50" s="9" t="str">
        <f>_xlfn.XLOOKUP(C50,Tab_Def_Flows[Name(EN)],Tab_Def_Flows[Process_ID_O],,0,)</f>
        <v>01</v>
      </c>
      <c r="G50" s="9" t="str">
        <f>_xlfn.XLOOKUP(C50,Tab_Def_Flows[Name(EN)],Tab_Def_Flows[Input_Process],,0,)</f>
        <v>Forestry</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267</v>
      </c>
      <c r="AC50" s="190">
        <f>INDEX(Tab_Def_Flows[[Flow_ID]:[CC_DM_source]],MATCH(Tab_Data_Flows[[#This Row],[Name(EN)]],Tab_Def_Flows[Name(EN)],0),13)</f>
        <v>0.5</v>
      </c>
      <c r="AD50" s="9">
        <f>IF(J50="Yes",AA50*Tab_Data_Flows[[#This Row],[WC_'[%']]],"N.A.")</f>
        <v>251636.345</v>
      </c>
      <c r="AE50" s="9" t="str">
        <f>Tab_Data_Flows[[#This Row],[UoM_Flow_Py]]</f>
        <v>Mg</v>
      </c>
      <c r="AF50" s="190">
        <f>INDEX(Tab_Def_Flows[[Flow_ID]:[CC_DM_source]],MATCH(Tab_Data_Flows[[#This Row],[Name(EN)]],Tab_Def_Flows[Name(EN)],0),15)</f>
        <v>0.5</v>
      </c>
      <c r="AG50" s="9">
        <f>IF(K50="Yes",AF50*Tab_Data_Flows[[#This Row],[Flow_Py]],"N.A.")</f>
        <v>251636.345</v>
      </c>
      <c r="AH50" s="9" t="str">
        <f>Tab_Data_Flows[[#This Row],[UoM_Flow_Py]]</f>
        <v>Mg</v>
      </c>
      <c r="AI50" s="190">
        <f>INDEX(Tab_Def_Flows[[Flow_ID]:[CC_DM_source]],MATCH(Tab_Data_Flows[[#This Row],[Name(EN)]],Tab_Def_Flows[Name(EN)],0),17)</f>
        <v>0.5</v>
      </c>
      <c r="AJ50" s="9">
        <f>IF(L50="Yes",AI50*Tab_Data_Flows[[#This Row],[Flow_Py]]*Tab_Data_Flows[[#This Row],[DM_'[%']]],"N.A.")</f>
        <v>125818.1725</v>
      </c>
      <c r="AK50" s="9" t="str">
        <f>Tab_Data_Flows[[#This Row],[UoM_Flow_Py]]</f>
        <v>Mg</v>
      </c>
    </row>
    <row r="51" spans="1:37" x14ac:dyDescent="0.25">
      <c r="A51" s="16">
        <f t="shared" si="0"/>
        <v>50</v>
      </c>
      <c r="B51" s="9" t="str">
        <f>_xlfn.XLOOKUP(C51,Tab_Def_Flows[Name(EN)],Tab_Def_Flows[Flow_ID],,0,)</f>
        <v>F_01_02</v>
      </c>
      <c r="C51" s="11" t="s">
        <v>270</v>
      </c>
      <c r="D51" s="9"/>
      <c r="E51" s="9" t="str">
        <f>_xlfn.XLOOKUP(C51,Tab_Def_Flows[Name(EN)],Tab_Def_Flows[Output_Process],,0,)</f>
        <v>Environment</v>
      </c>
      <c r="F51" s="9" t="str">
        <f>_xlfn.XLOOKUP(C51,Tab_Def_Flows[Name(EN)],Tab_Def_Flows[Process_ID_O],,0,)</f>
        <v>01</v>
      </c>
      <c r="G51" s="9" t="str">
        <f>_xlfn.XLOOKUP(C51,Tab_Def_Flows[Name(EN)],Tab_Def_Flows[Input_Process],,0,)</f>
        <v>Forestry</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267</v>
      </c>
      <c r="AC51" s="190">
        <f>INDEX(Tab_Def_Flows[[Flow_ID]:[CC_DM_source]],MATCH(Tab_Data_Flows[[#This Row],[Name(EN)]],Tab_Def_Flows[Name(EN)],0),13)</f>
        <v>0.5</v>
      </c>
      <c r="AD51" s="9">
        <f>IF(J51="Yes",AA51*Tab_Data_Flows[[#This Row],[WC_'[%']]],"N.A.")</f>
        <v>205911.755</v>
      </c>
      <c r="AE51" s="9" t="str">
        <f>Tab_Data_Flows[[#This Row],[UoM_Flow_Py]]</f>
        <v>Mg</v>
      </c>
      <c r="AF51" s="190">
        <f>INDEX(Tab_Def_Flows[[Flow_ID]:[CC_DM_source]],MATCH(Tab_Data_Flows[[#This Row],[Name(EN)]],Tab_Def_Flows[Name(EN)],0),15)</f>
        <v>0.5</v>
      </c>
      <c r="AG51" s="9">
        <f>IF(K51="Yes",AF51*Tab_Data_Flows[[#This Row],[Flow_Py]],"N.A.")</f>
        <v>205911.755</v>
      </c>
      <c r="AH51" s="9" t="str">
        <f>Tab_Data_Flows[[#This Row],[UoM_Flow_Py]]</f>
        <v>Mg</v>
      </c>
      <c r="AI51" s="190">
        <f>INDEX(Tab_Def_Flows[[Flow_ID]:[CC_DM_source]],MATCH(Tab_Data_Flows[[#This Row],[Name(EN)]],Tab_Def_Flows[Name(EN)],0),17)</f>
        <v>0.5</v>
      </c>
      <c r="AJ51" s="9">
        <f>IF(L51="Yes",AI51*Tab_Data_Flows[[#This Row],[Flow_Py]]*Tab_Data_Flows[[#This Row],[DM_'[%']]],"N.A.")</f>
        <v>102955.8775</v>
      </c>
      <c r="AK51" s="9" t="str">
        <f>Tab_Data_Flows[[#This Row],[UoM_Flow_Py]]</f>
        <v>Mg</v>
      </c>
    </row>
    <row r="52" spans="1:37" x14ac:dyDescent="0.25">
      <c r="A52" s="16">
        <f t="shared" si="0"/>
        <v>51</v>
      </c>
      <c r="B52" s="9" t="str">
        <f>_xlfn.XLOOKUP(C52,Tab_Def_Flows[Name(EN)],Tab_Def_Flows[Flow_ID],,0,)</f>
        <v>F_01_02</v>
      </c>
      <c r="C52" s="11" t="s">
        <v>270</v>
      </c>
      <c r="D52" s="9"/>
      <c r="E52" s="9" t="str">
        <f>_xlfn.XLOOKUP(C52,Tab_Def_Flows[Name(EN)],Tab_Def_Flows[Output_Process],,0,)</f>
        <v>Environment</v>
      </c>
      <c r="F52" s="9" t="str">
        <f>_xlfn.XLOOKUP(C52,Tab_Def_Flows[Name(EN)],Tab_Def_Flows[Process_ID_O],,0,)</f>
        <v>01</v>
      </c>
      <c r="G52" s="9" t="str">
        <f>_xlfn.XLOOKUP(C52,Tab_Def_Flows[Name(EN)],Tab_Def_Flows[Input_Process],,0,)</f>
        <v>Forestry</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267</v>
      </c>
      <c r="AC52" s="190">
        <f>INDEX(Tab_Def_Flows[[Flow_ID]:[CC_DM_source]],MATCH(Tab_Data_Flows[[#This Row],[Name(EN)]],Tab_Def_Flows[Name(EN)],0),13)</f>
        <v>0.5</v>
      </c>
      <c r="AD52" s="9">
        <f>IF(J52="Yes",AA52*Tab_Data_Flows[[#This Row],[WC_'[%']]],"N.A.")</f>
        <v>243073.52499999999</v>
      </c>
      <c r="AE52" s="9" t="str">
        <f>Tab_Data_Flows[[#This Row],[UoM_Flow_Py]]</f>
        <v>Mg</v>
      </c>
      <c r="AF52" s="190">
        <f>INDEX(Tab_Def_Flows[[Flow_ID]:[CC_DM_source]],MATCH(Tab_Data_Flows[[#This Row],[Name(EN)]],Tab_Def_Flows[Name(EN)],0),15)</f>
        <v>0.5</v>
      </c>
      <c r="AG52" s="9">
        <f>IF(K52="Yes",AF52*Tab_Data_Flows[[#This Row],[Flow_Py]],"N.A.")</f>
        <v>243073.52499999999</v>
      </c>
      <c r="AH52" s="9" t="str">
        <f>Tab_Data_Flows[[#This Row],[UoM_Flow_Py]]</f>
        <v>Mg</v>
      </c>
      <c r="AI52" s="190">
        <f>INDEX(Tab_Def_Flows[[Flow_ID]:[CC_DM_source]],MATCH(Tab_Data_Flows[[#This Row],[Name(EN)]],Tab_Def_Flows[Name(EN)],0),17)</f>
        <v>0.5</v>
      </c>
      <c r="AJ52" s="9">
        <f>IF(L52="Yes",AI52*Tab_Data_Flows[[#This Row],[Flow_Py]]*Tab_Data_Flows[[#This Row],[DM_'[%']]],"N.A.")</f>
        <v>121536.7625</v>
      </c>
      <c r="AK52" s="9" t="str">
        <f>Tab_Data_Flows[[#This Row],[UoM_Flow_Py]]</f>
        <v>Mg</v>
      </c>
    </row>
    <row r="53" spans="1:37" x14ac:dyDescent="0.25">
      <c r="A53" s="16">
        <f t="shared" si="0"/>
        <v>52</v>
      </c>
      <c r="B53" s="9" t="str">
        <f>_xlfn.XLOOKUP(C53,Tab_Def_Flows[Name(EN)],Tab_Def_Flows[Flow_ID],,0,)</f>
        <v>F_01_02</v>
      </c>
      <c r="C53" s="11" t="s">
        <v>270</v>
      </c>
      <c r="D53" s="9"/>
      <c r="E53" s="9" t="str">
        <f>_xlfn.XLOOKUP(C53,Tab_Def_Flows[Name(EN)],Tab_Def_Flows[Output_Process],,0,)</f>
        <v>Environment</v>
      </c>
      <c r="F53" s="9" t="str">
        <f>_xlfn.XLOOKUP(C53,Tab_Def_Flows[Name(EN)],Tab_Def_Flows[Process_ID_O],,0,)</f>
        <v>01</v>
      </c>
      <c r="G53" s="9" t="str">
        <f>_xlfn.XLOOKUP(C53,Tab_Def_Flows[Name(EN)],Tab_Def_Flows[Input_Process],,0,)</f>
        <v>Forestry</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267</v>
      </c>
      <c r="AC53" s="190">
        <f>INDEX(Tab_Def_Flows[[Flow_ID]:[CC_DM_source]],MATCH(Tab_Data_Flows[[#This Row],[Name(EN)]],Tab_Def_Flows[Name(EN)],0),13)</f>
        <v>0.5</v>
      </c>
      <c r="AD53" s="9">
        <f>IF(J53="Yes",AA53*Tab_Data_Flows[[#This Row],[WC_'[%']]],"N.A.")</f>
        <v>238916.51</v>
      </c>
      <c r="AE53" s="9" t="str">
        <f>Tab_Data_Flows[[#This Row],[UoM_Flow_Py]]</f>
        <v>Mg</v>
      </c>
      <c r="AF53" s="190">
        <f>INDEX(Tab_Def_Flows[[Flow_ID]:[CC_DM_source]],MATCH(Tab_Data_Flows[[#This Row],[Name(EN)]],Tab_Def_Flows[Name(EN)],0),15)</f>
        <v>0.5</v>
      </c>
      <c r="AG53" s="9">
        <f>IF(K53="Yes",AF53*Tab_Data_Flows[[#This Row],[Flow_Py]],"N.A.")</f>
        <v>238916.51</v>
      </c>
      <c r="AH53" s="9" t="str">
        <f>Tab_Data_Flows[[#This Row],[UoM_Flow_Py]]</f>
        <v>Mg</v>
      </c>
      <c r="AI53" s="190">
        <f>INDEX(Tab_Def_Flows[[Flow_ID]:[CC_DM_source]],MATCH(Tab_Data_Flows[[#This Row],[Name(EN)]],Tab_Def_Flows[Name(EN)],0),17)</f>
        <v>0.5</v>
      </c>
      <c r="AJ53" s="9">
        <f>IF(L53="Yes",AI53*Tab_Data_Flows[[#This Row],[Flow_Py]]*Tab_Data_Flows[[#This Row],[DM_'[%']]],"N.A.")</f>
        <v>119458.255</v>
      </c>
      <c r="AK53" s="9" t="str">
        <f>Tab_Data_Flows[[#This Row],[UoM_Flow_Py]]</f>
        <v>Mg</v>
      </c>
    </row>
    <row r="54" spans="1:37" x14ac:dyDescent="0.25">
      <c r="A54" s="16">
        <f t="shared" si="0"/>
        <v>53</v>
      </c>
      <c r="B54" s="9" t="str">
        <f>_xlfn.XLOOKUP(C54,Tab_Def_Flows[Name(EN)],Tab_Def_Flows[Flow_ID],,0,)</f>
        <v>N.A.</v>
      </c>
      <c r="C54" s="11" t="s">
        <v>34</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267</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34</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267</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34</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267</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34</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267</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34</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267</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34</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267</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34</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c r="O60" s="48"/>
      <c r="P60" s="11"/>
      <c r="Q60" s="11"/>
      <c r="R60" s="11"/>
      <c r="S60" s="11"/>
      <c r="T60" s="11"/>
      <c r="U60" s="11"/>
      <c r="V60" s="11"/>
      <c r="W60" s="11"/>
      <c r="X60" s="11" t="s">
        <v>8</v>
      </c>
      <c r="Y60" s="41"/>
      <c r="Z60" s="11"/>
      <c r="AA60" s="35">
        <f>IF(X60="no",O60,O60*Y60)</f>
        <v>0</v>
      </c>
      <c r="AB60" s="11" t="s">
        <v>267</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34</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c r="O61" s="48"/>
      <c r="P61" s="11"/>
      <c r="Q61" s="11"/>
      <c r="R61" s="11"/>
      <c r="S61" s="11"/>
      <c r="T61" s="11"/>
      <c r="U61" s="11"/>
      <c r="V61" s="11"/>
      <c r="W61" s="11"/>
      <c r="X61" s="11" t="s">
        <v>8</v>
      </c>
      <c r="Y61" s="41"/>
      <c r="Z61" s="11"/>
      <c r="AA61" s="35">
        <f t="shared" si="1"/>
        <v>0</v>
      </c>
      <c r="AB61" s="11" t="s">
        <v>267</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34</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c r="O62" s="48"/>
      <c r="P62" s="11"/>
      <c r="Q62" s="11"/>
      <c r="R62" s="11"/>
      <c r="S62" s="11"/>
      <c r="T62" s="11"/>
      <c r="U62" s="11"/>
      <c r="V62" s="11"/>
      <c r="W62" s="11"/>
      <c r="X62" s="11" t="s">
        <v>8</v>
      </c>
      <c r="Y62" s="41"/>
      <c r="Z62" s="11"/>
      <c r="AA62" s="35">
        <f t="shared" si="1"/>
        <v>0</v>
      </c>
      <c r="AB62" s="11" t="s">
        <v>267</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34</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c r="O63" s="48"/>
      <c r="P63" s="11"/>
      <c r="Q63" s="11"/>
      <c r="R63" s="11"/>
      <c r="S63" s="11"/>
      <c r="T63" s="11"/>
      <c r="U63" s="11"/>
      <c r="V63" s="11"/>
      <c r="W63" s="11"/>
      <c r="X63" s="11" t="s">
        <v>8</v>
      </c>
      <c r="Y63" s="41"/>
      <c r="Z63" s="11"/>
      <c r="AA63" s="35">
        <f t="shared" si="1"/>
        <v>0</v>
      </c>
      <c r="AB63" s="11" t="s">
        <v>267</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34</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c r="O64" s="48"/>
      <c r="P64" s="11"/>
      <c r="Q64" s="11"/>
      <c r="R64" s="11"/>
      <c r="S64" s="11"/>
      <c r="T64" s="11"/>
      <c r="U64" s="11"/>
      <c r="V64" s="11"/>
      <c r="W64" s="11"/>
      <c r="X64" s="11" t="s">
        <v>8</v>
      </c>
      <c r="Y64" s="41"/>
      <c r="Z64" s="11"/>
      <c r="AA64" s="35">
        <f t="shared" si="1"/>
        <v>0</v>
      </c>
      <c r="AB64" s="11" t="s">
        <v>267</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34</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c r="O65" s="48"/>
      <c r="P65" s="11"/>
      <c r="Q65" s="11"/>
      <c r="R65" s="11"/>
      <c r="S65" s="11"/>
      <c r="T65" s="11"/>
      <c r="U65" s="11"/>
      <c r="V65" s="11"/>
      <c r="W65" s="11"/>
      <c r="X65" s="11" t="s">
        <v>8</v>
      </c>
      <c r="Y65" s="41"/>
      <c r="Z65" s="11"/>
      <c r="AA65" s="35">
        <f t="shared" si="1"/>
        <v>0</v>
      </c>
      <c r="AB65" s="11" t="s">
        <v>267</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34</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c r="O66" s="48"/>
      <c r="P66" s="11"/>
      <c r="Q66" s="11"/>
      <c r="R66" s="11"/>
      <c r="S66" s="11"/>
      <c r="T66" s="11"/>
      <c r="U66" s="11"/>
      <c r="V66" s="11"/>
      <c r="W66" s="11"/>
      <c r="X66" s="11" t="s">
        <v>8</v>
      </c>
      <c r="Y66" s="41"/>
      <c r="Z66" s="11"/>
      <c r="AA66" s="35">
        <f t="shared" si="1"/>
        <v>0</v>
      </c>
      <c r="AB66" s="11" t="s">
        <v>267</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34</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267</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34</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267</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34</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267</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34</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267</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34</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267</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34</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267</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34</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267</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34</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267</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34</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267</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34</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267</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34</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267</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34</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267</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34</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267</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34</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267</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34</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267</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34</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267</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34</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267</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34</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267</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34</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267</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34</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267</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34</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267</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34</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267</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34</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104</v>
      </c>
      <c r="O89" s="48"/>
      <c r="P89" s="11"/>
      <c r="Q89" s="11"/>
      <c r="R89" s="11"/>
      <c r="S89" s="11"/>
      <c r="T89" s="11"/>
      <c r="U89" s="11"/>
      <c r="V89" s="11"/>
      <c r="W89" s="11"/>
      <c r="X89" s="11" t="s">
        <v>8</v>
      </c>
      <c r="Y89" s="41"/>
      <c r="Z89" s="11"/>
      <c r="AA89" s="35">
        <f t="shared" si="3"/>
        <v>0</v>
      </c>
      <c r="AB89" s="11" t="s">
        <v>267</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34</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104</v>
      </c>
      <c r="O90" s="48"/>
      <c r="P90" s="11"/>
      <c r="Q90" s="11"/>
      <c r="R90" s="11"/>
      <c r="S90" s="11"/>
      <c r="T90" s="11"/>
      <c r="U90" s="11"/>
      <c r="V90" s="11"/>
      <c r="W90" s="11"/>
      <c r="X90" s="11" t="s">
        <v>8</v>
      </c>
      <c r="Y90" s="41"/>
      <c r="Z90" s="11"/>
      <c r="AA90" s="35">
        <f t="shared" si="3"/>
        <v>0</v>
      </c>
      <c r="AB90" s="11" t="s">
        <v>267</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34</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104</v>
      </c>
      <c r="O91" s="48"/>
      <c r="P91" s="11"/>
      <c r="Q91" s="11"/>
      <c r="R91" s="11"/>
      <c r="S91" s="11"/>
      <c r="T91" s="11"/>
      <c r="U91" s="11"/>
      <c r="V91" s="11"/>
      <c r="W91" s="11"/>
      <c r="X91" s="11" t="s">
        <v>8</v>
      </c>
      <c r="Y91" s="41"/>
      <c r="Z91" s="11"/>
      <c r="AA91" s="35">
        <f t="shared" si="3"/>
        <v>0</v>
      </c>
      <c r="AB91" s="11" t="s">
        <v>267</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34</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104</v>
      </c>
      <c r="O92" s="48"/>
      <c r="P92" s="11"/>
      <c r="Q92" s="11"/>
      <c r="R92" s="11"/>
      <c r="S92" s="11"/>
      <c r="T92" s="11"/>
      <c r="U92" s="11"/>
      <c r="V92" s="11"/>
      <c r="W92" s="11"/>
      <c r="X92" s="11" t="s">
        <v>8</v>
      </c>
      <c r="Y92" s="41"/>
      <c r="Z92" s="11"/>
      <c r="AA92" s="35">
        <f t="shared" si="3"/>
        <v>0</v>
      </c>
      <c r="AB92" s="11" t="s">
        <v>267</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34</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104</v>
      </c>
      <c r="O93" s="48"/>
      <c r="P93" s="11"/>
      <c r="Q93" s="11"/>
      <c r="R93" s="11"/>
      <c r="S93" s="11"/>
      <c r="T93" s="11"/>
      <c r="U93" s="11"/>
      <c r="V93" s="11"/>
      <c r="W93" s="11"/>
      <c r="X93" s="11" t="s">
        <v>8</v>
      </c>
      <c r="Y93" s="41"/>
      <c r="Z93" s="11"/>
      <c r="AA93" s="35">
        <f t="shared" si="3"/>
        <v>0</v>
      </c>
      <c r="AB93" s="11" t="s">
        <v>267</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34</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104</v>
      </c>
      <c r="O94" s="48"/>
      <c r="P94" s="11"/>
      <c r="Q94" s="11"/>
      <c r="R94" s="11"/>
      <c r="S94" s="11"/>
      <c r="T94" s="11"/>
      <c r="U94" s="11"/>
      <c r="V94" s="11"/>
      <c r="W94" s="11"/>
      <c r="X94" s="11" t="s">
        <v>8</v>
      </c>
      <c r="Y94" s="41"/>
      <c r="Z94" s="11"/>
      <c r="AA94" s="35">
        <f t="shared" si="3"/>
        <v>0</v>
      </c>
      <c r="AB94" s="11" t="s">
        <v>267</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34</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104</v>
      </c>
      <c r="O95" s="48"/>
      <c r="P95" s="11"/>
      <c r="Q95" s="11"/>
      <c r="R95" s="11"/>
      <c r="S95" s="11"/>
      <c r="T95" s="11"/>
      <c r="U95" s="11"/>
      <c r="V95" s="11"/>
      <c r="W95" s="11"/>
      <c r="X95" s="11" t="s">
        <v>8</v>
      </c>
      <c r="Y95" s="41"/>
      <c r="Z95" s="11"/>
      <c r="AA95" s="35">
        <f t="shared" si="3"/>
        <v>0</v>
      </c>
      <c r="AB95" s="11" t="s">
        <v>267</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34</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267</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34</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267</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34</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267</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34</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267</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34</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267</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34</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267</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34</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267</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34</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267</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34</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267</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34</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267</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34</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267</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34</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267</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34</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267</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34</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267</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34</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267</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34</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267</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34</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267</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34</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267</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34</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267</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34</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267</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34</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267</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34</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267</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34</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104</v>
      </c>
      <c r="O118" s="48"/>
      <c r="P118" s="11"/>
      <c r="Q118" s="11" t="s">
        <v>113</v>
      </c>
      <c r="R118" s="11"/>
      <c r="S118" s="11"/>
      <c r="T118" s="11"/>
      <c r="U118" s="11"/>
      <c r="V118" s="11"/>
      <c r="W118" s="11"/>
      <c r="X118" s="11" t="s">
        <v>8</v>
      </c>
      <c r="Y118" s="41"/>
      <c r="Z118" s="11"/>
      <c r="AA118" s="35">
        <f t="shared" si="3"/>
        <v>0</v>
      </c>
      <c r="AB118" s="11" t="s">
        <v>267</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34</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104</v>
      </c>
      <c r="O119" s="48"/>
      <c r="P119" s="11"/>
      <c r="Q119" s="11" t="s">
        <v>113</v>
      </c>
      <c r="R119" s="11"/>
      <c r="S119" s="11"/>
      <c r="T119" s="11"/>
      <c r="U119" s="11"/>
      <c r="V119" s="11"/>
      <c r="W119" s="11"/>
      <c r="X119" s="11" t="s">
        <v>8</v>
      </c>
      <c r="Y119" s="41"/>
      <c r="Z119" s="11"/>
      <c r="AA119" s="35">
        <f t="shared" si="3"/>
        <v>0</v>
      </c>
      <c r="AB119" s="11" t="s">
        <v>267</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34</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104</v>
      </c>
      <c r="O120" s="48"/>
      <c r="P120" s="11"/>
      <c r="Q120" s="11" t="s">
        <v>113</v>
      </c>
      <c r="R120" s="11"/>
      <c r="S120" s="11"/>
      <c r="T120" s="11"/>
      <c r="U120" s="11"/>
      <c r="V120" s="11"/>
      <c r="W120" s="11"/>
      <c r="X120" s="11" t="s">
        <v>8</v>
      </c>
      <c r="Y120" s="41"/>
      <c r="Z120" s="11"/>
      <c r="AA120" s="35">
        <f t="shared" si="3"/>
        <v>0</v>
      </c>
      <c r="AB120" s="11" t="s">
        <v>267</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34</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104</v>
      </c>
      <c r="O121" s="48"/>
      <c r="P121" s="11"/>
      <c r="Q121" s="11" t="s">
        <v>113</v>
      </c>
      <c r="R121" s="11"/>
      <c r="S121" s="11"/>
      <c r="T121" s="11"/>
      <c r="U121" s="11"/>
      <c r="V121" s="11"/>
      <c r="W121" s="11"/>
      <c r="X121" s="11" t="s">
        <v>8</v>
      </c>
      <c r="Y121" s="41"/>
      <c r="Z121" s="11"/>
      <c r="AA121" s="35">
        <f t="shared" si="3"/>
        <v>0</v>
      </c>
      <c r="AB121" s="11" t="s">
        <v>267</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34</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104</v>
      </c>
      <c r="O122" s="48"/>
      <c r="P122" s="11"/>
      <c r="Q122" s="11" t="s">
        <v>113</v>
      </c>
      <c r="R122" s="11"/>
      <c r="S122" s="11"/>
      <c r="T122" s="11"/>
      <c r="U122" s="11"/>
      <c r="V122" s="11"/>
      <c r="W122" s="11"/>
      <c r="X122" s="11" t="s">
        <v>8</v>
      </c>
      <c r="Y122" s="41"/>
      <c r="Z122" s="11"/>
      <c r="AA122" s="35">
        <f t="shared" si="3"/>
        <v>0</v>
      </c>
      <c r="AB122" s="11" t="s">
        <v>267</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34</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104</v>
      </c>
      <c r="O123" s="48"/>
      <c r="P123" s="11"/>
      <c r="Q123" s="11" t="s">
        <v>113</v>
      </c>
      <c r="R123" s="11"/>
      <c r="S123" s="11"/>
      <c r="T123" s="11"/>
      <c r="U123" s="11"/>
      <c r="V123" s="11"/>
      <c r="W123" s="11"/>
      <c r="X123" s="11" t="s">
        <v>8</v>
      </c>
      <c r="Y123" s="41"/>
      <c r="Z123" s="11"/>
      <c r="AA123" s="35">
        <f t="shared" si="3"/>
        <v>0</v>
      </c>
      <c r="AB123" s="11" t="s">
        <v>267</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34</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104</v>
      </c>
      <c r="O124" s="48"/>
      <c r="P124" s="11"/>
      <c r="Q124" s="11" t="s">
        <v>113</v>
      </c>
      <c r="R124" s="11"/>
      <c r="S124" s="11"/>
      <c r="T124" s="11"/>
      <c r="U124" s="11"/>
      <c r="V124" s="11"/>
      <c r="W124" s="11"/>
      <c r="X124" s="11" t="s">
        <v>8</v>
      </c>
      <c r="Y124" s="41"/>
      <c r="Z124" s="11"/>
      <c r="AA124" s="35">
        <f t="shared" si="3"/>
        <v>0</v>
      </c>
      <c r="AB124" s="11" t="s">
        <v>267</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34</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267</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34</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267</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34</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267</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34</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267</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34</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267</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34</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267</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34</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267</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34</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267</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34</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267</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34</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267</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34</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267</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34</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267</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34</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267</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34</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267</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34</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267</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34</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267</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34</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267</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34</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267</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34</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267</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34</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267</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34</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267</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34</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267</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34</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104</v>
      </c>
      <c r="O147" s="48"/>
      <c r="P147" s="11"/>
      <c r="Q147" s="11"/>
      <c r="R147" s="11"/>
      <c r="S147" s="11"/>
      <c r="T147" s="11"/>
      <c r="U147" s="11"/>
      <c r="V147" s="11"/>
      <c r="W147" s="11"/>
      <c r="X147" s="11" t="s">
        <v>8</v>
      </c>
      <c r="Y147" s="41"/>
      <c r="Z147" s="11"/>
      <c r="AA147" s="35">
        <f t="shared" si="5"/>
        <v>0</v>
      </c>
      <c r="AB147" s="11" t="s">
        <v>267</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34</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104</v>
      </c>
      <c r="O148" s="48"/>
      <c r="P148" s="11"/>
      <c r="Q148" s="11"/>
      <c r="R148" s="11"/>
      <c r="S148" s="11"/>
      <c r="T148" s="11"/>
      <c r="U148" s="11"/>
      <c r="V148" s="11"/>
      <c r="W148" s="11"/>
      <c r="X148" s="11" t="s">
        <v>8</v>
      </c>
      <c r="Y148" s="41"/>
      <c r="Z148" s="11"/>
      <c r="AA148" s="35">
        <f t="shared" si="5"/>
        <v>0</v>
      </c>
      <c r="AB148" s="11" t="s">
        <v>267</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34</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104</v>
      </c>
      <c r="O149" s="48"/>
      <c r="P149" s="11"/>
      <c r="Q149" s="11"/>
      <c r="R149" s="11"/>
      <c r="S149" s="11"/>
      <c r="T149" s="11"/>
      <c r="U149" s="11"/>
      <c r="V149" s="11"/>
      <c r="W149" s="11"/>
      <c r="X149" s="11" t="s">
        <v>8</v>
      </c>
      <c r="Y149" s="41"/>
      <c r="Z149" s="11"/>
      <c r="AA149" s="35">
        <f t="shared" si="5"/>
        <v>0</v>
      </c>
      <c r="AB149" s="11" t="s">
        <v>267</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34</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104</v>
      </c>
      <c r="O150" s="48"/>
      <c r="P150" s="11"/>
      <c r="Q150" s="11"/>
      <c r="R150" s="11"/>
      <c r="S150" s="11"/>
      <c r="T150" s="11"/>
      <c r="U150" s="11"/>
      <c r="V150" s="11"/>
      <c r="W150" s="11"/>
      <c r="X150" s="11" t="s">
        <v>8</v>
      </c>
      <c r="Y150" s="41"/>
      <c r="Z150" s="11"/>
      <c r="AA150" s="35">
        <f t="shared" si="5"/>
        <v>0</v>
      </c>
      <c r="AB150" s="11" t="s">
        <v>267</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34</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104</v>
      </c>
      <c r="O151" s="48"/>
      <c r="P151" s="11"/>
      <c r="Q151" s="11"/>
      <c r="R151" s="11"/>
      <c r="S151" s="11"/>
      <c r="T151" s="11"/>
      <c r="U151" s="11"/>
      <c r="V151" s="11"/>
      <c r="W151" s="11"/>
      <c r="X151" s="11" t="s">
        <v>8</v>
      </c>
      <c r="Y151" s="41"/>
      <c r="Z151" s="11"/>
      <c r="AA151" s="35">
        <f t="shared" si="5"/>
        <v>0</v>
      </c>
      <c r="AB151" s="11" t="s">
        <v>267</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34</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104</v>
      </c>
      <c r="O152" s="48"/>
      <c r="P152" s="11"/>
      <c r="Q152" s="11"/>
      <c r="R152" s="11"/>
      <c r="S152" s="11"/>
      <c r="T152" s="11"/>
      <c r="U152" s="11"/>
      <c r="V152" s="11"/>
      <c r="W152" s="11"/>
      <c r="X152" s="11" t="s">
        <v>8</v>
      </c>
      <c r="Y152" s="41"/>
      <c r="Z152" s="11"/>
      <c r="AA152" s="35">
        <f t="shared" si="5"/>
        <v>0</v>
      </c>
      <c r="AB152" s="11" t="s">
        <v>267</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34</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104</v>
      </c>
      <c r="O153" s="48"/>
      <c r="P153" s="11"/>
      <c r="Q153" s="11"/>
      <c r="R153" s="11"/>
      <c r="S153" s="11"/>
      <c r="T153" s="11"/>
      <c r="U153" s="11"/>
      <c r="V153" s="11"/>
      <c r="W153" s="11"/>
      <c r="X153" s="11" t="s">
        <v>8</v>
      </c>
      <c r="Y153" s="41"/>
      <c r="Z153" s="11"/>
      <c r="AA153" s="35">
        <f t="shared" si="5"/>
        <v>0</v>
      </c>
      <c r="AB153" s="11" t="s">
        <v>267</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34</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267</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34</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267</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34</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267</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34</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267</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34</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267</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34</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267</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34</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267</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34</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267</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34</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267</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34</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267</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34</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267</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34</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267</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34</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267</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34</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267</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34</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267</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34</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267</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34</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267</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34</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267</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34</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267</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34</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267</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34</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267</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34</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267</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34</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104</v>
      </c>
      <c r="O176" s="48"/>
      <c r="P176" s="11"/>
      <c r="Q176" s="11"/>
      <c r="R176" s="11"/>
      <c r="S176" s="11"/>
      <c r="T176" s="11"/>
      <c r="U176" s="11"/>
      <c r="V176" s="11"/>
      <c r="W176" s="11"/>
      <c r="X176" s="11" t="s">
        <v>8</v>
      </c>
      <c r="Y176" s="41"/>
      <c r="Z176" s="11"/>
      <c r="AA176" s="35">
        <f t="shared" si="5"/>
        <v>0</v>
      </c>
      <c r="AB176" s="11" t="s">
        <v>267</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34</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104</v>
      </c>
      <c r="O177" s="48"/>
      <c r="P177" s="11"/>
      <c r="Q177" s="11"/>
      <c r="R177" s="11"/>
      <c r="S177" s="11"/>
      <c r="T177" s="11"/>
      <c r="U177" s="11"/>
      <c r="V177" s="11"/>
      <c r="W177" s="11"/>
      <c r="X177" s="11" t="s">
        <v>8</v>
      </c>
      <c r="Y177" s="41"/>
      <c r="Z177" s="11"/>
      <c r="AA177" s="35">
        <f t="shared" si="5"/>
        <v>0</v>
      </c>
      <c r="AB177" s="11" t="s">
        <v>267</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34</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104</v>
      </c>
      <c r="O178" s="48"/>
      <c r="P178" s="11"/>
      <c r="Q178" s="11"/>
      <c r="R178" s="11"/>
      <c r="S178" s="11"/>
      <c r="T178" s="11"/>
      <c r="U178" s="11"/>
      <c r="V178" s="11"/>
      <c r="W178" s="11"/>
      <c r="X178" s="11" t="s">
        <v>8</v>
      </c>
      <c r="Y178" s="41"/>
      <c r="Z178" s="11"/>
      <c r="AA178" s="35">
        <f t="shared" si="5"/>
        <v>0</v>
      </c>
      <c r="AB178" s="11" t="s">
        <v>267</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34</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104</v>
      </c>
      <c r="O179" s="48"/>
      <c r="P179" s="11"/>
      <c r="Q179" s="11"/>
      <c r="R179" s="11"/>
      <c r="S179" s="11"/>
      <c r="T179" s="11"/>
      <c r="U179" s="11"/>
      <c r="V179" s="11"/>
      <c r="W179" s="11"/>
      <c r="X179" s="11" t="s">
        <v>8</v>
      </c>
      <c r="Y179" s="41"/>
      <c r="Z179" s="11"/>
      <c r="AA179" s="35">
        <f t="shared" si="5"/>
        <v>0</v>
      </c>
      <c r="AB179" s="11" t="s">
        <v>267</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34</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104</v>
      </c>
      <c r="O180" s="48"/>
      <c r="P180" s="11"/>
      <c r="Q180" s="11"/>
      <c r="R180" s="11"/>
      <c r="S180" s="11"/>
      <c r="T180" s="11"/>
      <c r="U180" s="11"/>
      <c r="V180" s="11"/>
      <c r="W180" s="11"/>
      <c r="X180" s="11" t="s">
        <v>8</v>
      </c>
      <c r="Y180" s="41"/>
      <c r="Z180" s="11"/>
      <c r="AA180" s="35">
        <f t="shared" si="5"/>
        <v>0</v>
      </c>
      <c r="AB180" s="11" t="s">
        <v>267</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34</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104</v>
      </c>
      <c r="O181" s="48"/>
      <c r="P181" s="11"/>
      <c r="Q181" s="11"/>
      <c r="R181" s="11"/>
      <c r="S181" s="11"/>
      <c r="T181" s="11"/>
      <c r="U181" s="11"/>
      <c r="V181" s="11"/>
      <c r="W181" s="11"/>
      <c r="X181" s="11" t="s">
        <v>8</v>
      </c>
      <c r="Y181" s="41"/>
      <c r="Z181" s="11"/>
      <c r="AA181" s="35">
        <f t="shared" si="5"/>
        <v>0</v>
      </c>
      <c r="AB181" s="11" t="s">
        <v>267</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34</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104</v>
      </c>
      <c r="O182" s="48"/>
      <c r="P182" s="11"/>
      <c r="Q182" s="11" t="s">
        <v>122</v>
      </c>
      <c r="R182" s="11" t="s">
        <v>122</v>
      </c>
      <c r="S182" s="11" t="s">
        <v>122</v>
      </c>
      <c r="T182" s="11" t="s">
        <v>122</v>
      </c>
      <c r="U182" s="11" t="s">
        <v>122</v>
      </c>
      <c r="V182" s="11" t="s">
        <v>122</v>
      </c>
      <c r="W182" s="11" t="s">
        <v>122</v>
      </c>
      <c r="X182" s="11" t="s">
        <v>8</v>
      </c>
      <c r="Y182" s="41"/>
      <c r="Z182" s="11"/>
      <c r="AA182" s="35">
        <f t="shared" si="5"/>
        <v>0</v>
      </c>
      <c r="AB182" s="11" t="s">
        <v>267</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34</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267</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34</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267</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34</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267</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34</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267</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34</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267</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34</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267</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34</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267</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34</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267</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34</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267</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34</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267</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34</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267</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34</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267</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34</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267</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34</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267</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34</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267</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34</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267</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34</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267</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34</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267</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34</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267</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34</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267</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34</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267</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34</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267</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34</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104</v>
      </c>
      <c r="O205" s="48"/>
      <c r="P205" s="11"/>
      <c r="Q205" s="11"/>
      <c r="R205" s="11"/>
      <c r="S205" s="11"/>
      <c r="T205" s="11"/>
      <c r="U205" s="11"/>
      <c r="V205" s="11"/>
      <c r="W205" s="11"/>
      <c r="X205" s="11" t="s">
        <v>8</v>
      </c>
      <c r="Y205" s="41"/>
      <c r="Z205" s="11"/>
      <c r="AA205" s="35">
        <f t="shared" si="7"/>
        <v>0</v>
      </c>
      <c r="AB205" s="11" t="s">
        <v>267</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34</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104</v>
      </c>
      <c r="O206" s="48"/>
      <c r="P206" s="11"/>
      <c r="Q206" s="11"/>
      <c r="R206" s="11"/>
      <c r="S206" s="11"/>
      <c r="T206" s="11"/>
      <c r="U206" s="11"/>
      <c r="V206" s="11"/>
      <c r="W206" s="11"/>
      <c r="X206" s="11" t="s">
        <v>8</v>
      </c>
      <c r="Y206" s="41"/>
      <c r="Z206" s="11"/>
      <c r="AA206" s="35">
        <f t="shared" si="7"/>
        <v>0</v>
      </c>
      <c r="AB206" s="11" t="s">
        <v>267</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34</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104</v>
      </c>
      <c r="O207" s="48"/>
      <c r="P207" s="11"/>
      <c r="Q207" s="11"/>
      <c r="R207" s="11"/>
      <c r="S207" s="11"/>
      <c r="T207" s="11"/>
      <c r="U207" s="11"/>
      <c r="V207" s="11"/>
      <c r="W207" s="11"/>
      <c r="X207" s="11" t="s">
        <v>8</v>
      </c>
      <c r="Y207" s="41"/>
      <c r="Z207" s="11"/>
      <c r="AA207" s="35">
        <f t="shared" si="7"/>
        <v>0</v>
      </c>
      <c r="AB207" s="11" t="s">
        <v>267</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34</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104</v>
      </c>
      <c r="O208" s="48"/>
      <c r="P208" s="11"/>
      <c r="Q208" s="11"/>
      <c r="R208" s="11"/>
      <c r="S208" s="11"/>
      <c r="T208" s="11"/>
      <c r="U208" s="11"/>
      <c r="V208" s="11"/>
      <c r="W208" s="11"/>
      <c r="X208" s="11" t="s">
        <v>8</v>
      </c>
      <c r="Y208" s="41"/>
      <c r="Z208" s="11"/>
      <c r="AA208" s="35">
        <f t="shared" si="7"/>
        <v>0</v>
      </c>
      <c r="AB208" s="11" t="s">
        <v>267</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34</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104</v>
      </c>
      <c r="O209" s="48"/>
      <c r="P209" s="11"/>
      <c r="Q209" s="11"/>
      <c r="R209" s="11"/>
      <c r="S209" s="11"/>
      <c r="T209" s="11"/>
      <c r="U209" s="11"/>
      <c r="V209" s="11"/>
      <c r="W209" s="11"/>
      <c r="X209" s="11" t="s">
        <v>8</v>
      </c>
      <c r="Y209" s="41"/>
      <c r="Z209" s="11"/>
      <c r="AA209" s="35">
        <f t="shared" si="7"/>
        <v>0</v>
      </c>
      <c r="AB209" s="11" t="s">
        <v>267</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34</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104</v>
      </c>
      <c r="O210" s="48"/>
      <c r="P210" s="11"/>
      <c r="Q210" s="11"/>
      <c r="R210" s="11"/>
      <c r="S210" s="11"/>
      <c r="T210" s="11"/>
      <c r="U210" s="11"/>
      <c r="V210" s="11"/>
      <c r="W210" s="11"/>
      <c r="X210" s="11" t="s">
        <v>8</v>
      </c>
      <c r="Y210" s="41"/>
      <c r="Z210" s="11"/>
      <c r="AA210" s="35">
        <f t="shared" si="7"/>
        <v>0</v>
      </c>
      <c r="AB210" s="11" t="s">
        <v>267</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34</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104</v>
      </c>
      <c r="O211" s="48"/>
      <c r="P211" s="11"/>
      <c r="Q211" s="11"/>
      <c r="R211" s="11"/>
      <c r="S211" s="11"/>
      <c r="T211" s="11"/>
      <c r="U211" s="11"/>
      <c r="V211" s="11"/>
      <c r="W211" s="11"/>
      <c r="X211" s="11" t="s">
        <v>8</v>
      </c>
      <c r="Y211" s="41"/>
      <c r="Z211" s="11"/>
      <c r="AA211" s="35">
        <f t="shared" si="7"/>
        <v>0</v>
      </c>
      <c r="AB211" s="11" t="s">
        <v>267</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34</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267</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34</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267</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34</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267</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34</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267</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34</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267</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34</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267</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34</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267</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34</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267</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34</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267</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34</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267</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34</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267</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34</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267</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34</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267</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34</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267</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34</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267</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34</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267</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34</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267</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34</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267</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34</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267</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34</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267</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34</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267</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34</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267</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34</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267</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34</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267</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34</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267</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34</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267</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34</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267</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34</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267</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34</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267</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34</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267</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34</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267</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34</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267</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34</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267</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34</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267</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34</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267</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34</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267</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34</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267</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34</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267</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34</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267</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34</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267</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34</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267</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34</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267</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34</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267</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34</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267</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34</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267</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34</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267</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34</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267</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34</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267</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34</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267</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34</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267</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34</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267</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34</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267</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34</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267</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34</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267</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34</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267</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34</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267</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34</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267</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34</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267</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34</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267</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34</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267</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34</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267</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34</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267</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34</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267</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34</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267</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34</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267</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34</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267</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34</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267</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34</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267</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34</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267</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34</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267</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34</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267</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34</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267</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34</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267</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34</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267</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34</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267</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34</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267</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34</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267</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34</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267</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34</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267</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34</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267</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34</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267</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34</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267</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34</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267</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34</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267</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34</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267</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34</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267</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34</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267</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34</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267</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34</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267</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34</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267</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34</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267</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34</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267</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34</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267</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34</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267</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34</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267</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34</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267</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34</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267</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34</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267</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34</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267</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34</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267</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34</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267</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34</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267</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34</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267</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34</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267</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34</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267</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34</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267</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34</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267</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34</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267</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34</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267</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34</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267</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34</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267</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34</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267</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34</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267</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34</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267</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34</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267</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34</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267</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34</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267</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34</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267</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34</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267</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34</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267</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34</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267</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34</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267</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34</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267</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34</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267</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34</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267</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34</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267</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34</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267</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34</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267</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34</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267</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34</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267</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34</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267</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34</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267</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34</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267</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34</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267</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34</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267</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34</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267</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34</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267</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34</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267</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34</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267</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47"/>
  <sheetViews>
    <sheetView zoomScale="145" zoomScaleNormal="145" workbookViewId="0">
      <pane xSplit="4" topLeftCell="I1" activePane="topRight" state="frozen"/>
      <selection pane="topRight" activeCell="P12" sqref="P12"/>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87</v>
      </c>
      <c r="B1" s="193" t="s">
        <v>31</v>
      </c>
      <c r="C1" s="193" t="s">
        <v>61</v>
      </c>
      <c r="D1" s="193" t="s">
        <v>89</v>
      </c>
      <c r="E1" s="193" t="s">
        <v>36</v>
      </c>
      <c r="F1" s="193" t="s">
        <v>62</v>
      </c>
      <c r="G1" s="193" t="s">
        <v>63</v>
      </c>
      <c r="H1" s="193" t="s">
        <v>6</v>
      </c>
      <c r="I1" s="193" t="s">
        <v>120</v>
      </c>
      <c r="J1" s="193" t="s">
        <v>64</v>
      </c>
      <c r="K1" s="193" t="s">
        <v>268</v>
      </c>
      <c r="L1" s="193" t="s">
        <v>91</v>
      </c>
      <c r="M1" s="193" t="s">
        <v>290</v>
      </c>
      <c r="N1" s="193" t="s">
        <v>295</v>
      </c>
      <c r="O1" s="193" t="s">
        <v>296</v>
      </c>
      <c r="P1" s="193" t="s">
        <v>322</v>
      </c>
      <c r="Q1" s="193" t="s">
        <v>65</v>
      </c>
      <c r="R1" s="193" t="s">
        <v>66</v>
      </c>
      <c r="S1" s="193" t="s">
        <v>67</v>
      </c>
      <c r="T1" s="193" t="s">
        <v>71</v>
      </c>
      <c r="U1" s="193" t="s">
        <v>68</v>
      </c>
      <c r="V1" s="193" t="s">
        <v>72</v>
      </c>
      <c r="W1" s="193" t="s">
        <v>69</v>
      </c>
      <c r="X1" s="193" t="s">
        <v>73</v>
      </c>
      <c r="Y1" s="193" t="s">
        <v>70</v>
      </c>
      <c r="Z1" s="193" t="s">
        <v>74</v>
      </c>
      <c r="AA1" s="193" t="s">
        <v>75</v>
      </c>
      <c r="AB1" s="193" t="s">
        <v>81</v>
      </c>
      <c r="AC1" s="193" t="s">
        <v>76</v>
      </c>
      <c r="AD1" s="193" t="s">
        <v>82</v>
      </c>
      <c r="AE1" s="193" t="s">
        <v>77</v>
      </c>
      <c r="AF1" s="193" t="s">
        <v>83</v>
      </c>
      <c r="AG1" s="193" t="s">
        <v>78</v>
      </c>
      <c r="AH1" s="193" t="s">
        <v>84</v>
      </c>
      <c r="AI1" s="193" t="s">
        <v>79</v>
      </c>
      <c r="AJ1" s="193" t="s">
        <v>85</v>
      </c>
      <c r="AK1" s="193" t="s">
        <v>80</v>
      </c>
      <c r="AL1" s="193" t="s">
        <v>86</v>
      </c>
    </row>
    <row r="2" spans="1:38" x14ac:dyDescent="0.25">
      <c r="A2" s="194" t="b">
        <v>1</v>
      </c>
      <c r="B2" s="43" t="s">
        <v>143</v>
      </c>
      <c r="C2" s="9" t="str">
        <f>LEFT(B2,2)</f>
        <v>00</v>
      </c>
      <c r="D2" s="11" t="s">
        <v>427</v>
      </c>
      <c r="E2" s="11"/>
      <c r="F2" s="11"/>
      <c r="G2" s="11"/>
      <c r="H2" s="37"/>
      <c r="I2" s="189" t="s">
        <v>121</v>
      </c>
      <c r="J2" s="189" t="s">
        <v>8</v>
      </c>
      <c r="K2" s="189" t="s">
        <v>8</v>
      </c>
      <c r="L2" s="189" t="s">
        <v>7</v>
      </c>
      <c r="M2" s="189" t="s">
        <v>8</v>
      </c>
      <c r="N2" s="189" t="s">
        <v>8</v>
      </c>
      <c r="O2" s="189" t="s">
        <v>8</v>
      </c>
      <c r="P2" s="184">
        <v>1</v>
      </c>
      <c r="Q2" s="11" t="s">
        <v>289</v>
      </c>
      <c r="R2" s="10" t="e">
        <f>_xlfn.XLOOKUP(Q2,Tab_Def_Flows[Name(EN)],Tab_Def_Flows[Flow_ID],,0,)</f>
        <v>#N/A</v>
      </c>
      <c r="S2" s="11" t="s">
        <v>34</v>
      </c>
      <c r="T2" s="10" t="str">
        <f>_xlfn.XLOOKUP(S2,Tab_Def_Flows[Name(EN)],Tab_Def_Flows[Flow_ID],,0,)</f>
        <v>N.A.</v>
      </c>
      <c r="U2" s="11" t="s">
        <v>34</v>
      </c>
      <c r="V2" s="10" t="str">
        <f>_xlfn.XLOOKUP(U2,Tab_Def_Flows[Name(EN)],Tab_Def_Flows[Flow_ID],,0,)</f>
        <v>N.A.</v>
      </c>
      <c r="W2" s="11" t="s">
        <v>34</v>
      </c>
      <c r="X2" s="10" t="str">
        <f>_xlfn.XLOOKUP(W2,Tab_Def_Flows[Name(EN)],Tab_Def_Flows[Flow_ID],,0,)</f>
        <v>N.A.</v>
      </c>
      <c r="Y2" s="11" t="s">
        <v>34</v>
      </c>
      <c r="Z2" s="15" t="str">
        <f>_xlfn.XLOOKUP(Y2,Tab_Def_Flows[Name(EN)],Tab_Def_Flows[Flow_ID],,0,)</f>
        <v>N.A.</v>
      </c>
      <c r="AA2" s="189" t="s">
        <v>269</v>
      </c>
      <c r="AB2" s="12" t="str">
        <f>_xlfn.XLOOKUP(AA2,Tab_Def_Flows[Name(EN)],Tab_Def_Flows[Flow_ID],,0,)</f>
        <v>F_00_02</v>
      </c>
      <c r="AC2" s="189" t="s">
        <v>34</v>
      </c>
      <c r="AD2" s="12" t="str">
        <f>_xlfn.XLOOKUP(AC2,Tab_Def_Flows[Name(EN)],Tab_Def_Flows[Flow_ID],,0,)</f>
        <v>N.A.</v>
      </c>
      <c r="AE2" s="189" t="s">
        <v>34</v>
      </c>
      <c r="AF2" s="12" t="str">
        <f>_xlfn.XLOOKUP(AE2,Tab_Def_Flows[Name(EN)],Tab_Def_Flows[Flow_ID],,0,)</f>
        <v>N.A.</v>
      </c>
      <c r="AG2" s="189" t="s">
        <v>34</v>
      </c>
      <c r="AH2" s="12" t="str">
        <f>_xlfn.XLOOKUP(AG2,Tab_Def_Flows[Name(EN)],Tab_Def_Flows[Flow_ID],,0,)</f>
        <v>N.A.</v>
      </c>
      <c r="AI2" s="189" t="s">
        <v>34</v>
      </c>
      <c r="AJ2" s="12" t="str">
        <f>_xlfn.XLOOKUP(AI2,Tab_Def_Flows[Name(EN)],Tab_Def_Flows[Flow_ID],,0,)</f>
        <v>N.A.</v>
      </c>
      <c r="AK2" s="189" t="s">
        <v>34</v>
      </c>
      <c r="AL2" s="13" t="str">
        <f>_xlfn.XLOOKUP(AK2,Tab_Def_Flows[Name(EN)],Tab_Def_Flows[Flow_ID],,0,)</f>
        <v>N.A.</v>
      </c>
    </row>
    <row r="3" spans="1:38" x14ac:dyDescent="0.25">
      <c r="A3" s="194" t="b">
        <v>1</v>
      </c>
      <c r="B3" s="43" t="s">
        <v>131</v>
      </c>
      <c r="C3" s="9" t="str">
        <f t="shared" ref="C3:C47" si="0">LEFT(B3,2)</f>
        <v>01</v>
      </c>
      <c r="D3" s="11" t="s">
        <v>428</v>
      </c>
      <c r="E3" s="11"/>
      <c r="F3" s="11"/>
      <c r="G3" s="11"/>
      <c r="H3" s="37"/>
      <c r="I3" s="189" t="s">
        <v>121</v>
      </c>
      <c r="J3" s="189" t="s">
        <v>8</v>
      </c>
      <c r="K3" s="189" t="s">
        <v>8</v>
      </c>
      <c r="L3" s="189" t="s">
        <v>7</v>
      </c>
      <c r="M3" s="189" t="s">
        <v>8</v>
      </c>
      <c r="N3" s="189" t="s">
        <v>8</v>
      </c>
      <c r="O3" s="189" t="s">
        <v>8</v>
      </c>
      <c r="P3" s="184">
        <v>1</v>
      </c>
      <c r="Q3" s="11" t="s">
        <v>34</v>
      </c>
      <c r="R3" s="9" t="str">
        <f>_xlfn.XLOOKUP(Q3,Tab_Def_Flows[Name(EN)],Tab_Def_Flows[Flow_ID],,0,)</f>
        <v>N.A.</v>
      </c>
      <c r="S3" s="11" t="s">
        <v>34</v>
      </c>
      <c r="T3" s="9" t="str">
        <f>_xlfn.XLOOKUP(S3,Tab_Def_Flows[Name(EN)],Tab_Def_Flows[Flow_ID],,0,)</f>
        <v>N.A.</v>
      </c>
      <c r="U3" s="11" t="s">
        <v>34</v>
      </c>
      <c r="V3" s="9" t="str">
        <f>_xlfn.XLOOKUP(U3,Tab_Def_Flows[Name(EN)],Tab_Def_Flows[Flow_ID],,0,)</f>
        <v>N.A.</v>
      </c>
      <c r="W3" s="11" t="s">
        <v>34</v>
      </c>
      <c r="X3" s="9" t="str">
        <f>_xlfn.XLOOKUP(W3,Tab_Def_Flows[Name(EN)],Tab_Def_Flows[Flow_ID],,0,)</f>
        <v>N.A.</v>
      </c>
      <c r="Y3" s="11" t="s">
        <v>34</v>
      </c>
      <c r="Z3" s="13" t="str">
        <f>_xlfn.XLOOKUP(Y3,Tab_Def_Flows[Name(EN)],Tab_Def_Flows[Flow_ID],,0,)</f>
        <v>N.A.</v>
      </c>
      <c r="AA3" s="189" t="s">
        <v>270</v>
      </c>
      <c r="AB3" s="9" t="str">
        <f>_xlfn.XLOOKUP(AA3,Tab_Def_Flows[Name(EN)],Tab_Def_Flows[Flow_ID],,0,)</f>
        <v>F_01_02</v>
      </c>
      <c r="AC3" s="189" t="s">
        <v>34</v>
      </c>
      <c r="AD3" s="9" t="str">
        <f>_xlfn.XLOOKUP(AC3,Tab_Def_Flows[Name(EN)],Tab_Def_Flows[Flow_ID],,0,)</f>
        <v>N.A.</v>
      </c>
      <c r="AE3" s="189" t="s">
        <v>34</v>
      </c>
      <c r="AF3" s="9" t="str">
        <f>_xlfn.XLOOKUP(AE3,Tab_Def_Flows[Name(EN)],Tab_Def_Flows[Flow_ID],,0,)</f>
        <v>N.A.</v>
      </c>
      <c r="AG3" s="189" t="s">
        <v>34</v>
      </c>
      <c r="AH3" s="9" t="str">
        <f>_xlfn.XLOOKUP(AG3,Tab_Def_Flows[Name(EN)],Tab_Def_Flows[Flow_ID],,0,)</f>
        <v>N.A.</v>
      </c>
      <c r="AI3" s="189" t="s">
        <v>34</v>
      </c>
      <c r="AJ3" s="9" t="str">
        <f>_xlfn.XLOOKUP(AI3,Tab_Def_Flows[Name(EN)],Tab_Def_Flows[Flow_ID],,0,)</f>
        <v>N.A.</v>
      </c>
      <c r="AK3" s="189" t="s">
        <v>34</v>
      </c>
      <c r="AL3" s="13" t="str">
        <f>_xlfn.XLOOKUP(AK3,Tab_Def_Flows[Name(EN)],Tab_Def_Flows[Flow_ID],,0,)</f>
        <v>N.A.</v>
      </c>
    </row>
    <row r="4" spans="1:38" x14ac:dyDescent="0.25">
      <c r="A4" s="194" t="b">
        <v>1</v>
      </c>
      <c r="B4" s="43" t="s">
        <v>132</v>
      </c>
      <c r="C4" s="9" t="str">
        <f t="shared" si="0"/>
        <v>02</v>
      </c>
      <c r="D4" s="11" t="s">
        <v>769</v>
      </c>
      <c r="E4" s="11"/>
      <c r="F4" s="11"/>
      <c r="G4" s="11"/>
      <c r="H4" s="37"/>
      <c r="I4" s="189" t="s">
        <v>121</v>
      </c>
      <c r="J4" s="189" t="s">
        <v>7</v>
      </c>
      <c r="K4" s="189" t="s">
        <v>8</v>
      </c>
      <c r="L4" s="189" t="s">
        <v>8</v>
      </c>
      <c r="M4" s="189" t="s">
        <v>8</v>
      </c>
      <c r="N4" s="189" t="s">
        <v>8</v>
      </c>
      <c r="O4" s="189" t="s">
        <v>8</v>
      </c>
      <c r="P4" s="184">
        <v>1</v>
      </c>
      <c r="Q4" s="11" t="s">
        <v>34</v>
      </c>
      <c r="R4" s="9" t="str">
        <f>_xlfn.XLOOKUP(Q4,Tab_Def_Flows[Name(EN)],Tab_Def_Flows[Flow_ID],,0,)</f>
        <v>N.A.</v>
      </c>
      <c r="S4" s="11" t="s">
        <v>34</v>
      </c>
      <c r="T4" s="9" t="str">
        <f>_xlfn.XLOOKUP(S4,Tab_Def_Flows[Name(EN)],Tab_Def_Flows[Flow_ID],,0,)</f>
        <v>N.A.</v>
      </c>
      <c r="U4" s="11" t="s">
        <v>34</v>
      </c>
      <c r="V4" s="9" t="str">
        <f>_xlfn.XLOOKUP(U4,Tab_Def_Flows[Name(EN)],Tab_Def_Flows[Flow_ID],,0,)</f>
        <v>N.A.</v>
      </c>
      <c r="W4" s="11" t="s">
        <v>34</v>
      </c>
      <c r="X4" s="9" t="str">
        <f>_xlfn.XLOOKUP(W4,Tab_Def_Flows[Name(EN)],Tab_Def_Flows[Flow_ID],,0,)</f>
        <v>N.A.</v>
      </c>
      <c r="Y4" s="11" t="s">
        <v>34</v>
      </c>
      <c r="Z4" s="13" t="str">
        <f>_xlfn.XLOOKUP(Y4,Tab_Def_Flows[Name(EN)],Tab_Def_Flows[Flow_ID],,0,)</f>
        <v>N.A.</v>
      </c>
      <c r="AA4" s="189" t="s">
        <v>262</v>
      </c>
      <c r="AB4" s="9" t="e">
        <f>_xlfn.XLOOKUP(AA4,Tab_Def_Flows[Name(EN)],Tab_Def_Flows[Flow_ID],,0,)</f>
        <v>#N/A</v>
      </c>
      <c r="AC4" s="189" t="s">
        <v>34</v>
      </c>
      <c r="AD4" s="9" t="str">
        <f>_xlfn.XLOOKUP(AC4,Tab_Def_Flows[Name(EN)],Tab_Def_Flows[Flow_ID],,0,)</f>
        <v>N.A.</v>
      </c>
      <c r="AE4" s="189" t="s">
        <v>34</v>
      </c>
      <c r="AF4" s="9" t="str">
        <f>_xlfn.XLOOKUP(AE4,Tab_Def_Flows[Name(EN)],Tab_Def_Flows[Flow_ID],,0,)</f>
        <v>N.A.</v>
      </c>
      <c r="AG4" s="189" t="s">
        <v>34</v>
      </c>
      <c r="AH4" s="9" t="str">
        <f>_xlfn.XLOOKUP(AG4,Tab_Def_Flows[Name(EN)],Tab_Def_Flows[Flow_ID],,0,)</f>
        <v>N.A.</v>
      </c>
      <c r="AI4" s="189" t="s">
        <v>34</v>
      </c>
      <c r="AJ4" s="9" t="str">
        <f>_xlfn.XLOOKUP(AI4,Tab_Def_Flows[Name(EN)],Tab_Def_Flows[Flow_ID],,0,)</f>
        <v>N.A.</v>
      </c>
      <c r="AK4" s="189" t="s">
        <v>34</v>
      </c>
      <c r="AL4" s="13" t="str">
        <f>_xlfn.XLOOKUP(AK4,Tab_Def_Flows[Name(EN)],Tab_Def_Flows[Flow_ID],,0,)</f>
        <v>N.A.</v>
      </c>
    </row>
    <row r="5" spans="1:38" x14ac:dyDescent="0.25">
      <c r="A5" s="194" t="b">
        <v>1</v>
      </c>
      <c r="B5" s="43" t="s">
        <v>133</v>
      </c>
      <c r="C5" s="9" t="str">
        <f t="shared" si="0"/>
        <v>03</v>
      </c>
      <c r="D5" s="11" t="s">
        <v>777</v>
      </c>
      <c r="E5" s="11"/>
      <c r="F5" s="11"/>
      <c r="G5" s="11"/>
      <c r="H5" s="37"/>
      <c r="I5" s="189" t="s">
        <v>121</v>
      </c>
      <c r="J5" s="189" t="s">
        <v>7</v>
      </c>
      <c r="K5" s="189" t="s">
        <v>8</v>
      </c>
      <c r="L5" s="189" t="s">
        <v>8</v>
      </c>
      <c r="M5" s="189" t="s">
        <v>8</v>
      </c>
      <c r="N5" s="189" t="s">
        <v>8</v>
      </c>
      <c r="O5" s="189" t="s">
        <v>8</v>
      </c>
      <c r="P5" s="184">
        <v>2</v>
      </c>
      <c r="Q5" s="11" t="s">
        <v>34</v>
      </c>
      <c r="R5" s="12" t="str">
        <f>_xlfn.XLOOKUP(Q5,Tab_Def_Flows[Name(EN)],Tab_Def_Flows[Flow_ID],,0,)</f>
        <v>N.A.</v>
      </c>
      <c r="S5" s="11" t="s">
        <v>34</v>
      </c>
      <c r="T5" s="12" t="str">
        <f>_xlfn.XLOOKUP(S5,Tab_Def_Flows[Name(EN)],Tab_Def_Flows[Flow_ID],,0,)</f>
        <v>N.A.</v>
      </c>
      <c r="U5" s="11" t="s">
        <v>34</v>
      </c>
      <c r="V5" s="12" t="str">
        <f>_xlfn.XLOOKUP(U5,Tab_Def_Flows[Name(EN)],Tab_Def_Flows[Flow_ID],,0,)</f>
        <v>N.A.</v>
      </c>
      <c r="W5" s="11" t="s">
        <v>34</v>
      </c>
      <c r="X5" s="12" t="str">
        <f>_xlfn.XLOOKUP(W5,Tab_Def_Flows[Name(EN)],Tab_Def_Flows[Flow_ID],,0,)</f>
        <v>N.A.</v>
      </c>
      <c r="Y5" s="11" t="s">
        <v>34</v>
      </c>
      <c r="Z5" s="13" t="str">
        <f>_xlfn.XLOOKUP(Y5,Tab_Def_Flows[Name(EN)],Tab_Def_Flows[Flow_ID],,0,)</f>
        <v>N.A.</v>
      </c>
      <c r="AA5" s="189" t="s">
        <v>263</v>
      </c>
      <c r="AB5" s="12" t="e">
        <f>_xlfn.XLOOKUP(AA5,Tab_Def_Flows[Name(EN)],Tab_Def_Flows[Flow_ID],,0,)</f>
        <v>#N/A</v>
      </c>
      <c r="AC5" s="189" t="s">
        <v>264</v>
      </c>
      <c r="AD5" s="12" t="e">
        <f>_xlfn.XLOOKUP(AC5,Tab_Def_Flows[Name(EN)],Tab_Def_Flows[Flow_ID],,0,)</f>
        <v>#N/A</v>
      </c>
      <c r="AE5" s="189" t="s">
        <v>34</v>
      </c>
      <c r="AF5" s="12" t="str">
        <f>_xlfn.XLOOKUP(AE5,Tab_Def_Flows[Name(EN)],Tab_Def_Flows[Flow_ID],,0,)</f>
        <v>N.A.</v>
      </c>
      <c r="AG5" s="189" t="s">
        <v>34</v>
      </c>
      <c r="AH5" s="12" t="str">
        <f>_xlfn.XLOOKUP(AG5,Tab_Def_Flows[Name(EN)],Tab_Def_Flows[Flow_ID],,0,)</f>
        <v>N.A.</v>
      </c>
      <c r="AI5" s="189" t="s">
        <v>34</v>
      </c>
      <c r="AJ5" s="12" t="str">
        <f>_xlfn.XLOOKUP(AI5,Tab_Def_Flows[Name(EN)],Tab_Def_Flows[Flow_ID],,0,)</f>
        <v>N.A.</v>
      </c>
      <c r="AK5" s="189" t="s">
        <v>34</v>
      </c>
      <c r="AL5" s="13" t="str">
        <f>_xlfn.XLOOKUP(AK5,Tab_Def_Flows[Name(EN)],Tab_Def_Flows[Flow_ID],,0,)</f>
        <v>N.A.</v>
      </c>
    </row>
    <row r="6" spans="1:38" x14ac:dyDescent="0.25">
      <c r="A6" s="194" t="b">
        <v>1</v>
      </c>
      <c r="B6" s="43" t="s">
        <v>134</v>
      </c>
      <c r="C6" s="9" t="str">
        <f t="shared" si="0"/>
        <v>04</v>
      </c>
      <c r="D6" s="11" t="s">
        <v>770</v>
      </c>
      <c r="E6" s="11"/>
      <c r="F6" s="11"/>
      <c r="G6" s="11"/>
      <c r="H6" s="37"/>
      <c r="I6" s="189" t="s">
        <v>121</v>
      </c>
      <c r="J6" s="189" t="s">
        <v>7</v>
      </c>
      <c r="K6" s="189" t="s">
        <v>8</v>
      </c>
      <c r="L6" s="189" t="s">
        <v>8</v>
      </c>
      <c r="M6" s="189" t="s">
        <v>8</v>
      </c>
      <c r="N6" s="189" t="s">
        <v>8</v>
      </c>
      <c r="O6" s="189" t="s">
        <v>8</v>
      </c>
      <c r="P6" s="184">
        <v>2</v>
      </c>
      <c r="Q6" s="11" t="s">
        <v>34</v>
      </c>
      <c r="R6" s="12" t="str">
        <f>_xlfn.XLOOKUP(Q6,Tab_Def_Flows[Name(EN)],Tab_Def_Flows[Flow_ID],,0,)</f>
        <v>N.A.</v>
      </c>
      <c r="S6" s="11" t="s">
        <v>34</v>
      </c>
      <c r="T6" s="12" t="str">
        <f>_xlfn.XLOOKUP(S6,Tab_Def_Flows[Name(EN)],Tab_Def_Flows[Flow_ID],,0,)</f>
        <v>N.A.</v>
      </c>
      <c r="U6" s="11" t="s">
        <v>34</v>
      </c>
      <c r="V6" s="12" t="str">
        <f>_xlfn.XLOOKUP(U6,Tab_Def_Flows[Name(EN)],Tab_Def_Flows[Flow_ID],,0,)</f>
        <v>N.A.</v>
      </c>
      <c r="W6" s="11" t="s">
        <v>34</v>
      </c>
      <c r="X6" s="12" t="str">
        <f>_xlfn.XLOOKUP(W6,Tab_Def_Flows[Name(EN)],Tab_Def_Flows[Flow_ID],,0,)</f>
        <v>N.A.</v>
      </c>
      <c r="Y6" s="11" t="s">
        <v>34</v>
      </c>
      <c r="Z6" s="13" t="str">
        <f>_xlfn.XLOOKUP(Y6,Tab_Def_Flows[Name(EN)],Tab_Def_Flows[Flow_ID],,0,)</f>
        <v>N.A.</v>
      </c>
      <c r="AA6" s="189" t="s">
        <v>265</v>
      </c>
      <c r="AB6" s="12" t="e">
        <f>_xlfn.XLOOKUP(AA6,Tab_Def_Flows[Name(EN)],Tab_Def_Flows[Flow_ID],,0,)</f>
        <v>#N/A</v>
      </c>
      <c r="AC6" s="189" t="s">
        <v>266</v>
      </c>
      <c r="AD6" s="12" t="e">
        <f>_xlfn.XLOOKUP(AC6,Tab_Def_Flows[Name(EN)],Tab_Def_Flows[Flow_ID],,0,)</f>
        <v>#N/A</v>
      </c>
      <c r="AE6" s="189" t="s">
        <v>34</v>
      </c>
      <c r="AF6" s="12" t="str">
        <f>_xlfn.XLOOKUP(AE6,Tab_Def_Flows[Name(EN)],Tab_Def_Flows[Flow_ID],,0,)</f>
        <v>N.A.</v>
      </c>
      <c r="AG6" s="189" t="s">
        <v>34</v>
      </c>
      <c r="AH6" s="12" t="str">
        <f>_xlfn.XLOOKUP(AG6,Tab_Def_Flows[Name(EN)],Tab_Def_Flows[Flow_ID],,0,)</f>
        <v>N.A.</v>
      </c>
      <c r="AI6" s="189" t="s">
        <v>34</v>
      </c>
      <c r="AJ6" s="12" t="str">
        <f>_xlfn.XLOOKUP(AI6,Tab_Def_Flows[Name(EN)],Tab_Def_Flows[Flow_ID],,0,)</f>
        <v>N.A.</v>
      </c>
      <c r="AK6" s="189" t="s">
        <v>34</v>
      </c>
      <c r="AL6" s="13" t="str">
        <f>_xlfn.XLOOKUP(AK6,Tab_Def_Flows[Name(EN)],Tab_Def_Flows[Flow_ID],,0,)</f>
        <v>N.A.</v>
      </c>
    </row>
    <row r="7" spans="1:38" x14ac:dyDescent="0.25">
      <c r="A7" s="194" t="b">
        <v>1</v>
      </c>
      <c r="B7" s="43" t="s">
        <v>135</v>
      </c>
      <c r="C7" s="9" t="str">
        <f t="shared" si="0"/>
        <v>05</v>
      </c>
      <c r="D7" s="11" t="s">
        <v>771</v>
      </c>
      <c r="E7" s="11"/>
      <c r="F7" s="11"/>
      <c r="G7" s="11"/>
      <c r="H7" s="37"/>
      <c r="I7" s="189" t="s">
        <v>121</v>
      </c>
      <c r="J7" s="189" t="s">
        <v>7</v>
      </c>
      <c r="K7" s="189" t="s">
        <v>8</v>
      </c>
      <c r="L7" s="189" t="s">
        <v>7</v>
      </c>
      <c r="M7" s="189" t="s">
        <v>8</v>
      </c>
      <c r="N7" s="189" t="s">
        <v>7</v>
      </c>
      <c r="O7" s="189" t="s">
        <v>8</v>
      </c>
      <c r="P7" s="184">
        <v>1</v>
      </c>
      <c r="Q7" s="11" t="s">
        <v>34</v>
      </c>
      <c r="R7" s="12" t="str">
        <f>_xlfn.XLOOKUP(Q7,Tab_Def_Flows[Name(EN)],Tab_Def_Flows[Flow_ID],,0,)</f>
        <v>N.A.</v>
      </c>
      <c r="S7" s="11" t="s">
        <v>34</v>
      </c>
      <c r="T7" s="12" t="str">
        <f>_xlfn.XLOOKUP(S7,Tab_Def_Flows[Name(EN)],Tab_Def_Flows[Flow_ID],,0,)</f>
        <v>N.A.</v>
      </c>
      <c r="U7" s="11" t="s">
        <v>34</v>
      </c>
      <c r="V7" s="12" t="str">
        <f>_xlfn.XLOOKUP(U7,Tab_Def_Flows[Name(EN)],Tab_Def_Flows[Flow_ID],,0,)</f>
        <v>N.A.</v>
      </c>
      <c r="W7" s="11" t="s">
        <v>34</v>
      </c>
      <c r="X7" s="12" t="str">
        <f>_xlfn.XLOOKUP(W7,Tab_Def_Flows[Name(EN)],Tab_Def_Flows[Flow_ID],,0,)</f>
        <v>N.A.</v>
      </c>
      <c r="Y7" s="11" t="s">
        <v>34</v>
      </c>
      <c r="Z7" s="13" t="str">
        <f>_xlfn.XLOOKUP(Y7,Tab_Def_Flows[Name(EN)],Tab_Def_Flows[Flow_ID],,0,)</f>
        <v>N.A.</v>
      </c>
      <c r="AA7" s="189" t="s">
        <v>34</v>
      </c>
      <c r="AB7" s="12" t="str">
        <f>_xlfn.XLOOKUP(AA7,Tab_Def_Flows[Name(EN)],Tab_Def_Flows[Flow_ID],,0,)</f>
        <v>N.A.</v>
      </c>
      <c r="AC7" s="189" t="s">
        <v>34</v>
      </c>
      <c r="AD7" s="12" t="str">
        <f>_xlfn.XLOOKUP(AC7,Tab_Def_Flows[Name(EN)],Tab_Def_Flows[Flow_ID],,0,)</f>
        <v>N.A.</v>
      </c>
      <c r="AE7" s="189" t="s">
        <v>34</v>
      </c>
      <c r="AF7" s="12" t="str">
        <f>_xlfn.XLOOKUP(AE7,Tab_Def_Flows[Name(EN)],Tab_Def_Flows[Flow_ID],,0,)</f>
        <v>N.A.</v>
      </c>
      <c r="AG7" s="189" t="s">
        <v>34</v>
      </c>
      <c r="AH7" s="12" t="str">
        <f>_xlfn.XLOOKUP(AG7,Tab_Def_Flows[Name(EN)],Tab_Def_Flows[Flow_ID],,0,)</f>
        <v>N.A.</v>
      </c>
      <c r="AI7" s="189" t="s">
        <v>34</v>
      </c>
      <c r="AJ7" s="12" t="str">
        <f>_xlfn.XLOOKUP(AI7,Tab_Def_Flows[Name(EN)],Tab_Def_Flows[Flow_ID],,0,)</f>
        <v>N.A.</v>
      </c>
      <c r="AK7" s="189" t="s">
        <v>34</v>
      </c>
      <c r="AL7" s="13" t="str">
        <f>_xlfn.XLOOKUP(AK7,Tab_Def_Flows[Name(EN)],Tab_Def_Flows[Flow_ID],,0,)</f>
        <v>N.A.</v>
      </c>
    </row>
    <row r="8" spans="1:38" x14ac:dyDescent="0.25">
      <c r="A8" s="194" t="b">
        <v>1</v>
      </c>
      <c r="B8" s="43" t="s">
        <v>136</v>
      </c>
      <c r="C8" s="9" t="str">
        <f t="shared" si="0"/>
        <v>06</v>
      </c>
      <c r="D8" s="11" t="s">
        <v>772</v>
      </c>
      <c r="E8" s="11"/>
      <c r="F8" s="11"/>
      <c r="G8" s="11"/>
      <c r="H8" s="37"/>
      <c r="I8" s="189" t="s">
        <v>121</v>
      </c>
      <c r="J8" s="189" t="s">
        <v>7</v>
      </c>
      <c r="K8" s="189" t="s">
        <v>8</v>
      </c>
      <c r="L8" s="189" t="s">
        <v>8</v>
      </c>
      <c r="M8" s="189" t="s">
        <v>8</v>
      </c>
      <c r="N8" s="189" t="s">
        <v>8</v>
      </c>
      <c r="O8" s="189" t="s">
        <v>8</v>
      </c>
      <c r="P8" s="11">
        <v>2</v>
      </c>
      <c r="Q8" s="11" t="s">
        <v>34</v>
      </c>
      <c r="R8" s="12" t="str">
        <f>_xlfn.XLOOKUP(Q8,Tab_Def_Flows[Name(EN)],Tab_Def_Flows[Flow_ID],,0,)</f>
        <v>N.A.</v>
      </c>
      <c r="S8" s="11" t="s">
        <v>34</v>
      </c>
      <c r="T8" s="12" t="str">
        <f>_xlfn.XLOOKUP(S8,Tab_Def_Flows[Name(EN)],Tab_Def_Flows[Flow_ID],,0,)</f>
        <v>N.A.</v>
      </c>
      <c r="U8" s="11" t="s">
        <v>34</v>
      </c>
      <c r="V8" s="12" t="str">
        <f>_xlfn.XLOOKUP(U8,Tab_Def_Flows[Name(EN)],Tab_Def_Flows[Flow_ID],,0,)</f>
        <v>N.A.</v>
      </c>
      <c r="W8" s="11" t="s">
        <v>34</v>
      </c>
      <c r="X8" s="12" t="str">
        <f>_xlfn.XLOOKUP(W8,Tab_Def_Flows[Name(EN)],Tab_Def_Flows[Flow_ID],,0,)</f>
        <v>N.A.</v>
      </c>
      <c r="Y8" s="11" t="s">
        <v>34</v>
      </c>
      <c r="Z8" s="13" t="str">
        <f>_xlfn.XLOOKUP(Y8,Tab_Def_Flows[Name(EN)],Tab_Def_Flows[Flow_ID],,0,)</f>
        <v>N.A.</v>
      </c>
      <c r="AA8" s="189" t="s">
        <v>34</v>
      </c>
      <c r="AB8" s="12" t="str">
        <f>_xlfn.XLOOKUP(AA8,Tab_Def_Flows[Name(EN)],Tab_Def_Flows[Flow_ID],,0,)</f>
        <v>N.A.</v>
      </c>
      <c r="AC8" s="189" t="s">
        <v>34</v>
      </c>
      <c r="AD8" s="12" t="str">
        <f>_xlfn.XLOOKUP(AC8,Tab_Def_Flows[Name(EN)],Tab_Def_Flows[Flow_ID],,0,)</f>
        <v>N.A.</v>
      </c>
      <c r="AE8" s="189" t="s">
        <v>34</v>
      </c>
      <c r="AF8" s="12" t="str">
        <f>_xlfn.XLOOKUP(AE8,Tab_Def_Flows[Name(EN)],Tab_Def_Flows[Flow_ID],,0,)</f>
        <v>N.A.</v>
      </c>
      <c r="AG8" s="189" t="s">
        <v>34</v>
      </c>
      <c r="AH8" s="12" t="str">
        <f>_xlfn.XLOOKUP(AG8,Tab_Def_Flows[Name(EN)],Tab_Def_Flows[Flow_ID],,0,)</f>
        <v>N.A.</v>
      </c>
      <c r="AI8" s="189" t="s">
        <v>34</v>
      </c>
      <c r="AJ8" s="12" t="str">
        <f>_xlfn.XLOOKUP(AI8,Tab_Def_Flows[Name(EN)],Tab_Def_Flows[Flow_ID],,0,)</f>
        <v>N.A.</v>
      </c>
      <c r="AK8" s="189" t="s">
        <v>34</v>
      </c>
      <c r="AL8" s="13" t="str">
        <f>_xlfn.XLOOKUP(AK8,Tab_Def_Flows[Name(EN)],Tab_Def_Flows[Flow_ID],,0,)</f>
        <v>N.A.</v>
      </c>
    </row>
    <row r="9" spans="1:38" x14ac:dyDescent="0.25">
      <c r="A9" s="194" t="b">
        <v>0</v>
      </c>
      <c r="B9" s="43" t="s">
        <v>137</v>
      </c>
      <c r="C9" s="9" t="str">
        <f t="shared" si="0"/>
        <v>07</v>
      </c>
      <c r="D9" s="11" t="s">
        <v>773</v>
      </c>
      <c r="E9" s="11"/>
      <c r="F9" s="11"/>
      <c r="G9" s="11"/>
      <c r="H9" s="37"/>
      <c r="I9" s="189" t="s">
        <v>121</v>
      </c>
      <c r="J9" s="189" t="s">
        <v>7</v>
      </c>
      <c r="K9" s="189" t="s">
        <v>8</v>
      </c>
      <c r="L9" s="189" t="s">
        <v>8</v>
      </c>
      <c r="M9" s="189" t="s">
        <v>8</v>
      </c>
      <c r="N9" s="189" t="s">
        <v>8</v>
      </c>
      <c r="O9" s="189" t="s">
        <v>8</v>
      </c>
      <c r="P9" s="11">
        <v>2</v>
      </c>
      <c r="Q9" s="11" t="s">
        <v>34</v>
      </c>
      <c r="R9" s="12" t="str">
        <f>_xlfn.XLOOKUP(Q9,Tab_Def_Flows[Name(EN)],Tab_Def_Flows[Flow_ID],,0,)</f>
        <v>N.A.</v>
      </c>
      <c r="S9" s="11" t="s">
        <v>34</v>
      </c>
      <c r="T9" s="12" t="str">
        <f>_xlfn.XLOOKUP(S9,Tab_Def_Flows[Name(EN)],Tab_Def_Flows[Flow_ID],,0,)</f>
        <v>N.A.</v>
      </c>
      <c r="U9" s="11" t="s">
        <v>34</v>
      </c>
      <c r="V9" s="12" t="str">
        <f>_xlfn.XLOOKUP(U9,Tab_Def_Flows[Name(EN)],Tab_Def_Flows[Flow_ID],,0,)</f>
        <v>N.A.</v>
      </c>
      <c r="W9" s="11" t="s">
        <v>34</v>
      </c>
      <c r="X9" s="12" t="str">
        <f>_xlfn.XLOOKUP(W9,Tab_Def_Flows[Name(EN)],Tab_Def_Flows[Flow_ID],,0,)</f>
        <v>N.A.</v>
      </c>
      <c r="Y9" s="11" t="s">
        <v>34</v>
      </c>
      <c r="Z9" s="13" t="str">
        <f>_xlfn.XLOOKUP(Y9,Tab_Def_Flows[Name(EN)],Tab_Def_Flows[Flow_ID],,0,)</f>
        <v>N.A.</v>
      </c>
      <c r="AA9" s="189" t="s">
        <v>34</v>
      </c>
      <c r="AB9" s="12" t="str">
        <f>_xlfn.XLOOKUP(AA9,Tab_Def_Flows[Name(EN)],Tab_Def_Flows[Flow_ID],,0,)</f>
        <v>N.A.</v>
      </c>
      <c r="AC9" s="189" t="s">
        <v>34</v>
      </c>
      <c r="AD9" s="12" t="str">
        <f>_xlfn.XLOOKUP(AC9,Tab_Def_Flows[Name(EN)],Tab_Def_Flows[Flow_ID],,0,)</f>
        <v>N.A.</v>
      </c>
      <c r="AE9" s="189" t="s">
        <v>34</v>
      </c>
      <c r="AF9" s="12" t="str">
        <f>_xlfn.XLOOKUP(AE9,Tab_Def_Flows[Name(EN)],Tab_Def_Flows[Flow_ID],,0,)</f>
        <v>N.A.</v>
      </c>
      <c r="AG9" s="189" t="s">
        <v>34</v>
      </c>
      <c r="AH9" s="12" t="str">
        <f>_xlfn.XLOOKUP(AG9,Tab_Def_Flows[Name(EN)],Tab_Def_Flows[Flow_ID],,0,)</f>
        <v>N.A.</v>
      </c>
      <c r="AI9" s="189" t="s">
        <v>34</v>
      </c>
      <c r="AJ9" s="12" t="str">
        <f>_xlfn.XLOOKUP(AI9,Tab_Def_Flows[Name(EN)],Tab_Def_Flows[Flow_ID],,0,)</f>
        <v>N.A.</v>
      </c>
      <c r="AK9" s="189" t="s">
        <v>34</v>
      </c>
      <c r="AL9" s="13" t="str">
        <f>_xlfn.XLOOKUP(AK9,Tab_Def_Flows[Name(EN)],Tab_Def_Flows[Flow_ID],,0,)</f>
        <v>N.A.</v>
      </c>
    </row>
    <row r="10" spans="1:38" ht="15.75" thickBot="1" x14ac:dyDescent="0.3">
      <c r="A10" s="194" t="b">
        <v>0</v>
      </c>
      <c r="B10" s="43" t="s">
        <v>138</v>
      </c>
      <c r="C10" s="9" t="str">
        <f t="shared" si="0"/>
        <v>08</v>
      </c>
      <c r="D10" s="11" t="s">
        <v>784</v>
      </c>
      <c r="E10" s="11"/>
      <c r="F10" s="11"/>
      <c r="G10" s="11"/>
      <c r="H10" s="37"/>
      <c r="I10" s="189" t="s">
        <v>121</v>
      </c>
      <c r="J10" s="189" t="s">
        <v>7</v>
      </c>
      <c r="K10" s="189" t="s">
        <v>8</v>
      </c>
      <c r="L10" s="189" t="s">
        <v>8</v>
      </c>
      <c r="M10" s="189" t="s">
        <v>8</v>
      </c>
      <c r="N10" s="189" t="s">
        <v>8</v>
      </c>
      <c r="O10" s="189" t="s">
        <v>8</v>
      </c>
      <c r="P10" s="11">
        <v>2</v>
      </c>
      <c r="Q10" s="11" t="s">
        <v>34</v>
      </c>
      <c r="R10" s="12" t="str">
        <f>_xlfn.XLOOKUP(Q10,Tab_Def_Flows[Name(EN)],Tab_Def_Flows[Flow_ID],,0,)</f>
        <v>N.A.</v>
      </c>
      <c r="S10" s="11" t="s">
        <v>34</v>
      </c>
      <c r="T10" s="12" t="str">
        <f>_xlfn.XLOOKUP(S10,Tab_Def_Flows[Name(EN)],Tab_Def_Flows[Flow_ID],,0,)</f>
        <v>N.A.</v>
      </c>
      <c r="U10" s="11" t="s">
        <v>34</v>
      </c>
      <c r="V10" s="12" t="str">
        <f>_xlfn.XLOOKUP(U10,Tab_Def_Flows[Name(EN)],Tab_Def_Flows[Flow_ID],,0,)</f>
        <v>N.A.</v>
      </c>
      <c r="W10" s="11" t="s">
        <v>34</v>
      </c>
      <c r="X10" s="12" t="str">
        <f>_xlfn.XLOOKUP(W10,Tab_Def_Flows[Name(EN)],Tab_Def_Flows[Flow_ID],,0,)</f>
        <v>N.A.</v>
      </c>
      <c r="Y10" s="11" t="s">
        <v>34</v>
      </c>
      <c r="Z10" s="13" t="str">
        <f>_xlfn.XLOOKUP(Y10,Tab_Def_Flows[Name(EN)],Tab_Def_Flows[Flow_ID],,0,)</f>
        <v>N.A.</v>
      </c>
      <c r="AA10" s="189" t="s">
        <v>34</v>
      </c>
      <c r="AB10" s="12" t="str">
        <f>_xlfn.XLOOKUP(AA10,Tab_Def_Flows[Name(EN)],Tab_Def_Flows[Flow_ID],,0,)</f>
        <v>N.A.</v>
      </c>
      <c r="AC10" s="189" t="s">
        <v>34</v>
      </c>
      <c r="AD10" s="12" t="str">
        <f>_xlfn.XLOOKUP(AC10,Tab_Def_Flows[Name(EN)],Tab_Def_Flows[Flow_ID],,0,)</f>
        <v>N.A.</v>
      </c>
      <c r="AE10" s="189" t="s">
        <v>34</v>
      </c>
      <c r="AF10" s="12" t="str">
        <f>_xlfn.XLOOKUP(AE10,Tab_Def_Flows[Name(EN)],Tab_Def_Flows[Flow_ID],,0,)</f>
        <v>N.A.</v>
      </c>
      <c r="AG10" s="189" t="s">
        <v>34</v>
      </c>
      <c r="AH10" s="12" t="str">
        <f>_xlfn.XLOOKUP(AG10,Tab_Def_Flows[Name(EN)],Tab_Def_Flows[Flow_ID],,0,)</f>
        <v>N.A.</v>
      </c>
      <c r="AI10" s="189" t="s">
        <v>34</v>
      </c>
      <c r="AJ10" s="12" t="str">
        <f>_xlfn.XLOOKUP(AI10,Tab_Def_Flows[Name(EN)],Tab_Def_Flows[Flow_ID],,0,)</f>
        <v>N.A.</v>
      </c>
      <c r="AK10" s="189" t="s">
        <v>34</v>
      </c>
      <c r="AL10" s="13" t="str">
        <f>_xlfn.XLOOKUP(AK10,Tab_Def_Flows[Name(EN)],Tab_Def_Flows[Flow_ID],,0,)</f>
        <v>N.A.</v>
      </c>
    </row>
    <row r="11" spans="1:38" x14ac:dyDescent="0.25">
      <c r="A11" s="194" t="b">
        <v>0</v>
      </c>
      <c r="B11" s="43" t="s">
        <v>139</v>
      </c>
      <c r="C11" s="9" t="str">
        <f t="shared" si="0"/>
        <v>09</v>
      </c>
      <c r="D11" s="11" t="s">
        <v>774</v>
      </c>
      <c r="E11" s="11"/>
      <c r="F11" s="11"/>
      <c r="G11" s="11"/>
      <c r="H11" s="37"/>
      <c r="I11" s="189" t="s">
        <v>121</v>
      </c>
      <c r="J11" s="189" t="s">
        <v>7</v>
      </c>
      <c r="K11" s="189" t="s">
        <v>8</v>
      </c>
      <c r="L11" s="189" t="s">
        <v>7</v>
      </c>
      <c r="M11" s="189" t="s">
        <v>8</v>
      </c>
      <c r="N11" s="189" t="s">
        <v>7</v>
      </c>
      <c r="O11" s="189" t="s">
        <v>8</v>
      </c>
      <c r="P11" s="11">
        <v>1</v>
      </c>
      <c r="Q11" s="11" t="s">
        <v>34</v>
      </c>
      <c r="R11" s="10" t="str">
        <f>_xlfn.XLOOKUP(Q11,Tab_Def_Flows[Name(EN)],Tab_Def_Flows[Flow_ID],,0,)</f>
        <v>N.A.</v>
      </c>
      <c r="S11" s="11" t="s">
        <v>34</v>
      </c>
      <c r="T11" s="10" t="str">
        <f>_xlfn.XLOOKUP(S11,Tab_Def_Flows[Name(EN)],Tab_Def_Flows[Flow_ID],,0,)</f>
        <v>N.A.</v>
      </c>
      <c r="U11" s="11" t="s">
        <v>34</v>
      </c>
      <c r="V11" s="10" t="str">
        <f>_xlfn.XLOOKUP(U11,Tab_Def_Flows[Name(EN)],Tab_Def_Flows[Flow_ID],,0,)</f>
        <v>N.A.</v>
      </c>
      <c r="W11" s="11" t="s">
        <v>34</v>
      </c>
      <c r="X11" s="10" t="str">
        <f>_xlfn.XLOOKUP(W11,Tab_Def_Flows[Name(EN)],Tab_Def_Flows[Flow_ID],,0,)</f>
        <v>N.A.</v>
      </c>
      <c r="Y11" s="11" t="s">
        <v>34</v>
      </c>
      <c r="Z11" s="15" t="str">
        <f>_xlfn.XLOOKUP(Y11,Tab_Def_Flows[Name(EN)],Tab_Def_Flows[Flow_ID],,0,)</f>
        <v>N.A.</v>
      </c>
      <c r="AA11" s="189" t="s">
        <v>34</v>
      </c>
      <c r="AB11" s="12" t="str">
        <f>_xlfn.XLOOKUP(AA11,Tab_Def_Flows[Name(EN)],Tab_Def_Flows[Flow_ID],,0,)</f>
        <v>N.A.</v>
      </c>
      <c r="AC11" s="189" t="s">
        <v>34</v>
      </c>
      <c r="AD11" s="12" t="str">
        <f>_xlfn.XLOOKUP(AC11,Tab_Def_Flows[Name(EN)],Tab_Def_Flows[Flow_ID],,0,)</f>
        <v>N.A.</v>
      </c>
      <c r="AE11" s="189" t="s">
        <v>34</v>
      </c>
      <c r="AF11" s="12" t="str">
        <f>_xlfn.XLOOKUP(AE11,Tab_Def_Flows[Name(EN)],Tab_Def_Flows[Flow_ID],,0,)</f>
        <v>N.A.</v>
      </c>
      <c r="AG11" s="189" t="s">
        <v>34</v>
      </c>
      <c r="AH11" s="12" t="str">
        <f>_xlfn.XLOOKUP(AG11,Tab_Def_Flows[Name(EN)],Tab_Def_Flows[Flow_ID],,0,)</f>
        <v>N.A.</v>
      </c>
      <c r="AI11" s="189" t="s">
        <v>34</v>
      </c>
      <c r="AJ11" s="12" t="str">
        <f>_xlfn.XLOOKUP(AI11,Tab_Def_Flows[Name(EN)],Tab_Def_Flows[Flow_ID],,0,)</f>
        <v>N.A.</v>
      </c>
      <c r="AK11" s="189" t="s">
        <v>34</v>
      </c>
      <c r="AL11" s="13" t="str">
        <f>_xlfn.XLOOKUP(AK11,Tab_Def_Flows[Name(EN)],Tab_Def_Flows[Flow_ID],,0,)</f>
        <v>N.A.</v>
      </c>
    </row>
    <row r="12" spans="1:38" x14ac:dyDescent="0.25">
      <c r="A12" s="194" t="b">
        <v>0</v>
      </c>
      <c r="B12" s="43" t="s">
        <v>144</v>
      </c>
      <c r="C12" s="9" t="str">
        <f t="shared" si="0"/>
        <v>10</v>
      </c>
      <c r="D12" s="11"/>
      <c r="E12" s="11"/>
      <c r="F12" s="11"/>
      <c r="G12" s="11"/>
      <c r="H12" s="37"/>
      <c r="I12" s="189"/>
      <c r="J12" s="189"/>
      <c r="K12" s="189"/>
      <c r="L12" s="189"/>
      <c r="M12" s="189"/>
      <c r="N12" s="189"/>
      <c r="O12" s="189"/>
      <c r="P12" s="11"/>
      <c r="Q12" s="11" t="s">
        <v>34</v>
      </c>
      <c r="R12" s="12" t="str">
        <f>_xlfn.XLOOKUP(Q12,Tab_Def_Flows[Name(EN)],Tab_Def_Flows[Flow_ID],,0,)</f>
        <v>N.A.</v>
      </c>
      <c r="S12" s="11" t="s">
        <v>34</v>
      </c>
      <c r="T12" s="12" t="str">
        <f>_xlfn.XLOOKUP(S12,Tab_Def_Flows[Name(EN)],Tab_Def_Flows[Flow_ID],,0,)</f>
        <v>N.A.</v>
      </c>
      <c r="U12" s="11" t="s">
        <v>34</v>
      </c>
      <c r="V12" s="12" t="str">
        <f>_xlfn.XLOOKUP(U12,Tab_Def_Flows[Name(EN)],Tab_Def_Flows[Flow_ID],,0,)</f>
        <v>N.A.</v>
      </c>
      <c r="W12" s="11" t="s">
        <v>34</v>
      </c>
      <c r="X12" s="12" t="str">
        <f>_xlfn.XLOOKUP(W12,Tab_Def_Flows[Name(EN)],Tab_Def_Flows[Flow_ID],,0,)</f>
        <v>N.A.</v>
      </c>
      <c r="Y12" s="11" t="s">
        <v>34</v>
      </c>
      <c r="Z12" s="13" t="str">
        <f>_xlfn.XLOOKUP(Y12,Tab_Def_Flows[Name(EN)],Tab_Def_Flows[Flow_ID],,0,)</f>
        <v>N.A.</v>
      </c>
      <c r="AA12" s="189" t="s">
        <v>34</v>
      </c>
      <c r="AB12" s="12" t="str">
        <f>_xlfn.XLOOKUP(AA12,Tab_Def_Flows[Name(EN)],Tab_Def_Flows[Flow_ID],,0,)</f>
        <v>N.A.</v>
      </c>
      <c r="AC12" s="189" t="s">
        <v>34</v>
      </c>
      <c r="AD12" s="12" t="str">
        <f>_xlfn.XLOOKUP(AC12,Tab_Def_Flows[Name(EN)],Tab_Def_Flows[Flow_ID],,0,)</f>
        <v>N.A.</v>
      </c>
      <c r="AE12" s="189" t="s">
        <v>34</v>
      </c>
      <c r="AF12" s="12" t="str">
        <f>_xlfn.XLOOKUP(AE12,Tab_Def_Flows[Name(EN)],Tab_Def_Flows[Flow_ID],,0,)</f>
        <v>N.A.</v>
      </c>
      <c r="AG12" s="189" t="s">
        <v>34</v>
      </c>
      <c r="AH12" s="12" t="str">
        <f>_xlfn.XLOOKUP(AG12,Tab_Def_Flows[Name(EN)],Tab_Def_Flows[Flow_ID],,0,)</f>
        <v>N.A.</v>
      </c>
      <c r="AI12" s="189" t="s">
        <v>34</v>
      </c>
      <c r="AJ12" s="12" t="str">
        <f>_xlfn.XLOOKUP(AI12,Tab_Def_Flows[Name(EN)],Tab_Def_Flows[Flow_ID],,0,)</f>
        <v>N.A.</v>
      </c>
      <c r="AK12" s="189" t="s">
        <v>34</v>
      </c>
      <c r="AL12" s="13" t="str">
        <f>_xlfn.XLOOKUP(AK12,Tab_Def_Flows[Name(EN)],Tab_Def_Flows[Flow_ID],,0,)</f>
        <v>N.A.</v>
      </c>
    </row>
    <row r="13" spans="1:38" x14ac:dyDescent="0.25">
      <c r="A13" s="194" t="b">
        <v>0</v>
      </c>
      <c r="B13" s="43" t="s">
        <v>145</v>
      </c>
      <c r="C13" s="9" t="str">
        <f t="shared" si="0"/>
        <v>11</v>
      </c>
      <c r="D13" s="11"/>
      <c r="E13" s="11"/>
      <c r="F13" s="11"/>
      <c r="G13" s="11"/>
      <c r="H13" s="37"/>
      <c r="I13" s="189"/>
      <c r="J13" s="189"/>
      <c r="K13" s="189"/>
      <c r="L13" s="189"/>
      <c r="M13" s="189"/>
      <c r="N13" s="189"/>
      <c r="O13" s="189"/>
      <c r="P13" s="11"/>
      <c r="Q13" s="11" t="s">
        <v>34</v>
      </c>
      <c r="R13" s="12" t="str">
        <f>_xlfn.XLOOKUP(Q13,Tab_Def_Flows[Name(EN)],Tab_Def_Flows[Flow_ID],,0,)</f>
        <v>N.A.</v>
      </c>
      <c r="S13" s="11" t="s">
        <v>34</v>
      </c>
      <c r="T13" s="12" t="str">
        <f>_xlfn.XLOOKUP(S13,Tab_Def_Flows[Name(EN)],Tab_Def_Flows[Flow_ID],,0,)</f>
        <v>N.A.</v>
      </c>
      <c r="U13" s="11" t="s">
        <v>34</v>
      </c>
      <c r="V13" s="12" t="str">
        <f>_xlfn.XLOOKUP(U13,Tab_Def_Flows[Name(EN)],Tab_Def_Flows[Flow_ID],,0,)</f>
        <v>N.A.</v>
      </c>
      <c r="W13" s="11" t="s">
        <v>34</v>
      </c>
      <c r="X13" s="12" t="str">
        <f>_xlfn.XLOOKUP(W13,Tab_Def_Flows[Name(EN)],Tab_Def_Flows[Flow_ID],,0,)</f>
        <v>N.A.</v>
      </c>
      <c r="Y13" s="11" t="s">
        <v>34</v>
      </c>
      <c r="Z13" s="13" t="str">
        <f>_xlfn.XLOOKUP(Y13,Tab_Def_Flows[Name(EN)],Tab_Def_Flows[Flow_ID],,0,)</f>
        <v>N.A.</v>
      </c>
      <c r="AA13" s="189" t="s">
        <v>34</v>
      </c>
      <c r="AB13" s="12" t="str">
        <f>_xlfn.XLOOKUP(AA13,Tab_Def_Flows[Name(EN)],Tab_Def_Flows[Flow_ID],,0,)</f>
        <v>N.A.</v>
      </c>
      <c r="AC13" s="189" t="s">
        <v>34</v>
      </c>
      <c r="AD13" s="12" t="str">
        <f>_xlfn.XLOOKUP(AC13,Tab_Def_Flows[Name(EN)],Tab_Def_Flows[Flow_ID],,0,)</f>
        <v>N.A.</v>
      </c>
      <c r="AE13" s="189" t="s">
        <v>34</v>
      </c>
      <c r="AF13" s="12" t="str">
        <f>_xlfn.XLOOKUP(AE13,Tab_Def_Flows[Name(EN)],Tab_Def_Flows[Flow_ID],,0,)</f>
        <v>N.A.</v>
      </c>
      <c r="AG13" s="189" t="s">
        <v>34</v>
      </c>
      <c r="AH13" s="12" t="str">
        <f>_xlfn.XLOOKUP(AG13,Tab_Def_Flows[Name(EN)],Tab_Def_Flows[Flow_ID],,0,)</f>
        <v>N.A.</v>
      </c>
      <c r="AI13" s="189" t="s">
        <v>34</v>
      </c>
      <c r="AJ13" s="12" t="str">
        <f>_xlfn.XLOOKUP(AI13,Tab_Def_Flows[Name(EN)],Tab_Def_Flows[Flow_ID],,0,)</f>
        <v>N.A.</v>
      </c>
      <c r="AK13" s="189" t="s">
        <v>34</v>
      </c>
      <c r="AL13" s="13" t="str">
        <f>_xlfn.XLOOKUP(AK13,Tab_Def_Flows[Name(EN)],Tab_Def_Flows[Flow_ID],,0,)</f>
        <v>N.A.</v>
      </c>
    </row>
    <row r="14" spans="1:38" x14ac:dyDescent="0.25">
      <c r="A14" s="194" t="b">
        <v>0</v>
      </c>
      <c r="B14" s="43" t="s">
        <v>146</v>
      </c>
      <c r="C14" s="9" t="str">
        <f t="shared" si="0"/>
        <v>12</v>
      </c>
      <c r="D14" s="11"/>
      <c r="E14" s="11"/>
      <c r="F14" s="11"/>
      <c r="G14" s="11"/>
      <c r="H14" s="37"/>
      <c r="I14" s="189"/>
      <c r="J14" s="189"/>
      <c r="K14" s="189"/>
      <c r="L14" s="189"/>
      <c r="M14" s="189"/>
      <c r="N14" s="189"/>
      <c r="O14" s="189"/>
      <c r="P14" s="11"/>
      <c r="Q14" s="11" t="s">
        <v>34</v>
      </c>
      <c r="R14" s="12" t="str">
        <f>_xlfn.XLOOKUP(Q14,Tab_Def_Flows[Name(EN)],Tab_Def_Flows[Flow_ID],,0,)</f>
        <v>N.A.</v>
      </c>
      <c r="S14" s="11" t="s">
        <v>34</v>
      </c>
      <c r="T14" s="12" t="str">
        <f>_xlfn.XLOOKUP(S14,Tab_Def_Flows[Name(EN)],Tab_Def_Flows[Flow_ID],,0,)</f>
        <v>N.A.</v>
      </c>
      <c r="U14" s="11" t="s">
        <v>34</v>
      </c>
      <c r="V14" s="12" t="str">
        <f>_xlfn.XLOOKUP(U14,Tab_Def_Flows[Name(EN)],Tab_Def_Flows[Flow_ID],,0,)</f>
        <v>N.A.</v>
      </c>
      <c r="W14" s="11" t="s">
        <v>34</v>
      </c>
      <c r="X14" s="12" t="str">
        <f>_xlfn.XLOOKUP(W14,Tab_Def_Flows[Name(EN)],Tab_Def_Flows[Flow_ID],,0,)</f>
        <v>N.A.</v>
      </c>
      <c r="Y14" s="11" t="s">
        <v>34</v>
      </c>
      <c r="Z14" s="13" t="str">
        <f>_xlfn.XLOOKUP(Y14,Tab_Def_Flows[Name(EN)],Tab_Def_Flows[Flow_ID],,0,)</f>
        <v>N.A.</v>
      </c>
      <c r="AA14" s="189" t="s">
        <v>34</v>
      </c>
      <c r="AB14" s="12" t="str">
        <f>_xlfn.XLOOKUP(AA14,Tab_Def_Flows[Name(EN)],Tab_Def_Flows[Flow_ID],,0,)</f>
        <v>N.A.</v>
      </c>
      <c r="AC14" s="189" t="s">
        <v>34</v>
      </c>
      <c r="AD14" s="12" t="str">
        <f>_xlfn.XLOOKUP(AC14,Tab_Def_Flows[Name(EN)],Tab_Def_Flows[Flow_ID],,0,)</f>
        <v>N.A.</v>
      </c>
      <c r="AE14" s="189" t="s">
        <v>34</v>
      </c>
      <c r="AF14" s="12" t="str">
        <f>_xlfn.XLOOKUP(AE14,Tab_Def_Flows[Name(EN)],Tab_Def_Flows[Flow_ID],,0,)</f>
        <v>N.A.</v>
      </c>
      <c r="AG14" s="189" t="s">
        <v>34</v>
      </c>
      <c r="AH14" s="12" t="str">
        <f>_xlfn.XLOOKUP(AG14,Tab_Def_Flows[Name(EN)],Tab_Def_Flows[Flow_ID],,0,)</f>
        <v>N.A.</v>
      </c>
      <c r="AI14" s="189" t="s">
        <v>34</v>
      </c>
      <c r="AJ14" s="12" t="str">
        <f>_xlfn.XLOOKUP(AI14,Tab_Def_Flows[Name(EN)],Tab_Def_Flows[Flow_ID],,0,)</f>
        <v>N.A.</v>
      </c>
      <c r="AK14" s="189" t="s">
        <v>34</v>
      </c>
      <c r="AL14" s="13" t="str">
        <f>_xlfn.XLOOKUP(AK14,Tab_Def_Flows[Name(EN)],Tab_Def_Flows[Flow_ID],,0,)</f>
        <v>N.A.</v>
      </c>
    </row>
    <row r="15" spans="1:38" x14ac:dyDescent="0.25">
      <c r="A15" s="194" t="b">
        <v>0</v>
      </c>
      <c r="B15" s="43" t="s">
        <v>147</v>
      </c>
      <c r="C15" s="9" t="str">
        <f t="shared" si="0"/>
        <v>13</v>
      </c>
      <c r="D15" s="11"/>
      <c r="E15" s="11"/>
      <c r="F15" s="11"/>
      <c r="G15" s="11"/>
      <c r="H15" s="37"/>
      <c r="I15" s="189"/>
      <c r="J15" s="189"/>
      <c r="K15" s="189"/>
      <c r="L15" s="189"/>
      <c r="M15" s="189"/>
      <c r="N15" s="189"/>
      <c r="O15" s="189"/>
      <c r="P15" s="11"/>
      <c r="Q15" s="11" t="s">
        <v>34</v>
      </c>
      <c r="R15" s="12" t="str">
        <f>_xlfn.XLOOKUP(Q15,Tab_Def_Flows[Name(EN)],Tab_Def_Flows[Flow_ID],,0,)</f>
        <v>N.A.</v>
      </c>
      <c r="S15" s="11" t="s">
        <v>34</v>
      </c>
      <c r="T15" s="12" t="str">
        <f>_xlfn.XLOOKUP(S15,Tab_Def_Flows[Name(EN)],Tab_Def_Flows[Flow_ID],,0,)</f>
        <v>N.A.</v>
      </c>
      <c r="U15" s="11" t="s">
        <v>34</v>
      </c>
      <c r="V15" s="12" t="str">
        <f>_xlfn.XLOOKUP(U15,Tab_Def_Flows[Name(EN)],Tab_Def_Flows[Flow_ID],,0,)</f>
        <v>N.A.</v>
      </c>
      <c r="W15" s="11" t="s">
        <v>34</v>
      </c>
      <c r="X15" s="12" t="str">
        <f>_xlfn.XLOOKUP(W15,Tab_Def_Flows[Name(EN)],Tab_Def_Flows[Flow_ID],,0,)</f>
        <v>N.A.</v>
      </c>
      <c r="Y15" s="11" t="s">
        <v>34</v>
      </c>
      <c r="Z15" s="13" t="str">
        <f>_xlfn.XLOOKUP(Y15,Tab_Def_Flows[Name(EN)],Tab_Def_Flows[Flow_ID],,0,)</f>
        <v>N.A.</v>
      </c>
      <c r="AA15" s="189" t="s">
        <v>34</v>
      </c>
      <c r="AB15" s="12" t="str">
        <f>_xlfn.XLOOKUP(AA15,Tab_Def_Flows[Name(EN)],Tab_Def_Flows[Flow_ID],,0,)</f>
        <v>N.A.</v>
      </c>
      <c r="AC15" s="189" t="s">
        <v>34</v>
      </c>
      <c r="AD15" s="12" t="str">
        <f>_xlfn.XLOOKUP(AC15,Tab_Def_Flows[Name(EN)],Tab_Def_Flows[Flow_ID],,0,)</f>
        <v>N.A.</v>
      </c>
      <c r="AE15" s="189" t="s">
        <v>34</v>
      </c>
      <c r="AF15" s="12" t="str">
        <f>_xlfn.XLOOKUP(AE15,Tab_Def_Flows[Name(EN)],Tab_Def_Flows[Flow_ID],,0,)</f>
        <v>N.A.</v>
      </c>
      <c r="AG15" s="189" t="s">
        <v>34</v>
      </c>
      <c r="AH15" s="12" t="str">
        <f>_xlfn.XLOOKUP(AG15,Tab_Def_Flows[Name(EN)],Tab_Def_Flows[Flow_ID],,0,)</f>
        <v>N.A.</v>
      </c>
      <c r="AI15" s="189" t="s">
        <v>34</v>
      </c>
      <c r="AJ15" s="12" t="str">
        <f>_xlfn.XLOOKUP(AI15,Tab_Def_Flows[Name(EN)],Tab_Def_Flows[Flow_ID],,0,)</f>
        <v>N.A.</v>
      </c>
      <c r="AK15" s="189" t="s">
        <v>34</v>
      </c>
      <c r="AL15" s="13" t="str">
        <f>_xlfn.XLOOKUP(AK15,Tab_Def_Flows[Name(EN)],Tab_Def_Flows[Flow_ID],,0,)</f>
        <v>N.A.</v>
      </c>
    </row>
    <row r="16" spans="1:38" x14ac:dyDescent="0.25">
      <c r="A16" s="194" t="b">
        <v>0</v>
      </c>
      <c r="B16" s="43" t="s">
        <v>148</v>
      </c>
      <c r="C16" s="9" t="str">
        <f t="shared" si="0"/>
        <v>14</v>
      </c>
      <c r="D16" s="11"/>
      <c r="E16" s="11"/>
      <c r="F16" s="11"/>
      <c r="G16" s="11"/>
      <c r="H16" s="37"/>
      <c r="I16" s="189"/>
      <c r="J16" s="189"/>
      <c r="K16" s="189"/>
      <c r="L16" s="189"/>
      <c r="M16" s="189"/>
      <c r="N16" s="189"/>
      <c r="O16" s="189"/>
      <c r="P16" s="11"/>
      <c r="Q16" s="11" t="s">
        <v>34</v>
      </c>
      <c r="R16" s="12" t="str">
        <f>_xlfn.XLOOKUP(Q16,Tab_Def_Flows[Name(EN)],Tab_Def_Flows[Flow_ID],,0,)</f>
        <v>N.A.</v>
      </c>
      <c r="S16" s="11" t="s">
        <v>34</v>
      </c>
      <c r="T16" s="12" t="str">
        <f>_xlfn.XLOOKUP(S16,Tab_Def_Flows[Name(EN)],Tab_Def_Flows[Flow_ID],,0,)</f>
        <v>N.A.</v>
      </c>
      <c r="U16" s="11" t="s">
        <v>34</v>
      </c>
      <c r="V16" s="12" t="str">
        <f>_xlfn.XLOOKUP(U16,Tab_Def_Flows[Name(EN)],Tab_Def_Flows[Flow_ID],,0,)</f>
        <v>N.A.</v>
      </c>
      <c r="W16" s="11" t="s">
        <v>34</v>
      </c>
      <c r="X16" s="12" t="str">
        <f>_xlfn.XLOOKUP(W16,Tab_Def_Flows[Name(EN)],Tab_Def_Flows[Flow_ID],,0,)</f>
        <v>N.A.</v>
      </c>
      <c r="Y16" s="11" t="s">
        <v>34</v>
      </c>
      <c r="Z16" s="13" t="str">
        <f>_xlfn.XLOOKUP(Y16,Tab_Def_Flows[Name(EN)],Tab_Def_Flows[Flow_ID],,0,)</f>
        <v>N.A.</v>
      </c>
      <c r="AA16" s="189" t="s">
        <v>34</v>
      </c>
      <c r="AB16" s="12" t="str">
        <f>_xlfn.XLOOKUP(AA16,Tab_Def_Flows[Name(EN)],Tab_Def_Flows[Flow_ID],,0,)</f>
        <v>N.A.</v>
      </c>
      <c r="AC16" s="189" t="s">
        <v>34</v>
      </c>
      <c r="AD16" s="12" t="str">
        <f>_xlfn.XLOOKUP(AC16,Tab_Def_Flows[Name(EN)],Tab_Def_Flows[Flow_ID],,0,)</f>
        <v>N.A.</v>
      </c>
      <c r="AE16" s="189" t="s">
        <v>34</v>
      </c>
      <c r="AF16" s="12" t="str">
        <f>_xlfn.XLOOKUP(AE16,Tab_Def_Flows[Name(EN)],Tab_Def_Flows[Flow_ID],,0,)</f>
        <v>N.A.</v>
      </c>
      <c r="AG16" s="189" t="s">
        <v>34</v>
      </c>
      <c r="AH16" s="12" t="str">
        <f>_xlfn.XLOOKUP(AG16,Tab_Def_Flows[Name(EN)],Tab_Def_Flows[Flow_ID],,0,)</f>
        <v>N.A.</v>
      </c>
      <c r="AI16" s="189" t="s">
        <v>34</v>
      </c>
      <c r="AJ16" s="12" t="str">
        <f>_xlfn.XLOOKUP(AI16,Tab_Def_Flows[Name(EN)],Tab_Def_Flows[Flow_ID],,0,)</f>
        <v>N.A.</v>
      </c>
      <c r="AK16" s="189" t="s">
        <v>34</v>
      </c>
      <c r="AL16" s="13" t="str">
        <f>_xlfn.XLOOKUP(AK16,Tab_Def_Flows[Name(EN)],Tab_Def_Flows[Flow_ID],,0,)</f>
        <v>N.A.</v>
      </c>
    </row>
    <row r="17" spans="1:38" x14ac:dyDescent="0.25">
      <c r="A17" s="194" t="b">
        <v>0</v>
      </c>
      <c r="B17" s="43" t="s">
        <v>149</v>
      </c>
      <c r="C17" s="9" t="str">
        <f t="shared" si="0"/>
        <v>15</v>
      </c>
      <c r="D17" s="11"/>
      <c r="E17" s="11"/>
      <c r="F17" s="11"/>
      <c r="G17" s="11"/>
      <c r="H17" s="37"/>
      <c r="I17" s="189"/>
      <c r="J17" s="189"/>
      <c r="K17" s="189"/>
      <c r="L17" s="189"/>
      <c r="M17" s="189"/>
      <c r="N17" s="189"/>
      <c r="O17" s="189"/>
      <c r="P17" s="11"/>
      <c r="Q17" s="11" t="s">
        <v>34</v>
      </c>
      <c r="R17" s="12" t="str">
        <f>_xlfn.XLOOKUP(Q17,Tab_Def_Flows[Name(EN)],Tab_Def_Flows[Flow_ID],,0,)</f>
        <v>N.A.</v>
      </c>
      <c r="S17" s="11" t="s">
        <v>34</v>
      </c>
      <c r="T17" s="12" t="str">
        <f>_xlfn.XLOOKUP(S17,Tab_Def_Flows[Name(EN)],Tab_Def_Flows[Flow_ID],,0,)</f>
        <v>N.A.</v>
      </c>
      <c r="U17" s="11" t="s">
        <v>34</v>
      </c>
      <c r="V17" s="12" t="str">
        <f>_xlfn.XLOOKUP(U17,Tab_Def_Flows[Name(EN)],Tab_Def_Flows[Flow_ID],,0,)</f>
        <v>N.A.</v>
      </c>
      <c r="W17" s="11" t="s">
        <v>34</v>
      </c>
      <c r="X17" s="12" t="str">
        <f>_xlfn.XLOOKUP(W17,Tab_Def_Flows[Name(EN)],Tab_Def_Flows[Flow_ID],,0,)</f>
        <v>N.A.</v>
      </c>
      <c r="Y17" s="11" t="s">
        <v>34</v>
      </c>
      <c r="Z17" s="13" t="str">
        <f>_xlfn.XLOOKUP(Y17,Tab_Def_Flows[Name(EN)],Tab_Def_Flows[Flow_ID],,0,)</f>
        <v>N.A.</v>
      </c>
      <c r="AA17" s="189" t="s">
        <v>34</v>
      </c>
      <c r="AB17" s="12" t="str">
        <f>_xlfn.XLOOKUP(AA17,Tab_Def_Flows[Name(EN)],Tab_Def_Flows[Flow_ID],,0,)</f>
        <v>N.A.</v>
      </c>
      <c r="AC17" s="189" t="s">
        <v>34</v>
      </c>
      <c r="AD17" s="12" t="str">
        <f>_xlfn.XLOOKUP(AC17,Tab_Def_Flows[Name(EN)],Tab_Def_Flows[Flow_ID],,0,)</f>
        <v>N.A.</v>
      </c>
      <c r="AE17" s="189" t="s">
        <v>34</v>
      </c>
      <c r="AF17" s="12" t="str">
        <f>_xlfn.XLOOKUP(AE17,Tab_Def_Flows[Name(EN)],Tab_Def_Flows[Flow_ID],,0,)</f>
        <v>N.A.</v>
      </c>
      <c r="AG17" s="189" t="s">
        <v>34</v>
      </c>
      <c r="AH17" s="12" t="str">
        <f>_xlfn.XLOOKUP(AG17,Tab_Def_Flows[Name(EN)],Tab_Def_Flows[Flow_ID],,0,)</f>
        <v>N.A.</v>
      </c>
      <c r="AI17" s="189" t="s">
        <v>34</v>
      </c>
      <c r="AJ17" s="12" t="str">
        <f>_xlfn.XLOOKUP(AI17,Tab_Def_Flows[Name(EN)],Tab_Def_Flows[Flow_ID],,0,)</f>
        <v>N.A.</v>
      </c>
      <c r="AK17" s="189" t="s">
        <v>34</v>
      </c>
      <c r="AL17" s="13" t="str">
        <f>_xlfn.XLOOKUP(AK17,Tab_Def_Flows[Name(EN)],Tab_Def_Flows[Flow_ID],,0,)</f>
        <v>N.A.</v>
      </c>
    </row>
    <row r="18" spans="1:38" x14ac:dyDescent="0.25">
      <c r="A18" s="194" t="b">
        <v>0</v>
      </c>
      <c r="B18" s="43" t="s">
        <v>150</v>
      </c>
      <c r="C18" s="9" t="str">
        <f t="shared" si="0"/>
        <v>16</v>
      </c>
      <c r="D18" s="11"/>
      <c r="E18" s="11"/>
      <c r="F18" s="11"/>
      <c r="G18" s="11"/>
      <c r="H18" s="37"/>
      <c r="I18" s="189"/>
      <c r="J18" s="189"/>
      <c r="K18" s="189"/>
      <c r="L18" s="189"/>
      <c r="M18" s="189"/>
      <c r="N18" s="189"/>
      <c r="O18" s="189"/>
      <c r="P18" s="11"/>
      <c r="Q18" s="11" t="s">
        <v>34</v>
      </c>
      <c r="R18" s="12" t="str">
        <f>_xlfn.XLOOKUP(Q18,Tab_Def_Flows[Name(EN)],Tab_Def_Flows[Flow_ID],,0,)</f>
        <v>N.A.</v>
      </c>
      <c r="S18" s="11" t="s">
        <v>34</v>
      </c>
      <c r="T18" s="12" t="str">
        <f>_xlfn.XLOOKUP(S18,Tab_Def_Flows[Name(EN)],Tab_Def_Flows[Flow_ID],,0,)</f>
        <v>N.A.</v>
      </c>
      <c r="U18" s="11" t="s">
        <v>34</v>
      </c>
      <c r="V18" s="12" t="str">
        <f>_xlfn.XLOOKUP(U18,Tab_Def_Flows[Name(EN)],Tab_Def_Flows[Flow_ID],,0,)</f>
        <v>N.A.</v>
      </c>
      <c r="W18" s="11" t="s">
        <v>34</v>
      </c>
      <c r="X18" s="12" t="str">
        <f>_xlfn.XLOOKUP(W18,Tab_Def_Flows[Name(EN)],Tab_Def_Flows[Flow_ID],,0,)</f>
        <v>N.A.</v>
      </c>
      <c r="Y18" s="11" t="s">
        <v>34</v>
      </c>
      <c r="Z18" s="13" t="str">
        <f>_xlfn.XLOOKUP(Y18,Tab_Def_Flows[Name(EN)],Tab_Def_Flows[Flow_ID],,0,)</f>
        <v>N.A.</v>
      </c>
      <c r="AA18" s="189" t="s">
        <v>34</v>
      </c>
      <c r="AB18" s="12" t="str">
        <f>_xlfn.XLOOKUP(AA18,Tab_Def_Flows[Name(EN)],Tab_Def_Flows[Flow_ID],,0,)</f>
        <v>N.A.</v>
      </c>
      <c r="AC18" s="189" t="s">
        <v>34</v>
      </c>
      <c r="AD18" s="12" t="str">
        <f>_xlfn.XLOOKUP(AC18,Tab_Def_Flows[Name(EN)],Tab_Def_Flows[Flow_ID],,0,)</f>
        <v>N.A.</v>
      </c>
      <c r="AE18" s="189" t="s">
        <v>34</v>
      </c>
      <c r="AF18" s="12" t="str">
        <f>_xlfn.XLOOKUP(AE18,Tab_Def_Flows[Name(EN)],Tab_Def_Flows[Flow_ID],,0,)</f>
        <v>N.A.</v>
      </c>
      <c r="AG18" s="189" t="s">
        <v>34</v>
      </c>
      <c r="AH18" s="12" t="str">
        <f>_xlfn.XLOOKUP(AG18,Tab_Def_Flows[Name(EN)],Tab_Def_Flows[Flow_ID],,0,)</f>
        <v>N.A.</v>
      </c>
      <c r="AI18" s="189" t="s">
        <v>34</v>
      </c>
      <c r="AJ18" s="12" t="str">
        <f>_xlfn.XLOOKUP(AI18,Tab_Def_Flows[Name(EN)],Tab_Def_Flows[Flow_ID],,0,)</f>
        <v>N.A.</v>
      </c>
      <c r="AK18" s="189" t="s">
        <v>34</v>
      </c>
      <c r="AL18" s="13" t="str">
        <f>_xlfn.XLOOKUP(AK18,Tab_Def_Flows[Name(EN)],Tab_Def_Flows[Flow_ID],,0,)</f>
        <v>N.A.</v>
      </c>
    </row>
    <row r="19" spans="1:38" x14ac:dyDescent="0.25">
      <c r="A19" s="194" t="b">
        <v>0</v>
      </c>
      <c r="B19" s="43" t="s">
        <v>151</v>
      </c>
      <c r="C19" s="9" t="str">
        <f t="shared" si="0"/>
        <v>17</v>
      </c>
      <c r="D19" s="11"/>
      <c r="E19" s="11"/>
      <c r="F19" s="11"/>
      <c r="G19" s="11"/>
      <c r="H19" s="37"/>
      <c r="I19" s="189"/>
      <c r="J19" s="189"/>
      <c r="K19" s="189"/>
      <c r="L19" s="189"/>
      <c r="M19" s="189"/>
      <c r="N19" s="189"/>
      <c r="O19" s="189"/>
      <c r="P19" s="11"/>
      <c r="Q19" s="11" t="s">
        <v>34</v>
      </c>
      <c r="R19" s="12" t="str">
        <f>_xlfn.XLOOKUP(Q19,Tab_Def_Flows[Name(EN)],Tab_Def_Flows[Flow_ID],,0,)</f>
        <v>N.A.</v>
      </c>
      <c r="S19" s="11" t="s">
        <v>34</v>
      </c>
      <c r="T19" s="12" t="str">
        <f>_xlfn.XLOOKUP(S19,Tab_Def_Flows[Name(EN)],Tab_Def_Flows[Flow_ID],,0,)</f>
        <v>N.A.</v>
      </c>
      <c r="U19" s="11" t="s">
        <v>34</v>
      </c>
      <c r="V19" s="12" t="str">
        <f>_xlfn.XLOOKUP(U19,Tab_Def_Flows[Name(EN)],Tab_Def_Flows[Flow_ID],,0,)</f>
        <v>N.A.</v>
      </c>
      <c r="W19" s="11" t="s">
        <v>34</v>
      </c>
      <c r="X19" s="12" t="str">
        <f>_xlfn.XLOOKUP(W19,Tab_Def_Flows[Name(EN)],Tab_Def_Flows[Flow_ID],,0,)</f>
        <v>N.A.</v>
      </c>
      <c r="Y19" s="11" t="s">
        <v>34</v>
      </c>
      <c r="Z19" s="13" t="str">
        <f>_xlfn.XLOOKUP(Y19,Tab_Def_Flows[Name(EN)],Tab_Def_Flows[Flow_ID],,0,)</f>
        <v>N.A.</v>
      </c>
      <c r="AA19" s="189" t="s">
        <v>34</v>
      </c>
      <c r="AB19" s="12" t="str">
        <f>_xlfn.XLOOKUP(AA19,Tab_Def_Flows[Name(EN)],Tab_Def_Flows[Flow_ID],,0,)</f>
        <v>N.A.</v>
      </c>
      <c r="AC19" s="189" t="s">
        <v>34</v>
      </c>
      <c r="AD19" s="12" t="str">
        <f>_xlfn.XLOOKUP(AC19,Tab_Def_Flows[Name(EN)],Tab_Def_Flows[Flow_ID],,0,)</f>
        <v>N.A.</v>
      </c>
      <c r="AE19" s="189" t="s">
        <v>34</v>
      </c>
      <c r="AF19" s="12" t="str">
        <f>_xlfn.XLOOKUP(AE19,Tab_Def_Flows[Name(EN)],Tab_Def_Flows[Flow_ID],,0,)</f>
        <v>N.A.</v>
      </c>
      <c r="AG19" s="189" t="s">
        <v>34</v>
      </c>
      <c r="AH19" s="12" t="str">
        <f>_xlfn.XLOOKUP(AG19,Tab_Def_Flows[Name(EN)],Tab_Def_Flows[Flow_ID],,0,)</f>
        <v>N.A.</v>
      </c>
      <c r="AI19" s="189" t="s">
        <v>34</v>
      </c>
      <c r="AJ19" s="12" t="str">
        <f>_xlfn.XLOOKUP(AI19,Tab_Def_Flows[Name(EN)],Tab_Def_Flows[Flow_ID],,0,)</f>
        <v>N.A.</v>
      </c>
      <c r="AK19" s="189" t="s">
        <v>34</v>
      </c>
      <c r="AL19" s="13" t="str">
        <f>_xlfn.XLOOKUP(AK19,Tab_Def_Flows[Name(EN)],Tab_Def_Flows[Flow_ID],,0,)</f>
        <v>N.A.</v>
      </c>
    </row>
    <row r="20" spans="1:38" x14ac:dyDescent="0.25">
      <c r="A20" s="194" t="b">
        <v>0</v>
      </c>
      <c r="B20" s="43" t="s">
        <v>152</v>
      </c>
      <c r="C20" s="9" t="str">
        <f t="shared" si="0"/>
        <v>18</v>
      </c>
      <c r="D20" s="11"/>
      <c r="E20" s="11"/>
      <c r="F20" s="11"/>
      <c r="G20" s="11"/>
      <c r="H20" s="37"/>
      <c r="I20" s="189"/>
      <c r="J20" s="189"/>
      <c r="K20" s="189"/>
      <c r="L20" s="189"/>
      <c r="M20" s="189"/>
      <c r="N20" s="189"/>
      <c r="O20" s="189"/>
      <c r="P20" s="11"/>
      <c r="Q20" s="11" t="s">
        <v>34</v>
      </c>
      <c r="R20" s="12" t="str">
        <f>_xlfn.XLOOKUP(Q20,Tab_Def_Flows[Name(EN)],Tab_Def_Flows[Flow_ID],,0,)</f>
        <v>N.A.</v>
      </c>
      <c r="S20" s="11" t="s">
        <v>34</v>
      </c>
      <c r="T20" s="12" t="str">
        <f>_xlfn.XLOOKUP(S20,Tab_Def_Flows[Name(EN)],Tab_Def_Flows[Flow_ID],,0,)</f>
        <v>N.A.</v>
      </c>
      <c r="U20" s="11" t="s">
        <v>34</v>
      </c>
      <c r="V20" s="12" t="str">
        <f>_xlfn.XLOOKUP(U20,Tab_Def_Flows[Name(EN)],Tab_Def_Flows[Flow_ID],,0,)</f>
        <v>N.A.</v>
      </c>
      <c r="W20" s="11" t="s">
        <v>34</v>
      </c>
      <c r="X20" s="12" t="str">
        <f>_xlfn.XLOOKUP(W20,Tab_Def_Flows[Name(EN)],Tab_Def_Flows[Flow_ID],,0,)</f>
        <v>N.A.</v>
      </c>
      <c r="Y20" s="11" t="s">
        <v>34</v>
      </c>
      <c r="Z20" s="13" t="str">
        <f>_xlfn.XLOOKUP(Y20,Tab_Def_Flows[Name(EN)],Tab_Def_Flows[Flow_ID],,0,)</f>
        <v>N.A.</v>
      </c>
      <c r="AA20" s="189" t="s">
        <v>34</v>
      </c>
      <c r="AB20" s="12" t="str">
        <f>_xlfn.XLOOKUP(AA20,Tab_Def_Flows[Name(EN)],Tab_Def_Flows[Flow_ID],,0,)</f>
        <v>N.A.</v>
      </c>
      <c r="AC20" s="189" t="s">
        <v>34</v>
      </c>
      <c r="AD20" s="12" t="str">
        <f>_xlfn.XLOOKUP(AC20,Tab_Def_Flows[Name(EN)],Tab_Def_Flows[Flow_ID],,0,)</f>
        <v>N.A.</v>
      </c>
      <c r="AE20" s="189" t="s">
        <v>34</v>
      </c>
      <c r="AF20" s="12" t="str">
        <f>_xlfn.XLOOKUP(AE20,Tab_Def_Flows[Name(EN)],Tab_Def_Flows[Flow_ID],,0,)</f>
        <v>N.A.</v>
      </c>
      <c r="AG20" s="189" t="s">
        <v>34</v>
      </c>
      <c r="AH20" s="12" t="str">
        <f>_xlfn.XLOOKUP(AG20,Tab_Def_Flows[Name(EN)],Tab_Def_Flows[Flow_ID],,0,)</f>
        <v>N.A.</v>
      </c>
      <c r="AI20" s="189" t="s">
        <v>34</v>
      </c>
      <c r="AJ20" s="12" t="str">
        <f>_xlfn.XLOOKUP(AI20,Tab_Def_Flows[Name(EN)],Tab_Def_Flows[Flow_ID],,0,)</f>
        <v>N.A.</v>
      </c>
      <c r="AK20" s="189" t="s">
        <v>34</v>
      </c>
      <c r="AL20" s="13" t="str">
        <f>_xlfn.XLOOKUP(AK20,Tab_Def_Flows[Name(EN)],Tab_Def_Flows[Flow_ID],,0,)</f>
        <v>N.A.</v>
      </c>
    </row>
    <row r="21" spans="1:38" x14ac:dyDescent="0.25">
      <c r="A21" s="194" t="b">
        <v>0</v>
      </c>
      <c r="B21" s="43" t="s">
        <v>153</v>
      </c>
      <c r="C21" s="9" t="str">
        <f t="shared" si="0"/>
        <v>19</v>
      </c>
      <c r="D21" s="11"/>
      <c r="E21" s="11"/>
      <c r="F21" s="11"/>
      <c r="G21" s="11"/>
      <c r="H21" s="37"/>
      <c r="I21" s="189"/>
      <c r="J21" s="189"/>
      <c r="K21" s="189"/>
      <c r="L21" s="189"/>
      <c r="M21" s="189"/>
      <c r="N21" s="189"/>
      <c r="O21" s="189"/>
      <c r="P21" s="11"/>
      <c r="Q21" s="11" t="s">
        <v>34</v>
      </c>
      <c r="R21" s="12" t="str">
        <f>_xlfn.XLOOKUP(Q21,Tab_Def_Flows[Name(EN)],Tab_Def_Flows[Flow_ID],,0,)</f>
        <v>N.A.</v>
      </c>
      <c r="S21" s="11" t="s">
        <v>34</v>
      </c>
      <c r="T21" s="12" t="str">
        <f>_xlfn.XLOOKUP(S21,Tab_Def_Flows[Name(EN)],Tab_Def_Flows[Flow_ID],,0,)</f>
        <v>N.A.</v>
      </c>
      <c r="U21" s="11" t="s">
        <v>34</v>
      </c>
      <c r="V21" s="12" t="str">
        <f>_xlfn.XLOOKUP(U21,Tab_Def_Flows[Name(EN)],Tab_Def_Flows[Flow_ID],,0,)</f>
        <v>N.A.</v>
      </c>
      <c r="W21" s="11" t="s">
        <v>34</v>
      </c>
      <c r="X21" s="12" t="str">
        <f>_xlfn.XLOOKUP(W21,Tab_Def_Flows[Name(EN)],Tab_Def_Flows[Flow_ID],,0,)</f>
        <v>N.A.</v>
      </c>
      <c r="Y21" s="11" t="s">
        <v>34</v>
      </c>
      <c r="Z21" s="13" t="str">
        <f>_xlfn.XLOOKUP(Y21,Tab_Def_Flows[Name(EN)],Tab_Def_Flows[Flow_ID],,0,)</f>
        <v>N.A.</v>
      </c>
      <c r="AA21" s="189" t="s">
        <v>34</v>
      </c>
      <c r="AB21" s="12" t="str">
        <f>_xlfn.XLOOKUP(AA21,Tab_Def_Flows[Name(EN)],Tab_Def_Flows[Flow_ID],,0,)</f>
        <v>N.A.</v>
      </c>
      <c r="AC21" s="189" t="s">
        <v>34</v>
      </c>
      <c r="AD21" s="12" t="str">
        <f>_xlfn.XLOOKUP(AC21,Tab_Def_Flows[Name(EN)],Tab_Def_Flows[Flow_ID],,0,)</f>
        <v>N.A.</v>
      </c>
      <c r="AE21" s="189" t="s">
        <v>34</v>
      </c>
      <c r="AF21" s="12" t="str">
        <f>_xlfn.XLOOKUP(AE21,Tab_Def_Flows[Name(EN)],Tab_Def_Flows[Flow_ID],,0,)</f>
        <v>N.A.</v>
      </c>
      <c r="AG21" s="189" t="s">
        <v>34</v>
      </c>
      <c r="AH21" s="12" t="str">
        <f>_xlfn.XLOOKUP(AG21,Tab_Def_Flows[Name(EN)],Tab_Def_Flows[Flow_ID],,0,)</f>
        <v>N.A.</v>
      </c>
      <c r="AI21" s="189" t="s">
        <v>34</v>
      </c>
      <c r="AJ21" s="12" t="str">
        <f>_xlfn.XLOOKUP(AI21,Tab_Def_Flows[Name(EN)],Tab_Def_Flows[Flow_ID],,0,)</f>
        <v>N.A.</v>
      </c>
      <c r="AK21" s="189" t="s">
        <v>34</v>
      </c>
      <c r="AL21" s="13" t="str">
        <f>_xlfn.XLOOKUP(AK21,Tab_Def_Flows[Name(EN)],Tab_Def_Flows[Flow_ID],,0,)</f>
        <v>N.A.</v>
      </c>
    </row>
    <row r="22" spans="1:38" x14ac:dyDescent="0.25">
      <c r="A22" s="194" t="b">
        <v>0</v>
      </c>
      <c r="B22" s="43" t="s">
        <v>154</v>
      </c>
      <c r="C22" s="9" t="str">
        <f t="shared" si="0"/>
        <v>20</v>
      </c>
      <c r="D22" s="11"/>
      <c r="E22" s="11"/>
      <c r="F22" s="11"/>
      <c r="G22" s="11"/>
      <c r="H22" s="37"/>
      <c r="I22" s="189"/>
      <c r="J22" s="189"/>
      <c r="K22" s="189"/>
      <c r="L22" s="189"/>
      <c r="M22" s="189"/>
      <c r="N22" s="189"/>
      <c r="O22" s="189"/>
      <c r="P22" s="11"/>
      <c r="Q22" s="11" t="s">
        <v>34</v>
      </c>
      <c r="R22" s="12" t="str">
        <f>_xlfn.XLOOKUP(Q22,Tab_Def_Flows[Name(EN)],Tab_Def_Flows[Flow_ID],,0,)</f>
        <v>N.A.</v>
      </c>
      <c r="S22" s="11" t="s">
        <v>34</v>
      </c>
      <c r="T22" s="12" t="str">
        <f>_xlfn.XLOOKUP(S22,Tab_Def_Flows[Name(EN)],Tab_Def_Flows[Flow_ID],,0,)</f>
        <v>N.A.</v>
      </c>
      <c r="U22" s="11" t="s">
        <v>34</v>
      </c>
      <c r="V22" s="12" t="str">
        <f>_xlfn.XLOOKUP(U22,Tab_Def_Flows[Name(EN)],Tab_Def_Flows[Flow_ID],,0,)</f>
        <v>N.A.</v>
      </c>
      <c r="W22" s="11" t="s">
        <v>34</v>
      </c>
      <c r="X22" s="12" t="str">
        <f>_xlfn.XLOOKUP(W22,Tab_Def_Flows[Name(EN)],Tab_Def_Flows[Flow_ID],,0,)</f>
        <v>N.A.</v>
      </c>
      <c r="Y22" s="11" t="s">
        <v>34</v>
      </c>
      <c r="Z22" s="13" t="str">
        <f>_xlfn.XLOOKUP(Y22,Tab_Def_Flows[Name(EN)],Tab_Def_Flows[Flow_ID],,0,)</f>
        <v>N.A.</v>
      </c>
      <c r="AA22" s="189" t="s">
        <v>34</v>
      </c>
      <c r="AB22" s="12" t="str">
        <f>_xlfn.XLOOKUP(AA22,Tab_Def_Flows[Name(EN)],Tab_Def_Flows[Flow_ID],,0,)</f>
        <v>N.A.</v>
      </c>
      <c r="AC22" s="189" t="s">
        <v>34</v>
      </c>
      <c r="AD22" s="12" t="str">
        <f>_xlfn.XLOOKUP(AC22,Tab_Def_Flows[Name(EN)],Tab_Def_Flows[Flow_ID],,0,)</f>
        <v>N.A.</v>
      </c>
      <c r="AE22" s="189" t="s">
        <v>34</v>
      </c>
      <c r="AF22" s="12" t="str">
        <f>_xlfn.XLOOKUP(AE22,Tab_Def_Flows[Name(EN)],Tab_Def_Flows[Flow_ID],,0,)</f>
        <v>N.A.</v>
      </c>
      <c r="AG22" s="189" t="s">
        <v>34</v>
      </c>
      <c r="AH22" s="12" t="str">
        <f>_xlfn.XLOOKUP(AG22,Tab_Def_Flows[Name(EN)],Tab_Def_Flows[Flow_ID],,0,)</f>
        <v>N.A.</v>
      </c>
      <c r="AI22" s="189" t="s">
        <v>34</v>
      </c>
      <c r="AJ22" s="12" t="str">
        <f>_xlfn.XLOOKUP(AI22,Tab_Def_Flows[Name(EN)],Tab_Def_Flows[Flow_ID],,0,)</f>
        <v>N.A.</v>
      </c>
      <c r="AK22" s="189" t="s">
        <v>34</v>
      </c>
      <c r="AL22" s="13" t="str">
        <f>_xlfn.XLOOKUP(AK22,Tab_Def_Flows[Name(EN)],Tab_Def_Flows[Flow_ID],,0,)</f>
        <v>N.A.</v>
      </c>
    </row>
    <row r="23" spans="1:38" x14ac:dyDescent="0.25">
      <c r="A23" s="194" t="b">
        <v>0</v>
      </c>
      <c r="B23" s="43" t="s">
        <v>155</v>
      </c>
      <c r="C23" s="9" t="str">
        <f t="shared" si="0"/>
        <v>21</v>
      </c>
      <c r="D23" s="11"/>
      <c r="E23" s="11"/>
      <c r="F23" s="11"/>
      <c r="G23" s="11"/>
      <c r="H23" s="37"/>
      <c r="I23" s="189"/>
      <c r="J23" s="189"/>
      <c r="K23" s="189"/>
      <c r="L23" s="189"/>
      <c r="M23" s="189"/>
      <c r="N23" s="189"/>
      <c r="O23" s="189"/>
      <c r="P23" s="11"/>
      <c r="Q23" s="11" t="s">
        <v>34</v>
      </c>
      <c r="R23" s="12" t="str">
        <f>_xlfn.XLOOKUP(Q23,Tab_Def_Flows[Name(EN)],Tab_Def_Flows[Flow_ID],,0,)</f>
        <v>N.A.</v>
      </c>
      <c r="S23" s="11" t="s">
        <v>34</v>
      </c>
      <c r="T23" s="12" t="str">
        <f>_xlfn.XLOOKUP(S23,Tab_Def_Flows[Name(EN)],Tab_Def_Flows[Flow_ID],,0,)</f>
        <v>N.A.</v>
      </c>
      <c r="U23" s="11" t="s">
        <v>34</v>
      </c>
      <c r="V23" s="12" t="str">
        <f>_xlfn.XLOOKUP(U23,Tab_Def_Flows[Name(EN)],Tab_Def_Flows[Flow_ID],,0,)</f>
        <v>N.A.</v>
      </c>
      <c r="W23" s="11" t="s">
        <v>34</v>
      </c>
      <c r="X23" s="12" t="str">
        <f>_xlfn.XLOOKUP(W23,Tab_Def_Flows[Name(EN)],Tab_Def_Flows[Flow_ID],,0,)</f>
        <v>N.A.</v>
      </c>
      <c r="Y23" s="11" t="s">
        <v>34</v>
      </c>
      <c r="Z23" s="13" t="str">
        <f>_xlfn.XLOOKUP(Y23,Tab_Def_Flows[Name(EN)],Tab_Def_Flows[Flow_ID],,0,)</f>
        <v>N.A.</v>
      </c>
      <c r="AA23" s="189" t="s">
        <v>34</v>
      </c>
      <c r="AB23" s="12" t="str">
        <f>_xlfn.XLOOKUP(AA23,Tab_Def_Flows[Name(EN)],Tab_Def_Flows[Flow_ID],,0,)</f>
        <v>N.A.</v>
      </c>
      <c r="AC23" s="189" t="s">
        <v>34</v>
      </c>
      <c r="AD23" s="12" t="str">
        <f>_xlfn.XLOOKUP(AC23,Tab_Def_Flows[Name(EN)],Tab_Def_Flows[Flow_ID],,0,)</f>
        <v>N.A.</v>
      </c>
      <c r="AE23" s="189" t="s">
        <v>34</v>
      </c>
      <c r="AF23" s="12" t="str">
        <f>_xlfn.XLOOKUP(AE23,Tab_Def_Flows[Name(EN)],Tab_Def_Flows[Flow_ID],,0,)</f>
        <v>N.A.</v>
      </c>
      <c r="AG23" s="189" t="s">
        <v>34</v>
      </c>
      <c r="AH23" s="12" t="str">
        <f>_xlfn.XLOOKUP(AG23,Tab_Def_Flows[Name(EN)],Tab_Def_Flows[Flow_ID],,0,)</f>
        <v>N.A.</v>
      </c>
      <c r="AI23" s="189" t="s">
        <v>34</v>
      </c>
      <c r="AJ23" s="12" t="str">
        <f>_xlfn.XLOOKUP(AI23,Tab_Def_Flows[Name(EN)],Tab_Def_Flows[Flow_ID],,0,)</f>
        <v>N.A.</v>
      </c>
      <c r="AK23" s="189" t="s">
        <v>34</v>
      </c>
      <c r="AL23" s="13" t="str">
        <f>_xlfn.XLOOKUP(AK23,Tab_Def_Flows[Name(EN)],Tab_Def_Flows[Flow_ID],,0,)</f>
        <v>N.A.</v>
      </c>
    </row>
    <row r="24" spans="1:38" x14ac:dyDescent="0.25">
      <c r="A24" s="194" t="b">
        <v>0</v>
      </c>
      <c r="B24" s="43" t="s">
        <v>156</v>
      </c>
      <c r="C24" s="9" t="str">
        <f t="shared" si="0"/>
        <v>22</v>
      </c>
      <c r="D24" s="11"/>
      <c r="E24" s="11"/>
      <c r="F24" s="11"/>
      <c r="G24" s="11"/>
      <c r="H24" s="37"/>
      <c r="I24" s="189"/>
      <c r="J24" s="189"/>
      <c r="K24" s="189"/>
      <c r="L24" s="189"/>
      <c r="M24" s="189"/>
      <c r="N24" s="189"/>
      <c r="O24" s="189"/>
      <c r="P24" s="11"/>
      <c r="Q24" s="11" t="s">
        <v>34</v>
      </c>
      <c r="R24" s="12" t="str">
        <f>_xlfn.XLOOKUP(Q24,Tab_Def_Flows[Name(EN)],Tab_Def_Flows[Flow_ID],,0,)</f>
        <v>N.A.</v>
      </c>
      <c r="S24" s="11" t="s">
        <v>34</v>
      </c>
      <c r="T24" s="12" t="str">
        <f>_xlfn.XLOOKUP(S24,Tab_Def_Flows[Name(EN)],Tab_Def_Flows[Flow_ID],,0,)</f>
        <v>N.A.</v>
      </c>
      <c r="U24" s="11" t="s">
        <v>34</v>
      </c>
      <c r="V24" s="12" t="str">
        <f>_xlfn.XLOOKUP(U24,Tab_Def_Flows[Name(EN)],Tab_Def_Flows[Flow_ID],,0,)</f>
        <v>N.A.</v>
      </c>
      <c r="W24" s="11" t="s">
        <v>34</v>
      </c>
      <c r="X24" s="12" t="str">
        <f>_xlfn.XLOOKUP(W24,Tab_Def_Flows[Name(EN)],Tab_Def_Flows[Flow_ID],,0,)</f>
        <v>N.A.</v>
      </c>
      <c r="Y24" s="11" t="s">
        <v>34</v>
      </c>
      <c r="Z24" s="13" t="str">
        <f>_xlfn.XLOOKUP(Y24,Tab_Def_Flows[Name(EN)],Tab_Def_Flows[Flow_ID],,0,)</f>
        <v>N.A.</v>
      </c>
      <c r="AA24" s="189" t="s">
        <v>34</v>
      </c>
      <c r="AB24" s="12" t="str">
        <f>_xlfn.XLOOKUP(AA24,Tab_Def_Flows[Name(EN)],Tab_Def_Flows[Flow_ID],,0,)</f>
        <v>N.A.</v>
      </c>
      <c r="AC24" s="189" t="s">
        <v>34</v>
      </c>
      <c r="AD24" s="12" t="str">
        <f>_xlfn.XLOOKUP(AC24,Tab_Def_Flows[Name(EN)],Tab_Def_Flows[Flow_ID],,0,)</f>
        <v>N.A.</v>
      </c>
      <c r="AE24" s="189" t="s">
        <v>34</v>
      </c>
      <c r="AF24" s="12" t="str">
        <f>_xlfn.XLOOKUP(AE24,Tab_Def_Flows[Name(EN)],Tab_Def_Flows[Flow_ID],,0,)</f>
        <v>N.A.</v>
      </c>
      <c r="AG24" s="189" t="s">
        <v>34</v>
      </c>
      <c r="AH24" s="12" t="str">
        <f>_xlfn.XLOOKUP(AG24,Tab_Def_Flows[Name(EN)],Tab_Def_Flows[Flow_ID],,0,)</f>
        <v>N.A.</v>
      </c>
      <c r="AI24" s="189" t="s">
        <v>34</v>
      </c>
      <c r="AJ24" s="12" t="str">
        <f>_xlfn.XLOOKUP(AI24,Tab_Def_Flows[Name(EN)],Tab_Def_Flows[Flow_ID],,0,)</f>
        <v>N.A.</v>
      </c>
      <c r="AK24" s="189" t="s">
        <v>34</v>
      </c>
      <c r="AL24" s="13" t="str">
        <f>_xlfn.XLOOKUP(AK24,Tab_Def_Flows[Name(EN)],Tab_Def_Flows[Flow_ID],,0,)</f>
        <v>N.A.</v>
      </c>
    </row>
    <row r="25" spans="1:38" x14ac:dyDescent="0.25">
      <c r="A25" s="194" t="b">
        <v>0</v>
      </c>
      <c r="B25" s="43" t="s">
        <v>157</v>
      </c>
      <c r="C25" s="9" t="str">
        <f t="shared" si="0"/>
        <v>23</v>
      </c>
      <c r="D25" s="11"/>
      <c r="E25" s="11"/>
      <c r="F25" s="11"/>
      <c r="G25" s="11"/>
      <c r="H25" s="37"/>
      <c r="I25" s="189"/>
      <c r="J25" s="189"/>
      <c r="K25" s="189"/>
      <c r="L25" s="189"/>
      <c r="M25" s="189"/>
      <c r="N25" s="189"/>
      <c r="O25" s="189"/>
      <c r="P25" s="11"/>
      <c r="Q25" s="11" t="s">
        <v>34</v>
      </c>
      <c r="R25" s="12" t="str">
        <f>_xlfn.XLOOKUP(Q25,Tab_Def_Flows[Name(EN)],Tab_Def_Flows[Flow_ID],,0,)</f>
        <v>N.A.</v>
      </c>
      <c r="S25" s="11" t="s">
        <v>34</v>
      </c>
      <c r="T25" s="12" t="str">
        <f>_xlfn.XLOOKUP(S25,Tab_Def_Flows[Name(EN)],Tab_Def_Flows[Flow_ID],,0,)</f>
        <v>N.A.</v>
      </c>
      <c r="U25" s="11" t="s">
        <v>34</v>
      </c>
      <c r="V25" s="12" t="str">
        <f>_xlfn.XLOOKUP(U25,Tab_Def_Flows[Name(EN)],Tab_Def_Flows[Flow_ID],,0,)</f>
        <v>N.A.</v>
      </c>
      <c r="W25" s="11" t="s">
        <v>34</v>
      </c>
      <c r="X25" s="12" t="str">
        <f>_xlfn.XLOOKUP(W25,Tab_Def_Flows[Name(EN)],Tab_Def_Flows[Flow_ID],,0,)</f>
        <v>N.A.</v>
      </c>
      <c r="Y25" s="11" t="s">
        <v>34</v>
      </c>
      <c r="Z25" s="13" t="str">
        <f>_xlfn.XLOOKUP(Y25,Tab_Def_Flows[Name(EN)],Tab_Def_Flows[Flow_ID],,0,)</f>
        <v>N.A.</v>
      </c>
      <c r="AA25" s="189" t="s">
        <v>34</v>
      </c>
      <c r="AB25" s="12" t="str">
        <f>_xlfn.XLOOKUP(AA25,Tab_Def_Flows[Name(EN)],Tab_Def_Flows[Flow_ID],,0,)</f>
        <v>N.A.</v>
      </c>
      <c r="AC25" s="189" t="s">
        <v>34</v>
      </c>
      <c r="AD25" s="12" t="str">
        <f>_xlfn.XLOOKUP(AC25,Tab_Def_Flows[Name(EN)],Tab_Def_Flows[Flow_ID],,0,)</f>
        <v>N.A.</v>
      </c>
      <c r="AE25" s="189" t="s">
        <v>34</v>
      </c>
      <c r="AF25" s="12" t="str">
        <f>_xlfn.XLOOKUP(AE25,Tab_Def_Flows[Name(EN)],Tab_Def_Flows[Flow_ID],,0,)</f>
        <v>N.A.</v>
      </c>
      <c r="AG25" s="189" t="s">
        <v>34</v>
      </c>
      <c r="AH25" s="12" t="str">
        <f>_xlfn.XLOOKUP(AG25,Tab_Def_Flows[Name(EN)],Tab_Def_Flows[Flow_ID],,0,)</f>
        <v>N.A.</v>
      </c>
      <c r="AI25" s="189" t="s">
        <v>34</v>
      </c>
      <c r="AJ25" s="12" t="str">
        <f>_xlfn.XLOOKUP(AI25,Tab_Def_Flows[Name(EN)],Tab_Def_Flows[Flow_ID],,0,)</f>
        <v>N.A.</v>
      </c>
      <c r="AK25" s="189" t="s">
        <v>34</v>
      </c>
      <c r="AL25" s="13" t="str">
        <f>_xlfn.XLOOKUP(AK25,Tab_Def_Flows[Name(EN)],Tab_Def_Flows[Flow_ID],,0,)</f>
        <v>N.A.</v>
      </c>
    </row>
    <row r="26" spans="1:38" x14ac:dyDescent="0.25">
      <c r="A26" s="194" t="b">
        <v>0</v>
      </c>
      <c r="B26" s="43" t="s">
        <v>158</v>
      </c>
      <c r="C26" s="9" t="str">
        <f t="shared" si="0"/>
        <v>24</v>
      </c>
      <c r="D26" s="11"/>
      <c r="E26" s="11"/>
      <c r="F26" s="11"/>
      <c r="G26" s="11"/>
      <c r="H26" s="37"/>
      <c r="I26" s="189"/>
      <c r="J26" s="189"/>
      <c r="K26" s="189"/>
      <c r="L26" s="189"/>
      <c r="M26" s="189"/>
      <c r="N26" s="189"/>
      <c r="O26" s="189"/>
      <c r="P26" s="11"/>
      <c r="Q26" s="11" t="s">
        <v>34</v>
      </c>
      <c r="R26" s="12" t="str">
        <f>_xlfn.XLOOKUP(Q26,Tab_Def_Flows[Name(EN)],Tab_Def_Flows[Flow_ID],,0,)</f>
        <v>N.A.</v>
      </c>
      <c r="S26" s="11" t="s">
        <v>34</v>
      </c>
      <c r="T26" s="12" t="str">
        <f>_xlfn.XLOOKUP(S26,Tab_Def_Flows[Name(EN)],Tab_Def_Flows[Flow_ID],,0,)</f>
        <v>N.A.</v>
      </c>
      <c r="U26" s="11" t="s">
        <v>34</v>
      </c>
      <c r="V26" s="12" t="str">
        <f>_xlfn.XLOOKUP(U26,Tab_Def_Flows[Name(EN)],Tab_Def_Flows[Flow_ID],,0,)</f>
        <v>N.A.</v>
      </c>
      <c r="W26" s="11" t="s">
        <v>34</v>
      </c>
      <c r="X26" s="12" t="str">
        <f>_xlfn.XLOOKUP(W26,Tab_Def_Flows[Name(EN)],Tab_Def_Flows[Flow_ID],,0,)</f>
        <v>N.A.</v>
      </c>
      <c r="Y26" s="11" t="s">
        <v>34</v>
      </c>
      <c r="Z26" s="13" t="str">
        <f>_xlfn.XLOOKUP(Y26,Tab_Def_Flows[Name(EN)],Tab_Def_Flows[Flow_ID],,0,)</f>
        <v>N.A.</v>
      </c>
      <c r="AA26" s="189" t="s">
        <v>34</v>
      </c>
      <c r="AB26" s="12" t="str">
        <f>_xlfn.XLOOKUP(AA26,Tab_Def_Flows[Name(EN)],Tab_Def_Flows[Flow_ID],,0,)</f>
        <v>N.A.</v>
      </c>
      <c r="AC26" s="189" t="s">
        <v>34</v>
      </c>
      <c r="AD26" s="12" t="str">
        <f>_xlfn.XLOOKUP(AC26,Tab_Def_Flows[Name(EN)],Tab_Def_Flows[Flow_ID],,0,)</f>
        <v>N.A.</v>
      </c>
      <c r="AE26" s="189" t="s">
        <v>34</v>
      </c>
      <c r="AF26" s="12" t="str">
        <f>_xlfn.XLOOKUP(AE26,Tab_Def_Flows[Name(EN)],Tab_Def_Flows[Flow_ID],,0,)</f>
        <v>N.A.</v>
      </c>
      <c r="AG26" s="189" t="s">
        <v>34</v>
      </c>
      <c r="AH26" s="12" t="str">
        <f>_xlfn.XLOOKUP(AG26,Tab_Def_Flows[Name(EN)],Tab_Def_Flows[Flow_ID],,0,)</f>
        <v>N.A.</v>
      </c>
      <c r="AI26" s="189" t="s">
        <v>34</v>
      </c>
      <c r="AJ26" s="12" t="str">
        <f>_xlfn.XLOOKUP(AI26,Tab_Def_Flows[Name(EN)],Tab_Def_Flows[Flow_ID],,0,)</f>
        <v>N.A.</v>
      </c>
      <c r="AK26" s="189" t="s">
        <v>34</v>
      </c>
      <c r="AL26" s="13" t="str">
        <f>_xlfn.XLOOKUP(AK26,Tab_Def_Flows[Name(EN)],Tab_Def_Flows[Flow_ID],,0,)</f>
        <v>N.A.</v>
      </c>
    </row>
    <row r="27" spans="1:38" x14ac:dyDescent="0.25">
      <c r="A27" s="194" t="b">
        <v>0</v>
      </c>
      <c r="B27" s="43" t="s">
        <v>159</v>
      </c>
      <c r="C27" s="9" t="str">
        <f t="shared" si="0"/>
        <v>25</v>
      </c>
      <c r="D27" s="11"/>
      <c r="E27" s="11"/>
      <c r="F27" s="11"/>
      <c r="G27" s="11"/>
      <c r="H27" s="37"/>
      <c r="I27" s="189"/>
      <c r="J27" s="189"/>
      <c r="K27" s="189"/>
      <c r="L27" s="189"/>
      <c r="M27" s="189"/>
      <c r="N27" s="189"/>
      <c r="O27" s="189"/>
      <c r="P27" s="11"/>
      <c r="Q27" s="11" t="s">
        <v>34</v>
      </c>
      <c r="R27" s="12" t="str">
        <f>_xlfn.XLOOKUP(Q27,Tab_Def_Flows[Name(EN)],Tab_Def_Flows[Flow_ID],,0,)</f>
        <v>N.A.</v>
      </c>
      <c r="S27" s="11" t="s">
        <v>34</v>
      </c>
      <c r="T27" s="12" t="str">
        <f>_xlfn.XLOOKUP(S27,Tab_Def_Flows[Name(EN)],Tab_Def_Flows[Flow_ID],,0,)</f>
        <v>N.A.</v>
      </c>
      <c r="U27" s="11" t="s">
        <v>34</v>
      </c>
      <c r="V27" s="12" t="str">
        <f>_xlfn.XLOOKUP(U27,Tab_Def_Flows[Name(EN)],Tab_Def_Flows[Flow_ID],,0,)</f>
        <v>N.A.</v>
      </c>
      <c r="W27" s="11" t="s">
        <v>34</v>
      </c>
      <c r="X27" s="12" t="str">
        <f>_xlfn.XLOOKUP(W27,Tab_Def_Flows[Name(EN)],Tab_Def_Flows[Flow_ID],,0,)</f>
        <v>N.A.</v>
      </c>
      <c r="Y27" s="11" t="s">
        <v>34</v>
      </c>
      <c r="Z27" s="13" t="str">
        <f>_xlfn.XLOOKUP(Y27,Tab_Def_Flows[Name(EN)],Tab_Def_Flows[Flow_ID],,0,)</f>
        <v>N.A.</v>
      </c>
      <c r="AA27" s="189" t="s">
        <v>34</v>
      </c>
      <c r="AB27" s="12" t="str">
        <f>_xlfn.XLOOKUP(AA27,Tab_Def_Flows[Name(EN)],Tab_Def_Flows[Flow_ID],,0,)</f>
        <v>N.A.</v>
      </c>
      <c r="AC27" s="189" t="s">
        <v>34</v>
      </c>
      <c r="AD27" s="12" t="str">
        <f>_xlfn.XLOOKUP(AC27,Tab_Def_Flows[Name(EN)],Tab_Def_Flows[Flow_ID],,0,)</f>
        <v>N.A.</v>
      </c>
      <c r="AE27" s="189" t="s">
        <v>34</v>
      </c>
      <c r="AF27" s="12" t="str">
        <f>_xlfn.XLOOKUP(AE27,Tab_Def_Flows[Name(EN)],Tab_Def_Flows[Flow_ID],,0,)</f>
        <v>N.A.</v>
      </c>
      <c r="AG27" s="189" t="s">
        <v>34</v>
      </c>
      <c r="AH27" s="12" t="str">
        <f>_xlfn.XLOOKUP(AG27,Tab_Def_Flows[Name(EN)],Tab_Def_Flows[Flow_ID],,0,)</f>
        <v>N.A.</v>
      </c>
      <c r="AI27" s="189" t="s">
        <v>34</v>
      </c>
      <c r="AJ27" s="12" t="str">
        <f>_xlfn.XLOOKUP(AI27,Tab_Def_Flows[Name(EN)],Tab_Def_Flows[Flow_ID],,0,)</f>
        <v>N.A.</v>
      </c>
      <c r="AK27" s="189" t="s">
        <v>34</v>
      </c>
      <c r="AL27" s="13" t="str">
        <f>_xlfn.XLOOKUP(AK27,Tab_Def_Flows[Name(EN)],Tab_Def_Flows[Flow_ID],,0,)</f>
        <v>N.A.</v>
      </c>
    </row>
    <row r="28" spans="1:38" x14ac:dyDescent="0.25">
      <c r="A28" s="194" t="b">
        <v>0</v>
      </c>
      <c r="B28" s="43" t="s">
        <v>160</v>
      </c>
      <c r="C28" s="9" t="str">
        <f t="shared" si="0"/>
        <v>26</v>
      </c>
      <c r="D28" s="11"/>
      <c r="E28" s="11"/>
      <c r="F28" s="11"/>
      <c r="G28" s="11"/>
      <c r="H28" s="37"/>
      <c r="I28" s="189"/>
      <c r="J28" s="189"/>
      <c r="K28" s="189"/>
      <c r="L28" s="189"/>
      <c r="M28" s="189"/>
      <c r="N28" s="189"/>
      <c r="O28" s="189"/>
      <c r="P28" s="11"/>
      <c r="Q28" s="11" t="s">
        <v>34</v>
      </c>
      <c r="R28" s="12" t="str">
        <f>_xlfn.XLOOKUP(Q28,Tab_Def_Flows[Name(EN)],Tab_Def_Flows[Flow_ID],,0,)</f>
        <v>N.A.</v>
      </c>
      <c r="S28" s="11" t="s">
        <v>34</v>
      </c>
      <c r="T28" s="12" t="str">
        <f>_xlfn.XLOOKUP(S28,Tab_Def_Flows[Name(EN)],Tab_Def_Flows[Flow_ID],,0,)</f>
        <v>N.A.</v>
      </c>
      <c r="U28" s="11" t="s">
        <v>34</v>
      </c>
      <c r="V28" s="12" t="str">
        <f>_xlfn.XLOOKUP(U28,Tab_Def_Flows[Name(EN)],Tab_Def_Flows[Flow_ID],,0,)</f>
        <v>N.A.</v>
      </c>
      <c r="W28" s="11" t="s">
        <v>34</v>
      </c>
      <c r="X28" s="12" t="str">
        <f>_xlfn.XLOOKUP(W28,Tab_Def_Flows[Name(EN)],Tab_Def_Flows[Flow_ID],,0,)</f>
        <v>N.A.</v>
      </c>
      <c r="Y28" s="11" t="s">
        <v>34</v>
      </c>
      <c r="Z28" s="13" t="str">
        <f>_xlfn.XLOOKUP(Y28,Tab_Def_Flows[Name(EN)],Tab_Def_Flows[Flow_ID],,0,)</f>
        <v>N.A.</v>
      </c>
      <c r="AA28" s="189" t="s">
        <v>34</v>
      </c>
      <c r="AB28" s="12" t="str">
        <f>_xlfn.XLOOKUP(AA28,Tab_Def_Flows[Name(EN)],Tab_Def_Flows[Flow_ID],,0,)</f>
        <v>N.A.</v>
      </c>
      <c r="AC28" s="189" t="s">
        <v>34</v>
      </c>
      <c r="AD28" s="12" t="str">
        <f>_xlfn.XLOOKUP(AC28,Tab_Def_Flows[Name(EN)],Tab_Def_Flows[Flow_ID],,0,)</f>
        <v>N.A.</v>
      </c>
      <c r="AE28" s="189" t="s">
        <v>34</v>
      </c>
      <c r="AF28" s="12" t="str">
        <f>_xlfn.XLOOKUP(AE28,Tab_Def_Flows[Name(EN)],Tab_Def_Flows[Flow_ID],,0,)</f>
        <v>N.A.</v>
      </c>
      <c r="AG28" s="189" t="s">
        <v>34</v>
      </c>
      <c r="AH28" s="12" t="str">
        <f>_xlfn.XLOOKUP(AG28,Tab_Def_Flows[Name(EN)],Tab_Def_Flows[Flow_ID],,0,)</f>
        <v>N.A.</v>
      </c>
      <c r="AI28" s="189" t="s">
        <v>34</v>
      </c>
      <c r="AJ28" s="12" t="str">
        <f>_xlfn.XLOOKUP(AI28,Tab_Def_Flows[Name(EN)],Tab_Def_Flows[Flow_ID],,0,)</f>
        <v>N.A.</v>
      </c>
      <c r="AK28" s="189" t="s">
        <v>34</v>
      </c>
      <c r="AL28" s="13" t="str">
        <f>_xlfn.XLOOKUP(AK28,Tab_Def_Flows[Name(EN)],Tab_Def_Flows[Flow_ID],,0,)</f>
        <v>N.A.</v>
      </c>
    </row>
    <row r="29" spans="1:38" x14ac:dyDescent="0.25">
      <c r="A29" s="194" t="b">
        <v>0</v>
      </c>
      <c r="B29" s="43" t="s">
        <v>161</v>
      </c>
      <c r="C29" s="9" t="str">
        <f t="shared" si="0"/>
        <v>27</v>
      </c>
      <c r="D29" s="11"/>
      <c r="E29" s="11"/>
      <c r="F29" s="11"/>
      <c r="G29" s="11"/>
      <c r="H29" s="37"/>
      <c r="I29" s="189"/>
      <c r="J29" s="189"/>
      <c r="K29" s="189"/>
      <c r="L29" s="189"/>
      <c r="M29" s="189"/>
      <c r="N29" s="189"/>
      <c r="O29" s="189"/>
      <c r="P29" s="11"/>
      <c r="Q29" s="11" t="s">
        <v>34</v>
      </c>
      <c r="R29" s="12" t="str">
        <f>_xlfn.XLOOKUP(Q29,Tab_Def_Flows[Name(EN)],Tab_Def_Flows[Flow_ID],,0,)</f>
        <v>N.A.</v>
      </c>
      <c r="S29" s="11" t="s">
        <v>34</v>
      </c>
      <c r="T29" s="12" t="str">
        <f>_xlfn.XLOOKUP(S29,Tab_Def_Flows[Name(EN)],Tab_Def_Flows[Flow_ID],,0,)</f>
        <v>N.A.</v>
      </c>
      <c r="U29" s="11" t="s">
        <v>34</v>
      </c>
      <c r="V29" s="12" t="str">
        <f>_xlfn.XLOOKUP(U29,Tab_Def_Flows[Name(EN)],Tab_Def_Flows[Flow_ID],,0,)</f>
        <v>N.A.</v>
      </c>
      <c r="W29" s="11" t="s">
        <v>34</v>
      </c>
      <c r="X29" s="12" t="str">
        <f>_xlfn.XLOOKUP(W29,Tab_Def_Flows[Name(EN)],Tab_Def_Flows[Flow_ID],,0,)</f>
        <v>N.A.</v>
      </c>
      <c r="Y29" s="11" t="s">
        <v>34</v>
      </c>
      <c r="Z29" s="13" t="str">
        <f>_xlfn.XLOOKUP(Y29,Tab_Def_Flows[Name(EN)],Tab_Def_Flows[Flow_ID],,0,)</f>
        <v>N.A.</v>
      </c>
      <c r="AA29" s="189" t="s">
        <v>34</v>
      </c>
      <c r="AB29" s="12" t="str">
        <f>_xlfn.XLOOKUP(AA29,Tab_Def_Flows[Name(EN)],Tab_Def_Flows[Flow_ID],,0,)</f>
        <v>N.A.</v>
      </c>
      <c r="AC29" s="189" t="s">
        <v>34</v>
      </c>
      <c r="AD29" s="12" t="str">
        <f>_xlfn.XLOOKUP(AC29,Tab_Def_Flows[Name(EN)],Tab_Def_Flows[Flow_ID],,0,)</f>
        <v>N.A.</v>
      </c>
      <c r="AE29" s="189" t="s">
        <v>34</v>
      </c>
      <c r="AF29" s="12" t="str">
        <f>_xlfn.XLOOKUP(AE29,Tab_Def_Flows[Name(EN)],Tab_Def_Flows[Flow_ID],,0,)</f>
        <v>N.A.</v>
      </c>
      <c r="AG29" s="189" t="s">
        <v>34</v>
      </c>
      <c r="AH29" s="12" t="str">
        <f>_xlfn.XLOOKUP(AG29,Tab_Def_Flows[Name(EN)],Tab_Def_Flows[Flow_ID],,0,)</f>
        <v>N.A.</v>
      </c>
      <c r="AI29" s="189" t="s">
        <v>34</v>
      </c>
      <c r="AJ29" s="12" t="str">
        <f>_xlfn.XLOOKUP(AI29,Tab_Def_Flows[Name(EN)],Tab_Def_Flows[Flow_ID],,0,)</f>
        <v>N.A.</v>
      </c>
      <c r="AK29" s="189" t="s">
        <v>34</v>
      </c>
      <c r="AL29" s="13" t="str">
        <f>_xlfn.XLOOKUP(AK29,Tab_Def_Flows[Name(EN)],Tab_Def_Flows[Flow_ID],,0,)</f>
        <v>N.A.</v>
      </c>
    </row>
    <row r="30" spans="1:38" x14ac:dyDescent="0.25">
      <c r="A30" s="194" t="b">
        <v>0</v>
      </c>
      <c r="B30" s="43" t="s">
        <v>162</v>
      </c>
      <c r="C30" s="9" t="str">
        <f t="shared" si="0"/>
        <v>28</v>
      </c>
      <c r="D30" s="11"/>
      <c r="E30" s="11"/>
      <c r="F30" s="11"/>
      <c r="G30" s="11"/>
      <c r="H30" s="37"/>
      <c r="I30" s="189"/>
      <c r="J30" s="189"/>
      <c r="K30" s="189"/>
      <c r="L30" s="189"/>
      <c r="M30" s="189"/>
      <c r="N30" s="189"/>
      <c r="O30" s="189"/>
      <c r="P30" s="11"/>
      <c r="Q30" s="11" t="s">
        <v>34</v>
      </c>
      <c r="R30" s="12" t="str">
        <f>_xlfn.XLOOKUP(Q30,Tab_Def_Flows[Name(EN)],Tab_Def_Flows[Flow_ID],,0,)</f>
        <v>N.A.</v>
      </c>
      <c r="S30" s="11" t="s">
        <v>34</v>
      </c>
      <c r="T30" s="12" t="str">
        <f>_xlfn.XLOOKUP(S30,Tab_Def_Flows[Name(EN)],Tab_Def_Flows[Flow_ID],,0,)</f>
        <v>N.A.</v>
      </c>
      <c r="U30" s="11" t="s">
        <v>34</v>
      </c>
      <c r="V30" s="12" t="str">
        <f>_xlfn.XLOOKUP(U30,Tab_Def_Flows[Name(EN)],Tab_Def_Flows[Flow_ID],,0,)</f>
        <v>N.A.</v>
      </c>
      <c r="W30" s="11" t="s">
        <v>34</v>
      </c>
      <c r="X30" s="12" t="str">
        <f>_xlfn.XLOOKUP(W30,Tab_Def_Flows[Name(EN)],Tab_Def_Flows[Flow_ID],,0,)</f>
        <v>N.A.</v>
      </c>
      <c r="Y30" s="11" t="s">
        <v>34</v>
      </c>
      <c r="Z30" s="13" t="str">
        <f>_xlfn.XLOOKUP(Y30,Tab_Def_Flows[Name(EN)],Tab_Def_Flows[Flow_ID],,0,)</f>
        <v>N.A.</v>
      </c>
      <c r="AA30" s="189" t="s">
        <v>34</v>
      </c>
      <c r="AB30" s="12" t="str">
        <f>_xlfn.XLOOKUP(AA30,Tab_Def_Flows[Name(EN)],Tab_Def_Flows[Flow_ID],,0,)</f>
        <v>N.A.</v>
      </c>
      <c r="AC30" s="189" t="s">
        <v>34</v>
      </c>
      <c r="AD30" s="12" t="str">
        <f>_xlfn.XLOOKUP(AC30,Tab_Def_Flows[Name(EN)],Tab_Def_Flows[Flow_ID],,0,)</f>
        <v>N.A.</v>
      </c>
      <c r="AE30" s="189" t="s">
        <v>34</v>
      </c>
      <c r="AF30" s="12" t="str">
        <f>_xlfn.XLOOKUP(AE30,Tab_Def_Flows[Name(EN)],Tab_Def_Flows[Flow_ID],,0,)</f>
        <v>N.A.</v>
      </c>
      <c r="AG30" s="189" t="s">
        <v>34</v>
      </c>
      <c r="AH30" s="12" t="str">
        <f>_xlfn.XLOOKUP(AG30,Tab_Def_Flows[Name(EN)],Tab_Def_Flows[Flow_ID],,0,)</f>
        <v>N.A.</v>
      </c>
      <c r="AI30" s="189" t="s">
        <v>34</v>
      </c>
      <c r="AJ30" s="12" t="str">
        <f>_xlfn.XLOOKUP(AI30,Tab_Def_Flows[Name(EN)],Tab_Def_Flows[Flow_ID],,0,)</f>
        <v>N.A.</v>
      </c>
      <c r="AK30" s="189" t="s">
        <v>34</v>
      </c>
      <c r="AL30" s="13" t="str">
        <f>_xlfn.XLOOKUP(AK30,Tab_Def_Flows[Name(EN)],Tab_Def_Flows[Flow_ID],,0,)</f>
        <v>N.A.</v>
      </c>
    </row>
    <row r="31" spans="1:38" x14ac:dyDescent="0.25">
      <c r="A31" s="194" t="b">
        <v>0</v>
      </c>
      <c r="B31" s="43" t="s">
        <v>163</v>
      </c>
      <c r="C31" s="9" t="str">
        <f t="shared" si="0"/>
        <v>29</v>
      </c>
      <c r="D31" s="11"/>
      <c r="E31" s="11"/>
      <c r="F31" s="11"/>
      <c r="G31" s="11"/>
      <c r="H31" s="37"/>
      <c r="I31" s="189"/>
      <c r="J31" s="189"/>
      <c r="K31" s="189"/>
      <c r="L31" s="189"/>
      <c r="M31" s="189"/>
      <c r="N31" s="189"/>
      <c r="O31" s="189"/>
      <c r="P31" s="11"/>
      <c r="Q31" s="11" t="s">
        <v>34</v>
      </c>
      <c r="R31" s="12" t="str">
        <f>_xlfn.XLOOKUP(Q31,Tab_Def_Flows[Name(EN)],Tab_Def_Flows[Flow_ID],,0,)</f>
        <v>N.A.</v>
      </c>
      <c r="S31" s="11" t="s">
        <v>34</v>
      </c>
      <c r="T31" s="12" t="str">
        <f>_xlfn.XLOOKUP(S31,Tab_Def_Flows[Name(EN)],Tab_Def_Flows[Flow_ID],,0,)</f>
        <v>N.A.</v>
      </c>
      <c r="U31" s="11" t="s">
        <v>34</v>
      </c>
      <c r="V31" s="12" t="str">
        <f>_xlfn.XLOOKUP(U31,Tab_Def_Flows[Name(EN)],Tab_Def_Flows[Flow_ID],,0,)</f>
        <v>N.A.</v>
      </c>
      <c r="W31" s="11" t="s">
        <v>34</v>
      </c>
      <c r="X31" s="12" t="str">
        <f>_xlfn.XLOOKUP(W31,Tab_Def_Flows[Name(EN)],Tab_Def_Flows[Flow_ID],,0,)</f>
        <v>N.A.</v>
      </c>
      <c r="Y31" s="11" t="s">
        <v>34</v>
      </c>
      <c r="Z31" s="13" t="str">
        <f>_xlfn.XLOOKUP(Y31,Tab_Def_Flows[Name(EN)],Tab_Def_Flows[Flow_ID],,0,)</f>
        <v>N.A.</v>
      </c>
      <c r="AA31" s="189" t="s">
        <v>34</v>
      </c>
      <c r="AB31" s="12" t="str">
        <f>_xlfn.XLOOKUP(AA31,Tab_Def_Flows[Name(EN)],Tab_Def_Flows[Flow_ID],,0,)</f>
        <v>N.A.</v>
      </c>
      <c r="AC31" s="189" t="s">
        <v>34</v>
      </c>
      <c r="AD31" s="12" t="str">
        <f>_xlfn.XLOOKUP(AC31,Tab_Def_Flows[Name(EN)],Tab_Def_Flows[Flow_ID],,0,)</f>
        <v>N.A.</v>
      </c>
      <c r="AE31" s="189" t="s">
        <v>34</v>
      </c>
      <c r="AF31" s="12" t="str">
        <f>_xlfn.XLOOKUP(AE31,Tab_Def_Flows[Name(EN)],Tab_Def_Flows[Flow_ID],,0,)</f>
        <v>N.A.</v>
      </c>
      <c r="AG31" s="189" t="s">
        <v>34</v>
      </c>
      <c r="AH31" s="12" t="str">
        <f>_xlfn.XLOOKUP(AG31,Tab_Def_Flows[Name(EN)],Tab_Def_Flows[Flow_ID],,0,)</f>
        <v>N.A.</v>
      </c>
      <c r="AI31" s="189" t="s">
        <v>34</v>
      </c>
      <c r="AJ31" s="12" t="str">
        <f>_xlfn.XLOOKUP(AI31,Tab_Def_Flows[Name(EN)],Tab_Def_Flows[Flow_ID],,0,)</f>
        <v>N.A.</v>
      </c>
      <c r="AK31" s="189" t="s">
        <v>34</v>
      </c>
      <c r="AL31" s="13" t="str">
        <f>_xlfn.XLOOKUP(AK31,Tab_Def_Flows[Name(EN)],Tab_Def_Flows[Flow_ID],,0,)</f>
        <v>N.A.</v>
      </c>
    </row>
    <row r="32" spans="1:38" x14ac:dyDescent="0.25">
      <c r="A32" s="194" t="b">
        <v>0</v>
      </c>
      <c r="B32" s="43" t="s">
        <v>164</v>
      </c>
      <c r="C32" s="9" t="str">
        <f t="shared" si="0"/>
        <v>30</v>
      </c>
      <c r="D32" s="11"/>
      <c r="E32" s="11"/>
      <c r="F32" s="11"/>
      <c r="G32" s="11"/>
      <c r="H32" s="37"/>
      <c r="I32" s="189"/>
      <c r="J32" s="189"/>
      <c r="K32" s="189"/>
      <c r="L32" s="189"/>
      <c r="M32" s="189"/>
      <c r="N32" s="189"/>
      <c r="O32" s="189"/>
      <c r="P32" s="11"/>
      <c r="Q32" s="11" t="s">
        <v>34</v>
      </c>
      <c r="R32" s="12" t="str">
        <f>_xlfn.XLOOKUP(Q32,Tab_Def_Flows[Name(EN)],Tab_Def_Flows[Flow_ID],,0,)</f>
        <v>N.A.</v>
      </c>
      <c r="S32" s="11" t="s">
        <v>34</v>
      </c>
      <c r="T32" s="12" t="str">
        <f>_xlfn.XLOOKUP(S32,Tab_Def_Flows[Name(EN)],Tab_Def_Flows[Flow_ID],,0,)</f>
        <v>N.A.</v>
      </c>
      <c r="U32" s="11" t="s">
        <v>34</v>
      </c>
      <c r="V32" s="12" t="str">
        <f>_xlfn.XLOOKUP(U32,Tab_Def_Flows[Name(EN)],Tab_Def_Flows[Flow_ID],,0,)</f>
        <v>N.A.</v>
      </c>
      <c r="W32" s="11" t="s">
        <v>34</v>
      </c>
      <c r="X32" s="12" t="str">
        <f>_xlfn.XLOOKUP(W32,Tab_Def_Flows[Name(EN)],Tab_Def_Flows[Flow_ID],,0,)</f>
        <v>N.A.</v>
      </c>
      <c r="Y32" s="11" t="s">
        <v>34</v>
      </c>
      <c r="Z32" s="13" t="str">
        <f>_xlfn.XLOOKUP(Y32,Tab_Def_Flows[Name(EN)],Tab_Def_Flows[Flow_ID],,0,)</f>
        <v>N.A.</v>
      </c>
      <c r="AA32" s="189" t="s">
        <v>34</v>
      </c>
      <c r="AB32" s="12" t="str">
        <f>_xlfn.XLOOKUP(AA32,Tab_Def_Flows[Name(EN)],Tab_Def_Flows[Flow_ID],,0,)</f>
        <v>N.A.</v>
      </c>
      <c r="AC32" s="189" t="s">
        <v>34</v>
      </c>
      <c r="AD32" s="12" t="str">
        <f>_xlfn.XLOOKUP(AC32,Tab_Def_Flows[Name(EN)],Tab_Def_Flows[Flow_ID],,0,)</f>
        <v>N.A.</v>
      </c>
      <c r="AE32" s="189" t="s">
        <v>34</v>
      </c>
      <c r="AF32" s="12" t="str">
        <f>_xlfn.XLOOKUP(AE32,Tab_Def_Flows[Name(EN)],Tab_Def_Flows[Flow_ID],,0,)</f>
        <v>N.A.</v>
      </c>
      <c r="AG32" s="189" t="s">
        <v>34</v>
      </c>
      <c r="AH32" s="12" t="str">
        <f>_xlfn.XLOOKUP(AG32,Tab_Def_Flows[Name(EN)],Tab_Def_Flows[Flow_ID],,0,)</f>
        <v>N.A.</v>
      </c>
      <c r="AI32" s="189" t="s">
        <v>34</v>
      </c>
      <c r="AJ32" s="12" t="str">
        <f>_xlfn.XLOOKUP(AI32,Tab_Def_Flows[Name(EN)],Tab_Def_Flows[Flow_ID],,0,)</f>
        <v>N.A.</v>
      </c>
      <c r="AK32" s="189" t="s">
        <v>34</v>
      </c>
      <c r="AL32" s="13" t="str">
        <f>_xlfn.XLOOKUP(AK32,Tab_Def_Flows[Name(EN)],Tab_Def_Flows[Flow_ID],,0,)</f>
        <v>N.A.</v>
      </c>
    </row>
    <row r="33" spans="1:38" x14ac:dyDescent="0.25">
      <c r="A33" s="194" t="b">
        <v>0</v>
      </c>
      <c r="B33" s="43" t="s">
        <v>165</v>
      </c>
      <c r="C33" s="9" t="str">
        <f t="shared" si="0"/>
        <v>31</v>
      </c>
      <c r="D33" s="11"/>
      <c r="E33" s="11"/>
      <c r="F33" s="11"/>
      <c r="G33" s="11"/>
      <c r="H33" s="37"/>
      <c r="I33" s="189"/>
      <c r="J33" s="189"/>
      <c r="K33" s="189"/>
      <c r="L33" s="189"/>
      <c r="M33" s="189"/>
      <c r="N33" s="189"/>
      <c r="O33" s="189"/>
      <c r="P33" s="11"/>
      <c r="Q33" s="11" t="s">
        <v>34</v>
      </c>
      <c r="R33" s="12" t="str">
        <f>_xlfn.XLOOKUP(Q33,Tab_Def_Flows[Name(EN)],Tab_Def_Flows[Flow_ID],,0,)</f>
        <v>N.A.</v>
      </c>
      <c r="S33" s="11" t="s">
        <v>34</v>
      </c>
      <c r="T33" s="12" t="str">
        <f>_xlfn.XLOOKUP(S33,Tab_Def_Flows[Name(EN)],Tab_Def_Flows[Flow_ID],,0,)</f>
        <v>N.A.</v>
      </c>
      <c r="U33" s="11" t="s">
        <v>34</v>
      </c>
      <c r="V33" s="12" t="str">
        <f>_xlfn.XLOOKUP(U33,Tab_Def_Flows[Name(EN)],Tab_Def_Flows[Flow_ID],,0,)</f>
        <v>N.A.</v>
      </c>
      <c r="W33" s="11" t="s">
        <v>34</v>
      </c>
      <c r="X33" s="12" t="str">
        <f>_xlfn.XLOOKUP(W33,Tab_Def_Flows[Name(EN)],Tab_Def_Flows[Flow_ID],,0,)</f>
        <v>N.A.</v>
      </c>
      <c r="Y33" s="11" t="s">
        <v>34</v>
      </c>
      <c r="Z33" s="13" t="str">
        <f>_xlfn.XLOOKUP(Y33,Tab_Def_Flows[Name(EN)],Tab_Def_Flows[Flow_ID],,0,)</f>
        <v>N.A.</v>
      </c>
      <c r="AA33" s="189" t="s">
        <v>34</v>
      </c>
      <c r="AB33" s="12" t="str">
        <f>_xlfn.XLOOKUP(AA33,Tab_Def_Flows[Name(EN)],Tab_Def_Flows[Flow_ID],,0,)</f>
        <v>N.A.</v>
      </c>
      <c r="AC33" s="189" t="s">
        <v>34</v>
      </c>
      <c r="AD33" s="12" t="str">
        <f>_xlfn.XLOOKUP(AC33,Tab_Def_Flows[Name(EN)],Tab_Def_Flows[Flow_ID],,0,)</f>
        <v>N.A.</v>
      </c>
      <c r="AE33" s="189" t="s">
        <v>34</v>
      </c>
      <c r="AF33" s="12" t="str">
        <f>_xlfn.XLOOKUP(AE33,Tab_Def_Flows[Name(EN)],Tab_Def_Flows[Flow_ID],,0,)</f>
        <v>N.A.</v>
      </c>
      <c r="AG33" s="189" t="s">
        <v>34</v>
      </c>
      <c r="AH33" s="12" t="str">
        <f>_xlfn.XLOOKUP(AG33,Tab_Def_Flows[Name(EN)],Tab_Def_Flows[Flow_ID],,0,)</f>
        <v>N.A.</v>
      </c>
      <c r="AI33" s="189" t="s">
        <v>34</v>
      </c>
      <c r="AJ33" s="12" t="str">
        <f>_xlfn.XLOOKUP(AI33,Tab_Def_Flows[Name(EN)],Tab_Def_Flows[Flow_ID],,0,)</f>
        <v>N.A.</v>
      </c>
      <c r="AK33" s="189" t="s">
        <v>34</v>
      </c>
      <c r="AL33" s="13" t="str">
        <f>_xlfn.XLOOKUP(AK33,Tab_Def_Flows[Name(EN)],Tab_Def_Flows[Flow_ID],,0,)</f>
        <v>N.A.</v>
      </c>
    </row>
    <row r="34" spans="1:38" x14ac:dyDescent="0.25">
      <c r="A34" s="194" t="b">
        <v>0</v>
      </c>
      <c r="B34" s="43" t="s">
        <v>166</v>
      </c>
      <c r="C34" s="9" t="str">
        <f t="shared" si="0"/>
        <v>32</v>
      </c>
      <c r="D34" s="11"/>
      <c r="E34" s="11"/>
      <c r="F34" s="11"/>
      <c r="G34" s="11"/>
      <c r="H34" s="37"/>
      <c r="I34" s="189"/>
      <c r="J34" s="189"/>
      <c r="K34" s="189"/>
      <c r="L34" s="189"/>
      <c r="M34" s="189"/>
      <c r="N34" s="189"/>
      <c r="O34" s="189"/>
      <c r="P34" s="11"/>
      <c r="Q34" s="11" t="s">
        <v>34</v>
      </c>
      <c r="R34" s="12" t="str">
        <f>_xlfn.XLOOKUP(Q34,Tab_Def_Flows[Name(EN)],Tab_Def_Flows[Flow_ID],,0,)</f>
        <v>N.A.</v>
      </c>
      <c r="S34" s="11" t="s">
        <v>34</v>
      </c>
      <c r="T34" s="12" t="str">
        <f>_xlfn.XLOOKUP(S34,Tab_Def_Flows[Name(EN)],Tab_Def_Flows[Flow_ID],,0,)</f>
        <v>N.A.</v>
      </c>
      <c r="U34" s="11" t="s">
        <v>34</v>
      </c>
      <c r="V34" s="12" t="str">
        <f>_xlfn.XLOOKUP(U34,Tab_Def_Flows[Name(EN)],Tab_Def_Flows[Flow_ID],,0,)</f>
        <v>N.A.</v>
      </c>
      <c r="W34" s="11" t="s">
        <v>34</v>
      </c>
      <c r="X34" s="12" t="str">
        <f>_xlfn.XLOOKUP(W34,Tab_Def_Flows[Name(EN)],Tab_Def_Flows[Flow_ID],,0,)</f>
        <v>N.A.</v>
      </c>
      <c r="Y34" s="11" t="s">
        <v>34</v>
      </c>
      <c r="Z34" s="13" t="str">
        <f>_xlfn.XLOOKUP(Y34,Tab_Def_Flows[Name(EN)],Tab_Def_Flows[Flow_ID],,0,)</f>
        <v>N.A.</v>
      </c>
      <c r="AA34" s="189" t="s">
        <v>34</v>
      </c>
      <c r="AB34" s="12" t="str">
        <f>_xlfn.XLOOKUP(AA34,Tab_Def_Flows[Name(EN)],Tab_Def_Flows[Flow_ID],,0,)</f>
        <v>N.A.</v>
      </c>
      <c r="AC34" s="189" t="s">
        <v>34</v>
      </c>
      <c r="AD34" s="12" t="str">
        <f>_xlfn.XLOOKUP(AC34,Tab_Def_Flows[Name(EN)],Tab_Def_Flows[Flow_ID],,0,)</f>
        <v>N.A.</v>
      </c>
      <c r="AE34" s="189" t="s">
        <v>34</v>
      </c>
      <c r="AF34" s="12" t="str">
        <f>_xlfn.XLOOKUP(AE34,Tab_Def_Flows[Name(EN)],Tab_Def_Flows[Flow_ID],,0,)</f>
        <v>N.A.</v>
      </c>
      <c r="AG34" s="189" t="s">
        <v>34</v>
      </c>
      <c r="AH34" s="12" t="str">
        <f>_xlfn.XLOOKUP(AG34,Tab_Def_Flows[Name(EN)],Tab_Def_Flows[Flow_ID],,0,)</f>
        <v>N.A.</v>
      </c>
      <c r="AI34" s="189" t="s">
        <v>34</v>
      </c>
      <c r="AJ34" s="12" t="str">
        <f>_xlfn.XLOOKUP(AI34,Tab_Def_Flows[Name(EN)],Tab_Def_Flows[Flow_ID],,0,)</f>
        <v>N.A.</v>
      </c>
      <c r="AK34" s="189" t="s">
        <v>34</v>
      </c>
      <c r="AL34" s="13" t="str">
        <f>_xlfn.XLOOKUP(AK34,Tab_Def_Flows[Name(EN)],Tab_Def_Flows[Flow_ID],,0,)</f>
        <v>N.A.</v>
      </c>
    </row>
    <row r="35" spans="1:38" x14ac:dyDescent="0.25">
      <c r="A35" s="194" t="b">
        <v>0</v>
      </c>
      <c r="B35" s="43" t="s">
        <v>167</v>
      </c>
      <c r="C35" s="9" t="str">
        <f t="shared" si="0"/>
        <v>33</v>
      </c>
      <c r="D35" s="11"/>
      <c r="E35" s="11"/>
      <c r="F35" s="11"/>
      <c r="G35" s="11"/>
      <c r="H35" s="37"/>
      <c r="I35" s="189"/>
      <c r="J35" s="189"/>
      <c r="K35" s="189"/>
      <c r="L35" s="189"/>
      <c r="M35" s="189"/>
      <c r="N35" s="189"/>
      <c r="O35" s="189"/>
      <c r="P35" s="11"/>
      <c r="Q35" s="11" t="s">
        <v>34</v>
      </c>
      <c r="R35" s="12" t="str">
        <f>_xlfn.XLOOKUP(Q35,Tab_Def_Flows[Name(EN)],Tab_Def_Flows[Flow_ID],,0,)</f>
        <v>N.A.</v>
      </c>
      <c r="S35" s="11" t="s">
        <v>34</v>
      </c>
      <c r="T35" s="12" t="str">
        <f>_xlfn.XLOOKUP(S35,Tab_Def_Flows[Name(EN)],Tab_Def_Flows[Flow_ID],,0,)</f>
        <v>N.A.</v>
      </c>
      <c r="U35" s="11" t="s">
        <v>34</v>
      </c>
      <c r="V35" s="12" t="str">
        <f>_xlfn.XLOOKUP(U35,Tab_Def_Flows[Name(EN)],Tab_Def_Flows[Flow_ID],,0,)</f>
        <v>N.A.</v>
      </c>
      <c r="W35" s="11" t="s">
        <v>34</v>
      </c>
      <c r="X35" s="12" t="str">
        <f>_xlfn.XLOOKUP(W35,Tab_Def_Flows[Name(EN)],Tab_Def_Flows[Flow_ID],,0,)</f>
        <v>N.A.</v>
      </c>
      <c r="Y35" s="11" t="s">
        <v>34</v>
      </c>
      <c r="Z35" s="13" t="str">
        <f>_xlfn.XLOOKUP(Y35,Tab_Def_Flows[Name(EN)],Tab_Def_Flows[Flow_ID],,0,)</f>
        <v>N.A.</v>
      </c>
      <c r="AA35" s="189" t="s">
        <v>34</v>
      </c>
      <c r="AB35" s="12" t="str">
        <f>_xlfn.XLOOKUP(AA35,Tab_Def_Flows[Name(EN)],Tab_Def_Flows[Flow_ID],,0,)</f>
        <v>N.A.</v>
      </c>
      <c r="AC35" s="189" t="s">
        <v>34</v>
      </c>
      <c r="AD35" s="12" t="str">
        <f>_xlfn.XLOOKUP(AC35,Tab_Def_Flows[Name(EN)],Tab_Def_Flows[Flow_ID],,0,)</f>
        <v>N.A.</v>
      </c>
      <c r="AE35" s="189" t="s">
        <v>34</v>
      </c>
      <c r="AF35" s="12" t="str">
        <f>_xlfn.XLOOKUP(AE35,Tab_Def_Flows[Name(EN)],Tab_Def_Flows[Flow_ID],,0,)</f>
        <v>N.A.</v>
      </c>
      <c r="AG35" s="189" t="s">
        <v>34</v>
      </c>
      <c r="AH35" s="12" t="str">
        <f>_xlfn.XLOOKUP(AG35,Tab_Def_Flows[Name(EN)],Tab_Def_Flows[Flow_ID],,0,)</f>
        <v>N.A.</v>
      </c>
      <c r="AI35" s="189" t="s">
        <v>34</v>
      </c>
      <c r="AJ35" s="12" t="str">
        <f>_xlfn.XLOOKUP(AI35,Tab_Def_Flows[Name(EN)],Tab_Def_Flows[Flow_ID],,0,)</f>
        <v>N.A.</v>
      </c>
      <c r="AK35" s="189" t="s">
        <v>34</v>
      </c>
      <c r="AL35" s="13" t="str">
        <f>_xlfn.XLOOKUP(AK35,Tab_Def_Flows[Name(EN)],Tab_Def_Flows[Flow_ID],,0,)</f>
        <v>N.A.</v>
      </c>
    </row>
    <row r="36" spans="1:38" x14ac:dyDescent="0.25">
      <c r="A36" s="194" t="b">
        <v>0</v>
      </c>
      <c r="B36" s="43" t="s">
        <v>168</v>
      </c>
      <c r="C36" s="9" t="str">
        <f t="shared" si="0"/>
        <v>34</v>
      </c>
      <c r="D36" s="11"/>
      <c r="E36" s="11"/>
      <c r="F36" s="11"/>
      <c r="G36" s="11"/>
      <c r="H36" s="37"/>
      <c r="I36" s="189"/>
      <c r="J36" s="189"/>
      <c r="K36" s="189"/>
      <c r="L36" s="189"/>
      <c r="M36" s="189"/>
      <c r="N36" s="189"/>
      <c r="O36" s="189"/>
      <c r="P36" s="11"/>
      <c r="Q36" s="11" t="s">
        <v>34</v>
      </c>
      <c r="R36" s="12" t="str">
        <f>_xlfn.XLOOKUP(Q36,Tab_Def_Flows[Name(EN)],Tab_Def_Flows[Flow_ID],,0,)</f>
        <v>N.A.</v>
      </c>
      <c r="S36" s="11" t="s">
        <v>34</v>
      </c>
      <c r="T36" s="12" t="str">
        <f>_xlfn.XLOOKUP(S36,Tab_Def_Flows[Name(EN)],Tab_Def_Flows[Flow_ID],,0,)</f>
        <v>N.A.</v>
      </c>
      <c r="U36" s="11" t="s">
        <v>34</v>
      </c>
      <c r="V36" s="12" t="str">
        <f>_xlfn.XLOOKUP(U36,Tab_Def_Flows[Name(EN)],Tab_Def_Flows[Flow_ID],,0,)</f>
        <v>N.A.</v>
      </c>
      <c r="W36" s="11" t="s">
        <v>34</v>
      </c>
      <c r="X36" s="12" t="str">
        <f>_xlfn.XLOOKUP(W36,Tab_Def_Flows[Name(EN)],Tab_Def_Flows[Flow_ID],,0,)</f>
        <v>N.A.</v>
      </c>
      <c r="Y36" s="11" t="s">
        <v>34</v>
      </c>
      <c r="Z36" s="13" t="str">
        <f>_xlfn.XLOOKUP(Y36,Tab_Def_Flows[Name(EN)],Tab_Def_Flows[Flow_ID],,0,)</f>
        <v>N.A.</v>
      </c>
      <c r="AA36" s="189" t="s">
        <v>34</v>
      </c>
      <c r="AB36" s="12" t="str">
        <f>_xlfn.XLOOKUP(AA36,Tab_Def_Flows[Name(EN)],Tab_Def_Flows[Flow_ID],,0,)</f>
        <v>N.A.</v>
      </c>
      <c r="AC36" s="189" t="s">
        <v>34</v>
      </c>
      <c r="AD36" s="12" t="str">
        <f>_xlfn.XLOOKUP(AC36,Tab_Def_Flows[Name(EN)],Tab_Def_Flows[Flow_ID],,0,)</f>
        <v>N.A.</v>
      </c>
      <c r="AE36" s="189" t="s">
        <v>34</v>
      </c>
      <c r="AF36" s="12" t="str">
        <f>_xlfn.XLOOKUP(AE36,Tab_Def_Flows[Name(EN)],Tab_Def_Flows[Flow_ID],,0,)</f>
        <v>N.A.</v>
      </c>
      <c r="AG36" s="189" t="s">
        <v>34</v>
      </c>
      <c r="AH36" s="12" t="str">
        <f>_xlfn.XLOOKUP(AG36,Tab_Def_Flows[Name(EN)],Tab_Def_Flows[Flow_ID],,0,)</f>
        <v>N.A.</v>
      </c>
      <c r="AI36" s="189" t="s">
        <v>34</v>
      </c>
      <c r="AJ36" s="12" t="str">
        <f>_xlfn.XLOOKUP(AI36,Tab_Def_Flows[Name(EN)],Tab_Def_Flows[Flow_ID],,0,)</f>
        <v>N.A.</v>
      </c>
      <c r="AK36" s="189" t="s">
        <v>34</v>
      </c>
      <c r="AL36" s="13" t="str">
        <f>_xlfn.XLOOKUP(AK36,Tab_Def_Flows[Name(EN)],Tab_Def_Flows[Flow_ID],,0,)</f>
        <v>N.A.</v>
      </c>
    </row>
    <row r="37" spans="1:38" x14ac:dyDescent="0.25">
      <c r="A37" s="194" t="b">
        <v>0</v>
      </c>
      <c r="B37" s="43" t="s">
        <v>169</v>
      </c>
      <c r="C37" s="9" t="str">
        <f t="shared" si="0"/>
        <v>35</v>
      </c>
      <c r="D37" s="11"/>
      <c r="E37" s="11"/>
      <c r="F37" s="11"/>
      <c r="G37" s="11"/>
      <c r="H37" s="37"/>
      <c r="I37" s="189"/>
      <c r="J37" s="189"/>
      <c r="K37" s="189"/>
      <c r="L37" s="189"/>
      <c r="M37" s="189"/>
      <c r="N37" s="189"/>
      <c r="O37" s="189"/>
      <c r="P37" s="11"/>
      <c r="Q37" s="11" t="s">
        <v>34</v>
      </c>
      <c r="R37" s="12" t="str">
        <f>_xlfn.XLOOKUP(Q37,Tab_Def_Flows[Name(EN)],Tab_Def_Flows[Flow_ID],,0,)</f>
        <v>N.A.</v>
      </c>
      <c r="S37" s="11" t="s">
        <v>34</v>
      </c>
      <c r="T37" s="12" t="str">
        <f>_xlfn.XLOOKUP(S37,Tab_Def_Flows[Name(EN)],Tab_Def_Flows[Flow_ID],,0,)</f>
        <v>N.A.</v>
      </c>
      <c r="U37" s="11" t="s">
        <v>34</v>
      </c>
      <c r="V37" s="12" t="str">
        <f>_xlfn.XLOOKUP(U37,Tab_Def_Flows[Name(EN)],Tab_Def_Flows[Flow_ID],,0,)</f>
        <v>N.A.</v>
      </c>
      <c r="W37" s="11" t="s">
        <v>34</v>
      </c>
      <c r="X37" s="12" t="str">
        <f>_xlfn.XLOOKUP(W37,Tab_Def_Flows[Name(EN)],Tab_Def_Flows[Flow_ID],,0,)</f>
        <v>N.A.</v>
      </c>
      <c r="Y37" s="11" t="s">
        <v>34</v>
      </c>
      <c r="Z37" s="13" t="str">
        <f>_xlfn.XLOOKUP(Y37,Tab_Def_Flows[Name(EN)],Tab_Def_Flows[Flow_ID],,0,)</f>
        <v>N.A.</v>
      </c>
      <c r="AA37" s="189" t="s">
        <v>34</v>
      </c>
      <c r="AB37" s="12" t="str">
        <f>_xlfn.XLOOKUP(AA37,Tab_Def_Flows[Name(EN)],Tab_Def_Flows[Flow_ID],,0,)</f>
        <v>N.A.</v>
      </c>
      <c r="AC37" s="189" t="s">
        <v>34</v>
      </c>
      <c r="AD37" s="12" t="str">
        <f>_xlfn.XLOOKUP(AC37,Tab_Def_Flows[Name(EN)],Tab_Def_Flows[Flow_ID],,0,)</f>
        <v>N.A.</v>
      </c>
      <c r="AE37" s="189" t="s">
        <v>34</v>
      </c>
      <c r="AF37" s="12" t="str">
        <f>_xlfn.XLOOKUP(AE37,Tab_Def_Flows[Name(EN)],Tab_Def_Flows[Flow_ID],,0,)</f>
        <v>N.A.</v>
      </c>
      <c r="AG37" s="189" t="s">
        <v>34</v>
      </c>
      <c r="AH37" s="12" t="str">
        <f>_xlfn.XLOOKUP(AG37,Tab_Def_Flows[Name(EN)],Tab_Def_Flows[Flow_ID],,0,)</f>
        <v>N.A.</v>
      </c>
      <c r="AI37" s="189" t="s">
        <v>34</v>
      </c>
      <c r="AJ37" s="12" t="str">
        <f>_xlfn.XLOOKUP(AI37,Tab_Def_Flows[Name(EN)],Tab_Def_Flows[Flow_ID],,0,)</f>
        <v>N.A.</v>
      </c>
      <c r="AK37" s="189" t="s">
        <v>34</v>
      </c>
      <c r="AL37" s="13" t="str">
        <f>_xlfn.XLOOKUP(AK37,Tab_Def_Flows[Name(EN)],Tab_Def_Flows[Flow_ID],,0,)</f>
        <v>N.A.</v>
      </c>
    </row>
    <row r="38" spans="1:38" x14ac:dyDescent="0.25">
      <c r="A38" s="194" t="b">
        <v>0</v>
      </c>
      <c r="B38" s="43" t="s">
        <v>170</v>
      </c>
      <c r="C38" s="9" t="str">
        <f t="shared" si="0"/>
        <v>36</v>
      </c>
      <c r="D38" s="11"/>
      <c r="E38" s="11"/>
      <c r="F38" s="11"/>
      <c r="G38" s="11"/>
      <c r="H38" s="37"/>
      <c r="I38" s="189"/>
      <c r="J38" s="189"/>
      <c r="K38" s="189"/>
      <c r="L38" s="189"/>
      <c r="M38" s="189"/>
      <c r="N38" s="189"/>
      <c r="O38" s="189"/>
      <c r="P38" s="11"/>
      <c r="Q38" s="11" t="s">
        <v>34</v>
      </c>
      <c r="R38" s="12" t="str">
        <f>_xlfn.XLOOKUP(Q38,Tab_Def_Flows[Name(EN)],Tab_Def_Flows[Flow_ID],,0,)</f>
        <v>N.A.</v>
      </c>
      <c r="S38" s="11" t="s">
        <v>34</v>
      </c>
      <c r="T38" s="12" t="str">
        <f>_xlfn.XLOOKUP(S38,Tab_Def_Flows[Name(EN)],Tab_Def_Flows[Flow_ID],,0,)</f>
        <v>N.A.</v>
      </c>
      <c r="U38" s="11" t="s">
        <v>34</v>
      </c>
      <c r="V38" s="12" t="str">
        <f>_xlfn.XLOOKUP(U38,Tab_Def_Flows[Name(EN)],Tab_Def_Flows[Flow_ID],,0,)</f>
        <v>N.A.</v>
      </c>
      <c r="W38" s="11" t="s">
        <v>34</v>
      </c>
      <c r="X38" s="12" t="str">
        <f>_xlfn.XLOOKUP(W38,Tab_Def_Flows[Name(EN)],Tab_Def_Flows[Flow_ID],,0,)</f>
        <v>N.A.</v>
      </c>
      <c r="Y38" s="11" t="s">
        <v>34</v>
      </c>
      <c r="Z38" s="13" t="str">
        <f>_xlfn.XLOOKUP(Y38,Tab_Def_Flows[Name(EN)],Tab_Def_Flows[Flow_ID],,0,)</f>
        <v>N.A.</v>
      </c>
      <c r="AA38" s="189" t="s">
        <v>34</v>
      </c>
      <c r="AB38" s="12" t="str">
        <f>_xlfn.XLOOKUP(AA38,Tab_Def_Flows[Name(EN)],Tab_Def_Flows[Flow_ID],,0,)</f>
        <v>N.A.</v>
      </c>
      <c r="AC38" s="189" t="s">
        <v>34</v>
      </c>
      <c r="AD38" s="12" t="str">
        <f>_xlfn.XLOOKUP(AC38,Tab_Def_Flows[Name(EN)],Tab_Def_Flows[Flow_ID],,0,)</f>
        <v>N.A.</v>
      </c>
      <c r="AE38" s="189" t="s">
        <v>34</v>
      </c>
      <c r="AF38" s="12" t="str">
        <f>_xlfn.XLOOKUP(AE38,Tab_Def_Flows[Name(EN)],Tab_Def_Flows[Flow_ID],,0,)</f>
        <v>N.A.</v>
      </c>
      <c r="AG38" s="189" t="s">
        <v>34</v>
      </c>
      <c r="AH38" s="12" t="str">
        <f>_xlfn.XLOOKUP(AG38,Tab_Def_Flows[Name(EN)],Tab_Def_Flows[Flow_ID],,0,)</f>
        <v>N.A.</v>
      </c>
      <c r="AI38" s="189" t="s">
        <v>34</v>
      </c>
      <c r="AJ38" s="12" t="str">
        <f>_xlfn.XLOOKUP(AI38,Tab_Def_Flows[Name(EN)],Tab_Def_Flows[Flow_ID],,0,)</f>
        <v>N.A.</v>
      </c>
      <c r="AK38" s="189" t="s">
        <v>34</v>
      </c>
      <c r="AL38" s="13" t="str">
        <f>_xlfn.XLOOKUP(AK38,Tab_Def_Flows[Name(EN)],Tab_Def_Flows[Flow_ID],,0,)</f>
        <v>N.A.</v>
      </c>
    </row>
    <row r="39" spans="1:38" x14ac:dyDescent="0.25">
      <c r="A39" s="194" t="b">
        <v>0</v>
      </c>
      <c r="B39" s="43" t="s">
        <v>171</v>
      </c>
      <c r="C39" s="9" t="str">
        <f t="shared" si="0"/>
        <v>37</v>
      </c>
      <c r="D39" s="11"/>
      <c r="E39" s="11"/>
      <c r="F39" s="11"/>
      <c r="G39" s="11"/>
      <c r="H39" s="37"/>
      <c r="I39" s="189"/>
      <c r="J39" s="189"/>
      <c r="K39" s="189"/>
      <c r="L39" s="189"/>
      <c r="M39" s="189"/>
      <c r="N39" s="189"/>
      <c r="O39" s="189"/>
      <c r="P39" s="11"/>
      <c r="Q39" s="11" t="s">
        <v>34</v>
      </c>
      <c r="R39" s="12" t="str">
        <f>_xlfn.XLOOKUP(Q39,Tab_Def_Flows[Name(EN)],Tab_Def_Flows[Flow_ID],,0,)</f>
        <v>N.A.</v>
      </c>
      <c r="S39" s="11" t="s">
        <v>34</v>
      </c>
      <c r="T39" s="12" t="str">
        <f>_xlfn.XLOOKUP(S39,Tab_Def_Flows[Name(EN)],Tab_Def_Flows[Flow_ID],,0,)</f>
        <v>N.A.</v>
      </c>
      <c r="U39" s="11" t="s">
        <v>34</v>
      </c>
      <c r="V39" s="12" t="str">
        <f>_xlfn.XLOOKUP(U39,Tab_Def_Flows[Name(EN)],Tab_Def_Flows[Flow_ID],,0,)</f>
        <v>N.A.</v>
      </c>
      <c r="W39" s="11" t="s">
        <v>34</v>
      </c>
      <c r="X39" s="12" t="str">
        <f>_xlfn.XLOOKUP(W39,Tab_Def_Flows[Name(EN)],Tab_Def_Flows[Flow_ID],,0,)</f>
        <v>N.A.</v>
      </c>
      <c r="Y39" s="11" t="s">
        <v>34</v>
      </c>
      <c r="Z39" s="13" t="str">
        <f>_xlfn.XLOOKUP(Y39,Tab_Def_Flows[Name(EN)],Tab_Def_Flows[Flow_ID],,0,)</f>
        <v>N.A.</v>
      </c>
      <c r="AA39" s="189" t="s">
        <v>34</v>
      </c>
      <c r="AB39" s="12" t="str">
        <f>_xlfn.XLOOKUP(AA39,Tab_Def_Flows[Name(EN)],Tab_Def_Flows[Flow_ID],,0,)</f>
        <v>N.A.</v>
      </c>
      <c r="AC39" s="189" t="s">
        <v>34</v>
      </c>
      <c r="AD39" s="12" t="str">
        <f>_xlfn.XLOOKUP(AC39,Tab_Def_Flows[Name(EN)],Tab_Def_Flows[Flow_ID],,0,)</f>
        <v>N.A.</v>
      </c>
      <c r="AE39" s="189" t="s">
        <v>34</v>
      </c>
      <c r="AF39" s="12" t="str">
        <f>_xlfn.XLOOKUP(AE39,Tab_Def_Flows[Name(EN)],Tab_Def_Flows[Flow_ID],,0,)</f>
        <v>N.A.</v>
      </c>
      <c r="AG39" s="189" t="s">
        <v>34</v>
      </c>
      <c r="AH39" s="12" t="str">
        <f>_xlfn.XLOOKUP(AG39,Tab_Def_Flows[Name(EN)],Tab_Def_Flows[Flow_ID],,0,)</f>
        <v>N.A.</v>
      </c>
      <c r="AI39" s="189" t="s">
        <v>34</v>
      </c>
      <c r="AJ39" s="12" t="str">
        <f>_xlfn.XLOOKUP(AI39,Tab_Def_Flows[Name(EN)],Tab_Def_Flows[Flow_ID],,0,)</f>
        <v>N.A.</v>
      </c>
      <c r="AK39" s="189" t="s">
        <v>34</v>
      </c>
      <c r="AL39" s="13" t="str">
        <f>_xlfn.XLOOKUP(AK39,Tab_Def_Flows[Name(EN)],Tab_Def_Flows[Flow_ID],,0,)</f>
        <v>N.A.</v>
      </c>
    </row>
    <row r="40" spans="1:38" x14ac:dyDescent="0.25">
      <c r="A40" s="194" t="b">
        <v>0</v>
      </c>
      <c r="B40" s="43" t="s">
        <v>172</v>
      </c>
      <c r="C40" s="9" t="str">
        <f t="shared" si="0"/>
        <v>38</v>
      </c>
      <c r="D40" s="11"/>
      <c r="E40" s="11"/>
      <c r="F40" s="11"/>
      <c r="G40" s="11"/>
      <c r="H40" s="37"/>
      <c r="I40" s="189"/>
      <c r="J40" s="189"/>
      <c r="K40" s="189"/>
      <c r="L40" s="189"/>
      <c r="M40" s="189"/>
      <c r="N40" s="189"/>
      <c r="O40" s="189"/>
      <c r="P40" s="11"/>
      <c r="Q40" s="11" t="s">
        <v>34</v>
      </c>
      <c r="R40" s="12" t="str">
        <f>_xlfn.XLOOKUP(Q40,Tab_Def_Flows[Name(EN)],Tab_Def_Flows[Flow_ID],,0,)</f>
        <v>N.A.</v>
      </c>
      <c r="S40" s="11" t="s">
        <v>34</v>
      </c>
      <c r="T40" s="12" t="str">
        <f>_xlfn.XLOOKUP(S40,Tab_Def_Flows[Name(EN)],Tab_Def_Flows[Flow_ID],,0,)</f>
        <v>N.A.</v>
      </c>
      <c r="U40" s="11" t="s">
        <v>34</v>
      </c>
      <c r="V40" s="12" t="str">
        <f>_xlfn.XLOOKUP(U40,Tab_Def_Flows[Name(EN)],Tab_Def_Flows[Flow_ID],,0,)</f>
        <v>N.A.</v>
      </c>
      <c r="W40" s="11" t="s">
        <v>34</v>
      </c>
      <c r="X40" s="12" t="str">
        <f>_xlfn.XLOOKUP(W40,Tab_Def_Flows[Name(EN)],Tab_Def_Flows[Flow_ID],,0,)</f>
        <v>N.A.</v>
      </c>
      <c r="Y40" s="11" t="s">
        <v>34</v>
      </c>
      <c r="Z40" s="13" t="str">
        <f>_xlfn.XLOOKUP(Y40,Tab_Def_Flows[Name(EN)],Tab_Def_Flows[Flow_ID],,0,)</f>
        <v>N.A.</v>
      </c>
      <c r="AA40" s="189" t="s">
        <v>34</v>
      </c>
      <c r="AB40" s="12" t="str">
        <f>_xlfn.XLOOKUP(AA40,Tab_Def_Flows[Name(EN)],Tab_Def_Flows[Flow_ID],,0,)</f>
        <v>N.A.</v>
      </c>
      <c r="AC40" s="189" t="s">
        <v>34</v>
      </c>
      <c r="AD40" s="12" t="str">
        <f>_xlfn.XLOOKUP(AC40,Tab_Def_Flows[Name(EN)],Tab_Def_Flows[Flow_ID],,0,)</f>
        <v>N.A.</v>
      </c>
      <c r="AE40" s="189" t="s">
        <v>34</v>
      </c>
      <c r="AF40" s="12" t="str">
        <f>_xlfn.XLOOKUP(AE40,Tab_Def_Flows[Name(EN)],Tab_Def_Flows[Flow_ID],,0,)</f>
        <v>N.A.</v>
      </c>
      <c r="AG40" s="189" t="s">
        <v>34</v>
      </c>
      <c r="AH40" s="12" t="str">
        <f>_xlfn.XLOOKUP(AG40,Tab_Def_Flows[Name(EN)],Tab_Def_Flows[Flow_ID],,0,)</f>
        <v>N.A.</v>
      </c>
      <c r="AI40" s="189" t="s">
        <v>34</v>
      </c>
      <c r="AJ40" s="12" t="str">
        <f>_xlfn.XLOOKUP(AI40,Tab_Def_Flows[Name(EN)],Tab_Def_Flows[Flow_ID],,0,)</f>
        <v>N.A.</v>
      </c>
      <c r="AK40" s="189" t="s">
        <v>34</v>
      </c>
      <c r="AL40" s="13" t="str">
        <f>_xlfn.XLOOKUP(AK40,Tab_Def_Flows[Name(EN)],Tab_Def_Flows[Flow_ID],,0,)</f>
        <v>N.A.</v>
      </c>
    </row>
    <row r="41" spans="1:38" x14ac:dyDescent="0.25">
      <c r="A41" s="194" t="b">
        <v>0</v>
      </c>
      <c r="B41" s="43" t="s">
        <v>173</v>
      </c>
      <c r="C41" s="9" t="str">
        <f t="shared" si="0"/>
        <v>39</v>
      </c>
      <c r="D41" s="11"/>
      <c r="E41" s="11"/>
      <c r="F41" s="11"/>
      <c r="G41" s="11"/>
      <c r="H41" s="37"/>
      <c r="I41" s="189"/>
      <c r="J41" s="189"/>
      <c r="K41" s="189"/>
      <c r="L41" s="189"/>
      <c r="M41" s="189"/>
      <c r="N41" s="189"/>
      <c r="O41" s="189"/>
      <c r="P41" s="11"/>
      <c r="Q41" s="11" t="s">
        <v>34</v>
      </c>
      <c r="R41" s="12" t="str">
        <f>_xlfn.XLOOKUP(Q41,Tab_Def_Flows[Name(EN)],Tab_Def_Flows[Flow_ID],,0,)</f>
        <v>N.A.</v>
      </c>
      <c r="S41" s="11" t="s">
        <v>34</v>
      </c>
      <c r="T41" s="12" t="str">
        <f>_xlfn.XLOOKUP(S41,Tab_Def_Flows[Name(EN)],Tab_Def_Flows[Flow_ID],,0,)</f>
        <v>N.A.</v>
      </c>
      <c r="U41" s="11" t="s">
        <v>34</v>
      </c>
      <c r="V41" s="12" t="str">
        <f>_xlfn.XLOOKUP(U41,Tab_Def_Flows[Name(EN)],Tab_Def_Flows[Flow_ID],,0,)</f>
        <v>N.A.</v>
      </c>
      <c r="W41" s="11" t="s">
        <v>34</v>
      </c>
      <c r="X41" s="12" t="str">
        <f>_xlfn.XLOOKUP(W41,Tab_Def_Flows[Name(EN)],Tab_Def_Flows[Flow_ID],,0,)</f>
        <v>N.A.</v>
      </c>
      <c r="Y41" s="11" t="s">
        <v>34</v>
      </c>
      <c r="Z41" s="13" t="str">
        <f>_xlfn.XLOOKUP(Y41,Tab_Def_Flows[Name(EN)],Tab_Def_Flows[Flow_ID],,0,)</f>
        <v>N.A.</v>
      </c>
      <c r="AA41" s="189" t="s">
        <v>34</v>
      </c>
      <c r="AB41" s="12" t="str">
        <f>_xlfn.XLOOKUP(AA41,Tab_Def_Flows[Name(EN)],Tab_Def_Flows[Flow_ID],,0,)</f>
        <v>N.A.</v>
      </c>
      <c r="AC41" s="189" t="s">
        <v>34</v>
      </c>
      <c r="AD41" s="12" t="str">
        <f>_xlfn.XLOOKUP(AC41,Tab_Def_Flows[Name(EN)],Tab_Def_Flows[Flow_ID],,0,)</f>
        <v>N.A.</v>
      </c>
      <c r="AE41" s="189" t="s">
        <v>34</v>
      </c>
      <c r="AF41" s="12" t="str">
        <f>_xlfn.XLOOKUP(AE41,Tab_Def_Flows[Name(EN)],Tab_Def_Flows[Flow_ID],,0,)</f>
        <v>N.A.</v>
      </c>
      <c r="AG41" s="189" t="s">
        <v>34</v>
      </c>
      <c r="AH41" s="12" t="str">
        <f>_xlfn.XLOOKUP(AG41,Tab_Def_Flows[Name(EN)],Tab_Def_Flows[Flow_ID],,0,)</f>
        <v>N.A.</v>
      </c>
      <c r="AI41" s="189" t="s">
        <v>34</v>
      </c>
      <c r="AJ41" s="12" t="str">
        <f>_xlfn.XLOOKUP(AI41,Tab_Def_Flows[Name(EN)],Tab_Def_Flows[Flow_ID],,0,)</f>
        <v>N.A.</v>
      </c>
      <c r="AK41" s="189" t="s">
        <v>34</v>
      </c>
      <c r="AL41" s="13" t="str">
        <f>_xlfn.XLOOKUP(AK41,Tab_Def_Flows[Name(EN)],Tab_Def_Flows[Flow_ID],,0,)</f>
        <v>N.A.</v>
      </c>
    </row>
    <row r="42" spans="1:38" x14ac:dyDescent="0.25">
      <c r="A42" s="194" t="b">
        <v>0</v>
      </c>
      <c r="B42" s="43" t="s">
        <v>174</v>
      </c>
      <c r="C42" s="9" t="str">
        <f t="shared" si="0"/>
        <v>40</v>
      </c>
      <c r="D42" s="11"/>
      <c r="E42" s="11"/>
      <c r="F42" s="11"/>
      <c r="G42" s="11"/>
      <c r="H42" s="37"/>
      <c r="I42" s="189"/>
      <c r="J42" s="189"/>
      <c r="K42" s="189"/>
      <c r="L42" s="189"/>
      <c r="M42" s="189"/>
      <c r="N42" s="189"/>
      <c r="O42" s="189"/>
      <c r="P42" s="11"/>
      <c r="Q42" s="11" t="s">
        <v>34</v>
      </c>
      <c r="R42" s="12" t="str">
        <f>_xlfn.XLOOKUP(Q42,Tab_Def_Flows[Name(EN)],Tab_Def_Flows[Flow_ID],,0,)</f>
        <v>N.A.</v>
      </c>
      <c r="S42" s="11" t="s">
        <v>34</v>
      </c>
      <c r="T42" s="12" t="str">
        <f>_xlfn.XLOOKUP(S42,Tab_Def_Flows[Name(EN)],Tab_Def_Flows[Flow_ID],,0,)</f>
        <v>N.A.</v>
      </c>
      <c r="U42" s="11" t="s">
        <v>34</v>
      </c>
      <c r="V42" s="12" t="str">
        <f>_xlfn.XLOOKUP(U42,Tab_Def_Flows[Name(EN)],Tab_Def_Flows[Flow_ID],,0,)</f>
        <v>N.A.</v>
      </c>
      <c r="W42" s="11" t="s">
        <v>34</v>
      </c>
      <c r="X42" s="12" t="str">
        <f>_xlfn.XLOOKUP(W42,Tab_Def_Flows[Name(EN)],Tab_Def_Flows[Flow_ID],,0,)</f>
        <v>N.A.</v>
      </c>
      <c r="Y42" s="11" t="s">
        <v>34</v>
      </c>
      <c r="Z42" s="13" t="str">
        <f>_xlfn.XLOOKUP(Y42,Tab_Def_Flows[Name(EN)],Tab_Def_Flows[Flow_ID],,0,)</f>
        <v>N.A.</v>
      </c>
      <c r="AA42" s="189" t="s">
        <v>34</v>
      </c>
      <c r="AB42" s="12" t="str">
        <f>_xlfn.XLOOKUP(AA42,Tab_Def_Flows[Name(EN)],Tab_Def_Flows[Flow_ID],,0,)</f>
        <v>N.A.</v>
      </c>
      <c r="AC42" s="189" t="s">
        <v>34</v>
      </c>
      <c r="AD42" s="12" t="str">
        <f>_xlfn.XLOOKUP(AC42,Tab_Def_Flows[Name(EN)],Tab_Def_Flows[Flow_ID],,0,)</f>
        <v>N.A.</v>
      </c>
      <c r="AE42" s="189" t="s">
        <v>34</v>
      </c>
      <c r="AF42" s="12" t="str">
        <f>_xlfn.XLOOKUP(AE42,Tab_Def_Flows[Name(EN)],Tab_Def_Flows[Flow_ID],,0,)</f>
        <v>N.A.</v>
      </c>
      <c r="AG42" s="189" t="s">
        <v>34</v>
      </c>
      <c r="AH42" s="12" t="str">
        <f>_xlfn.XLOOKUP(AG42,Tab_Def_Flows[Name(EN)],Tab_Def_Flows[Flow_ID],,0,)</f>
        <v>N.A.</v>
      </c>
      <c r="AI42" s="189" t="s">
        <v>34</v>
      </c>
      <c r="AJ42" s="12" t="str">
        <f>_xlfn.XLOOKUP(AI42,Tab_Def_Flows[Name(EN)],Tab_Def_Flows[Flow_ID],,0,)</f>
        <v>N.A.</v>
      </c>
      <c r="AK42" s="189" t="s">
        <v>34</v>
      </c>
      <c r="AL42" s="13" t="str">
        <f>_xlfn.XLOOKUP(AK42,Tab_Def_Flows[Name(EN)],Tab_Def_Flows[Flow_ID],,0,)</f>
        <v>N.A.</v>
      </c>
    </row>
    <row r="43" spans="1:38" x14ac:dyDescent="0.25">
      <c r="A43" s="194" t="b">
        <v>0</v>
      </c>
      <c r="B43" s="43" t="s">
        <v>175</v>
      </c>
      <c r="C43" s="9" t="str">
        <f t="shared" si="0"/>
        <v>41</v>
      </c>
      <c r="D43" s="11"/>
      <c r="E43" s="11"/>
      <c r="F43" s="11"/>
      <c r="G43" s="11"/>
      <c r="H43" s="37"/>
      <c r="I43" s="189"/>
      <c r="J43" s="189"/>
      <c r="K43" s="189"/>
      <c r="L43" s="189"/>
      <c r="M43" s="189"/>
      <c r="N43" s="189"/>
      <c r="O43" s="189"/>
      <c r="P43" s="11"/>
      <c r="Q43" s="11" t="s">
        <v>34</v>
      </c>
      <c r="R43" s="12" t="str">
        <f>_xlfn.XLOOKUP(Q43,Tab_Def_Flows[Name(EN)],Tab_Def_Flows[Flow_ID],,0,)</f>
        <v>N.A.</v>
      </c>
      <c r="S43" s="11" t="s">
        <v>34</v>
      </c>
      <c r="T43" s="12" t="str">
        <f>_xlfn.XLOOKUP(S43,Tab_Def_Flows[Name(EN)],Tab_Def_Flows[Flow_ID],,0,)</f>
        <v>N.A.</v>
      </c>
      <c r="U43" s="11" t="s">
        <v>34</v>
      </c>
      <c r="V43" s="12" t="str">
        <f>_xlfn.XLOOKUP(U43,Tab_Def_Flows[Name(EN)],Tab_Def_Flows[Flow_ID],,0,)</f>
        <v>N.A.</v>
      </c>
      <c r="W43" s="11" t="s">
        <v>34</v>
      </c>
      <c r="X43" s="12" t="str">
        <f>_xlfn.XLOOKUP(W43,Tab_Def_Flows[Name(EN)],Tab_Def_Flows[Flow_ID],,0,)</f>
        <v>N.A.</v>
      </c>
      <c r="Y43" s="11" t="s">
        <v>34</v>
      </c>
      <c r="Z43" s="13" t="str">
        <f>_xlfn.XLOOKUP(Y43,Tab_Def_Flows[Name(EN)],Tab_Def_Flows[Flow_ID],,0,)</f>
        <v>N.A.</v>
      </c>
      <c r="AA43" s="189" t="s">
        <v>34</v>
      </c>
      <c r="AB43" s="12" t="str">
        <f>_xlfn.XLOOKUP(AA43,Tab_Def_Flows[Name(EN)],Tab_Def_Flows[Flow_ID],,0,)</f>
        <v>N.A.</v>
      </c>
      <c r="AC43" s="189" t="s">
        <v>34</v>
      </c>
      <c r="AD43" s="12" t="str">
        <f>_xlfn.XLOOKUP(AC43,Tab_Def_Flows[Name(EN)],Tab_Def_Flows[Flow_ID],,0,)</f>
        <v>N.A.</v>
      </c>
      <c r="AE43" s="189" t="s">
        <v>34</v>
      </c>
      <c r="AF43" s="12" t="str">
        <f>_xlfn.XLOOKUP(AE43,Tab_Def_Flows[Name(EN)],Tab_Def_Flows[Flow_ID],,0,)</f>
        <v>N.A.</v>
      </c>
      <c r="AG43" s="189" t="s">
        <v>34</v>
      </c>
      <c r="AH43" s="12" t="str">
        <f>_xlfn.XLOOKUP(AG43,Tab_Def_Flows[Name(EN)],Tab_Def_Flows[Flow_ID],,0,)</f>
        <v>N.A.</v>
      </c>
      <c r="AI43" s="189" t="s">
        <v>34</v>
      </c>
      <c r="AJ43" s="12" t="str">
        <f>_xlfn.XLOOKUP(AI43,Tab_Def_Flows[Name(EN)],Tab_Def_Flows[Flow_ID],,0,)</f>
        <v>N.A.</v>
      </c>
      <c r="AK43" s="189" t="s">
        <v>34</v>
      </c>
      <c r="AL43" s="13" t="str">
        <f>_xlfn.XLOOKUP(AK43,Tab_Def_Flows[Name(EN)],Tab_Def_Flows[Flow_ID],,0,)</f>
        <v>N.A.</v>
      </c>
    </row>
    <row r="44" spans="1:38" x14ac:dyDescent="0.25">
      <c r="A44" s="194" t="b">
        <v>0</v>
      </c>
      <c r="B44" s="43" t="s">
        <v>176</v>
      </c>
      <c r="C44" s="9" t="str">
        <f t="shared" si="0"/>
        <v>42</v>
      </c>
      <c r="D44" s="11"/>
      <c r="E44" s="11"/>
      <c r="F44" s="11"/>
      <c r="G44" s="11"/>
      <c r="H44" s="37"/>
      <c r="I44" s="189"/>
      <c r="J44" s="189"/>
      <c r="K44" s="189"/>
      <c r="L44" s="189"/>
      <c r="M44" s="189"/>
      <c r="N44" s="189"/>
      <c r="O44" s="189"/>
      <c r="P44" s="11"/>
      <c r="Q44" s="11" t="s">
        <v>34</v>
      </c>
      <c r="R44" s="12" t="str">
        <f>_xlfn.XLOOKUP(Q44,Tab_Def_Flows[Name(EN)],Tab_Def_Flows[Flow_ID],,0,)</f>
        <v>N.A.</v>
      </c>
      <c r="S44" s="11" t="s">
        <v>34</v>
      </c>
      <c r="T44" s="12" t="str">
        <f>_xlfn.XLOOKUP(S44,Tab_Def_Flows[Name(EN)],Tab_Def_Flows[Flow_ID],,0,)</f>
        <v>N.A.</v>
      </c>
      <c r="U44" s="11" t="s">
        <v>34</v>
      </c>
      <c r="V44" s="12" t="str">
        <f>_xlfn.XLOOKUP(U44,Tab_Def_Flows[Name(EN)],Tab_Def_Flows[Flow_ID],,0,)</f>
        <v>N.A.</v>
      </c>
      <c r="W44" s="11" t="s">
        <v>34</v>
      </c>
      <c r="X44" s="12" t="str">
        <f>_xlfn.XLOOKUP(W44,Tab_Def_Flows[Name(EN)],Tab_Def_Flows[Flow_ID],,0,)</f>
        <v>N.A.</v>
      </c>
      <c r="Y44" s="11" t="s">
        <v>34</v>
      </c>
      <c r="Z44" s="13" t="str">
        <f>_xlfn.XLOOKUP(Y44,Tab_Def_Flows[Name(EN)],Tab_Def_Flows[Flow_ID],,0,)</f>
        <v>N.A.</v>
      </c>
      <c r="AA44" s="189" t="s">
        <v>34</v>
      </c>
      <c r="AB44" s="12" t="str">
        <f>_xlfn.XLOOKUP(AA44,Tab_Def_Flows[Name(EN)],Tab_Def_Flows[Flow_ID],,0,)</f>
        <v>N.A.</v>
      </c>
      <c r="AC44" s="189" t="s">
        <v>34</v>
      </c>
      <c r="AD44" s="12" t="str">
        <f>_xlfn.XLOOKUP(AC44,Tab_Def_Flows[Name(EN)],Tab_Def_Flows[Flow_ID],,0,)</f>
        <v>N.A.</v>
      </c>
      <c r="AE44" s="189" t="s">
        <v>34</v>
      </c>
      <c r="AF44" s="12" t="str">
        <f>_xlfn.XLOOKUP(AE44,Tab_Def_Flows[Name(EN)],Tab_Def_Flows[Flow_ID],,0,)</f>
        <v>N.A.</v>
      </c>
      <c r="AG44" s="189" t="s">
        <v>34</v>
      </c>
      <c r="AH44" s="12" t="str">
        <f>_xlfn.XLOOKUP(AG44,Tab_Def_Flows[Name(EN)],Tab_Def_Flows[Flow_ID],,0,)</f>
        <v>N.A.</v>
      </c>
      <c r="AI44" s="189" t="s">
        <v>34</v>
      </c>
      <c r="AJ44" s="12" t="str">
        <f>_xlfn.XLOOKUP(AI44,Tab_Def_Flows[Name(EN)],Tab_Def_Flows[Flow_ID],,0,)</f>
        <v>N.A.</v>
      </c>
      <c r="AK44" s="189" t="s">
        <v>34</v>
      </c>
      <c r="AL44" s="13" t="str">
        <f>_xlfn.XLOOKUP(AK44,Tab_Def_Flows[Name(EN)],Tab_Def_Flows[Flow_ID],,0,)</f>
        <v>N.A.</v>
      </c>
    </row>
    <row r="45" spans="1:38" x14ac:dyDescent="0.25">
      <c r="A45" s="194" t="b">
        <v>0</v>
      </c>
      <c r="B45" s="43" t="s">
        <v>177</v>
      </c>
      <c r="C45" s="9" t="str">
        <f t="shared" si="0"/>
        <v>43</v>
      </c>
      <c r="D45" s="11"/>
      <c r="E45" s="11"/>
      <c r="F45" s="11"/>
      <c r="G45" s="11"/>
      <c r="H45" s="37"/>
      <c r="I45" s="189"/>
      <c r="J45" s="189"/>
      <c r="K45" s="189"/>
      <c r="L45" s="189"/>
      <c r="M45" s="189"/>
      <c r="N45" s="189"/>
      <c r="O45" s="189"/>
      <c r="P45" s="11"/>
      <c r="Q45" s="11"/>
      <c r="R45" s="9" t="str">
        <f>_xlfn.XLOOKUP(Q45,Tab_Def_Flows[Name(EN)],Tab_Def_Flows[Flow_ID],,0,)</f>
        <v>F_10_10</v>
      </c>
      <c r="S45" s="11"/>
      <c r="T45" s="9" t="str">
        <f>_xlfn.XLOOKUP(S45,Tab_Def_Flows[Name(EN)],Tab_Def_Flows[Flow_ID],,0,)</f>
        <v>F_10_10</v>
      </c>
      <c r="U45" s="11"/>
      <c r="V45" s="9" t="str">
        <f>_xlfn.XLOOKUP(U45,Tab_Def_Flows[Name(EN)],Tab_Def_Flows[Flow_ID],,0,)</f>
        <v>F_10_10</v>
      </c>
      <c r="W45" s="11"/>
      <c r="X45" s="9" t="str">
        <f>_xlfn.XLOOKUP(W45,Tab_Def_Flows[Name(EN)],Tab_Def_Flows[Flow_ID],,0,)</f>
        <v>F_10_10</v>
      </c>
      <c r="Y45" s="11"/>
      <c r="Z45" s="20" t="str">
        <f>_xlfn.XLOOKUP(Y45,Tab_Def_Flows[Name(EN)],Tab_Def_Flows[Flow_ID],,0,)</f>
        <v>F_10_10</v>
      </c>
      <c r="AA45" s="189"/>
      <c r="AB45" s="9" t="str">
        <f>_xlfn.XLOOKUP(AA45,Tab_Def_Flows[Name(EN)],Tab_Def_Flows[Flow_ID],,0,)</f>
        <v>F_10_10</v>
      </c>
      <c r="AC45" s="189"/>
      <c r="AD45" s="9" t="str">
        <f>_xlfn.XLOOKUP(AC45,Tab_Def_Flows[Name(EN)],Tab_Def_Flows[Flow_ID],,0,)</f>
        <v>F_10_10</v>
      </c>
      <c r="AE45" s="189" t="s">
        <v>34</v>
      </c>
      <c r="AF45" s="9" t="str">
        <f>_xlfn.XLOOKUP(AE45,Tab_Def_Flows[Name(EN)],Tab_Def_Flows[Flow_ID],,0,)</f>
        <v>N.A.</v>
      </c>
      <c r="AG45" s="189"/>
      <c r="AH45" s="9" t="str">
        <f>_xlfn.XLOOKUP(AG45,Tab_Def_Flows[Name(EN)],Tab_Def_Flows[Flow_ID],,0,)</f>
        <v>F_10_10</v>
      </c>
      <c r="AI45" s="189"/>
      <c r="AJ45" s="9" t="str">
        <f>_xlfn.XLOOKUP(AI45,Tab_Def_Flows[Name(EN)],Tab_Def_Flows[Flow_ID],,0,)</f>
        <v>F_10_10</v>
      </c>
      <c r="AK45" s="189"/>
      <c r="AL45" s="13" t="str">
        <f>_xlfn.XLOOKUP(AK45,Tab_Def_Flows[Name(EN)],Tab_Def_Flows[Flow_ID],,0,)</f>
        <v>F_10_10</v>
      </c>
    </row>
    <row r="46" spans="1:38" x14ac:dyDescent="0.25">
      <c r="A46" s="194" t="b">
        <v>0</v>
      </c>
      <c r="B46" s="43" t="s">
        <v>178</v>
      </c>
      <c r="C46" s="9" t="str">
        <f t="shared" si="0"/>
        <v>44</v>
      </c>
      <c r="D46" s="11"/>
      <c r="E46" s="11"/>
      <c r="F46" s="11"/>
      <c r="G46" s="11"/>
      <c r="H46" s="37"/>
      <c r="I46" s="189"/>
      <c r="J46" s="189"/>
      <c r="K46" s="189"/>
      <c r="L46" s="189"/>
      <c r="M46" s="189"/>
      <c r="N46" s="189"/>
      <c r="O46" s="189"/>
      <c r="P46" s="11"/>
      <c r="Q46" s="11"/>
      <c r="R46" s="9" t="str">
        <f>_xlfn.XLOOKUP(Q46,Tab_Def_Flows[Name(EN)],Tab_Def_Flows[Flow_ID],,0,)</f>
        <v>F_10_10</v>
      </c>
      <c r="S46" s="11"/>
      <c r="T46" s="9" t="str">
        <f>_xlfn.XLOOKUP(S46,Tab_Def_Flows[Name(EN)],Tab_Def_Flows[Flow_ID],,0,)</f>
        <v>F_10_10</v>
      </c>
      <c r="U46" s="11"/>
      <c r="V46" s="9" t="str">
        <f>_xlfn.XLOOKUP(U46,Tab_Def_Flows[Name(EN)],Tab_Def_Flows[Flow_ID],,0,)</f>
        <v>F_10_10</v>
      </c>
      <c r="W46" s="11"/>
      <c r="X46" s="9" t="str">
        <f>_xlfn.XLOOKUP(W46,Tab_Def_Flows[Name(EN)],Tab_Def_Flows[Flow_ID],,0,)</f>
        <v>F_10_10</v>
      </c>
      <c r="Y46" s="11"/>
      <c r="Z46" s="21" t="str">
        <f>_xlfn.XLOOKUP(Y46,Tab_Def_Flows[Name(EN)],Tab_Def_Flows[Flow_ID],,0,)</f>
        <v>F_10_10</v>
      </c>
      <c r="AA46" s="189"/>
      <c r="AB46" s="9" t="str">
        <f>_xlfn.XLOOKUP(AA46,Tab_Def_Flows[Name(EN)],Tab_Def_Flows[Flow_ID],,0,)</f>
        <v>F_10_10</v>
      </c>
      <c r="AC46" s="189"/>
      <c r="AD46" s="9" t="str">
        <f>_xlfn.XLOOKUP(AC46,Tab_Def_Flows[Name(EN)],Tab_Def_Flows[Flow_ID],,0,)</f>
        <v>F_10_10</v>
      </c>
      <c r="AE46" s="189" t="s">
        <v>34</v>
      </c>
      <c r="AF46" s="9" t="str">
        <f>_xlfn.XLOOKUP(AE46,Tab_Def_Flows[Name(EN)],Tab_Def_Flows[Flow_ID],,0,)</f>
        <v>N.A.</v>
      </c>
      <c r="AG46" s="189"/>
      <c r="AH46" s="9" t="str">
        <f>_xlfn.XLOOKUP(AG46,Tab_Def_Flows[Name(EN)],Tab_Def_Flows[Flow_ID],,0,)</f>
        <v>F_10_10</v>
      </c>
      <c r="AI46" s="189"/>
      <c r="AJ46" s="9" t="str">
        <f>_xlfn.XLOOKUP(AI46,Tab_Def_Flows[Name(EN)],Tab_Def_Flows[Flow_ID],,0,)</f>
        <v>F_10_10</v>
      </c>
      <c r="AK46" s="189"/>
      <c r="AL46" s="13" t="str">
        <f>_xlfn.XLOOKUP(AK46,Tab_Def_Flows[Name(EN)],Tab_Def_Flows[Flow_ID],,0,)</f>
        <v>F_10_10</v>
      </c>
    </row>
    <row r="47" spans="1:38" x14ac:dyDescent="0.25">
      <c r="A47" s="194" t="b">
        <v>0</v>
      </c>
      <c r="B47" s="43" t="s">
        <v>179</v>
      </c>
      <c r="C47" s="9" t="str">
        <f t="shared" si="0"/>
        <v>45</v>
      </c>
      <c r="D47" s="11"/>
      <c r="E47" s="11"/>
      <c r="F47" s="11"/>
      <c r="G47" s="11"/>
      <c r="H47" s="37"/>
      <c r="I47" s="189"/>
      <c r="J47" s="189"/>
      <c r="K47" s="189"/>
      <c r="L47" s="189"/>
      <c r="M47" s="189"/>
      <c r="N47" s="189"/>
      <c r="O47" s="189"/>
      <c r="P47" s="186"/>
      <c r="Q47" s="11" t="s">
        <v>34</v>
      </c>
      <c r="R47" s="12" t="str">
        <f>_xlfn.XLOOKUP(Q47,Tab_Def_Flows[Name(EN)],Tab_Def_Flows[Flow_ID],,0,)</f>
        <v>N.A.</v>
      </c>
      <c r="S47" s="11" t="s">
        <v>34</v>
      </c>
      <c r="T47" s="12" t="str">
        <f>_xlfn.XLOOKUP(S47,Tab_Def_Flows[Name(EN)],Tab_Def_Flows[Flow_ID],,0,)</f>
        <v>N.A.</v>
      </c>
      <c r="U47" s="11" t="s">
        <v>34</v>
      </c>
      <c r="V47" s="12" t="str">
        <f>_xlfn.XLOOKUP(U47,Tab_Def_Flows[Name(EN)],Tab_Def_Flows[Flow_ID],,0,)</f>
        <v>N.A.</v>
      </c>
      <c r="W47" s="11" t="s">
        <v>34</v>
      </c>
      <c r="X47" s="12" t="str">
        <f>_xlfn.XLOOKUP(W47,Tab_Def_Flows[Name(EN)],Tab_Def_Flows[Flow_ID],,0,)</f>
        <v>N.A.</v>
      </c>
      <c r="Y47" s="11" t="s">
        <v>34</v>
      </c>
      <c r="Z47" s="13" t="str">
        <f>_xlfn.XLOOKUP(Y47,Tab_Def_Flows[Name(EN)],Tab_Def_Flows[Flow_ID],,0,)</f>
        <v>N.A.</v>
      </c>
      <c r="AA47" s="189" t="s">
        <v>34</v>
      </c>
      <c r="AB47" s="12" t="str">
        <f>_xlfn.XLOOKUP(AA47,Tab_Def_Flows[Name(EN)],Tab_Def_Flows[Flow_ID],,0,)</f>
        <v>N.A.</v>
      </c>
      <c r="AC47" s="189" t="s">
        <v>34</v>
      </c>
      <c r="AD47" s="12" t="str">
        <f>_xlfn.XLOOKUP(AC47,Tab_Def_Flows[Name(EN)],Tab_Def_Flows[Flow_ID],,0,)</f>
        <v>N.A.</v>
      </c>
      <c r="AE47" s="189" t="s">
        <v>34</v>
      </c>
      <c r="AF47" s="12" t="str">
        <f>_xlfn.XLOOKUP(AE47,Tab_Def_Flows[Name(EN)],Tab_Def_Flows[Flow_ID],,0,)</f>
        <v>N.A.</v>
      </c>
      <c r="AG47" s="189" t="s">
        <v>34</v>
      </c>
      <c r="AH47" s="12" t="str">
        <f>_xlfn.XLOOKUP(AG47,Tab_Def_Flows[Name(EN)],Tab_Def_Flows[Flow_ID],,0,)</f>
        <v>N.A.</v>
      </c>
      <c r="AI47" s="189" t="s">
        <v>34</v>
      </c>
      <c r="AJ47" s="12" t="str">
        <f>_xlfn.XLOOKUP(AI47,Tab_Def_Flows[Name(EN)],Tab_Def_Flows[Flow_ID],,0,)</f>
        <v>N.A.</v>
      </c>
      <c r="AK47" s="189" t="s">
        <v>34</v>
      </c>
      <c r="AL47" s="13" t="str">
        <f>_xlfn.XLOOKUP(AK47,Tab_Def_Flows[Name(EN)],Tab_Def_Flows[Flow_ID],,0,)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91A32E8-7F61-4A8B-A05D-9A0A09455503}">
          <x14:formula1>
            <xm:f>'1_1_Definition_Flows'!$D$6:$D$70</xm:f>
          </x14:formula1>
          <xm:sqref>AA45:AA47 AC45:AC47 AC1 AE45:AE47 S1:S1048576 AG2:AG47 AI2:AI47 Q2:Q47 AK2:AK47 U1:U1048576 Y1:Y1048576 W1:W1048576</xm:sqref>
        </x14:dataValidation>
        <x14:dataValidation type="list" allowBlank="1" showInputMessage="1" showErrorMessage="1" xr:uid="{56152067-6CEA-441E-B290-B5CA24D3608F}">
          <x14:formula1>
            <xm:f>'4_1 Codelists'!$K$4:$K$9</xm:f>
          </x14:formula1>
          <xm:sqref>F2:F6 F8:F47</xm:sqref>
        </x14:dataValidation>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J2:O47</xm:sqref>
        </x14:dataValidation>
        <x14:dataValidation type="list" allowBlank="1" showInputMessage="1" showErrorMessage="1" xr:uid="{8DF3ECE9-D30E-4FE2-972E-2E3AB2A320AE}">
          <x14:formula1>
            <xm:f>'1_1_Definition_Flows'!$D$2:$D$70</xm:f>
          </x14:formula1>
          <xm:sqref>AE2:AE44 AA2:AA44 AC2:AC44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X50"/>
  <sheetViews>
    <sheetView zoomScale="115" zoomScaleNormal="115" workbookViewId="0">
      <pane xSplit="4" topLeftCell="E1" activePane="topRight" state="frozen"/>
      <selection pane="topRight" activeCell="E10" sqref="E10"/>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39.85546875" style="5" customWidth="1"/>
    <col min="14" max="14" width="17" customWidth="1"/>
    <col min="15" max="15" width="13.85546875" customWidth="1"/>
    <col min="16" max="16" width="10.85546875" style="6" customWidth="1"/>
  </cols>
  <sheetData>
    <row r="1" spans="1:24" x14ac:dyDescent="0.25">
      <c r="A1" s="193" t="s">
        <v>87</v>
      </c>
      <c r="B1" s="193" t="s">
        <v>31</v>
      </c>
      <c r="C1" s="193" t="s">
        <v>61</v>
      </c>
      <c r="D1" s="193" t="s">
        <v>89</v>
      </c>
      <c r="E1" s="193" t="s">
        <v>120</v>
      </c>
      <c r="F1" s="193" t="s">
        <v>64</v>
      </c>
      <c r="G1" s="193" t="s">
        <v>268</v>
      </c>
      <c r="H1" s="193" t="s">
        <v>91</v>
      </c>
      <c r="I1" s="193" t="s">
        <v>290</v>
      </c>
      <c r="J1" s="193" t="s">
        <v>295</v>
      </c>
      <c r="K1" s="193" t="s">
        <v>296</v>
      </c>
      <c r="L1" s="193" t="s">
        <v>323</v>
      </c>
      <c r="M1" s="193" t="s">
        <v>287</v>
      </c>
      <c r="N1" s="193" t="s">
        <v>40</v>
      </c>
      <c r="O1" s="193" t="s">
        <v>90</v>
      </c>
      <c r="P1" s="193" t="s">
        <v>324</v>
      </c>
      <c r="Q1" s="193" t="s">
        <v>38</v>
      </c>
      <c r="R1" s="193" t="s">
        <v>39</v>
      </c>
      <c r="S1" s="193" t="s">
        <v>4</v>
      </c>
      <c r="T1" s="193" t="s">
        <v>3</v>
      </c>
      <c r="U1" s="193" t="s">
        <v>5</v>
      </c>
    </row>
    <row r="2" spans="1:24" x14ac:dyDescent="0.25">
      <c r="A2" s="194" t="b">
        <v>0</v>
      </c>
      <c r="B2" s="9">
        <f>ROW()-1</f>
        <v>1</v>
      </c>
      <c r="C2" s="47" t="str">
        <f>_xlfn.XLOOKUP($D2,Tab_Def_Processes[Name(EN)],Tab_Def_Processes[ID],,0,)</f>
        <v>02</v>
      </c>
      <c r="D2" s="189" t="s">
        <v>769</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775</v>
      </c>
      <c r="N2" s="175" t="str">
        <f>_xlfn.XLOOKUP($M2,Tab_Def_Flows[Name(EN)],Tab_Def_Flows[Flow_ID],,0,)</f>
        <v>F_02_03</v>
      </c>
      <c r="O2" s="42" t="str">
        <f>"TC"&amp;"_"&amp;RIGHT(N2,5)</f>
        <v>TC_02_03</v>
      </c>
      <c r="P2" s="192">
        <v>1</v>
      </c>
      <c r="Q2" s="37"/>
      <c r="R2" s="37"/>
      <c r="S2" s="37"/>
      <c r="T2" s="37"/>
      <c r="U2" s="37"/>
    </row>
    <row r="3" spans="1:24" x14ac:dyDescent="0.25">
      <c r="A3" s="194" t="b">
        <v>0</v>
      </c>
      <c r="B3" s="9">
        <f t="shared" ref="B3:B50" si="0">ROW()-1</f>
        <v>2</v>
      </c>
      <c r="C3" s="47" t="str">
        <f>_xlfn.XLOOKUP($D3,Tab_Def_Processes[Name(EN)],Tab_Def_Processes[ID],,0,)</f>
        <v>03</v>
      </c>
      <c r="D3" s="189" t="s">
        <v>777</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776</v>
      </c>
      <c r="N3" s="175" t="str">
        <f>_xlfn.XLOOKUP($M3,Tab_Def_Flows[Name(EN)],Tab_Def_Flows[Flow_ID],,0,)</f>
        <v>F_03_04</v>
      </c>
      <c r="O3" s="42" t="str">
        <f>"TC"&amp;"_"&amp;RIGHT(N3,5)</f>
        <v>TC_03_04</v>
      </c>
      <c r="P3" s="192">
        <v>0.5</v>
      </c>
      <c r="Q3" s="37"/>
      <c r="R3" s="37"/>
      <c r="S3" s="37"/>
      <c r="T3" s="37"/>
      <c r="U3" s="37"/>
    </row>
    <row r="4" spans="1:24" x14ac:dyDescent="0.25">
      <c r="A4" s="194" t="b">
        <v>0</v>
      </c>
      <c r="B4" s="9">
        <f t="shared" si="0"/>
        <v>3</v>
      </c>
      <c r="C4" s="47" t="str">
        <f>_xlfn.XLOOKUP($D4,Tab_Def_Processes[Name(EN)],Tab_Def_Processes[ID],,0,)</f>
        <v>04</v>
      </c>
      <c r="D4" s="189" t="s">
        <v>770</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785</v>
      </c>
      <c r="N4" s="175" t="str">
        <f>_xlfn.XLOOKUP($M4,Tab_Def_Flows[Name(EN)],Tab_Def_Flows[Flow_ID],,0,)</f>
        <v>F_04_00</v>
      </c>
      <c r="O4" s="42" t="str">
        <f t="shared" ref="O4:O50" si="1">"TC"&amp;"_"&amp;RIGHT(N4,5)</f>
        <v>TC_04_00</v>
      </c>
      <c r="P4" s="192">
        <v>0.48</v>
      </c>
      <c r="Q4" s="37"/>
      <c r="R4" s="37"/>
      <c r="S4" s="37"/>
      <c r="T4" s="37"/>
      <c r="U4" s="37"/>
    </row>
    <row r="5" spans="1:24" x14ac:dyDescent="0.25">
      <c r="A5" s="194" t="b">
        <v>0</v>
      </c>
      <c r="B5" s="9">
        <f t="shared" si="0"/>
        <v>4</v>
      </c>
      <c r="C5" s="47" t="str">
        <f>_xlfn.XLOOKUP($D5,Tab_Def_Processes[Name(EN)],Tab_Def_Processes[ID],,0,)</f>
        <v>04</v>
      </c>
      <c r="D5" s="189" t="s">
        <v>770</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2</v>
      </c>
      <c r="M5" s="189" t="s">
        <v>786</v>
      </c>
      <c r="N5" s="175" t="str">
        <f>_xlfn.XLOOKUP($M5,Tab_Def_Flows[Name(EN)],Tab_Def_Flows[Flow_ID],,0,)</f>
        <v>F_04_01</v>
      </c>
      <c r="O5" s="42" t="str">
        <f t="shared" si="1"/>
        <v>TC_04_01</v>
      </c>
      <c r="P5" s="192">
        <v>0.52</v>
      </c>
      <c r="Q5" s="37"/>
      <c r="R5" s="37"/>
      <c r="S5" s="37"/>
      <c r="T5" s="37"/>
      <c r="U5" s="37"/>
    </row>
    <row r="6" spans="1:24" x14ac:dyDescent="0.25">
      <c r="A6" s="194" t="b">
        <v>0</v>
      </c>
      <c r="B6" s="9">
        <f t="shared" si="0"/>
        <v>5</v>
      </c>
      <c r="C6" s="47" t="str">
        <f>_xlfn.XLOOKUP($D6,Tab_Def_Processes[Name(EN)],Tab_Def_Processes[ID],,0,)</f>
        <v>03</v>
      </c>
      <c r="D6" s="189" t="s">
        <v>777</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2</v>
      </c>
      <c r="M6" s="189" t="s">
        <v>778</v>
      </c>
      <c r="N6" s="175" t="str">
        <f>_xlfn.XLOOKUP($M6,Tab_Def_Flows[Name(EN)],Tab_Def_Flows[Flow_ID],,0,)</f>
        <v>F_03_05</v>
      </c>
      <c r="O6" s="42" t="str">
        <f t="shared" si="1"/>
        <v>TC_03_05</v>
      </c>
      <c r="P6" s="192">
        <v>0.5</v>
      </c>
      <c r="Q6" s="37"/>
      <c r="R6" s="37"/>
      <c r="S6" s="37"/>
      <c r="T6" s="37"/>
      <c r="U6" s="37"/>
    </row>
    <row r="7" spans="1:24" x14ac:dyDescent="0.25">
      <c r="A7" s="194" t="b">
        <v>0</v>
      </c>
      <c r="B7" s="9">
        <f t="shared" si="0"/>
        <v>6</v>
      </c>
      <c r="C7" s="47" t="str">
        <f>_xlfn.XLOOKUP($D7,Tab_Def_Processes[Name(EN)],Tab_Def_Processes[ID],,0,)</f>
        <v>06</v>
      </c>
      <c r="D7" s="189" t="s">
        <v>772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No</v>
      </c>
      <c r="I7" s="9"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2</v>
      </c>
      <c r="M7" s="189" t="s">
        <v>793</v>
      </c>
      <c r="N7" s="175" t="str">
        <f>_xlfn.XLOOKUP($M7,Tab_Def_Flows[Name(EN)],Tab_Def_Flows[Flow_ID],,0,)</f>
        <v>F_06_07</v>
      </c>
      <c r="O7" s="42" t="str">
        <f t="shared" si="1"/>
        <v>TC_06_07</v>
      </c>
      <c r="P7" s="192">
        <v>0.5</v>
      </c>
      <c r="Q7" s="37"/>
      <c r="R7" s="37"/>
      <c r="S7" s="37"/>
      <c r="T7" s="37"/>
      <c r="U7" s="37"/>
    </row>
    <row r="8" spans="1:24" x14ac:dyDescent="0.25">
      <c r="A8" s="194" t="b">
        <v>0</v>
      </c>
      <c r="B8" s="9">
        <f t="shared" si="0"/>
        <v>7</v>
      </c>
      <c r="C8" s="47" t="str">
        <f>_xlfn.XLOOKUP($D8,Tab_Def_Processes[Name(EN)],Tab_Def_Processes[ID],,0,)</f>
        <v>06</v>
      </c>
      <c r="D8" s="189" t="s">
        <v>772</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783</v>
      </c>
      <c r="N8" s="175" t="str">
        <f>_xlfn.XLOOKUP($M8,Tab_Def_Flows[Name(EN)],Tab_Def_Flows[Flow_ID],,0,)</f>
        <v>F_06_08</v>
      </c>
      <c r="O8" s="42" t="str">
        <f t="shared" si="1"/>
        <v>TC_06_08</v>
      </c>
      <c r="P8" s="192">
        <v>0.5</v>
      </c>
      <c r="Q8" s="37"/>
      <c r="R8" s="37"/>
      <c r="S8" s="37"/>
      <c r="T8" s="37"/>
      <c r="U8" s="37"/>
    </row>
    <row r="9" spans="1:24" x14ac:dyDescent="0.25">
      <c r="A9" s="194" t="b">
        <v>0</v>
      </c>
      <c r="B9" s="9">
        <f t="shared" si="0"/>
        <v>8</v>
      </c>
      <c r="C9" s="47" t="str">
        <f>_xlfn.XLOOKUP($D9,Tab_Def_Processes[Name(EN)],Tab_Def_Processes[ID],,0,)</f>
        <v>07</v>
      </c>
      <c r="D9" s="189" t="s">
        <v>773</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780</v>
      </c>
      <c r="N9" s="175" t="str">
        <f>_xlfn.XLOOKUP($M9,Tab_Def_Flows[Name(EN)],Tab_Def_Flows[Flow_ID],,0,)</f>
        <v>F_07_04</v>
      </c>
      <c r="O9" s="42" t="str">
        <f t="shared" si="1"/>
        <v>TC_07_04</v>
      </c>
      <c r="P9" s="192">
        <v>0.5</v>
      </c>
      <c r="Q9" s="37"/>
      <c r="R9" s="37"/>
      <c r="S9" s="37"/>
      <c r="T9" s="37"/>
      <c r="U9" s="37"/>
    </row>
    <row r="10" spans="1:24" x14ac:dyDescent="0.25">
      <c r="A10" s="194" t="b">
        <v>0</v>
      </c>
      <c r="B10" s="9">
        <f t="shared" si="0"/>
        <v>9</v>
      </c>
      <c r="C10" s="47" t="str">
        <f>_xlfn.XLOOKUP($D10,Tab_Def_Processes[Name(EN)],Tab_Def_Processes[ID],,0,)</f>
        <v>07</v>
      </c>
      <c r="D10" s="189" t="s">
        <v>773</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781</v>
      </c>
      <c r="N10" s="175" t="str">
        <f>_xlfn.XLOOKUP($M10,Tab_Def_Flows[Name(EN)],Tab_Def_Flows[Flow_ID],,0,)</f>
        <v>F_07_09</v>
      </c>
      <c r="O10" s="42" t="str">
        <f t="shared" si="1"/>
        <v>TC_07_09</v>
      </c>
      <c r="P10" s="192">
        <v>0.5</v>
      </c>
      <c r="Q10" s="37"/>
      <c r="R10" s="37"/>
      <c r="S10" s="37"/>
      <c r="T10" s="37"/>
      <c r="U10" s="37"/>
      <c r="X10">
        <v>0.66666666666666652</v>
      </c>
    </row>
    <row r="11" spans="1:24" x14ac:dyDescent="0.25">
      <c r="A11" s="194" t="b">
        <v>0</v>
      </c>
      <c r="B11" s="9">
        <f t="shared" si="0"/>
        <v>10</v>
      </c>
      <c r="C11" s="47" t="str">
        <f>_xlfn.XLOOKUP($D11,Tab_Def_Processes[Name(EN)],Tab_Def_Processes[ID],,0,)</f>
        <v>10</v>
      </c>
      <c r="D11" s="189"/>
      <c r="E11" s="9">
        <f>_xlfn.XLOOKUP($D11,Tab_Def_Processes[Name(EN)],Tab_Def_Processes[Process_Type],,0,)</f>
        <v>0</v>
      </c>
      <c r="F11" s="9">
        <f>_xlfn.XLOOKUP($D11,Tab_Def_Processes[Name(EN)],Tab_Def_Processes[TC?],,0,)</f>
        <v>0</v>
      </c>
      <c r="G11" s="9">
        <f>_xlfn.XLOOKUP($D11,Tab_Def_Processes[Name(EN)],Tab_Def_Processes[Dyn_TC?],,0,)</f>
        <v>0</v>
      </c>
      <c r="H11" s="9">
        <f>_xlfn.XLOOKUP($D11,Tab_Def_Processes[Name(EN)],Tab_Def_Processes[Stock?],,0,)</f>
        <v>0</v>
      </c>
      <c r="I11" s="9">
        <f>_xlfn.XLOOKUP($D11,Tab_Def_Processes[Name(EN)],Tab_Def_Processes[Initial_Stock?],,0,)</f>
        <v>0</v>
      </c>
      <c r="J11" s="9">
        <f>_xlfn.XLOOKUP($D11,Tab_Def_Processes[Name(EN)],Tab_Def_Processes[DSM?],,0,)</f>
        <v>0</v>
      </c>
      <c r="K11" s="9">
        <f>_xlfn.XLOOKUP($D11,Tab_Def_Processes[Name(EN)],Tab_Def_Processes[FOMP?],,0,)</f>
        <v>0</v>
      </c>
      <c r="L11" s="9">
        <f>_xlfn.XLOOKUP($D11,Tab_Def_Processes[Name(EN)],Tab_Def_Processes[Nr. Outflows],,0,)</f>
        <v>0</v>
      </c>
      <c r="M11" s="189"/>
      <c r="N11" s="175" t="str">
        <f>_xlfn.XLOOKUP($M11,Tab_Def_Flows[Name(EN)],Tab_Def_Flows[Flow_ID],,0,)</f>
        <v>F_10_10</v>
      </c>
      <c r="O11" s="42" t="str">
        <f t="shared" si="1"/>
        <v>TC_10_10</v>
      </c>
      <c r="P11" s="192"/>
      <c r="Q11" s="37"/>
      <c r="R11" s="37"/>
      <c r="S11" s="37"/>
      <c r="T11" s="37"/>
      <c r="U11" s="37"/>
      <c r="X11">
        <v>0.14666666666666664</v>
      </c>
    </row>
    <row r="12" spans="1:24" x14ac:dyDescent="0.25">
      <c r="A12" s="194" t="b">
        <v>0</v>
      </c>
      <c r="B12" s="9">
        <f t="shared" si="0"/>
        <v>11</v>
      </c>
      <c r="C12" s="47" t="str">
        <f>_xlfn.XLOOKUP($D12,Tab_Def_Processes[Name(EN)],Tab_Def_Processes[ID],,0,)</f>
        <v>10</v>
      </c>
      <c r="D12" s="189"/>
      <c r="E12" s="9">
        <f>_xlfn.XLOOKUP($D12,Tab_Def_Processes[Name(EN)],Tab_Def_Processes[Process_Type],,0,)</f>
        <v>0</v>
      </c>
      <c r="F12" s="9">
        <f>_xlfn.XLOOKUP($D12,Tab_Def_Processes[Name(EN)],Tab_Def_Processes[TC?],,0,)</f>
        <v>0</v>
      </c>
      <c r="G12" s="9">
        <f>_xlfn.XLOOKUP($D12,Tab_Def_Processes[Name(EN)],Tab_Def_Processes[Dyn_TC?],,0,)</f>
        <v>0</v>
      </c>
      <c r="H12" s="9">
        <f>_xlfn.XLOOKUP($D12,Tab_Def_Processes[Name(EN)],Tab_Def_Processes[Stock?],,0,)</f>
        <v>0</v>
      </c>
      <c r="I12" s="9">
        <f>_xlfn.XLOOKUP($D12,Tab_Def_Processes[Name(EN)],Tab_Def_Processes[Initial_Stock?],,0,)</f>
        <v>0</v>
      </c>
      <c r="J12" s="9">
        <f>_xlfn.XLOOKUP($D12,Tab_Def_Processes[Name(EN)],Tab_Def_Processes[DSM?],,0,)</f>
        <v>0</v>
      </c>
      <c r="K12" s="9">
        <f>_xlfn.XLOOKUP($D12,Tab_Def_Processes[Name(EN)],Tab_Def_Processes[FOMP?],,0,)</f>
        <v>0</v>
      </c>
      <c r="L12" s="9">
        <f>_xlfn.XLOOKUP($D12,Tab_Def_Processes[Name(EN)],Tab_Def_Processes[Nr. Outflows],,0,)</f>
        <v>0</v>
      </c>
      <c r="M12" s="189"/>
      <c r="N12" s="175" t="str">
        <f>_xlfn.XLOOKUP($M12,Tab_Def_Flows[Name(EN)],Tab_Def_Flows[Flow_ID],,0,)</f>
        <v>F_10_10</v>
      </c>
      <c r="O12" s="42" t="str">
        <f t="shared" si="1"/>
        <v>TC_10_10</v>
      </c>
      <c r="P12" s="192"/>
      <c r="Q12" s="37"/>
      <c r="R12" s="37"/>
      <c r="S12" s="37"/>
      <c r="T12" s="37"/>
      <c r="U12" s="37"/>
      <c r="X12">
        <v>0.18666666666666662</v>
      </c>
    </row>
    <row r="13" spans="1:24" x14ac:dyDescent="0.25">
      <c r="A13" s="194" t="b">
        <v>0</v>
      </c>
      <c r="B13" s="9">
        <f t="shared" si="0"/>
        <v>12</v>
      </c>
      <c r="C13" s="47" t="str">
        <f>_xlfn.XLOOKUP($D13,Tab_Def_Processes[Name(EN)],Tab_Def_Processes[ID],,0,)</f>
        <v>10</v>
      </c>
      <c r="D13" s="189"/>
      <c r="E13" s="9">
        <f>_xlfn.XLOOKUP($D13,Tab_Def_Processes[Name(EN)],Tab_Def_Processes[Process_Type],,0,)</f>
        <v>0</v>
      </c>
      <c r="F13" s="9">
        <f>_xlfn.XLOOKUP($D13,Tab_Def_Processes[Name(EN)],Tab_Def_Processes[TC?],,0,)</f>
        <v>0</v>
      </c>
      <c r="G13" s="9">
        <f>_xlfn.XLOOKUP($D13,Tab_Def_Processes[Name(EN)],Tab_Def_Processes[Dyn_TC?],,0,)</f>
        <v>0</v>
      </c>
      <c r="H13" s="9">
        <f>_xlfn.XLOOKUP($D13,Tab_Def_Processes[Name(EN)],Tab_Def_Processes[Stock?],,0,)</f>
        <v>0</v>
      </c>
      <c r="I13" s="9">
        <f>_xlfn.XLOOKUP($D13,Tab_Def_Processes[Name(EN)],Tab_Def_Processes[Initial_Stock?],,0,)</f>
        <v>0</v>
      </c>
      <c r="J13" s="9">
        <f>_xlfn.XLOOKUP($D13,Tab_Def_Processes[Name(EN)],Tab_Def_Processes[DSM?],,0,)</f>
        <v>0</v>
      </c>
      <c r="K13" s="9">
        <f>_xlfn.XLOOKUP($D13,Tab_Def_Processes[Name(EN)],Tab_Def_Processes[FOMP?],,0,)</f>
        <v>0</v>
      </c>
      <c r="L13" s="9">
        <f>_xlfn.XLOOKUP($D13,Tab_Def_Processes[Name(EN)],Tab_Def_Processes[Nr. Outflows],,0,)</f>
        <v>0</v>
      </c>
      <c r="M13" s="189"/>
      <c r="N13" s="175" t="str">
        <f>_xlfn.XLOOKUP($M13,Tab_Def_Flows[Name(EN)],Tab_Def_Flows[Flow_ID],,0,)</f>
        <v>F_10_10</v>
      </c>
      <c r="O13" s="42" t="str">
        <f t="shared" si="1"/>
        <v>TC_10_10</v>
      </c>
      <c r="P13" s="192"/>
      <c r="Q13" s="37"/>
      <c r="R13" s="37"/>
      <c r="S13" s="37"/>
      <c r="T13" s="37"/>
      <c r="U13" s="37"/>
    </row>
    <row r="14" spans="1:24" x14ac:dyDescent="0.25">
      <c r="A14" s="194" t="b">
        <v>0</v>
      </c>
      <c r="B14" s="9">
        <f t="shared" si="0"/>
        <v>13</v>
      </c>
      <c r="C14" s="47" t="str">
        <f>_xlfn.XLOOKUP($D14,Tab_Def_Processes[Name(EN)],Tab_Def_Processes[ID],,0,)</f>
        <v>10</v>
      </c>
      <c r="D14" s="189"/>
      <c r="E14" s="9">
        <f>_xlfn.XLOOKUP($D14,Tab_Def_Processes[Name(EN)],Tab_Def_Processes[Process_Type],,0,)</f>
        <v>0</v>
      </c>
      <c r="F14" s="9">
        <f>_xlfn.XLOOKUP($D14,Tab_Def_Processes[Name(EN)],Tab_Def_Processes[TC?],,0,)</f>
        <v>0</v>
      </c>
      <c r="G14" s="9">
        <f>_xlfn.XLOOKUP($D14,Tab_Def_Processes[Name(EN)],Tab_Def_Processes[Dyn_TC?],,0,)</f>
        <v>0</v>
      </c>
      <c r="H14" s="9">
        <f>_xlfn.XLOOKUP($D14,Tab_Def_Processes[Name(EN)],Tab_Def_Processes[Stock?],,0,)</f>
        <v>0</v>
      </c>
      <c r="I14" s="9">
        <f>_xlfn.XLOOKUP($D14,Tab_Def_Processes[Name(EN)],Tab_Def_Processes[Initial_Stock?],,0,)</f>
        <v>0</v>
      </c>
      <c r="J14" s="9">
        <f>_xlfn.XLOOKUP($D14,Tab_Def_Processes[Name(EN)],Tab_Def_Processes[DSM?],,0,)</f>
        <v>0</v>
      </c>
      <c r="K14" s="9">
        <f>_xlfn.XLOOKUP($D14,Tab_Def_Processes[Name(EN)],Tab_Def_Processes[FOMP?],,0,)</f>
        <v>0</v>
      </c>
      <c r="L14" s="9">
        <f>_xlfn.XLOOKUP($D14,Tab_Def_Processes[Name(EN)],Tab_Def_Processes[Nr. Outflows],,0,)</f>
        <v>0</v>
      </c>
      <c r="M14" s="189"/>
      <c r="N14" s="175" t="str">
        <f>_xlfn.XLOOKUP($M14,Tab_Def_Flows[Name(EN)],Tab_Def_Flows[Flow_ID],,0,)</f>
        <v>F_10_10</v>
      </c>
      <c r="O14" s="42" t="str">
        <f t="shared" si="1"/>
        <v>TC_10_10</v>
      </c>
      <c r="P14" s="192"/>
      <c r="Q14" s="37"/>
      <c r="R14" s="37"/>
      <c r="S14" s="37"/>
      <c r="T14" s="37"/>
      <c r="U14" s="37"/>
    </row>
    <row r="15" spans="1:24" x14ac:dyDescent="0.25">
      <c r="A15" s="194" t="b">
        <v>0</v>
      </c>
      <c r="B15" s="9">
        <f t="shared" si="0"/>
        <v>14</v>
      </c>
      <c r="C15" s="47" t="str">
        <f>_xlfn.XLOOKUP($D15,Tab_Def_Processes[Name(EN)],Tab_Def_Processes[ID],,0,)</f>
        <v>10</v>
      </c>
      <c r="D15" s="189"/>
      <c r="E15" s="9">
        <f>_xlfn.XLOOKUP($D15,Tab_Def_Processes[Name(EN)],Tab_Def_Processes[Process_Type],,0,)</f>
        <v>0</v>
      </c>
      <c r="F15" s="9">
        <f>_xlfn.XLOOKUP($D15,Tab_Def_Processes[Name(EN)],Tab_Def_Processes[TC?],,0,)</f>
        <v>0</v>
      </c>
      <c r="G15" s="9">
        <f>_xlfn.XLOOKUP($D15,Tab_Def_Processes[Name(EN)],Tab_Def_Processes[Dyn_TC?],,0,)</f>
        <v>0</v>
      </c>
      <c r="H15" s="9">
        <f>_xlfn.XLOOKUP($D15,Tab_Def_Processes[Name(EN)],Tab_Def_Processes[Stock?],,0,)</f>
        <v>0</v>
      </c>
      <c r="I15" s="9">
        <f>_xlfn.XLOOKUP($D15,Tab_Def_Processes[Name(EN)],Tab_Def_Processes[Initial_Stock?],,0,)</f>
        <v>0</v>
      </c>
      <c r="J15" s="9">
        <f>_xlfn.XLOOKUP($D15,Tab_Def_Processes[Name(EN)],Tab_Def_Processes[DSM?],,0,)</f>
        <v>0</v>
      </c>
      <c r="K15" s="9">
        <f>_xlfn.XLOOKUP($D15,Tab_Def_Processes[Name(EN)],Tab_Def_Processes[FOMP?],,0,)</f>
        <v>0</v>
      </c>
      <c r="L15" s="9">
        <f>_xlfn.XLOOKUP($D15,Tab_Def_Processes[Name(EN)],Tab_Def_Processes[Nr. Outflows],,0,)</f>
        <v>0</v>
      </c>
      <c r="M15" s="189"/>
      <c r="N15" s="175" t="str">
        <f>_xlfn.XLOOKUP($M15,Tab_Def_Flows[Name(EN)],Tab_Def_Flows[Flow_ID],,0,)</f>
        <v>F_10_10</v>
      </c>
      <c r="O15" s="42" t="str">
        <f t="shared" si="1"/>
        <v>TC_10_10</v>
      </c>
      <c r="P15" s="192"/>
      <c r="Q15" s="37"/>
      <c r="R15" s="37"/>
      <c r="S15" s="37"/>
      <c r="T15" s="37"/>
      <c r="U15" s="37"/>
    </row>
    <row r="16" spans="1:24" x14ac:dyDescent="0.25">
      <c r="A16" s="194" t="b">
        <v>0</v>
      </c>
      <c r="B16" s="9">
        <f t="shared" si="0"/>
        <v>15</v>
      </c>
      <c r="C16" s="47" t="str">
        <f>_xlfn.XLOOKUP($D16,Tab_Def_Processes[Name(EN)],Tab_Def_Processes[ID],,0,)</f>
        <v>10</v>
      </c>
      <c r="D16" s="189"/>
      <c r="E16" s="9">
        <f>_xlfn.XLOOKUP($D16,Tab_Def_Processes[Name(EN)],Tab_Def_Processes[Process_Type],,0,)</f>
        <v>0</v>
      </c>
      <c r="F16" s="9">
        <f>_xlfn.XLOOKUP($D16,Tab_Def_Processes[Name(EN)],Tab_Def_Processes[TC?],,0,)</f>
        <v>0</v>
      </c>
      <c r="G16" s="9">
        <f>_xlfn.XLOOKUP($D16,Tab_Def_Processes[Name(EN)],Tab_Def_Processes[Dyn_TC?],,0,)</f>
        <v>0</v>
      </c>
      <c r="H16" s="9">
        <f>_xlfn.XLOOKUP($D16,Tab_Def_Processes[Name(EN)],Tab_Def_Processes[Stock?],,0,)</f>
        <v>0</v>
      </c>
      <c r="I16" s="9">
        <f>_xlfn.XLOOKUP($D16,Tab_Def_Processes[Name(EN)],Tab_Def_Processes[Initial_Stock?],,0,)</f>
        <v>0</v>
      </c>
      <c r="J16" s="9">
        <f>_xlfn.XLOOKUP($D16,Tab_Def_Processes[Name(EN)],Tab_Def_Processes[DSM?],,0,)</f>
        <v>0</v>
      </c>
      <c r="K16" s="9">
        <f>_xlfn.XLOOKUP($D16,Tab_Def_Processes[Name(EN)],Tab_Def_Processes[FOMP?],,0,)</f>
        <v>0</v>
      </c>
      <c r="L16" s="9">
        <f>_xlfn.XLOOKUP($D16,Tab_Def_Processes[Name(EN)],Tab_Def_Processes[Nr. Outflows],,0,)</f>
        <v>0</v>
      </c>
      <c r="M16" s="189"/>
      <c r="N16" s="175" t="str">
        <f>_xlfn.XLOOKUP($M16,Tab_Def_Flows[Name(EN)],Tab_Def_Flows[Flow_ID],,0,)</f>
        <v>F_10_10</v>
      </c>
      <c r="O16" s="42" t="str">
        <f t="shared" si="1"/>
        <v>TC_10_10</v>
      </c>
      <c r="P16" s="192"/>
      <c r="Q16" s="37"/>
      <c r="R16" s="37"/>
      <c r="S16" s="37"/>
      <c r="T16" s="37"/>
      <c r="U16" s="37"/>
    </row>
    <row r="17" spans="1:21" x14ac:dyDescent="0.25">
      <c r="A17" s="194" t="b">
        <v>0</v>
      </c>
      <c r="B17" s="9">
        <f t="shared" si="0"/>
        <v>16</v>
      </c>
      <c r="C17" s="47" t="str">
        <f>_xlfn.XLOOKUP($D17,Tab_Def_Processes[Name(EN)],Tab_Def_Processes[ID],,0,)</f>
        <v>10</v>
      </c>
      <c r="D17" s="189"/>
      <c r="E17" s="9">
        <f>_xlfn.XLOOKUP($D17,Tab_Def_Processes[Name(EN)],Tab_Def_Processes[Process_Type],,0,)</f>
        <v>0</v>
      </c>
      <c r="F17" s="9">
        <f>_xlfn.XLOOKUP($D17,Tab_Def_Processes[Name(EN)],Tab_Def_Processes[TC?],,0,)</f>
        <v>0</v>
      </c>
      <c r="G17" s="9">
        <f>_xlfn.XLOOKUP($D17,Tab_Def_Processes[Name(EN)],Tab_Def_Processes[Dyn_TC?],,0,)</f>
        <v>0</v>
      </c>
      <c r="H17" s="9">
        <f>_xlfn.XLOOKUP($D17,Tab_Def_Processes[Name(EN)],Tab_Def_Processes[Stock?],,0,)</f>
        <v>0</v>
      </c>
      <c r="I17" s="9">
        <f>_xlfn.XLOOKUP($D17,Tab_Def_Processes[Name(EN)],Tab_Def_Processes[Initial_Stock?],,0,)</f>
        <v>0</v>
      </c>
      <c r="J17" s="9">
        <f>_xlfn.XLOOKUP($D17,Tab_Def_Processes[Name(EN)],Tab_Def_Processes[DSM?],,0,)</f>
        <v>0</v>
      </c>
      <c r="K17" s="9">
        <f>_xlfn.XLOOKUP($D17,Tab_Def_Processes[Name(EN)],Tab_Def_Processes[FOMP?],,0,)</f>
        <v>0</v>
      </c>
      <c r="L17" s="9">
        <f>_xlfn.XLOOKUP($D17,Tab_Def_Processes[Name(EN)],Tab_Def_Processes[Nr. Outflows],,0,)</f>
        <v>0</v>
      </c>
      <c r="M17" s="189"/>
      <c r="N17" s="175" t="str">
        <f>_xlfn.XLOOKUP($M17,Tab_Def_Flows[Name(EN)],Tab_Def_Flows[Flow_ID],,0,)</f>
        <v>F_10_10</v>
      </c>
      <c r="O17" s="42" t="str">
        <f t="shared" si="1"/>
        <v>TC_10_10</v>
      </c>
      <c r="P17" s="192"/>
      <c r="Q17" s="37"/>
      <c r="R17" s="37"/>
      <c r="S17" s="37"/>
      <c r="T17" s="37"/>
      <c r="U17" s="37"/>
    </row>
    <row r="18" spans="1:21" x14ac:dyDescent="0.25">
      <c r="A18" s="194" t="b">
        <v>0</v>
      </c>
      <c r="B18" s="9">
        <f t="shared" si="0"/>
        <v>17</v>
      </c>
      <c r="C18" s="47" t="str">
        <f>_xlfn.XLOOKUP($D18,Tab_Def_Processes[Name(EN)],Tab_Def_Processes[ID],,0,)</f>
        <v>10</v>
      </c>
      <c r="D18" s="189"/>
      <c r="E18" s="9">
        <f>_xlfn.XLOOKUP($D18,Tab_Def_Processes[Name(EN)],Tab_Def_Processes[Process_Type],,0,)</f>
        <v>0</v>
      </c>
      <c r="F18" s="9">
        <f>_xlfn.XLOOKUP($D18,Tab_Def_Processes[Name(EN)],Tab_Def_Processes[TC?],,0,)</f>
        <v>0</v>
      </c>
      <c r="G18" s="9">
        <f>_xlfn.XLOOKUP($D18,Tab_Def_Processes[Name(EN)],Tab_Def_Processes[Dyn_TC?],,0,)</f>
        <v>0</v>
      </c>
      <c r="H18" s="9">
        <f>_xlfn.XLOOKUP($D18,Tab_Def_Processes[Name(EN)],Tab_Def_Processes[Stock?],,0,)</f>
        <v>0</v>
      </c>
      <c r="I18" s="9">
        <f>_xlfn.XLOOKUP($D18,Tab_Def_Processes[Name(EN)],Tab_Def_Processes[Initial_Stock?],,0,)</f>
        <v>0</v>
      </c>
      <c r="J18" s="9">
        <f>_xlfn.XLOOKUP($D18,Tab_Def_Processes[Name(EN)],Tab_Def_Processes[DSM?],,0,)</f>
        <v>0</v>
      </c>
      <c r="K18" s="9">
        <f>_xlfn.XLOOKUP($D18,Tab_Def_Processes[Name(EN)],Tab_Def_Processes[FOMP?],,0,)</f>
        <v>0</v>
      </c>
      <c r="L18" s="9">
        <f>_xlfn.XLOOKUP($D18,Tab_Def_Processes[Name(EN)],Tab_Def_Processes[Nr. Outflows],,0,)</f>
        <v>0</v>
      </c>
      <c r="M18" s="189"/>
      <c r="N18" s="175" t="str">
        <f>_xlfn.XLOOKUP($M18,Tab_Def_Flows[Name(EN)],Tab_Def_Flows[Flow_ID],,0,)</f>
        <v>F_10_10</v>
      </c>
      <c r="O18" s="42" t="str">
        <f t="shared" si="1"/>
        <v>TC_10_10</v>
      </c>
      <c r="P18" s="192"/>
      <c r="Q18" s="37"/>
      <c r="R18" s="37"/>
      <c r="S18" s="37"/>
      <c r="T18" s="37"/>
      <c r="U18" s="37"/>
    </row>
    <row r="19" spans="1:21" x14ac:dyDescent="0.25">
      <c r="A19" s="194" t="b">
        <v>0</v>
      </c>
      <c r="B19" s="9">
        <f t="shared" si="0"/>
        <v>18</v>
      </c>
      <c r="C19" s="47" t="str">
        <f>_xlfn.XLOOKUP($D19,Tab_Def_Processes[Name(EN)],Tab_Def_Processes[ID],,0,)</f>
        <v>10</v>
      </c>
      <c r="D19" s="189"/>
      <c r="E19" s="9">
        <f>_xlfn.XLOOKUP($D19,Tab_Def_Processes[Name(EN)],Tab_Def_Processes[Process_Type],,0,)</f>
        <v>0</v>
      </c>
      <c r="F19" s="9">
        <f>_xlfn.XLOOKUP($D19,Tab_Def_Processes[Name(EN)],Tab_Def_Processes[TC?],,0,)</f>
        <v>0</v>
      </c>
      <c r="G19" s="9">
        <f>_xlfn.XLOOKUP($D19,Tab_Def_Processes[Name(EN)],Tab_Def_Processes[Dyn_TC?],,0,)</f>
        <v>0</v>
      </c>
      <c r="H19" s="9">
        <f>_xlfn.XLOOKUP($D19,Tab_Def_Processes[Name(EN)],Tab_Def_Processes[Stock?],,0,)</f>
        <v>0</v>
      </c>
      <c r="I19" s="9">
        <f>_xlfn.XLOOKUP($D19,Tab_Def_Processes[Name(EN)],Tab_Def_Processes[Initial_Stock?],,0,)</f>
        <v>0</v>
      </c>
      <c r="J19" s="9">
        <f>_xlfn.XLOOKUP($D19,Tab_Def_Processes[Name(EN)],Tab_Def_Processes[DSM?],,0,)</f>
        <v>0</v>
      </c>
      <c r="K19" s="9">
        <f>_xlfn.XLOOKUP($D19,Tab_Def_Processes[Name(EN)],Tab_Def_Processes[FOMP?],,0,)</f>
        <v>0</v>
      </c>
      <c r="L19" s="9">
        <f>_xlfn.XLOOKUP($D19,Tab_Def_Processes[Name(EN)],Tab_Def_Processes[Nr. Outflows],,0,)</f>
        <v>0</v>
      </c>
      <c r="M19" s="189"/>
      <c r="N19" s="175" t="str">
        <f>_xlfn.XLOOKUP($M19,Tab_Def_Flows[Name(EN)],Tab_Def_Flows[Flow_ID],,0,)</f>
        <v>F_10_10</v>
      </c>
      <c r="O19" s="42" t="str">
        <f t="shared" si="1"/>
        <v>TC_10_10</v>
      </c>
      <c r="P19" s="192"/>
      <c r="Q19" s="37"/>
      <c r="R19" s="37"/>
      <c r="S19" s="37"/>
      <c r="T19" s="37"/>
      <c r="U19" s="37"/>
    </row>
    <row r="20" spans="1:21" x14ac:dyDescent="0.25">
      <c r="A20" s="194" t="b">
        <v>0</v>
      </c>
      <c r="B20" s="9">
        <f t="shared" si="0"/>
        <v>19</v>
      </c>
      <c r="C20" s="47" t="str">
        <f>_xlfn.XLOOKUP($D20,Tab_Def_Processes[Name(EN)],Tab_Def_Processes[ID],,0,)</f>
        <v>10</v>
      </c>
      <c r="D20" s="189"/>
      <c r="E20" s="9">
        <f>_xlfn.XLOOKUP($D20,Tab_Def_Processes[Name(EN)],Tab_Def_Processes[Process_Type],,0,)</f>
        <v>0</v>
      </c>
      <c r="F20" s="9">
        <f>_xlfn.XLOOKUP($D20,Tab_Def_Processes[Name(EN)],Tab_Def_Processes[TC?],,0,)</f>
        <v>0</v>
      </c>
      <c r="G20" s="9">
        <f>_xlfn.XLOOKUP($D20,Tab_Def_Processes[Name(EN)],Tab_Def_Processes[Dyn_TC?],,0,)</f>
        <v>0</v>
      </c>
      <c r="H20" s="9">
        <f>_xlfn.XLOOKUP($D20,Tab_Def_Processes[Name(EN)],Tab_Def_Processes[Stock?],,0,)</f>
        <v>0</v>
      </c>
      <c r="I20" s="9">
        <f>_xlfn.XLOOKUP($D20,Tab_Def_Processes[Name(EN)],Tab_Def_Processes[Initial_Stock?],,0,)</f>
        <v>0</v>
      </c>
      <c r="J20" s="9">
        <f>_xlfn.XLOOKUP($D20,Tab_Def_Processes[Name(EN)],Tab_Def_Processes[DSM?],,0,)</f>
        <v>0</v>
      </c>
      <c r="K20" s="9">
        <f>_xlfn.XLOOKUP($D20,Tab_Def_Processes[Name(EN)],Tab_Def_Processes[FOMP?],,0,)</f>
        <v>0</v>
      </c>
      <c r="L20" s="9">
        <f>_xlfn.XLOOKUP($D20,Tab_Def_Processes[Name(EN)],Tab_Def_Processes[Nr. Outflows],,0,)</f>
        <v>0</v>
      </c>
      <c r="M20" s="189"/>
      <c r="N20" s="175" t="str">
        <f>_xlfn.XLOOKUP($M20,Tab_Def_Flows[Name(EN)],Tab_Def_Flows[Flow_ID],,0,)</f>
        <v>F_10_10</v>
      </c>
      <c r="O20" s="42" t="str">
        <f t="shared" si="1"/>
        <v>TC_10_10</v>
      </c>
      <c r="P20" s="192"/>
      <c r="Q20" s="37"/>
      <c r="R20" s="37"/>
      <c r="S20" s="37"/>
      <c r="T20" s="37"/>
      <c r="U20" s="37"/>
    </row>
    <row r="21" spans="1:21" x14ac:dyDescent="0.25">
      <c r="A21" s="194" t="b">
        <v>0</v>
      </c>
      <c r="B21" s="9">
        <f t="shared" si="0"/>
        <v>20</v>
      </c>
      <c r="C21" s="47" t="str">
        <f>_xlfn.XLOOKUP($D21,Tab_Def_Processes[Name(EN)],Tab_Def_Processes[ID],,0,)</f>
        <v>10</v>
      </c>
      <c r="D21" s="189"/>
      <c r="E21" s="9">
        <f>_xlfn.XLOOKUP($D21,Tab_Def_Processes[Name(EN)],Tab_Def_Processes[Process_Type],,0,)</f>
        <v>0</v>
      </c>
      <c r="F21" s="9">
        <f>_xlfn.XLOOKUP($D21,Tab_Def_Processes[Name(EN)],Tab_Def_Processes[TC?],,0,)</f>
        <v>0</v>
      </c>
      <c r="G21" s="9">
        <f>_xlfn.XLOOKUP($D21,Tab_Def_Processes[Name(EN)],Tab_Def_Processes[Dyn_TC?],,0,)</f>
        <v>0</v>
      </c>
      <c r="H21" s="9">
        <f>_xlfn.XLOOKUP($D21,Tab_Def_Processes[Name(EN)],Tab_Def_Processes[Stock?],,0,)</f>
        <v>0</v>
      </c>
      <c r="I21" s="9">
        <f>_xlfn.XLOOKUP($D21,Tab_Def_Processes[Name(EN)],Tab_Def_Processes[Initial_Stock?],,0,)</f>
        <v>0</v>
      </c>
      <c r="J21" s="9">
        <f>_xlfn.XLOOKUP($D21,Tab_Def_Processes[Name(EN)],Tab_Def_Processes[DSM?],,0,)</f>
        <v>0</v>
      </c>
      <c r="K21" s="9">
        <f>_xlfn.XLOOKUP($D21,Tab_Def_Processes[Name(EN)],Tab_Def_Processes[FOMP?],,0,)</f>
        <v>0</v>
      </c>
      <c r="L21" s="9">
        <f>_xlfn.XLOOKUP($D21,Tab_Def_Processes[Name(EN)],Tab_Def_Processes[Nr. Outflows],,0,)</f>
        <v>0</v>
      </c>
      <c r="M21" s="189"/>
      <c r="N21" s="175" t="str">
        <f>_xlfn.XLOOKUP($M21,Tab_Def_Flows[Name(EN)],Tab_Def_Flows[Flow_ID],,0,)</f>
        <v>F_10_10</v>
      </c>
      <c r="O21" s="42" t="str">
        <f t="shared" si="1"/>
        <v>TC_10_10</v>
      </c>
      <c r="P21" s="192"/>
      <c r="Q21" s="37"/>
      <c r="R21" s="37"/>
      <c r="S21" s="37"/>
      <c r="T21" s="37"/>
      <c r="U21" s="37"/>
    </row>
    <row r="22" spans="1:21" x14ac:dyDescent="0.25">
      <c r="A22" s="194" t="b">
        <v>0</v>
      </c>
      <c r="B22" s="9">
        <f t="shared" si="0"/>
        <v>21</v>
      </c>
      <c r="C22" s="47" t="str">
        <f>_xlfn.XLOOKUP($D22,Tab_Def_Processes[Name(EN)],Tab_Def_Processes[ID],,0,)</f>
        <v>10</v>
      </c>
      <c r="D22" s="189"/>
      <c r="E22" s="9">
        <f>_xlfn.XLOOKUP($D22,Tab_Def_Processes[Name(EN)],Tab_Def_Processes[Process_Type],,0,)</f>
        <v>0</v>
      </c>
      <c r="F22" s="9">
        <f>_xlfn.XLOOKUP($D22,Tab_Def_Processes[Name(EN)],Tab_Def_Processes[TC?],,0,)</f>
        <v>0</v>
      </c>
      <c r="G22" s="9">
        <f>_xlfn.XLOOKUP($D22,Tab_Def_Processes[Name(EN)],Tab_Def_Processes[Dyn_TC?],,0,)</f>
        <v>0</v>
      </c>
      <c r="H22" s="9">
        <f>_xlfn.XLOOKUP($D22,Tab_Def_Processes[Name(EN)],Tab_Def_Processes[Stock?],,0,)</f>
        <v>0</v>
      </c>
      <c r="I22" s="9">
        <f>_xlfn.XLOOKUP($D22,Tab_Def_Processes[Name(EN)],Tab_Def_Processes[Initial_Stock?],,0,)</f>
        <v>0</v>
      </c>
      <c r="J22" s="9">
        <f>_xlfn.XLOOKUP($D22,Tab_Def_Processes[Name(EN)],Tab_Def_Processes[DSM?],,0,)</f>
        <v>0</v>
      </c>
      <c r="K22" s="9">
        <f>_xlfn.XLOOKUP($D22,Tab_Def_Processes[Name(EN)],Tab_Def_Processes[FOMP?],,0,)</f>
        <v>0</v>
      </c>
      <c r="L22" s="9">
        <f>_xlfn.XLOOKUP($D22,Tab_Def_Processes[Name(EN)],Tab_Def_Processes[Nr. Outflows],,0,)</f>
        <v>0</v>
      </c>
      <c r="M22" s="189"/>
      <c r="N22" s="175" t="str">
        <f>_xlfn.XLOOKUP($M22,Tab_Def_Flows[Name(EN)],Tab_Def_Flows[Flow_ID],,0,)</f>
        <v>F_10_10</v>
      </c>
      <c r="O22" s="42" t="str">
        <f t="shared" si="1"/>
        <v>TC_10_10</v>
      </c>
      <c r="P22" s="192"/>
      <c r="Q22" s="37"/>
      <c r="R22" s="37"/>
      <c r="S22" s="37"/>
      <c r="T22" s="37"/>
      <c r="U22" s="37"/>
    </row>
    <row r="23" spans="1:21" x14ac:dyDescent="0.25">
      <c r="A23" s="194" t="b">
        <v>0</v>
      </c>
      <c r="B23" s="9">
        <f t="shared" si="0"/>
        <v>22</v>
      </c>
      <c r="C23" s="47" t="str">
        <f>_xlfn.XLOOKUP($D23,Tab_Def_Processes[Name(EN)],Tab_Def_Processes[ID],,0,)</f>
        <v>10</v>
      </c>
      <c r="D23" s="189"/>
      <c r="E23" s="9">
        <f>_xlfn.XLOOKUP($D23,Tab_Def_Processes[Name(EN)],Tab_Def_Processes[Process_Type],,0,)</f>
        <v>0</v>
      </c>
      <c r="F23" s="9">
        <f>_xlfn.XLOOKUP($D23,Tab_Def_Processes[Name(EN)],Tab_Def_Processes[TC?],,0,)</f>
        <v>0</v>
      </c>
      <c r="G23" s="9">
        <f>_xlfn.XLOOKUP($D23,Tab_Def_Processes[Name(EN)],Tab_Def_Processes[Dyn_TC?],,0,)</f>
        <v>0</v>
      </c>
      <c r="H23" s="9">
        <f>_xlfn.XLOOKUP($D23,Tab_Def_Processes[Name(EN)],Tab_Def_Processes[Stock?],,0,)</f>
        <v>0</v>
      </c>
      <c r="I23" s="9">
        <f>_xlfn.XLOOKUP($D23,Tab_Def_Processes[Name(EN)],Tab_Def_Processes[Initial_Stock?],,0,)</f>
        <v>0</v>
      </c>
      <c r="J23" s="9">
        <f>_xlfn.XLOOKUP($D23,Tab_Def_Processes[Name(EN)],Tab_Def_Processes[DSM?],,0,)</f>
        <v>0</v>
      </c>
      <c r="K23" s="9">
        <f>_xlfn.XLOOKUP($D23,Tab_Def_Processes[Name(EN)],Tab_Def_Processes[FOMP?],,0,)</f>
        <v>0</v>
      </c>
      <c r="L23" s="9">
        <f>_xlfn.XLOOKUP($D23,Tab_Def_Processes[Name(EN)],Tab_Def_Processes[Nr. Outflows],,0,)</f>
        <v>0</v>
      </c>
      <c r="M23" s="189"/>
      <c r="N23" s="175" t="str">
        <f>_xlfn.XLOOKUP($M23,Tab_Def_Flows[Name(EN)],Tab_Def_Flows[Flow_ID],,0,)</f>
        <v>F_10_10</v>
      </c>
      <c r="O23" s="42" t="str">
        <f t="shared" si="1"/>
        <v>TC_10_10</v>
      </c>
      <c r="P23" s="192"/>
      <c r="Q23" s="37"/>
      <c r="R23" s="37"/>
      <c r="S23" s="37"/>
      <c r="T23" s="37"/>
      <c r="U23" s="37"/>
    </row>
    <row r="24" spans="1:21" x14ac:dyDescent="0.25">
      <c r="A24" s="194" t="b">
        <v>0</v>
      </c>
      <c r="B24" s="9">
        <f t="shared" si="0"/>
        <v>23</v>
      </c>
      <c r="C24" s="47" t="str">
        <f>_xlfn.XLOOKUP($D24,Tab_Def_Processes[Name(EN)],Tab_Def_Processes[ID],,0,)</f>
        <v>10</v>
      </c>
      <c r="D24" s="189"/>
      <c r="E24" s="9">
        <f>_xlfn.XLOOKUP($D24,Tab_Def_Processes[Name(EN)],Tab_Def_Processes[Process_Type],,0,)</f>
        <v>0</v>
      </c>
      <c r="F24" s="9">
        <f>_xlfn.XLOOKUP($D24,Tab_Def_Processes[Name(EN)],Tab_Def_Processes[TC?],,0,)</f>
        <v>0</v>
      </c>
      <c r="G24" s="9">
        <f>_xlfn.XLOOKUP($D24,Tab_Def_Processes[Name(EN)],Tab_Def_Processes[Dyn_TC?],,0,)</f>
        <v>0</v>
      </c>
      <c r="H24" s="9">
        <f>_xlfn.XLOOKUP($D24,Tab_Def_Processes[Name(EN)],Tab_Def_Processes[Stock?],,0,)</f>
        <v>0</v>
      </c>
      <c r="I24" s="9">
        <f>_xlfn.XLOOKUP($D24,Tab_Def_Processes[Name(EN)],Tab_Def_Processes[Initial_Stock?],,0,)</f>
        <v>0</v>
      </c>
      <c r="J24" s="9">
        <f>_xlfn.XLOOKUP($D24,Tab_Def_Processes[Name(EN)],Tab_Def_Processes[DSM?],,0,)</f>
        <v>0</v>
      </c>
      <c r="K24" s="9">
        <f>_xlfn.XLOOKUP($D24,Tab_Def_Processes[Name(EN)],Tab_Def_Processes[FOMP?],,0,)</f>
        <v>0</v>
      </c>
      <c r="L24" s="9">
        <f>_xlfn.XLOOKUP($D24,Tab_Def_Processes[Name(EN)],Tab_Def_Processes[Nr. Outflows],,0,)</f>
        <v>0</v>
      </c>
      <c r="M24" s="189"/>
      <c r="N24" s="175" t="str">
        <f>_xlfn.XLOOKUP($M24,Tab_Def_Flows[Name(EN)],Tab_Def_Flows[Flow_ID],,0,)</f>
        <v>F_10_10</v>
      </c>
      <c r="O24" s="42" t="str">
        <f t="shared" si="1"/>
        <v>TC_10_10</v>
      </c>
      <c r="P24" s="192"/>
      <c r="Q24" s="37"/>
      <c r="R24" s="37"/>
      <c r="S24" s="37"/>
      <c r="T24" s="37"/>
      <c r="U24" s="37"/>
    </row>
    <row r="25" spans="1:21" x14ac:dyDescent="0.25">
      <c r="A25" s="194" t="b">
        <v>0</v>
      </c>
      <c r="B25" s="9">
        <f t="shared" si="0"/>
        <v>24</v>
      </c>
      <c r="C25" s="47" t="str">
        <f>_xlfn.XLOOKUP($D25,Tab_Def_Processes[Name(EN)],Tab_Def_Processes[ID],,0,)</f>
        <v>10</v>
      </c>
      <c r="D25" s="189"/>
      <c r="E25" s="9">
        <f>_xlfn.XLOOKUP($D25,Tab_Def_Processes[Name(EN)],Tab_Def_Processes[Process_Type],,0,)</f>
        <v>0</v>
      </c>
      <c r="F25" s="9">
        <f>_xlfn.XLOOKUP($D25,Tab_Def_Processes[Name(EN)],Tab_Def_Processes[TC?],,0,)</f>
        <v>0</v>
      </c>
      <c r="G25" s="9">
        <f>_xlfn.XLOOKUP($D25,Tab_Def_Processes[Name(EN)],Tab_Def_Processes[Dyn_TC?],,0,)</f>
        <v>0</v>
      </c>
      <c r="H25" s="9">
        <f>_xlfn.XLOOKUP($D25,Tab_Def_Processes[Name(EN)],Tab_Def_Processes[Stock?],,0,)</f>
        <v>0</v>
      </c>
      <c r="I25" s="9">
        <f>_xlfn.XLOOKUP($D25,Tab_Def_Processes[Name(EN)],Tab_Def_Processes[Initial_Stock?],,0,)</f>
        <v>0</v>
      </c>
      <c r="J25" s="9">
        <f>_xlfn.XLOOKUP($D25,Tab_Def_Processes[Name(EN)],Tab_Def_Processes[DSM?],,0,)</f>
        <v>0</v>
      </c>
      <c r="K25" s="9">
        <f>_xlfn.XLOOKUP($D25,Tab_Def_Processes[Name(EN)],Tab_Def_Processes[FOMP?],,0,)</f>
        <v>0</v>
      </c>
      <c r="L25" s="9">
        <f>_xlfn.XLOOKUP($D25,Tab_Def_Processes[Name(EN)],Tab_Def_Processes[Nr. Outflows],,0,)</f>
        <v>0</v>
      </c>
      <c r="M25" s="189"/>
      <c r="N25" s="175" t="str">
        <f>_xlfn.XLOOKUP($M25,Tab_Def_Flows[Name(EN)],Tab_Def_Flows[Flow_ID],,0,)</f>
        <v>F_10_10</v>
      </c>
      <c r="O25" s="42" t="str">
        <f t="shared" si="1"/>
        <v>TC_10_10</v>
      </c>
      <c r="P25" s="192"/>
      <c r="Q25" s="37"/>
      <c r="R25" s="37"/>
      <c r="S25" s="37"/>
      <c r="T25" s="37"/>
      <c r="U25" s="37"/>
    </row>
    <row r="26" spans="1:21" x14ac:dyDescent="0.25">
      <c r="A26" s="194" t="b">
        <v>0</v>
      </c>
      <c r="B26" s="9">
        <f t="shared" si="0"/>
        <v>25</v>
      </c>
      <c r="C26" s="47" t="str">
        <f>_xlfn.XLOOKUP($D26,Tab_Def_Processes[Name(EN)],Tab_Def_Processes[ID],,0,)</f>
        <v>10</v>
      </c>
      <c r="D26" s="189"/>
      <c r="E26" s="9">
        <f>_xlfn.XLOOKUP($D26,Tab_Def_Processes[Name(EN)],Tab_Def_Processes[Process_Type],,0,)</f>
        <v>0</v>
      </c>
      <c r="F26" s="9">
        <f>_xlfn.XLOOKUP($D26,Tab_Def_Processes[Name(EN)],Tab_Def_Processes[TC?],,0,)</f>
        <v>0</v>
      </c>
      <c r="G26" s="9">
        <f>_xlfn.XLOOKUP($D26,Tab_Def_Processes[Name(EN)],Tab_Def_Processes[Dyn_TC?],,0,)</f>
        <v>0</v>
      </c>
      <c r="H26" s="9">
        <f>_xlfn.XLOOKUP($D26,Tab_Def_Processes[Name(EN)],Tab_Def_Processes[Stock?],,0,)</f>
        <v>0</v>
      </c>
      <c r="I26" s="9">
        <f>_xlfn.XLOOKUP($D26,Tab_Def_Processes[Name(EN)],Tab_Def_Processes[Initial_Stock?],,0,)</f>
        <v>0</v>
      </c>
      <c r="J26" s="9">
        <f>_xlfn.XLOOKUP($D26,Tab_Def_Processes[Name(EN)],Tab_Def_Processes[DSM?],,0,)</f>
        <v>0</v>
      </c>
      <c r="K26" s="9">
        <f>_xlfn.XLOOKUP($D26,Tab_Def_Processes[Name(EN)],Tab_Def_Processes[FOMP?],,0,)</f>
        <v>0</v>
      </c>
      <c r="L26" s="9">
        <f>_xlfn.XLOOKUP($D26,Tab_Def_Processes[Name(EN)],Tab_Def_Processes[Nr. Outflows],,0,)</f>
        <v>0</v>
      </c>
      <c r="M26" s="189"/>
      <c r="N26" s="175" t="str">
        <f>_xlfn.XLOOKUP($M26,Tab_Def_Flows[Name(EN)],Tab_Def_Flows[Flow_ID],,0,)</f>
        <v>F_10_10</v>
      </c>
      <c r="O26" s="42" t="str">
        <f t="shared" si="1"/>
        <v>TC_10_10</v>
      </c>
      <c r="P26" s="192"/>
      <c r="Q26" s="37"/>
      <c r="R26" s="37"/>
      <c r="S26" s="37"/>
      <c r="T26" s="37"/>
      <c r="U26" s="37"/>
    </row>
    <row r="27" spans="1:21" x14ac:dyDescent="0.25">
      <c r="A27" s="194" t="b">
        <v>0</v>
      </c>
      <c r="B27" s="9">
        <f t="shared" si="0"/>
        <v>26</v>
      </c>
      <c r="C27" s="47" t="str">
        <f>_xlfn.XLOOKUP($D27,Tab_Def_Processes[Name(EN)],Tab_Def_Processes[ID],,0,)</f>
        <v>10</v>
      </c>
      <c r="D27" s="189"/>
      <c r="E27" s="9">
        <f>_xlfn.XLOOKUP($D27,Tab_Def_Processes[Name(EN)],Tab_Def_Processes[Process_Type],,0,)</f>
        <v>0</v>
      </c>
      <c r="F27" s="9">
        <f>_xlfn.XLOOKUP($D27,Tab_Def_Processes[Name(EN)],Tab_Def_Processes[TC?],,0,)</f>
        <v>0</v>
      </c>
      <c r="G27" s="9">
        <f>_xlfn.XLOOKUP($D27,Tab_Def_Processes[Name(EN)],Tab_Def_Processes[Dyn_TC?],,0,)</f>
        <v>0</v>
      </c>
      <c r="H27" s="9">
        <f>_xlfn.XLOOKUP($D27,Tab_Def_Processes[Name(EN)],Tab_Def_Processes[Stock?],,0,)</f>
        <v>0</v>
      </c>
      <c r="I27" s="9">
        <f>_xlfn.XLOOKUP($D27,Tab_Def_Processes[Name(EN)],Tab_Def_Processes[Initial_Stock?],,0,)</f>
        <v>0</v>
      </c>
      <c r="J27" s="9">
        <f>_xlfn.XLOOKUP($D27,Tab_Def_Processes[Name(EN)],Tab_Def_Processes[DSM?],,0,)</f>
        <v>0</v>
      </c>
      <c r="K27" s="9">
        <f>_xlfn.XLOOKUP($D27,Tab_Def_Processes[Name(EN)],Tab_Def_Processes[FOMP?],,0,)</f>
        <v>0</v>
      </c>
      <c r="L27" s="9">
        <f>_xlfn.XLOOKUP($D27,Tab_Def_Processes[Name(EN)],Tab_Def_Processes[Nr. Outflows],,0,)</f>
        <v>0</v>
      </c>
      <c r="M27" s="189"/>
      <c r="N27" s="175" t="str">
        <f>_xlfn.XLOOKUP($M27,Tab_Def_Flows[Name(EN)],Tab_Def_Flows[Flow_ID],,0,)</f>
        <v>F_10_10</v>
      </c>
      <c r="O27" s="42" t="str">
        <f t="shared" si="1"/>
        <v>TC_10_10</v>
      </c>
      <c r="P27" s="192"/>
      <c r="Q27" s="37"/>
      <c r="R27" s="37"/>
      <c r="S27" s="37"/>
      <c r="T27" s="37"/>
      <c r="U27" s="37"/>
    </row>
    <row r="28" spans="1:21" x14ac:dyDescent="0.25">
      <c r="A28" s="194" t="b">
        <v>0</v>
      </c>
      <c r="B28" s="9">
        <f t="shared" si="0"/>
        <v>27</v>
      </c>
      <c r="C28" s="47" t="str">
        <f>_xlfn.XLOOKUP($D28,Tab_Def_Processes[Name(EN)],Tab_Def_Processes[ID],,0,)</f>
        <v>10</v>
      </c>
      <c r="D28" s="189"/>
      <c r="E28" s="9">
        <f>_xlfn.XLOOKUP($D28,Tab_Def_Processes[Name(EN)],Tab_Def_Processes[Process_Type],,0,)</f>
        <v>0</v>
      </c>
      <c r="F28" s="9">
        <f>_xlfn.XLOOKUP($D28,Tab_Def_Processes[Name(EN)],Tab_Def_Processes[TC?],,0,)</f>
        <v>0</v>
      </c>
      <c r="G28" s="9">
        <f>_xlfn.XLOOKUP($D28,Tab_Def_Processes[Name(EN)],Tab_Def_Processes[Dyn_TC?],,0,)</f>
        <v>0</v>
      </c>
      <c r="H28" s="9">
        <f>_xlfn.XLOOKUP($D28,Tab_Def_Processes[Name(EN)],Tab_Def_Processes[Stock?],,0,)</f>
        <v>0</v>
      </c>
      <c r="I28" s="9">
        <f>_xlfn.XLOOKUP($D28,Tab_Def_Processes[Name(EN)],Tab_Def_Processes[Initial_Stock?],,0,)</f>
        <v>0</v>
      </c>
      <c r="J28" s="9">
        <f>_xlfn.XLOOKUP($D28,Tab_Def_Processes[Name(EN)],Tab_Def_Processes[DSM?],,0,)</f>
        <v>0</v>
      </c>
      <c r="K28" s="9">
        <f>_xlfn.XLOOKUP($D28,Tab_Def_Processes[Name(EN)],Tab_Def_Processes[FOMP?],,0,)</f>
        <v>0</v>
      </c>
      <c r="L28" s="9">
        <f>_xlfn.XLOOKUP($D28,Tab_Def_Processes[Name(EN)],Tab_Def_Processes[Nr. Outflows],,0,)</f>
        <v>0</v>
      </c>
      <c r="M28" s="189"/>
      <c r="N28" s="175" t="str">
        <f>_xlfn.XLOOKUP($M28,Tab_Def_Flows[Name(EN)],Tab_Def_Flows[Flow_ID],,0,)</f>
        <v>F_10_10</v>
      </c>
      <c r="O28" s="42" t="str">
        <f t="shared" si="1"/>
        <v>TC_10_10</v>
      </c>
      <c r="P28" s="192"/>
      <c r="Q28" s="37"/>
      <c r="R28" s="37"/>
      <c r="S28" s="37"/>
      <c r="T28" s="37"/>
      <c r="U28" s="37"/>
    </row>
    <row r="29" spans="1:21" x14ac:dyDescent="0.25">
      <c r="A29" s="194" t="b">
        <v>0</v>
      </c>
      <c r="B29" s="9">
        <f t="shared" si="0"/>
        <v>28</v>
      </c>
      <c r="C29" s="47" t="str">
        <f>_xlfn.XLOOKUP($D29,Tab_Def_Processes[Name(EN)],Tab_Def_Processes[ID],,0,)</f>
        <v>10</v>
      </c>
      <c r="D29" s="189"/>
      <c r="E29" s="9">
        <f>_xlfn.XLOOKUP($D29,Tab_Def_Processes[Name(EN)],Tab_Def_Processes[Process_Type],,0,)</f>
        <v>0</v>
      </c>
      <c r="F29" s="9">
        <f>_xlfn.XLOOKUP($D29,Tab_Def_Processes[Name(EN)],Tab_Def_Processes[TC?],,0,)</f>
        <v>0</v>
      </c>
      <c r="G29" s="9">
        <f>_xlfn.XLOOKUP($D29,Tab_Def_Processes[Name(EN)],Tab_Def_Processes[Dyn_TC?],,0,)</f>
        <v>0</v>
      </c>
      <c r="H29" s="9">
        <f>_xlfn.XLOOKUP($D29,Tab_Def_Processes[Name(EN)],Tab_Def_Processes[Stock?],,0,)</f>
        <v>0</v>
      </c>
      <c r="I29" s="9">
        <f>_xlfn.XLOOKUP($D29,Tab_Def_Processes[Name(EN)],Tab_Def_Processes[Initial_Stock?],,0,)</f>
        <v>0</v>
      </c>
      <c r="J29" s="9">
        <f>_xlfn.XLOOKUP($D29,Tab_Def_Processes[Name(EN)],Tab_Def_Processes[DSM?],,0,)</f>
        <v>0</v>
      </c>
      <c r="K29" s="9">
        <f>_xlfn.XLOOKUP($D29,Tab_Def_Processes[Name(EN)],Tab_Def_Processes[FOMP?],,0,)</f>
        <v>0</v>
      </c>
      <c r="L29" s="9">
        <f>_xlfn.XLOOKUP($D29,Tab_Def_Processes[Name(EN)],Tab_Def_Processes[Nr. Outflows],,0,)</f>
        <v>0</v>
      </c>
      <c r="M29" s="189"/>
      <c r="N29" s="175" t="str">
        <f>_xlfn.XLOOKUP($M29,Tab_Def_Flows[Name(EN)],Tab_Def_Flows[Flow_ID],,0,)</f>
        <v>F_10_10</v>
      </c>
      <c r="O29" s="42" t="str">
        <f t="shared" si="1"/>
        <v>TC_10_10</v>
      </c>
      <c r="P29" s="192"/>
      <c r="Q29" s="37"/>
      <c r="R29" s="37"/>
      <c r="S29" s="37"/>
      <c r="T29" s="37"/>
      <c r="U29" s="37"/>
    </row>
    <row r="30" spans="1:21" x14ac:dyDescent="0.25">
      <c r="A30" s="194" t="b">
        <v>0</v>
      </c>
      <c r="B30" s="9">
        <f t="shared" si="0"/>
        <v>29</v>
      </c>
      <c r="C30" s="47" t="str">
        <f>_xlfn.XLOOKUP($D30,Tab_Def_Processes[Name(EN)],Tab_Def_Processes[ID],,0,)</f>
        <v>10</v>
      </c>
      <c r="D30" s="189"/>
      <c r="E30" s="9">
        <f>_xlfn.XLOOKUP($D30,Tab_Def_Processes[Name(EN)],Tab_Def_Processes[Process_Type],,0,)</f>
        <v>0</v>
      </c>
      <c r="F30" s="9">
        <f>_xlfn.XLOOKUP($D30,Tab_Def_Processes[Name(EN)],Tab_Def_Processes[TC?],,0,)</f>
        <v>0</v>
      </c>
      <c r="G30" s="9">
        <f>_xlfn.XLOOKUP($D30,Tab_Def_Processes[Name(EN)],Tab_Def_Processes[Dyn_TC?],,0,)</f>
        <v>0</v>
      </c>
      <c r="H30" s="9">
        <f>_xlfn.XLOOKUP($D30,Tab_Def_Processes[Name(EN)],Tab_Def_Processes[Stock?],,0,)</f>
        <v>0</v>
      </c>
      <c r="I30" s="9">
        <f>_xlfn.XLOOKUP($D30,Tab_Def_Processes[Name(EN)],Tab_Def_Processes[Initial_Stock?],,0,)</f>
        <v>0</v>
      </c>
      <c r="J30" s="9">
        <f>_xlfn.XLOOKUP($D30,Tab_Def_Processes[Name(EN)],Tab_Def_Processes[DSM?],,0,)</f>
        <v>0</v>
      </c>
      <c r="K30" s="9">
        <f>_xlfn.XLOOKUP($D30,Tab_Def_Processes[Name(EN)],Tab_Def_Processes[FOMP?],,0,)</f>
        <v>0</v>
      </c>
      <c r="L30" s="9">
        <f>_xlfn.XLOOKUP($D30,Tab_Def_Processes[Name(EN)],Tab_Def_Processes[Nr. Outflows],,0,)</f>
        <v>0</v>
      </c>
      <c r="M30" s="189"/>
      <c r="N30" s="175" t="str">
        <f>_xlfn.XLOOKUP($M30,Tab_Def_Flows[Name(EN)],Tab_Def_Flows[Flow_ID],,0,)</f>
        <v>F_10_10</v>
      </c>
      <c r="O30" s="42" t="str">
        <f t="shared" si="1"/>
        <v>TC_10_10</v>
      </c>
      <c r="P30" s="192"/>
      <c r="Q30" s="37"/>
      <c r="R30" s="37"/>
      <c r="S30" s="37"/>
      <c r="T30" s="37"/>
      <c r="U30" s="37"/>
    </row>
    <row r="31" spans="1:21" x14ac:dyDescent="0.25">
      <c r="A31" s="194" t="b">
        <v>0</v>
      </c>
      <c r="B31" s="9">
        <f t="shared" si="0"/>
        <v>30</v>
      </c>
      <c r="C31" s="47" t="str">
        <f>_xlfn.XLOOKUP($D31,Tab_Def_Processes[Name(EN)],Tab_Def_Processes[ID],,0,)</f>
        <v>10</v>
      </c>
      <c r="D31" s="189"/>
      <c r="E31" s="9">
        <f>_xlfn.XLOOKUP($D31,Tab_Def_Processes[Name(EN)],Tab_Def_Processes[Process_Type],,0,)</f>
        <v>0</v>
      </c>
      <c r="F31" s="9">
        <f>_xlfn.XLOOKUP($D31,Tab_Def_Processes[Name(EN)],Tab_Def_Processes[TC?],,0,)</f>
        <v>0</v>
      </c>
      <c r="G31" s="9">
        <f>_xlfn.XLOOKUP($D31,Tab_Def_Processes[Name(EN)],Tab_Def_Processes[Dyn_TC?],,0,)</f>
        <v>0</v>
      </c>
      <c r="H31" s="9">
        <f>_xlfn.XLOOKUP($D31,Tab_Def_Processes[Name(EN)],Tab_Def_Processes[Stock?],,0,)</f>
        <v>0</v>
      </c>
      <c r="I31" s="9">
        <f>_xlfn.XLOOKUP($D31,Tab_Def_Processes[Name(EN)],Tab_Def_Processes[Initial_Stock?],,0,)</f>
        <v>0</v>
      </c>
      <c r="J31" s="9">
        <f>_xlfn.XLOOKUP($D31,Tab_Def_Processes[Name(EN)],Tab_Def_Processes[DSM?],,0,)</f>
        <v>0</v>
      </c>
      <c r="K31" s="9">
        <f>_xlfn.XLOOKUP($D31,Tab_Def_Processes[Name(EN)],Tab_Def_Processes[FOMP?],,0,)</f>
        <v>0</v>
      </c>
      <c r="L31" s="9">
        <f>_xlfn.XLOOKUP($D31,Tab_Def_Processes[Name(EN)],Tab_Def_Processes[Nr. Outflows],,0,)</f>
        <v>0</v>
      </c>
      <c r="M31" s="189"/>
      <c r="N31" s="175" t="str">
        <f>_xlfn.XLOOKUP($M31,Tab_Def_Flows[Name(EN)],Tab_Def_Flows[Flow_ID],,0,)</f>
        <v>F_10_10</v>
      </c>
      <c r="O31" s="42" t="str">
        <f t="shared" si="1"/>
        <v>TC_10_10</v>
      </c>
      <c r="P31" s="192"/>
      <c r="Q31" s="37"/>
      <c r="R31" s="37"/>
      <c r="S31" s="37"/>
      <c r="T31" s="37"/>
      <c r="U31" s="37"/>
    </row>
    <row r="32" spans="1:21" x14ac:dyDescent="0.25">
      <c r="A32" s="194" t="b">
        <v>0</v>
      </c>
      <c r="B32" s="9">
        <f t="shared" si="0"/>
        <v>31</v>
      </c>
      <c r="C32" s="47" t="str">
        <f>_xlfn.XLOOKUP($D32,Tab_Def_Processes[Name(EN)],Tab_Def_Processes[ID],,0,)</f>
        <v>10</v>
      </c>
      <c r="D32" s="189"/>
      <c r="E32" s="9">
        <f>_xlfn.XLOOKUP($D32,Tab_Def_Processes[Name(EN)],Tab_Def_Processes[Process_Type],,0,)</f>
        <v>0</v>
      </c>
      <c r="F32" s="9">
        <f>_xlfn.XLOOKUP($D32,Tab_Def_Processes[Name(EN)],Tab_Def_Processes[TC?],,0,)</f>
        <v>0</v>
      </c>
      <c r="G32" s="9">
        <f>_xlfn.XLOOKUP($D32,Tab_Def_Processes[Name(EN)],Tab_Def_Processes[Dyn_TC?],,0,)</f>
        <v>0</v>
      </c>
      <c r="H32" s="9">
        <f>_xlfn.XLOOKUP($D32,Tab_Def_Processes[Name(EN)],Tab_Def_Processes[Stock?],,0,)</f>
        <v>0</v>
      </c>
      <c r="I32" s="9">
        <f>_xlfn.XLOOKUP($D32,Tab_Def_Processes[Name(EN)],Tab_Def_Processes[Initial_Stock?],,0,)</f>
        <v>0</v>
      </c>
      <c r="J32" s="9">
        <f>_xlfn.XLOOKUP($D32,Tab_Def_Processes[Name(EN)],Tab_Def_Processes[DSM?],,0,)</f>
        <v>0</v>
      </c>
      <c r="K32" s="9">
        <f>_xlfn.XLOOKUP($D32,Tab_Def_Processes[Name(EN)],Tab_Def_Processes[FOMP?],,0,)</f>
        <v>0</v>
      </c>
      <c r="L32" s="9">
        <f>_xlfn.XLOOKUP($D32,Tab_Def_Processes[Name(EN)],Tab_Def_Processes[Nr. Outflows],,0,)</f>
        <v>0</v>
      </c>
      <c r="M32" s="189"/>
      <c r="N32" s="175" t="str">
        <f>_xlfn.XLOOKUP($M32,Tab_Def_Flows[Name(EN)],Tab_Def_Flows[Flow_ID],,0,)</f>
        <v>F_10_10</v>
      </c>
      <c r="O32" s="42" t="str">
        <f t="shared" si="1"/>
        <v>TC_10_10</v>
      </c>
      <c r="P32" s="192"/>
      <c r="Q32" s="37"/>
      <c r="R32" s="37"/>
      <c r="S32" s="37"/>
      <c r="T32" s="37"/>
      <c r="U32" s="37"/>
    </row>
    <row r="33" spans="1:21" x14ac:dyDescent="0.25">
      <c r="A33" s="194" t="b">
        <v>0</v>
      </c>
      <c r="B33" s="9">
        <f t="shared" si="0"/>
        <v>32</v>
      </c>
      <c r="C33" s="47" t="str">
        <f>_xlfn.XLOOKUP($D33,Tab_Def_Processes[Name(EN)],Tab_Def_Processes[ID],,0,)</f>
        <v>10</v>
      </c>
      <c r="D33" s="189"/>
      <c r="E33" s="9">
        <f>_xlfn.XLOOKUP($D33,Tab_Def_Processes[Name(EN)],Tab_Def_Processes[Process_Type],,0,)</f>
        <v>0</v>
      </c>
      <c r="F33" s="9">
        <f>_xlfn.XLOOKUP($D33,Tab_Def_Processes[Name(EN)],Tab_Def_Processes[TC?],,0,)</f>
        <v>0</v>
      </c>
      <c r="G33" s="9">
        <f>_xlfn.XLOOKUP($D33,Tab_Def_Processes[Name(EN)],Tab_Def_Processes[Dyn_TC?],,0,)</f>
        <v>0</v>
      </c>
      <c r="H33" s="9">
        <f>_xlfn.XLOOKUP($D33,Tab_Def_Processes[Name(EN)],Tab_Def_Processes[Stock?],,0,)</f>
        <v>0</v>
      </c>
      <c r="I33" s="9">
        <f>_xlfn.XLOOKUP($D33,Tab_Def_Processes[Name(EN)],Tab_Def_Processes[Initial_Stock?],,0,)</f>
        <v>0</v>
      </c>
      <c r="J33" s="9">
        <f>_xlfn.XLOOKUP($D33,Tab_Def_Processes[Name(EN)],Tab_Def_Processes[DSM?],,0,)</f>
        <v>0</v>
      </c>
      <c r="K33" s="9">
        <f>_xlfn.XLOOKUP($D33,Tab_Def_Processes[Name(EN)],Tab_Def_Processes[FOMP?],,0,)</f>
        <v>0</v>
      </c>
      <c r="L33" s="9">
        <f>_xlfn.XLOOKUP($D33,Tab_Def_Processes[Name(EN)],Tab_Def_Processes[Nr. Outflows],,0,)</f>
        <v>0</v>
      </c>
      <c r="M33" s="189"/>
      <c r="N33" s="175" t="str">
        <f>_xlfn.XLOOKUP($M33,Tab_Def_Flows[Name(EN)],Tab_Def_Flows[Flow_ID],,0,)</f>
        <v>F_10_10</v>
      </c>
      <c r="O33" s="42" t="str">
        <f t="shared" si="1"/>
        <v>TC_10_10</v>
      </c>
      <c r="P33" s="192"/>
      <c r="Q33" s="37"/>
      <c r="R33" s="37"/>
      <c r="S33" s="37"/>
      <c r="T33" s="37"/>
      <c r="U33" s="37"/>
    </row>
    <row r="34" spans="1:21" x14ac:dyDescent="0.25">
      <c r="A34" s="194" t="b">
        <v>0</v>
      </c>
      <c r="B34" s="9">
        <f t="shared" si="0"/>
        <v>33</v>
      </c>
      <c r="C34" s="47" t="str">
        <f>_xlfn.XLOOKUP($D34,Tab_Def_Processes[Name(EN)],Tab_Def_Processes[ID],,0,)</f>
        <v>10</v>
      </c>
      <c r="D34" s="189"/>
      <c r="E34" s="9">
        <f>_xlfn.XLOOKUP($D34,Tab_Def_Processes[Name(EN)],Tab_Def_Processes[Process_Type],,0,)</f>
        <v>0</v>
      </c>
      <c r="F34" s="9">
        <f>_xlfn.XLOOKUP($D34,Tab_Def_Processes[Name(EN)],Tab_Def_Processes[TC?],,0,)</f>
        <v>0</v>
      </c>
      <c r="G34" s="9">
        <f>_xlfn.XLOOKUP($D34,Tab_Def_Processes[Name(EN)],Tab_Def_Processes[Dyn_TC?],,0,)</f>
        <v>0</v>
      </c>
      <c r="H34" s="9">
        <f>_xlfn.XLOOKUP($D34,Tab_Def_Processes[Name(EN)],Tab_Def_Processes[Stock?],,0,)</f>
        <v>0</v>
      </c>
      <c r="I34" s="9">
        <f>_xlfn.XLOOKUP($D34,Tab_Def_Processes[Name(EN)],Tab_Def_Processes[Initial_Stock?],,0,)</f>
        <v>0</v>
      </c>
      <c r="J34" s="9">
        <f>_xlfn.XLOOKUP($D34,Tab_Def_Processes[Name(EN)],Tab_Def_Processes[DSM?],,0,)</f>
        <v>0</v>
      </c>
      <c r="K34" s="9">
        <f>_xlfn.XLOOKUP($D34,Tab_Def_Processes[Name(EN)],Tab_Def_Processes[FOMP?],,0,)</f>
        <v>0</v>
      </c>
      <c r="L34" s="9">
        <f>_xlfn.XLOOKUP($D34,Tab_Def_Processes[Name(EN)],Tab_Def_Processes[Nr. Outflows],,0,)</f>
        <v>0</v>
      </c>
      <c r="M34" s="189"/>
      <c r="N34" s="175" t="str">
        <f>_xlfn.XLOOKUP($M34,Tab_Def_Flows[Name(EN)],Tab_Def_Flows[Flow_ID],,0,)</f>
        <v>F_10_10</v>
      </c>
      <c r="O34" s="42" t="str">
        <f t="shared" si="1"/>
        <v>TC_10_10</v>
      </c>
      <c r="P34" s="192"/>
      <c r="Q34" s="37"/>
      <c r="R34" s="37"/>
      <c r="S34" s="37"/>
      <c r="T34" s="37"/>
      <c r="U34" s="37"/>
    </row>
    <row r="35" spans="1:21" x14ac:dyDescent="0.25">
      <c r="A35" s="194" t="b">
        <v>0</v>
      </c>
      <c r="B35" s="9">
        <f t="shared" si="0"/>
        <v>34</v>
      </c>
      <c r="C35" s="47" t="str">
        <f>_xlfn.XLOOKUP($D35,Tab_Def_Processes[Name(EN)],Tab_Def_Processes[ID],,0,)</f>
        <v>10</v>
      </c>
      <c r="D35" s="189"/>
      <c r="E35" s="9">
        <f>_xlfn.XLOOKUP($D35,Tab_Def_Processes[Name(EN)],Tab_Def_Processes[Process_Type],,0,)</f>
        <v>0</v>
      </c>
      <c r="F35" s="9">
        <f>_xlfn.XLOOKUP($D35,Tab_Def_Processes[Name(EN)],Tab_Def_Processes[TC?],,0,)</f>
        <v>0</v>
      </c>
      <c r="G35" s="9">
        <f>_xlfn.XLOOKUP($D35,Tab_Def_Processes[Name(EN)],Tab_Def_Processes[Dyn_TC?],,0,)</f>
        <v>0</v>
      </c>
      <c r="H35" s="9">
        <f>_xlfn.XLOOKUP($D35,Tab_Def_Processes[Name(EN)],Tab_Def_Processes[Stock?],,0,)</f>
        <v>0</v>
      </c>
      <c r="I35" s="9">
        <f>_xlfn.XLOOKUP($D35,Tab_Def_Processes[Name(EN)],Tab_Def_Processes[Initial_Stock?],,0,)</f>
        <v>0</v>
      </c>
      <c r="J35" s="9">
        <f>_xlfn.XLOOKUP($D35,Tab_Def_Processes[Name(EN)],Tab_Def_Processes[DSM?],,0,)</f>
        <v>0</v>
      </c>
      <c r="K35" s="9">
        <f>_xlfn.XLOOKUP($D35,Tab_Def_Processes[Name(EN)],Tab_Def_Processes[FOMP?],,0,)</f>
        <v>0</v>
      </c>
      <c r="L35" s="9">
        <f>_xlfn.XLOOKUP($D35,Tab_Def_Processes[Name(EN)],Tab_Def_Processes[Nr. Outflows],,0,)</f>
        <v>0</v>
      </c>
      <c r="M35" s="189"/>
      <c r="N35" s="175" t="str">
        <f>_xlfn.XLOOKUP($M35,Tab_Def_Flows[Name(EN)],Tab_Def_Flows[Flow_ID],,0,)</f>
        <v>F_10_10</v>
      </c>
      <c r="O35" s="42" t="str">
        <f t="shared" si="1"/>
        <v>TC_10_10</v>
      </c>
      <c r="P35" s="192"/>
      <c r="Q35" s="37"/>
      <c r="R35" s="37"/>
      <c r="S35" s="37"/>
      <c r="T35" s="37"/>
      <c r="U35" s="37"/>
    </row>
    <row r="36" spans="1:21" x14ac:dyDescent="0.25">
      <c r="A36" s="194" t="b">
        <v>0</v>
      </c>
      <c r="B36" s="9">
        <f t="shared" si="0"/>
        <v>35</v>
      </c>
      <c r="C36" s="47" t="str">
        <f>_xlfn.XLOOKUP($D36,Tab_Def_Processes[Name(EN)],Tab_Def_Processes[ID],,0,)</f>
        <v>10</v>
      </c>
      <c r="D36" s="189"/>
      <c r="E36" s="9">
        <f>_xlfn.XLOOKUP($D36,Tab_Def_Processes[Name(EN)],Tab_Def_Processes[Process_Type],,0,)</f>
        <v>0</v>
      </c>
      <c r="F36" s="9">
        <f>_xlfn.XLOOKUP($D36,Tab_Def_Processes[Name(EN)],Tab_Def_Processes[TC?],,0,)</f>
        <v>0</v>
      </c>
      <c r="G36" s="9">
        <f>_xlfn.XLOOKUP($D36,Tab_Def_Processes[Name(EN)],Tab_Def_Processes[Dyn_TC?],,0,)</f>
        <v>0</v>
      </c>
      <c r="H36" s="9">
        <f>_xlfn.XLOOKUP($D36,Tab_Def_Processes[Name(EN)],Tab_Def_Processes[Stock?],,0,)</f>
        <v>0</v>
      </c>
      <c r="I36" s="9">
        <f>_xlfn.XLOOKUP($D36,Tab_Def_Processes[Name(EN)],Tab_Def_Processes[Initial_Stock?],,0,)</f>
        <v>0</v>
      </c>
      <c r="J36" s="9">
        <f>_xlfn.XLOOKUP($D36,Tab_Def_Processes[Name(EN)],Tab_Def_Processes[DSM?],,0,)</f>
        <v>0</v>
      </c>
      <c r="K36" s="9">
        <f>_xlfn.XLOOKUP($D36,Tab_Def_Processes[Name(EN)],Tab_Def_Processes[FOMP?],,0,)</f>
        <v>0</v>
      </c>
      <c r="L36" s="9">
        <f>_xlfn.XLOOKUP($D36,Tab_Def_Processes[Name(EN)],Tab_Def_Processes[Nr. Outflows],,0,)</f>
        <v>0</v>
      </c>
      <c r="M36" s="189"/>
      <c r="N36" s="175" t="str">
        <f>_xlfn.XLOOKUP($M36,Tab_Def_Flows[Name(EN)],Tab_Def_Flows[Flow_ID],,0,)</f>
        <v>F_10_10</v>
      </c>
      <c r="O36" s="42" t="str">
        <f t="shared" si="1"/>
        <v>TC_10_10</v>
      </c>
      <c r="P36" s="192"/>
      <c r="Q36" s="37"/>
      <c r="R36" s="37"/>
      <c r="S36" s="37"/>
      <c r="T36" s="37"/>
      <c r="U36" s="37"/>
    </row>
    <row r="37" spans="1:21" x14ac:dyDescent="0.25">
      <c r="A37" s="194" t="b">
        <v>0</v>
      </c>
      <c r="B37" s="9">
        <f t="shared" si="0"/>
        <v>36</v>
      </c>
      <c r="C37" s="47" t="str">
        <f>_xlfn.XLOOKUP($D37,Tab_Def_Processes[Name(EN)],Tab_Def_Processes[ID],,0,)</f>
        <v>10</v>
      </c>
      <c r="D37" s="189"/>
      <c r="E37" s="9">
        <f>_xlfn.XLOOKUP($D37,Tab_Def_Processes[Name(EN)],Tab_Def_Processes[Process_Type],,0,)</f>
        <v>0</v>
      </c>
      <c r="F37" s="9">
        <f>_xlfn.XLOOKUP($D37,Tab_Def_Processes[Name(EN)],Tab_Def_Processes[TC?],,0,)</f>
        <v>0</v>
      </c>
      <c r="G37" s="9">
        <f>_xlfn.XLOOKUP($D37,Tab_Def_Processes[Name(EN)],Tab_Def_Processes[Dyn_TC?],,0,)</f>
        <v>0</v>
      </c>
      <c r="H37" s="9">
        <f>_xlfn.XLOOKUP($D37,Tab_Def_Processes[Name(EN)],Tab_Def_Processes[Stock?],,0,)</f>
        <v>0</v>
      </c>
      <c r="I37" s="9">
        <f>_xlfn.XLOOKUP($D37,Tab_Def_Processes[Name(EN)],Tab_Def_Processes[Initial_Stock?],,0,)</f>
        <v>0</v>
      </c>
      <c r="J37" s="9">
        <f>_xlfn.XLOOKUP($D37,Tab_Def_Processes[Name(EN)],Tab_Def_Processes[DSM?],,0,)</f>
        <v>0</v>
      </c>
      <c r="K37" s="9">
        <f>_xlfn.XLOOKUP($D37,Tab_Def_Processes[Name(EN)],Tab_Def_Processes[FOMP?],,0,)</f>
        <v>0</v>
      </c>
      <c r="L37" s="9">
        <f>_xlfn.XLOOKUP($D37,Tab_Def_Processes[Name(EN)],Tab_Def_Processes[Nr. Outflows],,0,)</f>
        <v>0</v>
      </c>
      <c r="M37" s="189"/>
      <c r="N37" s="175" t="str">
        <f>_xlfn.XLOOKUP($M37,Tab_Def_Flows[Name(EN)],Tab_Def_Flows[Flow_ID],,0,)</f>
        <v>F_10_10</v>
      </c>
      <c r="O37" s="42" t="str">
        <f t="shared" si="1"/>
        <v>TC_10_10</v>
      </c>
      <c r="P37" s="192"/>
      <c r="Q37" s="37"/>
      <c r="R37" s="37"/>
      <c r="S37" s="37"/>
      <c r="T37" s="37"/>
      <c r="U37" s="37"/>
    </row>
    <row r="38" spans="1:21" x14ac:dyDescent="0.25">
      <c r="A38" s="194" t="b">
        <v>0</v>
      </c>
      <c r="B38" s="9">
        <f t="shared" si="0"/>
        <v>37</v>
      </c>
      <c r="C38" s="47" t="str">
        <f>_xlfn.XLOOKUP($D38,Tab_Def_Processes[Name(EN)],Tab_Def_Processes[ID],,0,)</f>
        <v>10</v>
      </c>
      <c r="D38" s="189"/>
      <c r="E38" s="9">
        <f>_xlfn.XLOOKUP($D38,Tab_Def_Processes[Name(EN)],Tab_Def_Processes[Process_Type],,0,)</f>
        <v>0</v>
      </c>
      <c r="F38" s="9">
        <f>_xlfn.XLOOKUP($D38,Tab_Def_Processes[Name(EN)],Tab_Def_Processes[TC?],,0,)</f>
        <v>0</v>
      </c>
      <c r="G38" s="9">
        <f>_xlfn.XLOOKUP($D38,Tab_Def_Processes[Name(EN)],Tab_Def_Processes[Dyn_TC?],,0,)</f>
        <v>0</v>
      </c>
      <c r="H38" s="9">
        <f>_xlfn.XLOOKUP($D38,Tab_Def_Processes[Name(EN)],Tab_Def_Processes[Stock?],,0,)</f>
        <v>0</v>
      </c>
      <c r="I38" s="9">
        <f>_xlfn.XLOOKUP($D38,Tab_Def_Processes[Name(EN)],Tab_Def_Processes[Initial_Stock?],,0,)</f>
        <v>0</v>
      </c>
      <c r="J38" s="9">
        <f>_xlfn.XLOOKUP($D38,Tab_Def_Processes[Name(EN)],Tab_Def_Processes[DSM?],,0,)</f>
        <v>0</v>
      </c>
      <c r="K38" s="9">
        <f>_xlfn.XLOOKUP($D38,Tab_Def_Processes[Name(EN)],Tab_Def_Processes[FOMP?],,0,)</f>
        <v>0</v>
      </c>
      <c r="L38" s="9">
        <f>_xlfn.XLOOKUP($D38,Tab_Def_Processes[Name(EN)],Tab_Def_Processes[Nr. Outflows],,0,)</f>
        <v>0</v>
      </c>
      <c r="M38" s="189"/>
      <c r="N38" s="175" t="str">
        <f>_xlfn.XLOOKUP($M38,Tab_Def_Flows[Name(EN)],Tab_Def_Flows[Flow_ID],,0,)</f>
        <v>F_10_10</v>
      </c>
      <c r="O38" s="42" t="str">
        <f t="shared" si="1"/>
        <v>TC_10_10</v>
      </c>
      <c r="P38" s="192"/>
      <c r="Q38" s="37"/>
      <c r="R38" s="37"/>
      <c r="S38" s="37"/>
      <c r="T38" s="37"/>
      <c r="U38" s="37"/>
    </row>
    <row r="39" spans="1:21" x14ac:dyDescent="0.25">
      <c r="A39" s="194" t="b">
        <v>0</v>
      </c>
      <c r="B39" s="9">
        <f t="shared" si="0"/>
        <v>38</v>
      </c>
      <c r="C39" s="47" t="str">
        <f>_xlfn.XLOOKUP($D39,Tab_Def_Processes[Name(EN)],Tab_Def_Processes[ID],,0,)</f>
        <v>10</v>
      </c>
      <c r="D39" s="189"/>
      <c r="E39" s="9">
        <f>_xlfn.XLOOKUP($D39,Tab_Def_Processes[Name(EN)],Tab_Def_Processes[Process_Type],,0,)</f>
        <v>0</v>
      </c>
      <c r="F39" s="9">
        <f>_xlfn.XLOOKUP($D39,Tab_Def_Processes[Name(EN)],Tab_Def_Processes[TC?],,0,)</f>
        <v>0</v>
      </c>
      <c r="G39" s="9">
        <f>_xlfn.XLOOKUP($D39,Tab_Def_Processes[Name(EN)],Tab_Def_Processes[Dyn_TC?],,0,)</f>
        <v>0</v>
      </c>
      <c r="H39" s="9">
        <f>_xlfn.XLOOKUP($D39,Tab_Def_Processes[Name(EN)],Tab_Def_Processes[Stock?],,0,)</f>
        <v>0</v>
      </c>
      <c r="I39" s="9">
        <f>_xlfn.XLOOKUP($D39,Tab_Def_Processes[Name(EN)],Tab_Def_Processes[Initial_Stock?],,0,)</f>
        <v>0</v>
      </c>
      <c r="J39" s="9">
        <f>_xlfn.XLOOKUP($D39,Tab_Def_Processes[Name(EN)],Tab_Def_Processes[DSM?],,0,)</f>
        <v>0</v>
      </c>
      <c r="K39" s="9">
        <f>_xlfn.XLOOKUP($D39,Tab_Def_Processes[Name(EN)],Tab_Def_Processes[FOMP?],,0,)</f>
        <v>0</v>
      </c>
      <c r="L39" s="9">
        <f>_xlfn.XLOOKUP($D39,Tab_Def_Processes[Name(EN)],Tab_Def_Processes[Nr. Outflows],,0,)</f>
        <v>0</v>
      </c>
      <c r="M39" s="189"/>
      <c r="N39" s="175" t="str">
        <f>_xlfn.XLOOKUP($M39,Tab_Def_Flows[Name(EN)],Tab_Def_Flows[Flow_ID],,0,)</f>
        <v>F_10_10</v>
      </c>
      <c r="O39" s="42" t="str">
        <f t="shared" si="1"/>
        <v>TC_10_10</v>
      </c>
      <c r="P39" s="192"/>
      <c r="Q39" s="37"/>
      <c r="R39" s="37"/>
      <c r="S39" s="37"/>
      <c r="T39" s="37"/>
      <c r="U39" s="37"/>
    </row>
    <row r="40" spans="1:21" x14ac:dyDescent="0.25">
      <c r="A40" s="194" t="b">
        <v>0</v>
      </c>
      <c r="B40" s="9">
        <f t="shared" si="0"/>
        <v>39</v>
      </c>
      <c r="C40" s="47" t="str">
        <f>_xlfn.XLOOKUP($D40,Tab_Def_Processes[Name(EN)],Tab_Def_Processes[ID],,0,)</f>
        <v>10</v>
      </c>
      <c r="D40" s="189"/>
      <c r="E40" s="9">
        <f>_xlfn.XLOOKUP($D40,Tab_Def_Processes[Name(EN)],Tab_Def_Processes[Process_Type],,0,)</f>
        <v>0</v>
      </c>
      <c r="F40" s="9">
        <f>_xlfn.XLOOKUP($D40,Tab_Def_Processes[Name(EN)],Tab_Def_Processes[TC?],,0,)</f>
        <v>0</v>
      </c>
      <c r="G40" s="9">
        <f>_xlfn.XLOOKUP($D40,Tab_Def_Processes[Name(EN)],Tab_Def_Processes[Dyn_TC?],,0,)</f>
        <v>0</v>
      </c>
      <c r="H40" s="9">
        <f>_xlfn.XLOOKUP($D40,Tab_Def_Processes[Name(EN)],Tab_Def_Processes[Stock?],,0,)</f>
        <v>0</v>
      </c>
      <c r="I40" s="9">
        <f>_xlfn.XLOOKUP($D40,Tab_Def_Processes[Name(EN)],Tab_Def_Processes[Initial_Stock?],,0,)</f>
        <v>0</v>
      </c>
      <c r="J40" s="9">
        <f>_xlfn.XLOOKUP($D40,Tab_Def_Processes[Name(EN)],Tab_Def_Processes[DSM?],,0,)</f>
        <v>0</v>
      </c>
      <c r="K40" s="9">
        <f>_xlfn.XLOOKUP($D40,Tab_Def_Processes[Name(EN)],Tab_Def_Processes[FOMP?],,0,)</f>
        <v>0</v>
      </c>
      <c r="L40" s="9">
        <f>_xlfn.XLOOKUP($D40,Tab_Def_Processes[Name(EN)],Tab_Def_Processes[Nr. Outflows],,0,)</f>
        <v>0</v>
      </c>
      <c r="M40" s="189"/>
      <c r="N40" s="175" t="str">
        <f>_xlfn.XLOOKUP($M40,Tab_Def_Flows[Name(EN)],Tab_Def_Flows[Flow_ID],,0,)</f>
        <v>F_10_10</v>
      </c>
      <c r="O40" s="42" t="str">
        <f t="shared" si="1"/>
        <v>TC_10_10</v>
      </c>
      <c r="P40" s="192"/>
      <c r="Q40" s="37"/>
      <c r="R40" s="37"/>
      <c r="S40" s="37"/>
      <c r="T40" s="37"/>
      <c r="U40" s="37"/>
    </row>
    <row r="41" spans="1:21" x14ac:dyDescent="0.25">
      <c r="A41" s="194" t="b">
        <v>0</v>
      </c>
      <c r="B41" s="9">
        <f t="shared" si="0"/>
        <v>40</v>
      </c>
      <c r="C41" s="47" t="str">
        <f>_xlfn.XLOOKUP($D41,Tab_Def_Processes[Name(EN)],Tab_Def_Processes[ID],,0,)</f>
        <v>10</v>
      </c>
      <c r="D41" s="189"/>
      <c r="E41" s="9">
        <f>_xlfn.XLOOKUP($D41,Tab_Def_Processes[Name(EN)],Tab_Def_Processes[Process_Type],,0,)</f>
        <v>0</v>
      </c>
      <c r="F41" s="9">
        <f>_xlfn.XLOOKUP($D41,Tab_Def_Processes[Name(EN)],Tab_Def_Processes[TC?],,0,)</f>
        <v>0</v>
      </c>
      <c r="G41" s="9">
        <f>_xlfn.XLOOKUP($D41,Tab_Def_Processes[Name(EN)],Tab_Def_Processes[Dyn_TC?],,0,)</f>
        <v>0</v>
      </c>
      <c r="H41" s="9">
        <f>_xlfn.XLOOKUP($D41,Tab_Def_Processes[Name(EN)],Tab_Def_Processes[Stock?],,0,)</f>
        <v>0</v>
      </c>
      <c r="I41" s="9">
        <f>_xlfn.XLOOKUP($D41,Tab_Def_Processes[Name(EN)],Tab_Def_Processes[Initial_Stock?],,0,)</f>
        <v>0</v>
      </c>
      <c r="J41" s="9">
        <f>_xlfn.XLOOKUP($D41,Tab_Def_Processes[Name(EN)],Tab_Def_Processes[DSM?],,0,)</f>
        <v>0</v>
      </c>
      <c r="K41" s="9">
        <f>_xlfn.XLOOKUP($D41,Tab_Def_Processes[Name(EN)],Tab_Def_Processes[FOMP?],,0,)</f>
        <v>0</v>
      </c>
      <c r="L41" s="9">
        <f>_xlfn.XLOOKUP($D41,Tab_Def_Processes[Name(EN)],Tab_Def_Processes[Nr. Outflows],,0,)</f>
        <v>0</v>
      </c>
      <c r="M41" s="189"/>
      <c r="N41" s="175" t="str">
        <f>_xlfn.XLOOKUP($M41,Tab_Def_Flows[Name(EN)],Tab_Def_Flows[Flow_ID],,0,)</f>
        <v>F_10_10</v>
      </c>
      <c r="O41" s="42" t="str">
        <f t="shared" si="1"/>
        <v>TC_10_10</v>
      </c>
      <c r="P41" s="192"/>
      <c r="Q41" s="37"/>
      <c r="R41" s="37"/>
      <c r="S41" s="37"/>
      <c r="T41" s="37"/>
      <c r="U41" s="37"/>
    </row>
    <row r="42" spans="1:21" x14ac:dyDescent="0.25">
      <c r="A42" s="194" t="b">
        <v>0</v>
      </c>
      <c r="B42" s="9">
        <f t="shared" si="0"/>
        <v>41</v>
      </c>
      <c r="C42" s="47" t="str">
        <f>_xlfn.XLOOKUP($D42,Tab_Def_Processes[Name(EN)],Tab_Def_Processes[ID],,0,)</f>
        <v>10</v>
      </c>
      <c r="D42" s="189"/>
      <c r="E42" s="9">
        <f>_xlfn.XLOOKUP($D42,Tab_Def_Processes[Name(EN)],Tab_Def_Processes[Process_Type],,0,)</f>
        <v>0</v>
      </c>
      <c r="F42" s="9">
        <f>_xlfn.XLOOKUP($D42,Tab_Def_Processes[Name(EN)],Tab_Def_Processes[TC?],,0,)</f>
        <v>0</v>
      </c>
      <c r="G42" s="9">
        <f>_xlfn.XLOOKUP($D42,Tab_Def_Processes[Name(EN)],Tab_Def_Processes[Dyn_TC?],,0,)</f>
        <v>0</v>
      </c>
      <c r="H42" s="9">
        <f>_xlfn.XLOOKUP($D42,Tab_Def_Processes[Name(EN)],Tab_Def_Processes[Stock?],,0,)</f>
        <v>0</v>
      </c>
      <c r="I42" s="9">
        <f>_xlfn.XLOOKUP($D42,Tab_Def_Processes[Name(EN)],Tab_Def_Processes[Initial_Stock?],,0,)</f>
        <v>0</v>
      </c>
      <c r="J42" s="9">
        <f>_xlfn.XLOOKUP($D42,Tab_Def_Processes[Name(EN)],Tab_Def_Processes[DSM?],,0,)</f>
        <v>0</v>
      </c>
      <c r="K42" s="9">
        <f>_xlfn.XLOOKUP($D42,Tab_Def_Processes[Name(EN)],Tab_Def_Processes[FOMP?],,0,)</f>
        <v>0</v>
      </c>
      <c r="L42" s="9">
        <f>_xlfn.XLOOKUP($D42,Tab_Def_Processes[Name(EN)],Tab_Def_Processes[Nr. Outflows],,0,)</f>
        <v>0</v>
      </c>
      <c r="M42" s="189"/>
      <c r="N42" s="175" t="str">
        <f>_xlfn.XLOOKUP($M42,Tab_Def_Flows[Name(EN)],Tab_Def_Flows[Flow_ID],,0,)</f>
        <v>F_10_10</v>
      </c>
      <c r="O42" s="42" t="str">
        <f t="shared" si="1"/>
        <v>TC_10_10</v>
      </c>
      <c r="P42" s="192"/>
      <c r="Q42" s="37"/>
      <c r="R42" s="37"/>
      <c r="S42" s="37"/>
      <c r="T42" s="37"/>
      <c r="U42" s="37"/>
    </row>
    <row r="43" spans="1:21" x14ac:dyDescent="0.25">
      <c r="A43" s="194" t="b">
        <v>0</v>
      </c>
      <c r="B43" s="9">
        <f t="shared" si="0"/>
        <v>42</v>
      </c>
      <c r="C43" s="47" t="str">
        <f>_xlfn.XLOOKUP($D43,Tab_Def_Processes[Name(EN)],Tab_Def_Processes[ID],,0,)</f>
        <v>10</v>
      </c>
      <c r="D43" s="189"/>
      <c r="E43" s="9">
        <f>_xlfn.XLOOKUP($D43,Tab_Def_Processes[Name(EN)],Tab_Def_Processes[Process_Type],,0,)</f>
        <v>0</v>
      </c>
      <c r="F43" s="9">
        <f>_xlfn.XLOOKUP($D43,Tab_Def_Processes[Name(EN)],Tab_Def_Processes[TC?],,0,)</f>
        <v>0</v>
      </c>
      <c r="G43" s="9">
        <f>_xlfn.XLOOKUP($D43,Tab_Def_Processes[Name(EN)],Tab_Def_Processes[Dyn_TC?],,0,)</f>
        <v>0</v>
      </c>
      <c r="H43" s="9">
        <f>_xlfn.XLOOKUP($D43,Tab_Def_Processes[Name(EN)],Tab_Def_Processes[Stock?],,0,)</f>
        <v>0</v>
      </c>
      <c r="I43" s="9">
        <f>_xlfn.XLOOKUP($D43,Tab_Def_Processes[Name(EN)],Tab_Def_Processes[Initial_Stock?],,0,)</f>
        <v>0</v>
      </c>
      <c r="J43" s="9">
        <f>_xlfn.XLOOKUP($D43,Tab_Def_Processes[Name(EN)],Tab_Def_Processes[DSM?],,0,)</f>
        <v>0</v>
      </c>
      <c r="K43" s="9">
        <f>_xlfn.XLOOKUP($D43,Tab_Def_Processes[Name(EN)],Tab_Def_Processes[FOMP?],,0,)</f>
        <v>0</v>
      </c>
      <c r="L43" s="9">
        <f>_xlfn.XLOOKUP($D43,Tab_Def_Processes[Name(EN)],Tab_Def_Processes[Nr. Outflows],,0,)</f>
        <v>0</v>
      </c>
      <c r="M43" s="189"/>
      <c r="N43" s="175" t="str">
        <f>_xlfn.XLOOKUP($M43,Tab_Def_Flows[Name(EN)],Tab_Def_Flows[Flow_ID],,0,)</f>
        <v>F_10_10</v>
      </c>
      <c r="O43" s="42" t="str">
        <f t="shared" si="1"/>
        <v>TC_10_10</v>
      </c>
      <c r="P43" s="192"/>
      <c r="Q43" s="37"/>
      <c r="R43" s="37"/>
      <c r="S43" s="37"/>
      <c r="T43" s="37"/>
      <c r="U43" s="37"/>
    </row>
    <row r="44" spans="1:21" x14ac:dyDescent="0.25">
      <c r="A44" s="194" t="b">
        <v>0</v>
      </c>
      <c r="B44" s="9">
        <f t="shared" si="0"/>
        <v>43</v>
      </c>
      <c r="C44" s="47" t="str">
        <f>_xlfn.XLOOKUP($D44,Tab_Def_Processes[Name(EN)],Tab_Def_Processes[ID],,0,)</f>
        <v>10</v>
      </c>
      <c r="D44" s="189"/>
      <c r="E44" s="9">
        <f>_xlfn.XLOOKUP($D44,Tab_Def_Processes[Name(EN)],Tab_Def_Processes[Process_Type],,0,)</f>
        <v>0</v>
      </c>
      <c r="F44" s="9">
        <f>_xlfn.XLOOKUP($D44,Tab_Def_Processes[Name(EN)],Tab_Def_Processes[TC?],,0,)</f>
        <v>0</v>
      </c>
      <c r="G44" s="9">
        <f>_xlfn.XLOOKUP($D44,Tab_Def_Processes[Name(EN)],Tab_Def_Processes[Dyn_TC?],,0,)</f>
        <v>0</v>
      </c>
      <c r="H44" s="9">
        <f>_xlfn.XLOOKUP($D44,Tab_Def_Processes[Name(EN)],Tab_Def_Processes[Stock?],,0,)</f>
        <v>0</v>
      </c>
      <c r="I44" s="9">
        <f>_xlfn.XLOOKUP($D44,Tab_Def_Processes[Name(EN)],Tab_Def_Processes[Initial_Stock?],,0,)</f>
        <v>0</v>
      </c>
      <c r="J44" s="9">
        <f>_xlfn.XLOOKUP($D44,Tab_Def_Processes[Name(EN)],Tab_Def_Processes[DSM?],,0,)</f>
        <v>0</v>
      </c>
      <c r="K44" s="9">
        <f>_xlfn.XLOOKUP($D44,Tab_Def_Processes[Name(EN)],Tab_Def_Processes[FOMP?],,0,)</f>
        <v>0</v>
      </c>
      <c r="L44" s="9">
        <f>_xlfn.XLOOKUP($D44,Tab_Def_Processes[Name(EN)],Tab_Def_Processes[Nr. Outflows],,0,)</f>
        <v>0</v>
      </c>
      <c r="M44" s="189"/>
      <c r="N44" s="175" t="str">
        <f>_xlfn.XLOOKUP($M44,Tab_Def_Flows[Name(EN)],Tab_Def_Flows[Flow_ID],,0,)</f>
        <v>F_10_10</v>
      </c>
      <c r="O44" s="42" t="str">
        <f t="shared" si="1"/>
        <v>TC_10_10</v>
      </c>
      <c r="P44" s="192"/>
      <c r="Q44" s="37"/>
      <c r="R44" s="37"/>
      <c r="S44" s="37"/>
      <c r="T44" s="37"/>
      <c r="U44" s="37"/>
    </row>
    <row r="45" spans="1:21" x14ac:dyDescent="0.25">
      <c r="A45" s="194" t="b">
        <v>0</v>
      </c>
      <c r="B45" s="9">
        <f t="shared" si="0"/>
        <v>44</v>
      </c>
      <c r="C45" s="47" t="str">
        <f>_xlfn.XLOOKUP($D45,Tab_Def_Processes[Name(EN)],Tab_Def_Processes[ID],,0,)</f>
        <v>10</v>
      </c>
      <c r="D45" s="189"/>
      <c r="E45" s="9">
        <f>_xlfn.XLOOKUP($D45,Tab_Def_Processes[Name(EN)],Tab_Def_Processes[Process_Type],,0,)</f>
        <v>0</v>
      </c>
      <c r="F45" s="9">
        <f>_xlfn.XLOOKUP($D45,Tab_Def_Processes[Name(EN)],Tab_Def_Processes[TC?],,0,)</f>
        <v>0</v>
      </c>
      <c r="G45" s="9">
        <f>_xlfn.XLOOKUP($D45,Tab_Def_Processes[Name(EN)],Tab_Def_Processes[Dyn_TC?],,0,)</f>
        <v>0</v>
      </c>
      <c r="H45" s="9">
        <f>_xlfn.XLOOKUP($D45,Tab_Def_Processes[Name(EN)],Tab_Def_Processes[Stock?],,0,)</f>
        <v>0</v>
      </c>
      <c r="I45" s="9">
        <f>_xlfn.XLOOKUP($D45,Tab_Def_Processes[Name(EN)],Tab_Def_Processes[Initial_Stock?],,0,)</f>
        <v>0</v>
      </c>
      <c r="J45" s="9">
        <f>_xlfn.XLOOKUP($D45,Tab_Def_Processes[Name(EN)],Tab_Def_Processes[DSM?],,0,)</f>
        <v>0</v>
      </c>
      <c r="K45" s="9">
        <f>_xlfn.XLOOKUP($D45,Tab_Def_Processes[Name(EN)],Tab_Def_Processes[FOMP?],,0,)</f>
        <v>0</v>
      </c>
      <c r="L45" s="9">
        <f>_xlfn.XLOOKUP($D45,Tab_Def_Processes[Name(EN)],Tab_Def_Processes[Nr. Outflows],,0,)</f>
        <v>0</v>
      </c>
      <c r="M45" s="189"/>
      <c r="N45" s="175" t="str">
        <f>_xlfn.XLOOKUP($M45,Tab_Def_Flows[Name(EN)],Tab_Def_Flows[Flow_ID],,0,)</f>
        <v>F_10_10</v>
      </c>
      <c r="O45" s="42" t="str">
        <f t="shared" si="1"/>
        <v>TC_10_10</v>
      </c>
      <c r="P45" s="192"/>
      <c r="Q45" s="37"/>
      <c r="R45" s="37"/>
      <c r="S45" s="37"/>
      <c r="T45" s="37"/>
      <c r="U45" s="37"/>
    </row>
    <row r="46" spans="1:21" x14ac:dyDescent="0.25">
      <c r="A46" s="194" t="b">
        <v>0</v>
      </c>
      <c r="B46" s="9">
        <f t="shared" si="0"/>
        <v>45</v>
      </c>
      <c r="C46" s="47" t="str">
        <f>_xlfn.XLOOKUP($D46,Tab_Def_Processes[Name(EN)],Tab_Def_Processes[ID],,0,)</f>
        <v>10</v>
      </c>
      <c r="D46" s="189"/>
      <c r="E46" s="9">
        <f>_xlfn.XLOOKUP($D46,Tab_Def_Processes[Name(EN)],Tab_Def_Processes[Process_Type],,0,)</f>
        <v>0</v>
      </c>
      <c r="F46" s="9">
        <f>_xlfn.XLOOKUP($D46,Tab_Def_Processes[Name(EN)],Tab_Def_Processes[TC?],,0,)</f>
        <v>0</v>
      </c>
      <c r="G46" s="9">
        <f>_xlfn.XLOOKUP($D46,Tab_Def_Processes[Name(EN)],Tab_Def_Processes[Dyn_TC?],,0,)</f>
        <v>0</v>
      </c>
      <c r="H46" s="9">
        <f>_xlfn.XLOOKUP($D46,Tab_Def_Processes[Name(EN)],Tab_Def_Processes[Stock?],,0,)</f>
        <v>0</v>
      </c>
      <c r="I46" s="9">
        <f>_xlfn.XLOOKUP($D46,Tab_Def_Processes[Name(EN)],Tab_Def_Processes[Initial_Stock?],,0,)</f>
        <v>0</v>
      </c>
      <c r="J46" s="9">
        <f>_xlfn.XLOOKUP($D46,Tab_Def_Processes[Name(EN)],Tab_Def_Processes[DSM?],,0,)</f>
        <v>0</v>
      </c>
      <c r="K46" s="9">
        <f>_xlfn.XLOOKUP($D46,Tab_Def_Processes[Name(EN)],Tab_Def_Processes[FOMP?],,0,)</f>
        <v>0</v>
      </c>
      <c r="L46" s="9">
        <f>_xlfn.XLOOKUP($D46,Tab_Def_Processes[Name(EN)],Tab_Def_Processes[Nr. Outflows],,0,)</f>
        <v>0</v>
      </c>
      <c r="M46" s="189"/>
      <c r="N46" s="175" t="str">
        <f>_xlfn.XLOOKUP($M46,Tab_Def_Flows[Name(EN)],Tab_Def_Flows[Flow_ID],,0,)</f>
        <v>F_10_10</v>
      </c>
      <c r="O46" s="42" t="str">
        <f t="shared" si="1"/>
        <v>TC_10_10</v>
      </c>
      <c r="P46" s="192"/>
      <c r="Q46" s="37"/>
      <c r="R46" s="37"/>
      <c r="S46" s="37"/>
      <c r="T46" s="37"/>
      <c r="U46" s="37"/>
    </row>
    <row r="47" spans="1:21" x14ac:dyDescent="0.25">
      <c r="A47" s="194" t="b">
        <v>0</v>
      </c>
      <c r="B47" s="9">
        <f t="shared" si="0"/>
        <v>46</v>
      </c>
      <c r="C47" s="47" t="str">
        <f>_xlfn.XLOOKUP($D47,Tab_Def_Processes[Name(EN)],Tab_Def_Processes[ID],,0,)</f>
        <v>10</v>
      </c>
      <c r="D47" s="189"/>
      <c r="E47" s="9">
        <f>_xlfn.XLOOKUP($D47,Tab_Def_Processes[Name(EN)],Tab_Def_Processes[Process_Type],,0,)</f>
        <v>0</v>
      </c>
      <c r="F47" s="9">
        <f>_xlfn.XLOOKUP($D47,Tab_Def_Processes[Name(EN)],Tab_Def_Processes[TC?],,0,)</f>
        <v>0</v>
      </c>
      <c r="G47" s="9">
        <f>_xlfn.XLOOKUP($D47,Tab_Def_Processes[Name(EN)],Tab_Def_Processes[Dyn_TC?],,0,)</f>
        <v>0</v>
      </c>
      <c r="H47" s="9">
        <f>_xlfn.XLOOKUP($D47,Tab_Def_Processes[Name(EN)],Tab_Def_Processes[Stock?],,0,)</f>
        <v>0</v>
      </c>
      <c r="I47" s="9">
        <f>_xlfn.XLOOKUP($D47,Tab_Def_Processes[Name(EN)],Tab_Def_Processes[Initial_Stock?],,0,)</f>
        <v>0</v>
      </c>
      <c r="J47" s="9">
        <f>_xlfn.XLOOKUP($D47,Tab_Def_Processes[Name(EN)],Tab_Def_Processes[DSM?],,0,)</f>
        <v>0</v>
      </c>
      <c r="K47" s="9">
        <f>_xlfn.XLOOKUP($D47,Tab_Def_Processes[Name(EN)],Tab_Def_Processes[FOMP?],,0,)</f>
        <v>0</v>
      </c>
      <c r="L47" s="9">
        <f>_xlfn.XLOOKUP($D47,Tab_Def_Processes[Name(EN)],Tab_Def_Processes[Nr. Outflows],,0,)</f>
        <v>0</v>
      </c>
      <c r="M47" s="189"/>
      <c r="N47" s="175" t="str">
        <f>_xlfn.XLOOKUP($M47,Tab_Def_Flows[Name(EN)],Tab_Def_Flows[Flow_ID],,0,)</f>
        <v>F_10_10</v>
      </c>
      <c r="O47" s="42" t="str">
        <f t="shared" si="1"/>
        <v>TC_10_10</v>
      </c>
      <c r="P47" s="192"/>
      <c r="Q47" s="37"/>
      <c r="R47" s="37"/>
      <c r="S47" s="37"/>
      <c r="T47" s="37"/>
      <c r="U47" s="37"/>
    </row>
    <row r="48" spans="1:21" x14ac:dyDescent="0.25">
      <c r="A48" s="194" t="b">
        <v>0</v>
      </c>
      <c r="B48" s="9">
        <f t="shared" si="0"/>
        <v>47</v>
      </c>
      <c r="C48" s="47" t="str">
        <f>_xlfn.XLOOKUP($D48,Tab_Def_Processes[Name(EN)],Tab_Def_Processes[ID],,0,)</f>
        <v>10</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F_10_10</v>
      </c>
      <c r="O48" s="42" t="str">
        <f t="shared" si="1"/>
        <v>TC_10_10</v>
      </c>
      <c r="P48" s="192"/>
      <c r="Q48" s="37"/>
      <c r="R48" s="37"/>
      <c r="S48" s="37"/>
      <c r="T48" s="37"/>
      <c r="U48" s="37"/>
    </row>
    <row r="49" spans="1:21" x14ac:dyDescent="0.25">
      <c r="A49" s="194" t="b">
        <v>0</v>
      </c>
      <c r="B49" s="9">
        <f t="shared" si="0"/>
        <v>48</v>
      </c>
      <c r="C49" s="47" t="str">
        <f>_xlfn.XLOOKUP($D49,Tab_Def_Processes[Name(EN)],Tab_Def_Processes[ID],,0,)</f>
        <v>10</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F_10_10</v>
      </c>
      <c r="O49" s="42" t="str">
        <f t="shared" si="1"/>
        <v>TC_10_10</v>
      </c>
      <c r="P49" s="192"/>
      <c r="Q49" s="37"/>
      <c r="R49" s="37"/>
      <c r="S49" s="37"/>
      <c r="T49" s="37"/>
      <c r="U49" s="37"/>
    </row>
    <row r="50" spans="1:21" x14ac:dyDescent="0.25">
      <c r="A50" s="194" t="b">
        <v>0</v>
      </c>
      <c r="B50" s="9">
        <f t="shared" si="0"/>
        <v>49</v>
      </c>
      <c r="C50" s="47" t="str">
        <f>_xlfn.XLOOKUP($D50,Tab_Def_Processes[Name(EN)],Tab_Def_Processes[ID],,0,)</f>
        <v>10</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F_10_10</v>
      </c>
      <c r="O50" s="42" t="str">
        <f t="shared" si="1"/>
        <v>TC_10_10</v>
      </c>
      <c r="P50" s="192"/>
      <c r="Q50" s="37"/>
      <c r="R50" s="37"/>
      <c r="S50" s="37"/>
      <c r="T50" s="37"/>
      <c r="U50"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M2:M50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87</v>
      </c>
      <c r="B1" s="193" t="s">
        <v>31</v>
      </c>
      <c r="C1" s="193" t="s">
        <v>88</v>
      </c>
      <c r="D1" s="193" t="s">
        <v>61</v>
      </c>
      <c r="E1" s="193" t="s">
        <v>89</v>
      </c>
      <c r="F1" s="193" t="s">
        <v>120</v>
      </c>
      <c r="G1" s="193" t="s">
        <v>64</v>
      </c>
      <c r="H1" s="193" t="s">
        <v>268</v>
      </c>
      <c r="I1" s="193" t="s">
        <v>91</v>
      </c>
      <c r="J1" s="193" t="s">
        <v>290</v>
      </c>
      <c r="K1" s="193" t="s">
        <v>291</v>
      </c>
      <c r="L1" s="193" t="s">
        <v>2</v>
      </c>
      <c r="M1" s="193" t="s">
        <v>292</v>
      </c>
      <c r="N1" s="193" t="s">
        <v>293</v>
      </c>
      <c r="O1" s="193" t="s">
        <v>294</v>
      </c>
      <c r="P1" s="193" t="s">
        <v>398</v>
      </c>
      <c r="Q1" s="193" t="s">
        <v>397</v>
      </c>
      <c r="R1" s="193" t="s">
        <v>396</v>
      </c>
      <c r="S1" s="193" t="s">
        <v>40</v>
      </c>
      <c r="T1" s="193" t="s">
        <v>394</v>
      </c>
      <c r="U1" s="193" t="s">
        <v>395</v>
      </c>
    </row>
    <row r="2" spans="1:21" x14ac:dyDescent="0.25">
      <c r="A2" s="194" t="b">
        <v>0</v>
      </c>
      <c r="B2" s="9">
        <f t="shared" ref="B2:B33" si="0">ROW()-1</f>
        <v>1</v>
      </c>
      <c r="C2" s="9" t="e">
        <f>"S"&amp;"_"&amp;LEFT(D2,2)</f>
        <v>#N/A</v>
      </c>
      <c r="D2" s="9" t="e">
        <f>_xlfn.XLOOKUP($E2,Tab_Def_Processes[Name(EN)],Tab_Def_Processes[Process_ID],,0,)</f>
        <v>#N/A</v>
      </c>
      <c r="E2" s="11" t="s">
        <v>34</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10</v>
      </c>
      <c r="R2" s="11" t="s">
        <v>363</v>
      </c>
      <c r="S2" s="9" t="e">
        <f>_xlfn.XLOOKUP(R2,Tab_Def_Flows[Name(EN)],Tab_Def_Flows[Flow_ID],,0,)</f>
        <v>#N/A</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34</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34</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34</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34</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34</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34</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34</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34</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34</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34</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34</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34</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34</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34</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34</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34</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34</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34</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34</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34</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34</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34</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34</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34</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34</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34</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34</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34</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34</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34</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34</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34</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34</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34</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34</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34</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34</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34</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34</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34</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34</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34</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34</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34</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34</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34</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34</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34</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34</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S_10</v>
      </c>
      <c r="D52" s="9" t="str">
        <f>_xlfn.XLOOKUP($E52,Tab_Def_Processes[Name(EN)],Tab_Def_Processes[Process_ID],,0,)</f>
        <v>10</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S_10</v>
      </c>
      <c r="D53" s="9" t="str">
        <f>_xlfn.XLOOKUP($E53,Tab_Def_Processes[Name(EN)],Tab_Def_Processes[Process_ID],,0,)</f>
        <v>10</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S_10</v>
      </c>
      <c r="D54" s="9" t="str">
        <f>_xlfn.XLOOKUP($E54,Tab_Def_Processes[Name(EN)],Tab_Def_Processes[Process_ID],,0,)</f>
        <v>10</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S_10</v>
      </c>
      <c r="D55" s="9" t="str">
        <f>_xlfn.XLOOKUP($E55,Tab_Def_Processes[Name(EN)],Tab_Def_Processes[Process_ID],,0,)</f>
        <v>10</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S_10</v>
      </c>
      <c r="D56" s="9" t="str">
        <f>_xlfn.XLOOKUP($E56,Tab_Def_Processes[Name(EN)],Tab_Def_Processes[Process_ID],,0,)</f>
        <v>10</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S_10</v>
      </c>
      <c r="D57" s="9" t="str">
        <f>_xlfn.XLOOKUP($E57,Tab_Def_Processes[Name(EN)],Tab_Def_Processes[Process_ID],,0,)</f>
        <v>10</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S_10</v>
      </c>
      <c r="D58" s="9" t="str">
        <f>_xlfn.XLOOKUP($E58,Tab_Def_Processes[Name(EN)],Tab_Def_Processes[Process_ID],,0,)</f>
        <v>10</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S_10</v>
      </c>
      <c r="D59" s="9" t="str">
        <f>_xlfn.XLOOKUP($E59,Tab_Def_Processes[Name(EN)],Tab_Def_Processes[Process_ID],,0,)</f>
        <v>10</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S_10</v>
      </c>
      <c r="D60" s="9" t="str">
        <f>_xlfn.XLOOKUP($E60,Tab_Def_Processes[Name(EN)],Tab_Def_Processes[Process_ID],,0,)</f>
        <v>10</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S_10</v>
      </c>
      <c r="D61" s="9" t="str">
        <f>_xlfn.XLOOKUP($E61,Tab_Def_Processes[Name(EN)],Tab_Def_Processes[Process_ID],,0,)</f>
        <v>10</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S_10</v>
      </c>
      <c r="D62" s="9" t="str">
        <f>_xlfn.XLOOKUP($E62,Tab_Def_Processes[Name(EN)],Tab_Def_Processes[Process_ID],,0,)</f>
        <v>10</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S_10</v>
      </c>
      <c r="D63" s="9" t="str">
        <f>_xlfn.XLOOKUP($E63,Tab_Def_Processes[Name(EN)],Tab_Def_Processes[Process_ID],,0,)</f>
        <v>10</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K6" sqref="J2:K6"/>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87</v>
      </c>
      <c r="B1" s="193" t="s">
        <v>31</v>
      </c>
      <c r="C1" s="193" t="s">
        <v>61</v>
      </c>
      <c r="D1" s="193" t="s">
        <v>89</v>
      </c>
      <c r="E1" s="193" t="s">
        <v>287</v>
      </c>
      <c r="F1" s="193" t="s">
        <v>64</v>
      </c>
      <c r="G1" s="193" t="s">
        <v>258</v>
      </c>
      <c r="H1" s="193" t="s">
        <v>40</v>
      </c>
      <c r="I1" s="193" t="s">
        <v>90</v>
      </c>
      <c r="J1" s="193" t="s">
        <v>1</v>
      </c>
      <c r="K1" s="193" t="s">
        <v>288</v>
      </c>
      <c r="L1" s="8" t="s">
        <v>257</v>
      </c>
      <c r="M1" s="14" t="s">
        <v>65</v>
      </c>
      <c r="N1" s="14" t="s">
        <v>66</v>
      </c>
      <c r="O1" s="27" t="s">
        <v>92</v>
      </c>
      <c r="P1" s="14" t="s">
        <v>67</v>
      </c>
      <c r="Q1" s="14" t="s">
        <v>72</v>
      </c>
      <c r="R1" s="27" t="s">
        <v>96</v>
      </c>
      <c r="S1" s="28" t="s">
        <v>68</v>
      </c>
      <c r="T1" s="25" t="s">
        <v>11</v>
      </c>
      <c r="U1" s="31" t="s">
        <v>95</v>
      </c>
      <c r="V1" s="28" t="s">
        <v>69</v>
      </c>
      <c r="W1" s="24" t="s">
        <v>12</v>
      </c>
      <c r="X1" s="27" t="s">
        <v>94</v>
      </c>
      <c r="Y1" s="28" t="s">
        <v>70</v>
      </c>
      <c r="Z1" s="24" t="s">
        <v>13</v>
      </c>
      <c r="AA1" s="27" t="s">
        <v>93</v>
      </c>
      <c r="AB1" s="24" t="s">
        <v>97</v>
      </c>
      <c r="AC1" s="177" t="s">
        <v>75</v>
      </c>
      <c r="AD1" s="177" t="s">
        <v>81</v>
      </c>
      <c r="AE1" s="177" t="s">
        <v>275</v>
      </c>
      <c r="AF1" s="177" t="s">
        <v>255</v>
      </c>
      <c r="AG1" s="178" t="s">
        <v>281</v>
      </c>
      <c r="AH1" s="179" t="s">
        <v>76</v>
      </c>
      <c r="AI1" s="179" t="s">
        <v>82</v>
      </c>
      <c r="AJ1" s="179" t="s">
        <v>276</v>
      </c>
      <c r="AK1" s="177" t="s">
        <v>256</v>
      </c>
      <c r="AL1" s="178" t="s">
        <v>282</v>
      </c>
      <c r="AM1" s="179" t="s">
        <v>77</v>
      </c>
      <c r="AN1" s="179" t="s">
        <v>83</v>
      </c>
      <c r="AO1" s="179" t="s">
        <v>277</v>
      </c>
      <c r="AP1" s="177" t="s">
        <v>271</v>
      </c>
      <c r="AQ1" s="179" t="s">
        <v>283</v>
      </c>
      <c r="AR1" s="179" t="s">
        <v>78</v>
      </c>
      <c r="AS1" s="179" t="s">
        <v>84</v>
      </c>
      <c r="AT1" s="179" t="s">
        <v>278</v>
      </c>
      <c r="AU1" s="177" t="s">
        <v>272</v>
      </c>
      <c r="AV1" s="179" t="s">
        <v>284</v>
      </c>
      <c r="AW1" s="179" t="s">
        <v>79</v>
      </c>
      <c r="AX1" s="179" t="s">
        <v>85</v>
      </c>
      <c r="AY1" s="179" t="s">
        <v>279</v>
      </c>
      <c r="AZ1" s="177" t="s">
        <v>273</v>
      </c>
      <c r="BA1" s="179" t="s">
        <v>285</v>
      </c>
      <c r="BB1" s="50" t="s">
        <v>80</v>
      </c>
      <c r="BC1" s="50" t="s">
        <v>86</v>
      </c>
      <c r="BD1" s="50" t="s">
        <v>280</v>
      </c>
      <c r="BE1" s="26" t="s">
        <v>274</v>
      </c>
      <c r="BF1" s="50" t="s">
        <v>286</v>
      </c>
      <c r="BG1" s="51" t="s">
        <v>98</v>
      </c>
      <c r="BH1" s="36" t="s">
        <v>38</v>
      </c>
      <c r="BI1" s="171" t="s">
        <v>39</v>
      </c>
      <c r="BJ1" s="171" t="s">
        <v>4</v>
      </c>
      <c r="BK1" s="171" t="s">
        <v>3</v>
      </c>
      <c r="BL1" s="172" t="s">
        <v>5</v>
      </c>
    </row>
    <row r="2" spans="1:64" x14ac:dyDescent="0.25">
      <c r="A2" s="194" t="b">
        <v>0</v>
      </c>
      <c r="B2" s="9">
        <f t="shared" ref="B2:B31" si="0">ROW()-1</f>
        <v>1</v>
      </c>
      <c r="C2" s="47" t="e">
        <f>_xlfn.XLOOKUP($D2,Tab_Process_TCs[Name(EN)],Tab_Process_TCs[Process_ID],,0,)</f>
        <v>#N/A</v>
      </c>
      <c r="D2" s="189" t="s">
        <v>34</v>
      </c>
      <c r="E2" s="189" t="s">
        <v>34</v>
      </c>
      <c r="F2" s="47" t="e">
        <f>_xlfn.XLOOKUP($D2,Tab_Process_TCs[Name(EN)],Tab_Process_TCs[TC?],,0,)</f>
        <v>#N/A</v>
      </c>
      <c r="G2" s="47" t="e">
        <f>_xlfn.XLOOKUP($D2,Tab_Process_TCs[Name(EN)],Tab_Process_TCs[Dyn_TC?],,0,)</f>
        <v>#N/A</v>
      </c>
      <c r="H2" s="9" t="str">
        <f>_xlfn.XLOOKUP($E2,Tab_Def_Flows[Name(EN)],Tab_Def_Flows[Flow_ID],,0,1)</f>
        <v>N.A.</v>
      </c>
      <c r="I2" s="9" t="str">
        <f>IF(Tab_Process_TCs2527[[#This Row],[Name(EN)]]="N.A.","N.A.","TC"&amp;"_"&amp;RIGHT(H2,5))</f>
        <v>N.A.</v>
      </c>
      <c r="J2" s="11"/>
      <c r="K2" s="56"/>
      <c r="L2" s="9"/>
      <c r="M2" s="16" t="e">
        <f>_xlfn.XLOOKUP($D2,Tab_Def_Processes[Name(EN)],Tab_Def_Processes[Input_Flow_I_1],,0,)</f>
        <v>#N/A</v>
      </c>
      <c r="N2" s="9" t="e">
        <f>_xlfn.XLOOKUP($D2,Tab_Def_Processes[Name(EN)],Tab_Def_Processes[Flow_ID_I_1],,0,)</f>
        <v>#N/A</v>
      </c>
      <c r="O2" s="33"/>
      <c r="P2" s="29" t="e">
        <f>_xlfn.XLOOKUP($D2,Tab_Def_Processes[Name(EN)],Tab_Def_Processes[Input_Flow_I_2],,0,)</f>
        <v>#N/A</v>
      </c>
      <c r="Q2" s="9" t="e">
        <f>_xlfn.XLOOKUP($D2,Tab_Def_Processes[Name(EN)],Tab_Def_Processes[Flow_ID_I_2],,0,)</f>
        <v>#N/A</v>
      </c>
      <c r="R2" s="33"/>
      <c r="S2" s="29" t="e">
        <f>_xlfn.XLOOKUP($D2,Tab_Def_Processes[Name(EN)],Tab_Def_Processes[Input_Flow_I_3],,0,)</f>
        <v>#N/A</v>
      </c>
      <c r="T2" s="9" t="e">
        <f>_xlfn.XLOOKUP($D2,Tab_Def_Processes[Name(EN)],Tab_Def_Processes[Flow_ID_I_3],,0,)</f>
        <v>#N/A</v>
      </c>
      <c r="U2" s="33"/>
      <c r="V2" s="29" t="e">
        <f>_xlfn.XLOOKUP($D2,Tab_Def_Processes[Name(EN)],Tab_Def_Processes[Input_Flow_I_4],,0,)</f>
        <v>#N/A</v>
      </c>
      <c r="W2" s="9" t="e">
        <f>_xlfn.XLOOKUP($D2,Tab_Def_Processes[Name(EN)],Tab_Def_Processes[Flow_ID_I_4],,0,)</f>
        <v>#N/A</v>
      </c>
      <c r="X2" s="33"/>
      <c r="Y2" s="29" t="e">
        <f>_xlfn.XLOOKUP($D2,Tab_Def_Processes[Name(EN)],Tab_Def_Processes[Input_Flow_I_5],,0,)</f>
        <v>#N/A</v>
      </c>
      <c r="Z2" s="9" t="e">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N.A.</v>
      </c>
      <c r="AF2" s="9" t="e">
        <f t="shared" ref="AF2:AF31" si="1">"TC"&amp;"_"&amp;RIGHT(AD2,5)</f>
        <v>#REF!</v>
      </c>
      <c r="AG2" s="49">
        <v>0.2</v>
      </c>
      <c r="AH2" s="16" t="e">
        <f>_xlfn.XLOOKUP($D2,#REF!,#REF!,,0,)</f>
        <v>#REF!</v>
      </c>
      <c r="AI2" s="9" t="e">
        <f>_xlfn.XLOOKUP($D2,#REF!,#REF!,,0,)</f>
        <v>#REF!</v>
      </c>
      <c r="AJ2" s="42" t="str">
        <f>Tab_Process_TCs2527[[#This Row],[Flow_ID]]</f>
        <v>N.A.</v>
      </c>
      <c r="AK2" s="9" t="e">
        <f t="shared" ref="AK2:AK31" si="2">"TC"&amp;"_"&amp;RIGHT(AI2,5)</f>
        <v>#REF!</v>
      </c>
      <c r="AL2" s="176">
        <v>0.8</v>
      </c>
      <c r="AM2" s="16" t="e">
        <f>_xlfn.XLOOKUP($D2,#REF!,#REF!,,0,)</f>
        <v>#REF!</v>
      </c>
      <c r="AN2" s="9" t="e">
        <f>_xlfn.XLOOKUP($D2,#REF!,#REF!,,0,)</f>
        <v>#REF!</v>
      </c>
      <c r="AO2" s="42" t="str">
        <f>Tab_Process_TCs2527[[#This Row],[Flow_ID]]</f>
        <v>N.A.</v>
      </c>
      <c r="AP2" s="9" t="e">
        <f t="shared" ref="AP2:AP31" si="3">"TC"&amp;"_"&amp;RIGHT(AN2,5)</f>
        <v>#REF!</v>
      </c>
      <c r="AQ2" s="168"/>
      <c r="AR2" s="16" t="e">
        <f>_xlfn.XLOOKUP($D2,#REF!,#REF!,,0,)</f>
        <v>#REF!</v>
      </c>
      <c r="AS2" s="9" t="e">
        <f>_xlfn.XLOOKUP($D2,#REF!,#REF!,,0,)</f>
        <v>#REF!</v>
      </c>
      <c r="AT2" s="42" t="str">
        <f>Tab_Process_TCs2527[[#This Row],[Flow_ID]]</f>
        <v>N.A.</v>
      </c>
      <c r="AU2" s="42" t="e">
        <f t="shared" ref="AU2:AU31" si="4">"TC"&amp;"_"&amp;RIGHT(AN2,5)</f>
        <v>#REF!</v>
      </c>
      <c r="AV2" s="168"/>
      <c r="AW2" s="16" t="e">
        <f>_xlfn.XLOOKUP($D2,#REF!,#REF!,,0,)</f>
        <v>#REF!</v>
      </c>
      <c r="AX2" s="9" t="e">
        <f>_xlfn.XLOOKUP($D2,#REF!,#REF!,,0,)</f>
        <v>#REF!</v>
      </c>
      <c r="AY2" s="42" t="str">
        <f>Tab_Process_TCs2527[[#This Row],[Flow_ID]]</f>
        <v>N.A.</v>
      </c>
      <c r="AZ2" s="42" t="e">
        <f t="shared" ref="AZ2:AZ31" si="5">"TC"&amp;"_"&amp;RIGHT(AX2,5)</f>
        <v>#REF!</v>
      </c>
      <c r="BA2" s="168"/>
      <c r="BB2" s="9" t="e">
        <f>_xlfn.XLOOKUP($D2,#REF!,#REF!,,0,)</f>
        <v>#REF!</v>
      </c>
      <c r="BC2" s="9" t="e">
        <f>_xlfn.XLOOKUP($D2,#REF!,#REF!,,0,)</f>
        <v>#REF!</v>
      </c>
      <c r="BD2" s="42" t="str">
        <f>Tab_Process_TCs2527[[#This Row],[Flow_ID]]</f>
        <v>N.A.</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e">
        <f>_xlfn.XLOOKUP($D3,Tab_Process_TCs[Name(EN)],Tab_Process_TCs[Process_ID],,0,)</f>
        <v>#N/A</v>
      </c>
      <c r="D3" s="189" t="s">
        <v>34</v>
      </c>
      <c r="E3" s="189" t="s">
        <v>34</v>
      </c>
      <c r="F3" s="47" t="e">
        <f>_xlfn.XLOOKUP($D3,Tab_Process_TCs[Name(EN)],Tab_Process_TCs[TC?],,0,)</f>
        <v>#N/A</v>
      </c>
      <c r="G3" s="47" t="e">
        <f>_xlfn.XLOOKUP($D3,Tab_Process_TCs[Name(EN)],Tab_Process_TCs[Dyn_TC?],,0,)</f>
        <v>#N/A</v>
      </c>
      <c r="H3" s="9" t="str">
        <f>_xlfn.XLOOKUP($E3,Tab_Def_Flows[Name(EN)],Tab_Def_Flows[Flow_ID],,0,1)</f>
        <v>N.A.</v>
      </c>
      <c r="I3" s="9" t="str">
        <f>IF(Tab_Process_TCs2527[[#This Row],[Name(EN)]]="N.A.","N.A.","TC"&amp;"_"&amp;RIGHT(H3,5))</f>
        <v>N.A.</v>
      </c>
      <c r="J3" s="11"/>
      <c r="K3" s="56"/>
      <c r="L3" s="9"/>
      <c r="M3" s="16" t="e">
        <f>_xlfn.XLOOKUP($D3,Tab_Def_Processes[Name(EN)],Tab_Def_Processes[Input_Flow_I_1],,0,)</f>
        <v>#N/A</v>
      </c>
      <c r="N3" s="9" t="e">
        <f>_xlfn.XLOOKUP($D3,Tab_Def_Processes[Name(EN)],Tab_Def_Processes[Flow_ID_I_1],,0,)</f>
        <v>#N/A</v>
      </c>
      <c r="O3" s="33"/>
      <c r="P3" s="29" t="e">
        <f>_xlfn.XLOOKUP($D3,Tab_Def_Processes[Name(EN)],Tab_Def_Processes[Input_Flow_I_2],,0,)</f>
        <v>#N/A</v>
      </c>
      <c r="Q3" s="9" t="e">
        <f>_xlfn.XLOOKUP($D3,Tab_Def_Processes[Name(EN)],Tab_Def_Processes[Flow_ID_I_2],,0,)</f>
        <v>#N/A</v>
      </c>
      <c r="R3" s="33"/>
      <c r="S3" s="29" t="e">
        <f>_xlfn.XLOOKUP($D3,Tab_Def_Processes[Name(EN)],Tab_Def_Processes[Input_Flow_I_3],,0,)</f>
        <v>#N/A</v>
      </c>
      <c r="T3" s="9" t="e">
        <f>_xlfn.XLOOKUP($D3,Tab_Def_Processes[Name(EN)],Tab_Def_Processes[Flow_ID_I_3],,0,)</f>
        <v>#N/A</v>
      </c>
      <c r="U3" s="33"/>
      <c r="V3" s="29" t="e">
        <f>_xlfn.XLOOKUP($D3,Tab_Def_Processes[Name(EN)],Tab_Def_Processes[Input_Flow_I_4],,0,)</f>
        <v>#N/A</v>
      </c>
      <c r="W3" s="9" t="e">
        <f>_xlfn.XLOOKUP($D3,Tab_Def_Processes[Name(EN)],Tab_Def_Processes[Flow_ID_I_4],,0,)</f>
        <v>#N/A</v>
      </c>
      <c r="X3" s="33"/>
      <c r="Y3" s="29" t="e">
        <f>_xlfn.XLOOKUP($D3,Tab_Def_Processes[Name(EN)],Tab_Def_Processes[Input_Flow_I_5],,0,)</f>
        <v>#N/A</v>
      </c>
      <c r="Z3" s="9" t="e">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N.A.</v>
      </c>
      <c r="AF3" s="9" t="e">
        <f t="shared" si="1"/>
        <v>#REF!</v>
      </c>
      <c r="AG3" s="49">
        <v>0.2</v>
      </c>
      <c r="AH3" s="16" t="e">
        <f>_xlfn.XLOOKUP($D3,#REF!,#REF!,,0,)</f>
        <v>#REF!</v>
      </c>
      <c r="AI3" s="9" t="e">
        <f>_xlfn.XLOOKUP($D3,#REF!,#REF!,,0,)</f>
        <v>#REF!</v>
      </c>
      <c r="AJ3" s="42" t="str">
        <f>Tab_Process_TCs2527[[#This Row],[Flow_ID]]</f>
        <v>N.A.</v>
      </c>
      <c r="AK3" s="9" t="e">
        <f t="shared" si="2"/>
        <v>#REF!</v>
      </c>
      <c r="AL3" s="176">
        <v>0.8</v>
      </c>
      <c r="AM3" s="16" t="e">
        <f>_xlfn.XLOOKUP($D3,#REF!,#REF!,,0,)</f>
        <v>#REF!</v>
      </c>
      <c r="AN3" s="9" t="e">
        <f>_xlfn.XLOOKUP($D3,#REF!,#REF!,,0,)</f>
        <v>#REF!</v>
      </c>
      <c r="AO3" s="42" t="str">
        <f>Tab_Process_TCs2527[[#This Row],[Flow_ID]]</f>
        <v>N.A.</v>
      </c>
      <c r="AP3" s="9" t="e">
        <f t="shared" si="3"/>
        <v>#REF!</v>
      </c>
      <c r="AQ3" s="168"/>
      <c r="AR3" s="16" t="e">
        <f>_xlfn.XLOOKUP($D3,#REF!,#REF!,,0,)</f>
        <v>#REF!</v>
      </c>
      <c r="AS3" s="9" t="e">
        <f>_xlfn.XLOOKUP($D3,#REF!,#REF!,,0,)</f>
        <v>#REF!</v>
      </c>
      <c r="AT3" s="42" t="str">
        <f>Tab_Process_TCs2527[[#This Row],[Flow_ID]]</f>
        <v>N.A.</v>
      </c>
      <c r="AU3" s="42" t="e">
        <f t="shared" si="4"/>
        <v>#REF!</v>
      </c>
      <c r="AV3" s="168"/>
      <c r="AW3" s="16" t="e">
        <f>_xlfn.XLOOKUP($D3,#REF!,#REF!,,0,)</f>
        <v>#REF!</v>
      </c>
      <c r="AX3" s="9" t="e">
        <f>_xlfn.XLOOKUP($D3,#REF!,#REF!,,0,)</f>
        <v>#REF!</v>
      </c>
      <c r="AY3" s="42" t="str">
        <f>Tab_Process_TCs2527[[#This Row],[Flow_ID]]</f>
        <v>N.A.</v>
      </c>
      <c r="AZ3" s="42" t="e">
        <f t="shared" si="5"/>
        <v>#REF!</v>
      </c>
      <c r="BA3" s="168"/>
      <c r="BB3" s="9" t="e">
        <f>_xlfn.XLOOKUP($D3,#REF!,#REF!,,0,)</f>
        <v>#REF!</v>
      </c>
      <c r="BC3" s="9" t="e">
        <f>_xlfn.XLOOKUP($D3,#REF!,#REF!,,0,)</f>
        <v>#REF!</v>
      </c>
      <c r="BD3" s="42" t="str">
        <f>Tab_Process_TCs2527[[#This Row],[Flow_ID]]</f>
        <v>N.A.</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e">
        <f>_xlfn.XLOOKUP($D4,Tab_Process_TCs[Name(EN)],Tab_Process_TCs[Process_ID],,0,)</f>
        <v>#N/A</v>
      </c>
      <c r="D4" s="189" t="s">
        <v>34</v>
      </c>
      <c r="E4" s="189" t="s">
        <v>34</v>
      </c>
      <c r="F4" s="47" t="e">
        <f>_xlfn.XLOOKUP($D4,Tab_Process_TCs[Name(EN)],Tab_Process_TCs[TC?],,0,)</f>
        <v>#N/A</v>
      </c>
      <c r="G4" s="47" t="e">
        <f>_xlfn.XLOOKUP($D4,Tab_Process_TCs[Name(EN)],Tab_Process_TCs[Dyn_TC?],,0,)</f>
        <v>#N/A</v>
      </c>
      <c r="H4" s="9" t="str">
        <f>_xlfn.XLOOKUP($E4,Tab_Def_Flows[Name(EN)],Tab_Def_Flows[Flow_ID],,0,1)</f>
        <v>N.A.</v>
      </c>
      <c r="I4" s="9" t="str">
        <f>IF(Tab_Process_TCs2527[[#This Row],[Name(EN)]]="N.A.","N.A.","TC"&amp;"_"&amp;RIGHT(H4,5))</f>
        <v>N.A.</v>
      </c>
      <c r="J4" s="11"/>
      <c r="K4" s="56"/>
      <c r="L4" s="9"/>
      <c r="M4" s="16" t="e">
        <f>_xlfn.XLOOKUP($D4,Tab_Def_Processes[Name(EN)],Tab_Def_Processes[Input_Flow_I_1],,0,)</f>
        <v>#N/A</v>
      </c>
      <c r="N4" s="9" t="e">
        <f>_xlfn.XLOOKUP($D4,Tab_Def_Processes[Name(EN)],Tab_Def_Processes[Flow_ID_I_1],,0,)</f>
        <v>#N/A</v>
      </c>
      <c r="O4" s="33"/>
      <c r="P4" s="29" t="e">
        <f>_xlfn.XLOOKUP($D4,Tab_Def_Processes[Name(EN)],Tab_Def_Processes[Input_Flow_I_2],,0,)</f>
        <v>#N/A</v>
      </c>
      <c r="Q4" s="9" t="e">
        <f>_xlfn.XLOOKUP($D4,Tab_Def_Processes[Name(EN)],Tab_Def_Processes[Flow_ID_I_2],,0,)</f>
        <v>#N/A</v>
      </c>
      <c r="R4" s="33"/>
      <c r="S4" s="29" t="e">
        <f>_xlfn.XLOOKUP($D4,Tab_Def_Processes[Name(EN)],Tab_Def_Processes[Input_Flow_I_3],,0,)</f>
        <v>#N/A</v>
      </c>
      <c r="T4" s="9" t="e">
        <f>_xlfn.XLOOKUP($D4,Tab_Def_Processes[Name(EN)],Tab_Def_Processes[Flow_ID_I_3],,0,)</f>
        <v>#N/A</v>
      </c>
      <c r="U4" s="33"/>
      <c r="V4" s="29" t="e">
        <f>_xlfn.XLOOKUP($D4,Tab_Def_Processes[Name(EN)],Tab_Def_Processes[Input_Flow_I_4],,0,)</f>
        <v>#N/A</v>
      </c>
      <c r="W4" s="9" t="e">
        <f>_xlfn.XLOOKUP($D4,Tab_Def_Processes[Name(EN)],Tab_Def_Processes[Flow_ID_I_4],,0,)</f>
        <v>#N/A</v>
      </c>
      <c r="X4" s="33"/>
      <c r="Y4" s="29" t="e">
        <f>_xlfn.XLOOKUP($D4,Tab_Def_Processes[Name(EN)],Tab_Def_Processes[Input_Flow_I_5],,0,)</f>
        <v>#N/A</v>
      </c>
      <c r="Z4" s="9" t="e">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N.A.</v>
      </c>
      <c r="AF4" s="9" t="e">
        <f t="shared" si="1"/>
        <v>#REF!</v>
      </c>
      <c r="AG4" s="49">
        <v>0.2</v>
      </c>
      <c r="AH4" s="16" t="e">
        <f>_xlfn.XLOOKUP($D4,#REF!,#REF!,,0,)</f>
        <v>#REF!</v>
      </c>
      <c r="AI4" s="9" t="e">
        <f>_xlfn.XLOOKUP($D4,#REF!,#REF!,,0,)</f>
        <v>#REF!</v>
      </c>
      <c r="AJ4" s="42" t="str">
        <f>Tab_Process_TCs2527[[#This Row],[Flow_ID]]</f>
        <v>N.A.</v>
      </c>
      <c r="AK4" s="9" t="e">
        <f t="shared" si="2"/>
        <v>#REF!</v>
      </c>
      <c r="AL4" s="176">
        <v>0.8</v>
      </c>
      <c r="AM4" s="16" t="e">
        <f>_xlfn.XLOOKUP($D4,#REF!,#REF!,,0,)</f>
        <v>#REF!</v>
      </c>
      <c r="AN4" s="9" t="e">
        <f>_xlfn.XLOOKUP($D4,#REF!,#REF!,,0,)</f>
        <v>#REF!</v>
      </c>
      <c r="AO4" s="42" t="str">
        <f>Tab_Process_TCs2527[[#This Row],[Flow_ID]]</f>
        <v>N.A.</v>
      </c>
      <c r="AP4" s="9" t="e">
        <f t="shared" si="3"/>
        <v>#REF!</v>
      </c>
      <c r="AQ4" s="168"/>
      <c r="AR4" s="16" t="e">
        <f>_xlfn.XLOOKUP($D4,#REF!,#REF!,,0,)</f>
        <v>#REF!</v>
      </c>
      <c r="AS4" s="9" t="e">
        <f>_xlfn.XLOOKUP($D4,#REF!,#REF!,,0,)</f>
        <v>#REF!</v>
      </c>
      <c r="AT4" s="42" t="str">
        <f>Tab_Process_TCs2527[[#This Row],[Flow_ID]]</f>
        <v>N.A.</v>
      </c>
      <c r="AU4" s="42" t="e">
        <f t="shared" si="4"/>
        <v>#REF!</v>
      </c>
      <c r="AV4" s="168"/>
      <c r="AW4" s="16" t="e">
        <f>_xlfn.XLOOKUP($D4,#REF!,#REF!,,0,)</f>
        <v>#REF!</v>
      </c>
      <c r="AX4" s="9" t="e">
        <f>_xlfn.XLOOKUP($D4,#REF!,#REF!,,0,)</f>
        <v>#REF!</v>
      </c>
      <c r="AY4" s="42" t="str">
        <f>Tab_Process_TCs2527[[#This Row],[Flow_ID]]</f>
        <v>N.A.</v>
      </c>
      <c r="AZ4" s="42" t="e">
        <f t="shared" si="5"/>
        <v>#REF!</v>
      </c>
      <c r="BA4" s="168"/>
      <c r="BB4" s="9" t="e">
        <f>_xlfn.XLOOKUP($D4,#REF!,#REF!,,0,)</f>
        <v>#REF!</v>
      </c>
      <c r="BC4" s="9" t="e">
        <f>_xlfn.XLOOKUP($D4,#REF!,#REF!,,0,)</f>
        <v>#REF!</v>
      </c>
      <c r="BD4" s="42" t="str">
        <f>Tab_Process_TCs2527[[#This Row],[Flow_ID]]</f>
        <v>N.A.</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e">
        <f>_xlfn.XLOOKUP($D5,Tab_Process_TCs[Name(EN)],Tab_Process_TCs[Process_ID],,0,)</f>
        <v>#N/A</v>
      </c>
      <c r="D5" s="189" t="s">
        <v>34</v>
      </c>
      <c r="E5" s="189" t="s">
        <v>34</v>
      </c>
      <c r="F5" s="47" t="e">
        <f>_xlfn.XLOOKUP($D5,Tab_Process_TCs[Name(EN)],Tab_Process_TCs[TC?],,0,)</f>
        <v>#N/A</v>
      </c>
      <c r="G5" s="47" t="e">
        <f>_xlfn.XLOOKUP($D5,Tab_Process_TCs[Name(EN)],Tab_Process_TCs[Dyn_TC?],,0,)</f>
        <v>#N/A</v>
      </c>
      <c r="H5" s="9" t="str">
        <f>_xlfn.XLOOKUP($E5,Tab_Def_Flows[Name(EN)],Tab_Def_Flows[Flow_ID],,0,1)</f>
        <v>N.A.</v>
      </c>
      <c r="I5" s="9" t="str">
        <f>IF(Tab_Process_TCs2527[[#This Row],[Name(EN)]]="N.A.","N.A.","TC"&amp;"_"&amp;RIGHT(H5,5))</f>
        <v>N.A.</v>
      </c>
      <c r="J5" s="11"/>
      <c r="K5" s="56"/>
      <c r="L5" s="9"/>
      <c r="M5" s="16" t="e">
        <f>_xlfn.XLOOKUP($D5,Tab_Def_Processes[Name(EN)],Tab_Def_Processes[Input_Flow_I_1],,0,)</f>
        <v>#N/A</v>
      </c>
      <c r="N5" s="9" t="e">
        <f>_xlfn.XLOOKUP($D5,Tab_Def_Processes[Name(EN)],Tab_Def_Processes[Flow_ID_I_1],,0,)</f>
        <v>#N/A</v>
      </c>
      <c r="O5" s="33"/>
      <c r="P5" s="29" t="e">
        <f>_xlfn.XLOOKUP($D5,Tab_Def_Processes[Name(EN)],Tab_Def_Processes[Input_Flow_I_2],,0,)</f>
        <v>#N/A</v>
      </c>
      <c r="Q5" s="9" t="e">
        <f>_xlfn.XLOOKUP($D5,Tab_Def_Processes[Name(EN)],Tab_Def_Processes[Flow_ID_I_2],,0,)</f>
        <v>#N/A</v>
      </c>
      <c r="R5" s="33"/>
      <c r="S5" s="29" t="e">
        <f>_xlfn.XLOOKUP($D5,Tab_Def_Processes[Name(EN)],Tab_Def_Processes[Input_Flow_I_3],,0,)</f>
        <v>#N/A</v>
      </c>
      <c r="T5" s="9" t="e">
        <f>_xlfn.XLOOKUP($D5,Tab_Def_Processes[Name(EN)],Tab_Def_Processes[Flow_ID_I_3],,0,)</f>
        <v>#N/A</v>
      </c>
      <c r="U5" s="33"/>
      <c r="V5" s="29" t="e">
        <f>_xlfn.XLOOKUP($D5,Tab_Def_Processes[Name(EN)],Tab_Def_Processes[Input_Flow_I_4],,0,)</f>
        <v>#N/A</v>
      </c>
      <c r="W5" s="9" t="e">
        <f>_xlfn.XLOOKUP($D5,Tab_Def_Processes[Name(EN)],Tab_Def_Processes[Flow_ID_I_4],,0,)</f>
        <v>#N/A</v>
      </c>
      <c r="X5" s="33"/>
      <c r="Y5" s="29" t="e">
        <f>_xlfn.XLOOKUP($D5,Tab_Def_Processes[Name(EN)],Tab_Def_Processes[Input_Flow_I_5],,0,)</f>
        <v>#N/A</v>
      </c>
      <c r="Z5" s="9" t="e">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N.A.</v>
      </c>
      <c r="AF5" s="9" t="e">
        <f t="shared" si="1"/>
        <v>#REF!</v>
      </c>
      <c r="AG5" s="49">
        <v>0.5</v>
      </c>
      <c r="AH5" s="16" t="e">
        <f>_xlfn.XLOOKUP($D5,#REF!,#REF!,,0,)</f>
        <v>#REF!</v>
      </c>
      <c r="AI5" s="9" t="e">
        <f>_xlfn.XLOOKUP($D5,#REF!,#REF!,,0,)</f>
        <v>#REF!</v>
      </c>
      <c r="AJ5" s="42" t="str">
        <f>Tab_Process_TCs2527[[#This Row],[Flow_ID]]</f>
        <v>N.A.</v>
      </c>
      <c r="AK5" s="9" t="e">
        <f t="shared" si="2"/>
        <v>#REF!</v>
      </c>
      <c r="AL5" s="176">
        <v>0.2</v>
      </c>
      <c r="AM5" s="16" t="e">
        <f>_xlfn.XLOOKUP($D5,#REF!,#REF!,,0,)</f>
        <v>#REF!</v>
      </c>
      <c r="AN5" s="9" t="e">
        <f>_xlfn.XLOOKUP($D5,#REF!,#REF!,,0,)</f>
        <v>#REF!</v>
      </c>
      <c r="AO5" s="42" t="str">
        <f>Tab_Process_TCs2527[[#This Row],[Flow_ID]]</f>
        <v>N.A.</v>
      </c>
      <c r="AP5" s="9" t="e">
        <f t="shared" si="3"/>
        <v>#REF!</v>
      </c>
      <c r="AQ5" s="168">
        <v>0.3</v>
      </c>
      <c r="AR5" s="16" t="e">
        <f>_xlfn.XLOOKUP($D5,#REF!,#REF!,,0,)</f>
        <v>#REF!</v>
      </c>
      <c r="AS5" s="9" t="e">
        <f>_xlfn.XLOOKUP($D5,#REF!,#REF!,,0,)</f>
        <v>#REF!</v>
      </c>
      <c r="AT5" s="42" t="str">
        <f>Tab_Process_TCs2527[[#This Row],[Flow_ID]]</f>
        <v>N.A.</v>
      </c>
      <c r="AU5" s="42" t="e">
        <f t="shared" si="4"/>
        <v>#REF!</v>
      </c>
      <c r="AV5" s="168"/>
      <c r="AW5" s="16" t="e">
        <f>_xlfn.XLOOKUP($D5,#REF!,#REF!,,0,)</f>
        <v>#REF!</v>
      </c>
      <c r="AX5" s="9" t="e">
        <f>_xlfn.XLOOKUP($D5,#REF!,#REF!,,0,)</f>
        <v>#REF!</v>
      </c>
      <c r="AY5" s="42" t="str">
        <f>Tab_Process_TCs2527[[#This Row],[Flow_ID]]</f>
        <v>N.A.</v>
      </c>
      <c r="AZ5" s="42" t="e">
        <f t="shared" si="5"/>
        <v>#REF!</v>
      </c>
      <c r="BA5" s="168"/>
      <c r="BB5" s="9" t="e">
        <f>_xlfn.XLOOKUP($D5,#REF!,#REF!,,0,)</f>
        <v>#REF!</v>
      </c>
      <c r="BC5" s="9" t="e">
        <f>_xlfn.XLOOKUP($D5,#REF!,#REF!,,0,)</f>
        <v>#REF!</v>
      </c>
      <c r="BD5" s="42" t="str">
        <f>Tab_Process_TCs2527[[#This Row],[Flow_ID]]</f>
        <v>N.A.</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e">
        <f>_xlfn.XLOOKUP($D6,Tab_Process_TCs[Name(EN)],Tab_Process_TCs[Process_ID],,0,)</f>
        <v>#N/A</v>
      </c>
      <c r="D6" s="189" t="s">
        <v>34</v>
      </c>
      <c r="E6" s="189" t="s">
        <v>34</v>
      </c>
      <c r="F6" s="47" t="e">
        <f>_xlfn.XLOOKUP($D6,Tab_Process_TCs[Name(EN)],Tab_Process_TCs[TC?],,0,)</f>
        <v>#N/A</v>
      </c>
      <c r="G6" s="47" t="e">
        <f>_xlfn.XLOOKUP($D6,Tab_Process_TCs[Name(EN)],Tab_Process_TCs[Dyn_TC?],,0,)</f>
        <v>#N/A</v>
      </c>
      <c r="H6" s="9" t="str">
        <f>_xlfn.XLOOKUP($E6,Tab_Def_Flows[Name(EN)],Tab_Def_Flows[Flow_ID],,0,1)</f>
        <v>N.A.</v>
      </c>
      <c r="I6" s="9" t="str">
        <f>IF(Tab_Process_TCs2527[[#This Row],[Name(EN)]]="N.A.","N.A.","TC"&amp;"_"&amp;RIGHT(H6,5))</f>
        <v>N.A.</v>
      </c>
      <c r="J6" s="11"/>
      <c r="K6" s="56"/>
      <c r="L6" s="9"/>
      <c r="M6" s="16" t="e">
        <f>_xlfn.XLOOKUP($D6,Tab_Def_Processes[Name(EN)],Tab_Def_Processes[Input_Flow_I_1],,0,)</f>
        <v>#N/A</v>
      </c>
      <c r="N6" s="9" t="e">
        <f>_xlfn.XLOOKUP($D6,Tab_Def_Processes[Name(EN)],Tab_Def_Processes[Flow_ID_I_1],,0,)</f>
        <v>#N/A</v>
      </c>
      <c r="O6" s="33"/>
      <c r="P6" s="29" t="e">
        <f>_xlfn.XLOOKUP($D6,Tab_Def_Processes[Name(EN)],Tab_Def_Processes[Input_Flow_I_2],,0,)</f>
        <v>#N/A</v>
      </c>
      <c r="Q6" s="9" t="e">
        <f>_xlfn.XLOOKUP($D6,Tab_Def_Processes[Name(EN)],Tab_Def_Processes[Flow_ID_I_2],,0,)</f>
        <v>#N/A</v>
      </c>
      <c r="R6" s="33"/>
      <c r="S6" s="29" t="e">
        <f>_xlfn.XLOOKUP($D6,Tab_Def_Processes[Name(EN)],Tab_Def_Processes[Input_Flow_I_3],,0,)</f>
        <v>#N/A</v>
      </c>
      <c r="T6" s="9" t="e">
        <f>_xlfn.XLOOKUP($D6,Tab_Def_Processes[Name(EN)],Tab_Def_Processes[Flow_ID_I_3],,0,)</f>
        <v>#N/A</v>
      </c>
      <c r="U6" s="33"/>
      <c r="V6" s="29" t="e">
        <f>_xlfn.XLOOKUP($D6,Tab_Def_Processes[Name(EN)],Tab_Def_Processes[Input_Flow_I_4],,0,)</f>
        <v>#N/A</v>
      </c>
      <c r="W6" s="9" t="e">
        <f>_xlfn.XLOOKUP($D6,Tab_Def_Processes[Name(EN)],Tab_Def_Processes[Flow_ID_I_4],,0,)</f>
        <v>#N/A</v>
      </c>
      <c r="X6" s="33"/>
      <c r="Y6" s="29" t="e">
        <f>_xlfn.XLOOKUP($D6,Tab_Def_Processes[Name(EN)],Tab_Def_Processes[Input_Flow_I_5],,0,)</f>
        <v>#N/A</v>
      </c>
      <c r="Z6" s="9" t="e">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N.A.</v>
      </c>
      <c r="AF6" s="9" t="e">
        <f t="shared" si="1"/>
        <v>#REF!</v>
      </c>
      <c r="AG6" s="49">
        <v>0.2</v>
      </c>
      <c r="AH6" s="16" t="e">
        <f>_xlfn.XLOOKUP($D6,#REF!,#REF!,,0,)</f>
        <v>#REF!</v>
      </c>
      <c r="AI6" s="9" t="e">
        <f>_xlfn.XLOOKUP($D6,#REF!,#REF!,,0,)</f>
        <v>#REF!</v>
      </c>
      <c r="AJ6" s="42" t="str">
        <f>Tab_Process_TCs2527[[#This Row],[Flow_ID]]</f>
        <v>N.A.</v>
      </c>
      <c r="AK6" s="9" t="e">
        <f t="shared" si="2"/>
        <v>#REF!</v>
      </c>
      <c r="AL6" s="176">
        <v>0.8</v>
      </c>
      <c r="AM6" s="16" t="e">
        <f>_xlfn.XLOOKUP($D6,#REF!,#REF!,,0,)</f>
        <v>#REF!</v>
      </c>
      <c r="AN6" s="9" t="e">
        <f>_xlfn.XLOOKUP($D6,#REF!,#REF!,,0,)</f>
        <v>#REF!</v>
      </c>
      <c r="AO6" s="42" t="str">
        <f>Tab_Process_TCs2527[[#This Row],[Flow_ID]]</f>
        <v>N.A.</v>
      </c>
      <c r="AP6" s="9" t="e">
        <f t="shared" si="3"/>
        <v>#REF!</v>
      </c>
      <c r="AQ6" s="168"/>
      <c r="AR6" s="16" t="e">
        <f>_xlfn.XLOOKUP($D6,#REF!,#REF!,,0,)</f>
        <v>#REF!</v>
      </c>
      <c r="AS6" s="9" t="e">
        <f>_xlfn.XLOOKUP($D6,#REF!,#REF!,,0,)</f>
        <v>#REF!</v>
      </c>
      <c r="AT6" s="42" t="str">
        <f>Tab_Process_TCs2527[[#This Row],[Flow_ID]]</f>
        <v>N.A.</v>
      </c>
      <c r="AU6" s="42" t="e">
        <f t="shared" si="4"/>
        <v>#REF!</v>
      </c>
      <c r="AV6" s="168"/>
      <c r="AW6" s="16" t="e">
        <f>_xlfn.XLOOKUP($D6,#REF!,#REF!,,0,)</f>
        <v>#REF!</v>
      </c>
      <c r="AX6" s="9" t="e">
        <f>_xlfn.XLOOKUP($D6,#REF!,#REF!,,0,)</f>
        <v>#REF!</v>
      </c>
      <c r="AY6" s="42" t="str">
        <f>Tab_Process_TCs2527[[#This Row],[Flow_ID]]</f>
        <v>N.A.</v>
      </c>
      <c r="AZ6" s="42" t="e">
        <f t="shared" si="5"/>
        <v>#REF!</v>
      </c>
      <c r="BA6" s="168"/>
      <c r="BB6" s="9" t="e">
        <f>_xlfn.XLOOKUP($D6,#REF!,#REF!,,0,)</f>
        <v>#REF!</v>
      </c>
      <c r="BC6" s="9" t="e">
        <f>_xlfn.XLOOKUP($D6,#REF!,#REF!,,0,)</f>
        <v>#REF!</v>
      </c>
      <c r="BD6" s="42" t="str">
        <f>Tab_Process_TCs2527[[#This Row],[Flow_ID]]</f>
        <v>N.A.</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e">
        <f>_xlfn.XLOOKUP($D7,Tab_Process_TCs[Name(EN)],Tab_Process_TCs[Process_ID],,0,)</f>
        <v>#N/A</v>
      </c>
      <c r="D7" s="189" t="s">
        <v>34</v>
      </c>
      <c r="E7" s="189" t="s">
        <v>34</v>
      </c>
      <c r="F7" s="47" t="e">
        <f>_xlfn.XLOOKUP($D7,Tab_Process_TCs[Name(EN)],Tab_Process_TCs[TC?],,0,)</f>
        <v>#N/A</v>
      </c>
      <c r="G7" s="47" t="e">
        <f>_xlfn.XLOOKUP($D7,Tab_Process_TCs[Name(EN)],Tab_Process_TCs[Dyn_TC?],,0,)</f>
        <v>#N/A</v>
      </c>
      <c r="H7" s="9" t="str">
        <f>_xlfn.XLOOKUP($E7,Tab_Def_Flows[Name(EN)],Tab_Def_Flows[Flow_ID],,0,1)</f>
        <v>N.A.</v>
      </c>
      <c r="I7" s="9" t="str">
        <f>IF(Tab_Process_TCs2527[[#This Row],[Name(EN)]]="N.A.","N.A.","TC"&amp;"_"&amp;RIGHT(H7,5))</f>
        <v>N.A.</v>
      </c>
      <c r="J7" s="11"/>
      <c r="K7" s="56"/>
      <c r="L7" s="9"/>
      <c r="M7" s="16" t="e">
        <f>_xlfn.XLOOKUP($D7,Tab_Def_Processes[Name(EN)],Tab_Def_Processes[Input_Flow_I_1],,0,)</f>
        <v>#N/A</v>
      </c>
      <c r="N7" s="9" t="e">
        <f>_xlfn.XLOOKUP($D7,Tab_Def_Processes[Name(EN)],Tab_Def_Processes[Flow_ID_I_1],,0,)</f>
        <v>#N/A</v>
      </c>
      <c r="O7" s="33"/>
      <c r="P7" s="29" t="e">
        <f>_xlfn.XLOOKUP($D7,Tab_Def_Processes[Name(EN)],Tab_Def_Processes[Input_Flow_I_2],,0,)</f>
        <v>#N/A</v>
      </c>
      <c r="Q7" s="9" t="e">
        <f>_xlfn.XLOOKUP($D7,Tab_Def_Processes[Name(EN)],Tab_Def_Processes[Flow_ID_I_2],,0,)</f>
        <v>#N/A</v>
      </c>
      <c r="R7" s="33"/>
      <c r="S7" s="29" t="e">
        <f>_xlfn.XLOOKUP($D7,Tab_Def_Processes[Name(EN)],Tab_Def_Processes[Input_Flow_I_3],,0,)</f>
        <v>#N/A</v>
      </c>
      <c r="T7" s="9" t="e">
        <f>_xlfn.XLOOKUP($D7,Tab_Def_Processes[Name(EN)],Tab_Def_Processes[Flow_ID_I_3],,0,)</f>
        <v>#N/A</v>
      </c>
      <c r="U7" s="33"/>
      <c r="V7" s="29" t="e">
        <f>_xlfn.XLOOKUP($D7,Tab_Def_Processes[Name(EN)],Tab_Def_Processes[Input_Flow_I_4],,0,)</f>
        <v>#N/A</v>
      </c>
      <c r="W7" s="9" t="e">
        <f>_xlfn.XLOOKUP($D7,Tab_Def_Processes[Name(EN)],Tab_Def_Processes[Flow_ID_I_4],,0,)</f>
        <v>#N/A</v>
      </c>
      <c r="X7" s="33"/>
      <c r="Y7" s="29" t="e">
        <f>_xlfn.XLOOKUP($D7,Tab_Def_Processes[Name(EN)],Tab_Def_Processes[Input_Flow_I_5],,0,)</f>
        <v>#N/A</v>
      </c>
      <c r="Z7" s="9" t="e">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N.A.</v>
      </c>
      <c r="AF7" s="9" t="e">
        <f t="shared" si="1"/>
        <v>#REF!</v>
      </c>
      <c r="AG7" s="49">
        <v>0.2</v>
      </c>
      <c r="AH7" s="16" t="e">
        <f>_xlfn.XLOOKUP($D7,#REF!,#REF!,,0,)</f>
        <v>#REF!</v>
      </c>
      <c r="AI7" s="9" t="e">
        <f>_xlfn.XLOOKUP($D7,#REF!,#REF!,,0,)</f>
        <v>#REF!</v>
      </c>
      <c r="AJ7" s="42" t="str">
        <f>Tab_Process_TCs2527[[#This Row],[Flow_ID]]</f>
        <v>N.A.</v>
      </c>
      <c r="AK7" s="9" t="e">
        <f t="shared" si="2"/>
        <v>#REF!</v>
      </c>
      <c r="AL7" s="176">
        <v>0.8</v>
      </c>
      <c r="AM7" s="16" t="e">
        <f>_xlfn.XLOOKUP($D7,#REF!,#REF!,,0,)</f>
        <v>#REF!</v>
      </c>
      <c r="AN7" s="9" t="e">
        <f>_xlfn.XLOOKUP($D7,#REF!,#REF!,,0,)</f>
        <v>#REF!</v>
      </c>
      <c r="AO7" s="42" t="str">
        <f>Tab_Process_TCs2527[[#This Row],[Flow_ID]]</f>
        <v>N.A.</v>
      </c>
      <c r="AP7" s="9" t="e">
        <f t="shared" si="3"/>
        <v>#REF!</v>
      </c>
      <c r="AQ7" s="168"/>
      <c r="AR7" s="16" t="e">
        <f>_xlfn.XLOOKUP($D7,#REF!,#REF!,,0,)</f>
        <v>#REF!</v>
      </c>
      <c r="AS7" s="9" t="e">
        <f>_xlfn.XLOOKUP($D7,#REF!,#REF!,,0,)</f>
        <v>#REF!</v>
      </c>
      <c r="AT7" s="42" t="str">
        <f>Tab_Process_TCs2527[[#This Row],[Flow_ID]]</f>
        <v>N.A.</v>
      </c>
      <c r="AU7" s="42" t="e">
        <f t="shared" si="4"/>
        <v>#REF!</v>
      </c>
      <c r="AV7" s="168"/>
      <c r="AW7" s="16" t="e">
        <f>_xlfn.XLOOKUP($D7,#REF!,#REF!,,0,)</f>
        <v>#REF!</v>
      </c>
      <c r="AX7" s="9" t="e">
        <f>_xlfn.XLOOKUP($D7,#REF!,#REF!,,0,)</f>
        <v>#REF!</v>
      </c>
      <c r="AY7" s="42" t="str">
        <f>Tab_Process_TCs2527[[#This Row],[Flow_ID]]</f>
        <v>N.A.</v>
      </c>
      <c r="AZ7" s="42" t="e">
        <f t="shared" si="5"/>
        <v>#REF!</v>
      </c>
      <c r="BA7" s="168"/>
      <c r="BB7" s="9" t="e">
        <f>_xlfn.XLOOKUP($D7,#REF!,#REF!,,0,)</f>
        <v>#REF!</v>
      </c>
      <c r="BC7" s="9" t="e">
        <f>_xlfn.XLOOKUP($D7,#REF!,#REF!,,0,)</f>
        <v>#REF!</v>
      </c>
      <c r="BD7" s="42" t="str">
        <f>Tab_Process_TCs2527[[#This Row],[Flow_ID]]</f>
        <v>N.A.</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34</v>
      </c>
      <c r="E8" s="189" t="s">
        <v>34</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34</v>
      </c>
      <c r="E9" s="189" t="s">
        <v>34</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34</v>
      </c>
      <c r="E10" s="189" t="s">
        <v>34</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34</v>
      </c>
      <c r="E11" s="189" t="s">
        <v>34</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34</v>
      </c>
      <c r="E12" s="189" t="s">
        <v>34</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34</v>
      </c>
      <c r="E13" s="189" t="s">
        <v>34</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34</v>
      </c>
      <c r="E14" s="189" t="s">
        <v>34</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34</v>
      </c>
      <c r="E15" s="189" t="s">
        <v>34</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34</v>
      </c>
      <c r="E16" s="189" t="s">
        <v>34</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34</v>
      </c>
      <c r="E17" s="189" t="s">
        <v>34</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34</v>
      </c>
      <c r="E18" s="189" t="s">
        <v>34</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34</v>
      </c>
      <c r="E19" s="189" t="s">
        <v>34</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34</v>
      </c>
      <c r="E20" s="189" t="s">
        <v>34</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34</v>
      </c>
      <c r="E21" s="189" t="s">
        <v>34</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34</v>
      </c>
      <c r="E22" s="189" t="s">
        <v>34</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34</v>
      </c>
      <c r="E23" s="189" t="s">
        <v>34</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34</v>
      </c>
      <c r="E24" s="189" t="s">
        <v>34</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34</v>
      </c>
      <c r="E25" s="189" t="s">
        <v>34</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34</v>
      </c>
      <c r="E26" s="189" t="s">
        <v>34</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34</v>
      </c>
      <c r="E27" s="189" t="s">
        <v>34</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34</v>
      </c>
      <c r="E28" s="189" t="s">
        <v>34</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34</v>
      </c>
      <c r="E29" s="189" t="s">
        <v>34</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34</v>
      </c>
      <c r="E30" s="189" t="s">
        <v>34</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34</v>
      </c>
      <c r="E31" s="189" t="s">
        <v>34</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34</v>
      </c>
      <c r="E32" s="189" t="s">
        <v>34</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34</v>
      </c>
      <c r="E33" s="189" t="s">
        <v>34</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34</v>
      </c>
      <c r="E34" s="189" t="s">
        <v>34</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34</v>
      </c>
      <c r="E35" s="189" t="s">
        <v>34</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34</v>
      </c>
      <c r="E36" s="189" t="s">
        <v>34</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34</v>
      </c>
      <c r="E37" s="189" t="s">
        <v>34</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34</v>
      </c>
      <c r="E38" s="189" t="s">
        <v>34</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34</v>
      </c>
      <c r="E39" s="189" t="s">
        <v>34</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34</v>
      </c>
      <c r="E40" s="189" t="s">
        <v>34</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34</v>
      </c>
      <c r="E41" s="189" t="s">
        <v>34</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34</v>
      </c>
      <c r="E42" s="189" t="s">
        <v>34</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34</v>
      </c>
      <c r="E43" s="189" t="s">
        <v>34</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34</v>
      </c>
      <c r="E44" s="189" t="s">
        <v>34</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34</v>
      </c>
      <c r="E45" s="189" t="s">
        <v>34</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34</v>
      </c>
      <c r="E46" s="189" t="s">
        <v>34</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34</v>
      </c>
      <c r="E47" s="189" t="s">
        <v>34</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34</v>
      </c>
      <c r="E48" s="189" t="s">
        <v>34</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34</v>
      </c>
      <c r="E49" s="189" t="s">
        <v>34</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34</v>
      </c>
      <c r="E50" s="189" t="s">
        <v>34</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34</v>
      </c>
      <c r="E51" s="189" t="s">
        <v>34</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34</v>
      </c>
      <c r="E52" s="189" t="s">
        <v>34</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34</v>
      </c>
      <c r="E53" s="189" t="s">
        <v>34</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34</v>
      </c>
      <c r="E54" s="189" t="s">
        <v>34</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34</v>
      </c>
      <c r="E55" s="189" t="s">
        <v>34</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34</v>
      </c>
      <c r="E56" s="189" t="s">
        <v>34</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34</v>
      </c>
      <c r="E57" s="189" t="s">
        <v>34</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34</v>
      </c>
      <c r="E58" s="189" t="s">
        <v>34</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34</v>
      </c>
      <c r="E59" s="189" t="s">
        <v>34</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34</v>
      </c>
      <c r="E60" s="189" t="s">
        <v>34</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34</v>
      </c>
      <c r="E61" s="189" t="s">
        <v>34</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34</v>
      </c>
      <c r="E62" s="189" t="s">
        <v>34</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34</v>
      </c>
      <c r="E63" s="189" t="s">
        <v>34</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34</v>
      </c>
      <c r="E64" s="189" t="s">
        <v>34</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34</v>
      </c>
      <c r="E65" s="189" t="s">
        <v>34</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34</v>
      </c>
      <c r="E66" s="189" t="s">
        <v>34</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34</v>
      </c>
      <c r="E67" s="189" t="s">
        <v>34</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34</v>
      </c>
      <c r="E68" s="189" t="s">
        <v>34</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34</v>
      </c>
      <c r="E69" s="189" t="s">
        <v>34</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34</v>
      </c>
      <c r="E70" s="189" t="s">
        <v>34</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34</v>
      </c>
      <c r="E71" s="189" t="s">
        <v>34</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34</v>
      </c>
      <c r="E72" s="189" t="s">
        <v>34</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34</v>
      </c>
      <c r="E73" s="189" t="s">
        <v>34</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34</v>
      </c>
      <c r="E74" s="189" t="s">
        <v>34</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34</v>
      </c>
      <c r="E75" s="189" t="s">
        <v>34</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34</v>
      </c>
      <c r="E76" s="189" t="s">
        <v>34</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34</v>
      </c>
      <c r="E77" s="189" t="s">
        <v>34</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34</v>
      </c>
      <c r="E78" s="189" t="s">
        <v>34</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34</v>
      </c>
      <c r="E79" s="189" t="s">
        <v>34</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34</v>
      </c>
      <c r="E80" s="189" t="s">
        <v>34</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34</v>
      </c>
      <c r="E81" s="189" t="s">
        <v>34</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34</v>
      </c>
      <c r="E82" s="189" t="s">
        <v>34</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34</v>
      </c>
      <c r="E83" s="189" t="s">
        <v>34</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34</v>
      </c>
      <c r="E84" s="189" t="s">
        <v>34</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34</v>
      </c>
      <c r="E85" s="189" t="s">
        <v>34</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34</v>
      </c>
      <c r="E86" s="189" t="s">
        <v>34</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34</v>
      </c>
      <c r="E87" s="189" t="s">
        <v>34</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34</v>
      </c>
      <c r="E88" s="189" t="s">
        <v>34</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34</v>
      </c>
      <c r="E89" s="189" t="s">
        <v>34</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34</v>
      </c>
      <c r="E90" s="189" t="s">
        <v>34</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34</v>
      </c>
      <c r="E91" s="189" t="s">
        <v>34</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34</v>
      </c>
      <c r="E92" s="189" t="s">
        <v>34</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34</v>
      </c>
      <c r="E93" s="189" t="s">
        <v>34</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34</v>
      </c>
      <c r="E94" s="189" t="s">
        <v>34</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34</v>
      </c>
      <c r="E95" s="189" t="s">
        <v>34</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34</v>
      </c>
      <c r="E96" s="189" t="s">
        <v>34</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34</v>
      </c>
      <c r="E97" s="189" t="s">
        <v>34</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34</v>
      </c>
      <c r="E98" s="189" t="s">
        <v>34</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34</v>
      </c>
      <c r="E99" s="189" t="s">
        <v>34</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34</v>
      </c>
      <c r="E100" s="189" t="s">
        <v>34</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34</v>
      </c>
      <c r="E101" s="189" t="s">
        <v>34</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34</v>
      </c>
      <c r="E102" s="189" t="s">
        <v>34</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34</v>
      </c>
      <c r="E103" s="189" t="s">
        <v>34</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34</v>
      </c>
      <c r="E104" s="189" t="s">
        <v>34</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34</v>
      </c>
      <c r="E105" s="189" t="s">
        <v>34</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34</v>
      </c>
      <c r="E106" s="189" t="s">
        <v>34</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34</v>
      </c>
      <c r="E107" s="189" t="s">
        <v>34</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34</v>
      </c>
      <c r="E108" s="189" t="s">
        <v>34</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34</v>
      </c>
      <c r="E109" s="189" t="s">
        <v>34</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34</v>
      </c>
      <c r="E110" s="189" t="s">
        <v>34</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34</v>
      </c>
      <c r="E111" s="189" t="s">
        <v>34</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34</v>
      </c>
      <c r="E112" s="189" t="s">
        <v>34</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34</v>
      </c>
      <c r="E113" s="189" t="s">
        <v>34</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34</v>
      </c>
      <c r="E114" s="189" t="s">
        <v>34</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34</v>
      </c>
      <c r="E115" s="189" t="s">
        <v>34</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34</v>
      </c>
      <c r="E116" s="189" t="s">
        <v>34</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34</v>
      </c>
      <c r="E117" s="189" t="s">
        <v>34</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34</v>
      </c>
      <c r="E118" s="189" t="s">
        <v>34</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34</v>
      </c>
      <c r="E119" s="189" t="s">
        <v>34</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34</v>
      </c>
      <c r="E120" s="189" t="s">
        <v>34</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34</v>
      </c>
      <c r="E121" s="189" t="s">
        <v>34</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34</v>
      </c>
      <c r="E122" s="189" t="s">
        <v>34</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34</v>
      </c>
      <c r="E123" s="189" t="s">
        <v>34</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34</v>
      </c>
      <c r="E124" s="189" t="s">
        <v>34</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34</v>
      </c>
      <c r="E125" s="189" t="s">
        <v>34</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34</v>
      </c>
      <c r="E126" s="189" t="s">
        <v>34</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34</v>
      </c>
      <c r="E127" s="189" t="s">
        <v>34</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34</v>
      </c>
      <c r="E128" s="189" t="s">
        <v>34</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34</v>
      </c>
      <c r="E129" s="189" t="s">
        <v>34</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34</v>
      </c>
      <c r="E130" s="189" t="s">
        <v>34</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34</v>
      </c>
      <c r="E131" s="189" t="s">
        <v>34</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34</v>
      </c>
      <c r="E132" s="189" t="s">
        <v>34</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34</v>
      </c>
      <c r="E133" s="189" t="s">
        <v>34</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34</v>
      </c>
      <c r="E134" s="189" t="s">
        <v>34</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34</v>
      </c>
      <c r="E135" s="189" t="s">
        <v>34</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34</v>
      </c>
      <c r="E136" s="189" t="s">
        <v>34</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34</v>
      </c>
      <c r="E137" s="189" t="s">
        <v>34</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34</v>
      </c>
      <c r="E138" s="189" t="s">
        <v>34</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34</v>
      </c>
      <c r="E139" s="189" t="s">
        <v>34</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34</v>
      </c>
      <c r="E140" s="189" t="s">
        <v>34</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34</v>
      </c>
      <c r="E141" s="189" t="s">
        <v>34</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34</v>
      </c>
      <c r="E142" s="189" t="s">
        <v>34</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34</v>
      </c>
      <c r="E143" s="189" t="s">
        <v>34</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34</v>
      </c>
      <c r="E144" s="189" t="s">
        <v>34</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34</v>
      </c>
      <c r="E145" s="189" t="s">
        <v>34</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34</v>
      </c>
      <c r="E146" s="189" t="s">
        <v>34</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34</v>
      </c>
      <c r="E147" s="189" t="s">
        <v>34</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34</v>
      </c>
      <c r="E148" s="189" t="s">
        <v>34</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34</v>
      </c>
      <c r="E149" s="189" t="s">
        <v>34</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9CEE14C6-3DF5-4113-8F14-B3CFD1104D19}">
          <x14:formula1>
            <xm:f>'0_ReadMe'!$T$6:$T$46</xm:f>
          </x14:formula1>
          <xm:sqref>L2:L149</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ECCCB0BA-60EF-4ADA-8E59-41B74CA55900}">
          <x14:formula1>
            <xm:f>'2_1_Definition_Processes'!$D$2:$D$47</xm:f>
          </x14:formula1>
          <xm:sqref>E150:I1048576</xm:sqref>
        </x14:dataValidation>
        <x14:dataValidation type="list" allowBlank="1" showInputMessage="1" showErrorMessage="1" xr:uid="{F4EFD03A-BDB8-4DE7-AC41-A9180EB54B38}">
          <x14:formula1>
            <xm:f>'2_3_Process_TCs'!$D$2:$D$50</xm:f>
          </x14:formula1>
          <xm:sqref>D2:D149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abSelected="1" topLeftCell="E1" zoomScale="145" zoomScaleNormal="145" workbookViewId="0">
      <selection activeCell="Q13" sqref="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87</v>
      </c>
      <c r="B1" s="193" t="s">
        <v>31</v>
      </c>
      <c r="C1" s="193" t="s">
        <v>61</v>
      </c>
      <c r="D1" s="193" t="s">
        <v>89</v>
      </c>
      <c r="E1" s="193" t="s">
        <v>120</v>
      </c>
      <c r="F1" s="193" t="s">
        <v>64</v>
      </c>
      <c r="G1" s="193" t="s">
        <v>268</v>
      </c>
      <c r="H1" s="193" t="s">
        <v>91</v>
      </c>
      <c r="I1" s="193" t="s">
        <v>290</v>
      </c>
      <c r="J1" s="193" t="s">
        <v>295</v>
      </c>
      <c r="K1" s="193" t="s">
        <v>296</v>
      </c>
      <c r="L1" s="193" t="s">
        <v>297</v>
      </c>
      <c r="M1" s="193" t="s">
        <v>309</v>
      </c>
      <c r="N1" s="193" t="s">
        <v>315</v>
      </c>
      <c r="O1" s="193" t="s">
        <v>314</v>
      </c>
      <c r="P1" s="193" t="s">
        <v>298</v>
      </c>
      <c r="Q1" s="193" t="s">
        <v>299</v>
      </c>
      <c r="R1" s="193" t="s">
        <v>300</v>
      </c>
    </row>
    <row r="2" spans="1:18" x14ac:dyDescent="0.25">
      <c r="A2" s="194" t="b">
        <v>1</v>
      </c>
      <c r="B2" s="9">
        <f t="shared" ref="B2:B51" si="0">ROW()-1</f>
        <v>1</v>
      </c>
      <c r="C2" s="9" t="str">
        <f>_xlfn.XLOOKUP($D2,Tab_Def_Processes[Name(EN)],Tab_Def_Processes[Process_ID],,0,)</f>
        <v>05</v>
      </c>
      <c r="D2" s="11" t="s">
        <v>771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Yes</v>
      </c>
      <c r="K2" s="9" t="str">
        <f>_xlfn.XLOOKUP($D2,Tab_Def_Processes[Name(EN)],Tab_Def_Processes[FOMP?],,0,)</f>
        <v>No</v>
      </c>
      <c r="L2" s="11">
        <v>1</v>
      </c>
      <c r="M2" s="9" t="str">
        <f>_xlfn.XLOOKUP($L2,Tab_DSM_Category_ID[Category ID],Tab_DSM_Category_ID[DSM Material],,0,)</f>
        <v>DSM Material 1</v>
      </c>
      <c r="N2" s="11" t="s">
        <v>787</v>
      </c>
      <c r="O2" s="33">
        <v>0.2</v>
      </c>
      <c r="P2" s="11" t="s">
        <v>310</v>
      </c>
      <c r="Q2" s="11">
        <v>20</v>
      </c>
      <c r="R2" s="11">
        <v>5</v>
      </c>
    </row>
    <row r="3" spans="1:18" x14ac:dyDescent="0.25">
      <c r="A3" s="194" t="b">
        <v>0</v>
      </c>
      <c r="B3" s="9">
        <f t="shared" si="0"/>
        <v>2</v>
      </c>
      <c r="C3" s="9" t="str">
        <f>_xlfn.XLOOKUP($D3,Tab_Def_Processes[Name(EN)],Tab_Def_Processes[Process_ID],,0,)</f>
        <v>05</v>
      </c>
      <c r="D3" s="11" t="s">
        <v>771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Yes</v>
      </c>
      <c r="K3" s="9" t="str">
        <f>_xlfn.XLOOKUP($D3,Tab_Def_Processes[Name(EN)],Tab_Def_Processes[FOMP?],,0,)</f>
        <v>No</v>
      </c>
      <c r="L3" s="11">
        <v>2</v>
      </c>
      <c r="M3" s="9" t="str">
        <f>_xlfn.XLOOKUP($L3,Tab_DSM_Category_ID[Category ID],Tab_DSM_Category_ID[DSM Material],,0,)</f>
        <v>DSM Material 2</v>
      </c>
      <c r="N3" s="11" t="s">
        <v>788</v>
      </c>
      <c r="O3" s="33">
        <v>0.6</v>
      </c>
      <c r="P3" s="11" t="s">
        <v>310</v>
      </c>
      <c r="Q3" s="11">
        <v>40</v>
      </c>
      <c r="R3" s="11">
        <v>5</v>
      </c>
    </row>
    <row r="4" spans="1:18" x14ac:dyDescent="0.25">
      <c r="A4" s="194" t="b">
        <v>0</v>
      </c>
      <c r="B4" s="9">
        <f t="shared" si="0"/>
        <v>3</v>
      </c>
      <c r="C4" s="9" t="str">
        <f>_xlfn.XLOOKUP($D4,Tab_Def_Processes[Name(EN)],Tab_Def_Processes[Process_ID],,0,)</f>
        <v>05</v>
      </c>
      <c r="D4" s="11" t="s">
        <v>771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Yes</v>
      </c>
      <c r="K4" s="9" t="str">
        <f>_xlfn.XLOOKUP($D4,Tab_Def_Processes[Name(EN)],Tab_Def_Processes[FOMP?],,0,)</f>
        <v>No</v>
      </c>
      <c r="L4" s="11">
        <v>3</v>
      </c>
      <c r="M4" s="9" t="str">
        <f>_xlfn.XLOOKUP($L4,Tab_DSM_Category_ID[Category ID],Tab_DSM_Category_ID[DSM Material],,0,)</f>
        <v>DSM Material 3</v>
      </c>
      <c r="N4" s="11" t="s">
        <v>789</v>
      </c>
      <c r="O4" s="33">
        <v>0.2</v>
      </c>
      <c r="P4" s="11" t="s">
        <v>310</v>
      </c>
      <c r="Q4" s="11">
        <v>60</v>
      </c>
      <c r="R4" s="11">
        <v>5</v>
      </c>
    </row>
    <row r="5" spans="1:18" x14ac:dyDescent="0.25">
      <c r="A5" s="194" t="b">
        <v>0</v>
      </c>
      <c r="B5" s="9">
        <f t="shared" si="0"/>
        <v>4</v>
      </c>
      <c r="C5" s="9" t="str">
        <f>_xlfn.XLOOKUP($D5,Tab_Def_Processes[Name(EN)],Tab_Def_Processes[Process_ID],,0,)</f>
        <v>09</v>
      </c>
      <c r="D5" s="11" t="s">
        <v>774</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Yes</v>
      </c>
      <c r="K5" s="9" t="str">
        <f>_xlfn.XLOOKUP($D5,Tab_Def_Processes[Name(EN)],Tab_Def_Processes[FOMP?],,0,)</f>
        <v>No</v>
      </c>
      <c r="L5" s="11">
        <v>1</v>
      </c>
      <c r="M5" s="9" t="str">
        <f>_xlfn.XLOOKUP($L5,Tab_DSM_Category_ID[Category ID],Tab_DSM_Category_ID[DSM Material],,0,)</f>
        <v>DSM Material 1</v>
      </c>
      <c r="N5" s="11" t="s">
        <v>790</v>
      </c>
      <c r="O5" s="33">
        <v>0.2</v>
      </c>
      <c r="P5" s="11" t="s">
        <v>310</v>
      </c>
      <c r="Q5" s="11">
        <v>5</v>
      </c>
      <c r="R5" s="11">
        <v>3</v>
      </c>
    </row>
    <row r="6" spans="1:18" x14ac:dyDescent="0.25">
      <c r="A6" s="194" t="b">
        <v>0</v>
      </c>
      <c r="B6" s="9">
        <f t="shared" si="0"/>
        <v>5</v>
      </c>
      <c r="C6" s="9" t="str">
        <f>_xlfn.XLOOKUP($D6,Tab_Def_Processes[Name(EN)],Tab_Def_Processes[Process_ID],,0,)</f>
        <v>09</v>
      </c>
      <c r="D6" s="11" t="s">
        <v>774</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Yes</v>
      </c>
      <c r="K6" s="9" t="str">
        <f>_xlfn.XLOOKUP($D6,Tab_Def_Processes[Name(EN)],Tab_Def_Processes[FOMP?],,0,)</f>
        <v>No</v>
      </c>
      <c r="L6" s="11">
        <v>2</v>
      </c>
      <c r="M6" s="9" t="str">
        <f>_xlfn.XLOOKUP($L6,Tab_DSM_Category_ID[Category ID],Tab_DSM_Category_ID[DSM Material],,0,)</f>
        <v>DSM Material 2</v>
      </c>
      <c r="N6" s="11" t="s">
        <v>791</v>
      </c>
      <c r="O6" s="33">
        <v>0.6</v>
      </c>
      <c r="P6" s="11" t="s">
        <v>310</v>
      </c>
      <c r="Q6" s="11">
        <v>10</v>
      </c>
      <c r="R6" s="11">
        <v>3</v>
      </c>
    </row>
    <row r="7" spans="1:18" x14ac:dyDescent="0.25">
      <c r="A7" s="194" t="b">
        <v>0</v>
      </c>
      <c r="B7" s="9">
        <f t="shared" si="0"/>
        <v>6</v>
      </c>
      <c r="C7" s="9" t="str">
        <f>_xlfn.XLOOKUP($D7,Tab_Def_Processes[Name(EN)],Tab_Def_Processes[Process_ID],,0,)</f>
        <v>09</v>
      </c>
      <c r="D7" s="11" t="s">
        <v>774</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Yes</v>
      </c>
      <c r="K7" s="9" t="str">
        <f>_xlfn.XLOOKUP($D7,Tab_Def_Processes[Name(EN)],Tab_Def_Processes[FOMP?],,0,)</f>
        <v>No</v>
      </c>
      <c r="L7" s="11">
        <v>3</v>
      </c>
      <c r="M7" s="9" t="str">
        <f>_xlfn.XLOOKUP($L7,Tab_DSM_Category_ID[Category ID],Tab_DSM_Category_ID[DSM Material],,0,)</f>
        <v>DSM Material 3</v>
      </c>
      <c r="N7" s="11" t="s">
        <v>792</v>
      </c>
      <c r="O7" s="33">
        <v>0.2</v>
      </c>
      <c r="P7" s="11" t="s">
        <v>310</v>
      </c>
      <c r="Q7" s="11">
        <v>20</v>
      </c>
      <c r="R7" s="11">
        <v>3</v>
      </c>
    </row>
    <row r="8" spans="1:18"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34</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34</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34</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34</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34</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34</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34</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34</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34</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34</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34</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18" sqref="M16:Q1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87</v>
      </c>
      <c r="B1" s="193" t="s">
        <v>31</v>
      </c>
      <c r="C1" s="193" t="s">
        <v>61</v>
      </c>
      <c r="D1" s="193" t="s">
        <v>89</v>
      </c>
      <c r="E1" s="193" t="s">
        <v>120</v>
      </c>
      <c r="F1" s="193" t="s">
        <v>64</v>
      </c>
      <c r="G1" s="193" t="s">
        <v>268</v>
      </c>
      <c r="H1" s="193" t="s">
        <v>91</v>
      </c>
      <c r="I1" s="193" t="s">
        <v>290</v>
      </c>
      <c r="J1" s="193" t="s">
        <v>295</v>
      </c>
      <c r="K1" s="193" t="s">
        <v>296</v>
      </c>
      <c r="L1" s="193" t="s">
        <v>322</v>
      </c>
      <c r="M1" s="193" t="s">
        <v>429</v>
      </c>
      <c r="N1" s="193" t="s">
        <v>442</v>
      </c>
      <c r="O1" s="193" t="s">
        <v>432</v>
      </c>
      <c r="P1" s="193" t="s">
        <v>313</v>
      </c>
      <c r="Q1" s="193" t="s">
        <v>288</v>
      </c>
    </row>
    <row r="2" spans="1:17" x14ac:dyDescent="0.25">
      <c r="A2" s="194" t="b">
        <v>0</v>
      </c>
      <c r="B2" s="9">
        <f t="shared" ref="B2:B41" si="0">ROW()-1</f>
        <v>1</v>
      </c>
      <c r="C2" s="9" t="e">
        <f>_xlfn.XLOOKUP($D2,Tab_Def_Processes[Name(EN)],Tab_Def_Processes[Process_ID],,0,)</f>
        <v>#N/A</v>
      </c>
      <c r="D2" s="11" t="s">
        <v>34</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9" t="e">
        <f>_xlfn.XLOOKUP(Tab_FOMP[[#This Row],[Name(EN)]],Tab_Def_Processes[Name(EN)],Tab_Def_Processes[Nr. Outflows],,0,)</f>
        <v>#N/A</v>
      </c>
      <c r="M2" s="11"/>
      <c r="N2" s="11"/>
      <c r="O2" s="9" t="e">
        <f>_xlfn.XLOOKUP($N2,CL_3.1_FOMP_Parameters[Category ID],CL_3.1_FOMP_Parameters[Pool_ID],,0,)</f>
        <v>#N/A</v>
      </c>
      <c r="P2" s="11"/>
      <c r="Q2" s="11"/>
    </row>
    <row r="3" spans="1:17" x14ac:dyDescent="0.25">
      <c r="A3" s="194" t="b">
        <v>0</v>
      </c>
      <c r="B3" s="9">
        <f t="shared" si="0"/>
        <v>2</v>
      </c>
      <c r="C3" s="9" t="e">
        <f>_xlfn.XLOOKUP($D3,Tab_Def_Processes[Name(EN)],Tab_Def_Processes[Process_ID],,0,)</f>
        <v>#N/A</v>
      </c>
      <c r="D3" s="11" t="s">
        <v>34</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9" t="e">
        <f>_xlfn.XLOOKUP(Tab_FOMP[[#This Row],[Name(EN)]],Tab_Def_Processes[Name(EN)],Tab_Def_Processes[Nr. Outflows],,0,)</f>
        <v>#N/A</v>
      </c>
      <c r="M3" s="11"/>
      <c r="N3" s="11"/>
      <c r="O3" s="9" t="e">
        <f>_xlfn.XLOOKUP($N3,CL_3.1_FOMP_Parameters[Category ID],CL_3.1_FOMP_Parameters[Pool_ID],,0,)</f>
        <v>#N/A</v>
      </c>
      <c r="P3" s="11"/>
      <c r="Q3" s="11"/>
    </row>
    <row r="4" spans="1:17" x14ac:dyDescent="0.25">
      <c r="A4" s="194" t="b">
        <v>0</v>
      </c>
      <c r="B4" s="9">
        <f t="shared" si="0"/>
        <v>3</v>
      </c>
      <c r="C4" s="9" t="e">
        <f>_xlfn.XLOOKUP($D4,Tab_Def_Processes[Name(EN)],Tab_Def_Processes[Process_ID],,0,)</f>
        <v>#N/A</v>
      </c>
      <c r="D4" s="11" t="s">
        <v>34</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9" t="e">
        <f>_xlfn.XLOOKUP(Tab_FOMP[[#This Row],[Name(EN)]],Tab_Def_Processes[Name(EN)],Tab_Def_Processes[Nr. Outflows],,0,)</f>
        <v>#N/A</v>
      </c>
      <c r="M4" s="11"/>
      <c r="N4" s="11"/>
      <c r="O4" s="9" t="e">
        <f>_xlfn.XLOOKUP($N4,CL_3.1_FOMP_Parameters[Category ID],CL_3.1_FOMP_Parameters[Pool_ID],,0,)</f>
        <v>#N/A</v>
      </c>
      <c r="P4" s="11"/>
      <c r="Q4" s="11"/>
    </row>
    <row r="5" spans="1:17" x14ac:dyDescent="0.25">
      <c r="A5" s="194" t="b">
        <v>0</v>
      </c>
      <c r="B5" s="9">
        <f t="shared" si="0"/>
        <v>4</v>
      </c>
      <c r="C5" s="9" t="e">
        <f>_xlfn.XLOOKUP($D5,Tab_Def_Processes[Name(EN)],Tab_Def_Processes[Process_ID],,0,)</f>
        <v>#N/A</v>
      </c>
      <c r="D5" s="11" t="s">
        <v>34</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9" t="e">
        <f>_xlfn.XLOOKUP(Tab_FOMP[[#This Row],[Name(EN)]],Tab_Def_Processes[Name(EN)],Tab_Def_Processes[Nr. Outflows],,0,)</f>
        <v>#N/A</v>
      </c>
      <c r="M5" s="11"/>
      <c r="N5" s="11"/>
      <c r="O5" s="9" t="e">
        <f>_xlfn.XLOOKUP($N5,CL_3.1_FOMP_Parameters[Category ID],CL_3.1_FOMP_Parameters[Pool_ID],,0,)</f>
        <v>#N/A</v>
      </c>
      <c r="P5" s="11"/>
      <c r="Q5" s="11"/>
    </row>
    <row r="6" spans="1:17" x14ac:dyDescent="0.25">
      <c r="A6" s="194" t="b">
        <v>0</v>
      </c>
      <c r="B6" s="9">
        <f t="shared" si="0"/>
        <v>5</v>
      </c>
      <c r="C6" s="9" t="e">
        <f>_xlfn.XLOOKUP($D6,Tab_Def_Processes[Name(EN)],Tab_Def_Processes[Process_ID],,0,)</f>
        <v>#N/A</v>
      </c>
      <c r="D6" s="11" t="s">
        <v>34</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9" t="e">
        <f>_xlfn.XLOOKUP(Tab_FOMP[[#This Row],[Name(EN)]],Tab_Def_Processes[Name(EN)],Tab_Def_Processes[Nr. Outflows],,0,)</f>
        <v>#N/A</v>
      </c>
      <c r="M6" s="11"/>
      <c r="N6" s="11"/>
      <c r="O6" s="9" t="e">
        <f>_xlfn.XLOOKUP($N6,CL_3.1_FOMP_Parameters[Category ID],CL_3.1_FOMP_Parameters[Pool_ID],,0,)</f>
        <v>#N/A</v>
      </c>
      <c r="P6" s="11"/>
      <c r="Q6" s="11"/>
    </row>
    <row r="7" spans="1:17" x14ac:dyDescent="0.25">
      <c r="A7" s="194" t="b">
        <v>0</v>
      </c>
      <c r="B7" s="9">
        <f t="shared" si="0"/>
        <v>6</v>
      </c>
      <c r="C7" s="9" t="e">
        <f>_xlfn.XLOOKUP($D7,Tab_Def_Processes[Name(EN)],Tab_Def_Processes[Process_ID],,0,)</f>
        <v>#N/A</v>
      </c>
      <c r="D7" s="11" t="s">
        <v>34</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9" t="e">
        <f>_xlfn.XLOOKUP(Tab_FOMP[[#This Row],[Name(EN)]],Tab_Def_Processes[Name(EN)],Tab_Def_Processes[Nr. Outflows],,0,)</f>
        <v>#N/A</v>
      </c>
      <c r="M7" s="11"/>
      <c r="N7" s="11"/>
      <c r="O7" s="9" t="e">
        <f>_xlfn.XLOOKUP($N7,CL_3.1_FOMP_Parameters[Category ID],CL_3.1_FOMP_Parameters[Pool_ID],,0,)</f>
        <v>#N/A</v>
      </c>
      <c r="P7" s="11"/>
      <c r="Q7" s="11"/>
    </row>
    <row r="8" spans="1:17"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9" t="e">
        <f>_xlfn.XLOOKUP(Tab_FOMP[[#This Row],[Name(EN)]],Tab_Def_Processes[Name(EN)],Tab_Def_Processes[Nr. Outflows],,0,)</f>
        <v>#N/A</v>
      </c>
      <c r="M8" s="11"/>
      <c r="N8" s="11"/>
      <c r="O8" s="9" t="e">
        <f>_xlfn.XLOOKUP($N8,CL_3.1_FOMP_Parameters[Category ID],CL_3.1_FOMP_Parameters[Pool_ID],,0,)</f>
        <v>#N/A</v>
      </c>
      <c r="P8" s="11"/>
      <c r="Q8" s="11"/>
    </row>
    <row r="9" spans="1:17"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9" t="e">
        <f>_xlfn.XLOOKUP(Tab_FOMP[[#This Row],[Name(EN)]],Tab_Def_Processes[Name(EN)],Tab_Def_Processes[Nr. Outflows],,0,)</f>
        <v>#N/A</v>
      </c>
      <c r="M9" s="11"/>
      <c r="N9" s="11"/>
      <c r="O9" s="9" t="e">
        <f>_xlfn.XLOOKUP($N9,CL_3.1_FOMP_Parameters[Category ID],CL_3.1_FOMP_Parameters[Pool_ID],,0,)</f>
        <v>#N/A</v>
      </c>
      <c r="P9" s="11"/>
      <c r="Q9" s="11"/>
    </row>
    <row r="10" spans="1:17"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9" t="e">
        <f>_xlfn.XLOOKUP(Tab_FOMP[[#This Row],[Name(EN)]],Tab_Def_Processes[Name(EN)],Tab_Def_Processes[Nr. Outflows],,0,)</f>
        <v>#N/A</v>
      </c>
      <c r="M10" s="11"/>
      <c r="N10" s="11"/>
      <c r="O10" s="9" t="e">
        <f>_xlfn.XLOOKUP($N10,CL_3.1_FOMP_Parameters[Category ID],CL_3.1_FOMP_Parameters[Pool_ID],,0,)</f>
        <v>#N/A</v>
      </c>
      <c r="P10" s="11"/>
      <c r="Q10" s="11"/>
    </row>
    <row r="11" spans="1:17"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9" t="e">
        <f>_xlfn.XLOOKUP(Tab_FOMP[[#This Row],[Name(EN)]],Tab_Def_Processes[Name(EN)],Tab_Def_Processes[Nr. Outflows],,0,)</f>
        <v>#N/A</v>
      </c>
      <c r="M11" s="11"/>
      <c r="N11" s="11"/>
      <c r="O11" s="9" t="e">
        <f>_xlfn.XLOOKUP($N11,CL_3.1_FOMP_Parameters[Category ID],CL_3.1_FOMP_Parameters[Pool_ID],,0,)</f>
        <v>#N/A</v>
      </c>
      <c r="P11" s="11"/>
      <c r="Q11" s="11"/>
    </row>
    <row r="12" spans="1:17"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9" t="e">
        <f>_xlfn.XLOOKUP(Tab_FOMP[[#This Row],[Name(EN)]],Tab_Def_Processes[Name(EN)],Tab_Def_Processes[Nr. Outflows],,0,)</f>
        <v>#N/A</v>
      </c>
      <c r="M12" s="11"/>
      <c r="N12" s="11"/>
      <c r="O12" s="9" t="e">
        <f>_xlfn.XLOOKUP($N12,CL_3.1_FOMP_Parameters[Category ID],CL_3.1_FOMP_Parameters[Pool_ID],,0,)</f>
        <v>#N/A</v>
      </c>
      <c r="P12" s="11"/>
      <c r="Q12" s="11"/>
    </row>
    <row r="13" spans="1:17"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9" t="e">
        <f>_xlfn.XLOOKUP(Tab_FOMP[[#This Row],[Name(EN)]],Tab_Def_Processes[Name(EN)],Tab_Def_Processes[Nr. Outflows],,0,)</f>
        <v>#N/A</v>
      </c>
      <c r="M13" s="11"/>
      <c r="N13" s="11"/>
      <c r="O13" s="9" t="e">
        <f>_xlfn.XLOOKUP($N13,CL_3.1_FOMP_Parameters[Category ID],CL_3.1_FOMP_Parameters[Pool_ID],,0,)</f>
        <v>#N/A</v>
      </c>
      <c r="P13" s="11"/>
      <c r="Q13" s="11"/>
    </row>
    <row r="14" spans="1:17"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34</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'2_1_Definition_Processes'!$D$2:$D$47</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J4" sqref="F2:J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31</v>
      </c>
      <c r="B1" s="193" t="s">
        <v>209</v>
      </c>
      <c r="C1" s="193" t="s">
        <v>412</v>
      </c>
      <c r="D1" s="193" t="s">
        <v>313</v>
      </c>
      <c r="E1" s="193" t="s">
        <v>316</v>
      </c>
      <c r="F1" s="193" t="s">
        <v>317</v>
      </c>
      <c r="G1" s="193" t="s">
        <v>318</v>
      </c>
      <c r="H1" s="193" t="s">
        <v>319</v>
      </c>
      <c r="I1" s="193" t="s">
        <v>320</v>
      </c>
      <c r="J1" s="193" t="s">
        <v>321</v>
      </c>
    </row>
    <row r="2" spans="1:10" x14ac:dyDescent="0.25">
      <c r="A2" s="9">
        <f>ROW()-1</f>
        <v>1</v>
      </c>
      <c r="B2" s="189"/>
      <c r="C2" s="189"/>
      <c r="D2" s="189"/>
      <c r="E2" s="189"/>
      <c r="F2" s="11"/>
      <c r="G2" s="11"/>
      <c r="H2" s="11"/>
      <c r="I2" s="11"/>
      <c r="J2" s="11"/>
    </row>
    <row r="3" spans="1:10" x14ac:dyDescent="0.25">
      <c r="A3" s="9">
        <f t="shared" ref="A3:A13" si="0">ROW()-1</f>
        <v>2</v>
      </c>
      <c r="B3" s="189"/>
      <c r="C3" s="189"/>
      <c r="D3" s="189"/>
      <c r="E3" s="189"/>
      <c r="F3" s="11"/>
      <c r="G3" s="11"/>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H35" sqref="H35"/>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31</v>
      </c>
      <c r="B1" s="193" t="s">
        <v>459</v>
      </c>
      <c r="C1" s="193" t="s">
        <v>209</v>
      </c>
      <c r="D1" s="193" t="s">
        <v>412</v>
      </c>
      <c r="E1" s="193" t="s">
        <v>313</v>
      </c>
      <c r="F1" s="193" t="s">
        <v>452</v>
      </c>
      <c r="G1" s="193" t="s">
        <v>413</v>
      </c>
      <c r="H1" s="193" t="s">
        <v>42</v>
      </c>
    </row>
    <row r="2" spans="1:8" x14ac:dyDescent="0.25">
      <c r="A2" s="9">
        <f>ROW()-1</f>
        <v>1</v>
      </c>
      <c r="B2" s="189"/>
      <c r="C2" s="189"/>
      <c r="D2" s="189"/>
      <c r="E2" s="189"/>
      <c r="F2" s="189"/>
      <c r="G2" s="11"/>
      <c r="H2" s="37"/>
    </row>
    <row r="3" spans="1:8" x14ac:dyDescent="0.25">
      <c r="A3" s="9">
        <f t="shared" ref="A3:A10" si="0">ROW()-1</f>
        <v>2</v>
      </c>
      <c r="B3" s="189"/>
      <c r="C3" s="189"/>
      <c r="D3" s="189"/>
      <c r="E3" s="189"/>
      <c r="F3" s="189"/>
      <c r="G3" s="11"/>
      <c r="H3" s="37"/>
    </row>
    <row r="4" spans="1:8" x14ac:dyDescent="0.25">
      <c r="A4" s="9">
        <f t="shared" si="0"/>
        <v>3</v>
      </c>
      <c r="B4" s="189"/>
      <c r="C4" s="189"/>
      <c r="D4" s="189"/>
      <c r="E4" s="189"/>
      <c r="F4" s="189"/>
      <c r="G4" s="11"/>
      <c r="H4" s="37"/>
    </row>
    <row r="5" spans="1:8" x14ac:dyDescent="0.25">
      <c r="A5" s="9">
        <f t="shared" si="0"/>
        <v>4</v>
      </c>
      <c r="B5" s="189"/>
      <c r="C5" s="189"/>
      <c r="D5" s="189"/>
      <c r="E5" s="189"/>
      <c r="F5" s="189"/>
      <c r="G5" s="11"/>
      <c r="H5" s="37"/>
    </row>
    <row r="6" spans="1:8" x14ac:dyDescent="0.25">
      <c r="A6" s="9">
        <f>ROW()-1</f>
        <v>5</v>
      </c>
      <c r="B6" s="189"/>
      <c r="C6" s="189"/>
      <c r="D6" s="189"/>
      <c r="E6" s="189"/>
      <c r="F6" s="189"/>
      <c r="G6" s="11"/>
      <c r="H6" s="37"/>
    </row>
    <row r="7" spans="1:8" x14ac:dyDescent="0.25">
      <c r="A7" s="9">
        <f t="shared" si="0"/>
        <v>6</v>
      </c>
      <c r="B7" s="189"/>
      <c r="C7" s="189"/>
      <c r="D7" s="189"/>
      <c r="E7" s="189"/>
      <c r="F7" s="189"/>
      <c r="G7" s="11"/>
      <c r="H7" s="37"/>
    </row>
    <row r="8" spans="1:8" x14ac:dyDescent="0.25">
      <c r="A8" s="9">
        <f t="shared" si="0"/>
        <v>7</v>
      </c>
      <c r="B8" s="189"/>
      <c r="C8" s="189"/>
      <c r="D8" s="189"/>
      <c r="E8" s="189"/>
      <c r="F8" s="189"/>
      <c r="G8" s="11"/>
      <c r="H8" s="37"/>
    </row>
    <row r="9" spans="1:8" x14ac:dyDescent="0.25">
      <c r="A9" s="9">
        <f>ROW()-1</f>
        <v>8</v>
      </c>
      <c r="B9" s="189"/>
      <c r="C9" s="189"/>
      <c r="D9" s="189"/>
      <c r="E9" s="189"/>
      <c r="F9" s="189"/>
      <c r="G9" s="11"/>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D13" sqref="D13"/>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19" t="s">
        <v>87</v>
      </c>
      <c r="B1" s="219" t="s">
        <v>31</v>
      </c>
      <c r="C1" s="219" t="s">
        <v>61</v>
      </c>
      <c r="D1" s="219" t="s">
        <v>89</v>
      </c>
      <c r="E1" s="221" t="s">
        <v>728</v>
      </c>
      <c r="F1" s="221" t="s">
        <v>578</v>
      </c>
      <c r="G1" s="221" t="s">
        <v>581</v>
      </c>
      <c r="H1" s="221" t="s">
        <v>757</v>
      </c>
      <c r="I1" t="s">
        <v>758</v>
      </c>
      <c r="J1" s="221" t="s">
        <v>759</v>
      </c>
      <c r="K1" s="221" t="s">
        <v>762</v>
      </c>
      <c r="L1" s="221" t="s">
        <v>760</v>
      </c>
      <c r="M1" s="221" t="s">
        <v>763</v>
      </c>
      <c r="N1" s="221" t="s">
        <v>761</v>
      </c>
      <c r="O1" t="s">
        <v>764</v>
      </c>
      <c r="P1" t="s">
        <v>6</v>
      </c>
    </row>
    <row r="2" spans="1:16" x14ac:dyDescent="0.25">
      <c r="A2" s="222" t="b">
        <v>0</v>
      </c>
      <c r="B2" s="9">
        <f>ROW()-1</f>
        <v>1</v>
      </c>
      <c r="C2" s="47" t="str">
        <f>_xlfn.XLOOKUP($D2,Tab_Def_Processes[Name(EN)],Tab_Def_Processes[ID],,0,)</f>
        <v>00</v>
      </c>
      <c r="D2" s="9" t="str">
        <f>Tab_Def_Processes[[#This Row],[Name(EN)]]</f>
        <v>Atmosphere</v>
      </c>
      <c r="E2" s="224" t="s">
        <v>639</v>
      </c>
      <c r="F2" s="224" t="s">
        <v>673</v>
      </c>
      <c r="G2" s="9" t="str">
        <f>_xlfn.XLOOKUP($F2,Table32[Color_Name],Table32[Hex_Code],,0,)</f>
        <v>#87CEEB</v>
      </c>
      <c r="H2" s="11">
        <v>0.1</v>
      </c>
      <c r="I2" s="11">
        <v>0.8</v>
      </c>
      <c r="J2" s="11">
        <v>0.1</v>
      </c>
      <c r="K2" s="11">
        <v>0.8</v>
      </c>
      <c r="L2" s="11">
        <v>0.1</v>
      </c>
      <c r="M2" s="11">
        <v>0.8</v>
      </c>
      <c r="N2" s="11">
        <v>0.1</v>
      </c>
      <c r="O2" s="11">
        <v>0.8</v>
      </c>
      <c r="P2" s="11"/>
    </row>
    <row r="3" spans="1:16" x14ac:dyDescent="0.25">
      <c r="A3" s="222" t="b">
        <v>0</v>
      </c>
      <c r="B3" s="9">
        <f t="shared" ref="B3:B59" si="0">ROW()-1</f>
        <v>2</v>
      </c>
      <c r="C3" s="47" t="str">
        <f>_xlfn.XLOOKUP($D3,Tab_Def_Processes[Name(EN)],Tab_Def_Processes[ID],,0,)</f>
        <v>01</v>
      </c>
      <c r="D3" s="9" t="str">
        <f>Tab_Def_Processes[[#This Row],[Name(EN)]]</f>
        <v>Environment</v>
      </c>
      <c r="E3" s="224" t="s">
        <v>639</v>
      </c>
      <c r="F3" s="224" t="s">
        <v>640</v>
      </c>
      <c r="G3" s="9" t="str">
        <f>_xlfn.XLOOKUP($F3,Table32[Color_Name],Table32[Hex_Code],,0,)</f>
        <v>#228B22</v>
      </c>
      <c r="H3" s="11">
        <v>0.1</v>
      </c>
      <c r="I3" s="11">
        <v>0.2</v>
      </c>
      <c r="J3" s="11">
        <v>0.1</v>
      </c>
      <c r="K3" s="11">
        <v>0.2</v>
      </c>
      <c r="L3" s="11">
        <v>0.1</v>
      </c>
      <c r="M3" s="11">
        <v>0.2</v>
      </c>
      <c r="N3" s="11">
        <v>0.1</v>
      </c>
      <c r="O3" s="11">
        <v>0.2</v>
      </c>
      <c r="P3" s="11"/>
    </row>
    <row r="4" spans="1:16" x14ac:dyDescent="0.25">
      <c r="A4" s="222" t="b">
        <v>0</v>
      </c>
      <c r="B4" s="9">
        <f t="shared" si="0"/>
        <v>3</v>
      </c>
      <c r="C4" s="47" t="str">
        <f>_xlfn.XLOOKUP($D4,Tab_Def_Processes[Name(EN)],Tab_Def_Processes[ID],,0,)</f>
        <v>02</v>
      </c>
      <c r="D4" s="9" t="str">
        <f>Tab_Def_Processes[[#This Row],[Name(EN)]]</f>
        <v>Forestry</v>
      </c>
      <c r="E4" s="224" t="s">
        <v>639</v>
      </c>
      <c r="F4" s="224" t="s">
        <v>656</v>
      </c>
      <c r="G4" s="9" t="str">
        <f>_xlfn.XLOOKUP($F4,Table32[Color_Name],Table32[Hex_Code],,0,)</f>
        <v>#F5DEB3</v>
      </c>
      <c r="H4" s="11">
        <v>0.2</v>
      </c>
      <c r="I4" s="11">
        <v>0.5</v>
      </c>
      <c r="J4" s="11">
        <v>0.2</v>
      </c>
      <c r="K4" s="11">
        <v>0.5</v>
      </c>
      <c r="L4" s="11">
        <v>0.2</v>
      </c>
      <c r="M4" s="11">
        <v>0.5</v>
      </c>
      <c r="N4" s="11">
        <v>0.2</v>
      </c>
      <c r="O4" s="11">
        <v>0.5</v>
      </c>
      <c r="P4" s="11"/>
    </row>
    <row r="5" spans="1:16" x14ac:dyDescent="0.25">
      <c r="A5" s="222" t="b">
        <v>0</v>
      </c>
      <c r="B5" s="9">
        <f t="shared" si="0"/>
        <v>4</v>
      </c>
      <c r="C5" s="47" t="str">
        <f>_xlfn.XLOOKUP($D5,Tab_Def_Processes[Name(EN)],Tab_Def_Processes[ID],,0,)</f>
        <v>03</v>
      </c>
      <c r="D5" s="9" t="str">
        <f>Tab_Def_Processes[[#This Row],[Name(EN)]]</f>
        <v>Processing (primary)</v>
      </c>
      <c r="E5" s="224" t="s">
        <v>639</v>
      </c>
      <c r="F5" s="224" t="s">
        <v>656</v>
      </c>
      <c r="G5" s="9" t="str">
        <f>_xlfn.XLOOKUP($F5,Table32[Color_Name],Table32[Hex_Code],,0,)</f>
        <v>#F5DEB3</v>
      </c>
      <c r="H5" s="11">
        <v>0.3</v>
      </c>
      <c r="I5" s="11">
        <v>0.5</v>
      </c>
      <c r="J5" s="11">
        <v>0.3</v>
      </c>
      <c r="K5" s="11">
        <v>0.5</v>
      </c>
      <c r="L5" s="11">
        <v>0.3</v>
      </c>
      <c r="M5" s="11">
        <v>0.5</v>
      </c>
      <c r="N5" s="11">
        <v>0.3</v>
      </c>
      <c r="O5" s="11">
        <v>0.5</v>
      </c>
      <c r="P5" s="11"/>
    </row>
    <row r="6" spans="1:16" x14ac:dyDescent="0.25">
      <c r="A6" s="222" t="b">
        <v>0</v>
      </c>
      <c r="B6" s="9">
        <f t="shared" si="0"/>
        <v>5</v>
      </c>
      <c r="C6" s="47" t="str">
        <f>_xlfn.XLOOKUP($D6,Tab_Def_Processes[Name(EN)],Tab_Def_Processes[ID],,0,)</f>
        <v>04</v>
      </c>
      <c r="D6" s="9" t="str">
        <f>Tab_Def_Processes[[#This Row],[Name(EN)]]</f>
        <v>Incineration (BHKW)</v>
      </c>
      <c r="E6" s="224" t="s">
        <v>639</v>
      </c>
      <c r="F6" s="224" t="s">
        <v>656</v>
      </c>
      <c r="G6" s="9" t="str">
        <f>_xlfn.XLOOKUP($F6,Table32[Color_Name],Table32[Hex_Code],,0,)</f>
        <v>#F5DEB3</v>
      </c>
      <c r="H6" s="11">
        <v>0.4</v>
      </c>
      <c r="I6" s="11">
        <v>0.2</v>
      </c>
      <c r="J6" s="11">
        <v>0.4</v>
      </c>
      <c r="K6" s="11">
        <v>0.2</v>
      </c>
      <c r="L6" s="11">
        <v>0.4</v>
      </c>
      <c r="M6" s="11">
        <v>0.2</v>
      </c>
      <c r="N6" s="11">
        <v>0.4</v>
      </c>
      <c r="O6" s="11">
        <v>0.2</v>
      </c>
      <c r="P6" s="11"/>
    </row>
    <row r="7" spans="1:16" x14ac:dyDescent="0.25">
      <c r="A7" s="222" t="b">
        <v>0</v>
      </c>
      <c r="B7" s="9">
        <f>ROW()-1</f>
        <v>6</v>
      </c>
      <c r="C7" s="47" t="str">
        <f>_xlfn.XLOOKUP($D7,Tab_Def_Processes[Name(EN)],Tab_Def_Processes[ID],,0,)</f>
        <v>05</v>
      </c>
      <c r="D7" s="9" t="str">
        <f>Tab_Def_Processes[[#This Row],[Name(EN)]]</f>
        <v>Use-Phase (primary)</v>
      </c>
      <c r="E7" s="224" t="s">
        <v>639</v>
      </c>
      <c r="F7" s="224" t="s">
        <v>656</v>
      </c>
      <c r="G7" s="9" t="str">
        <f>_xlfn.XLOOKUP($F7,Table32[Color_Name],Table32[Hex_Code],,0,)</f>
        <v>#F5DEB3</v>
      </c>
      <c r="H7" s="11">
        <v>0.4</v>
      </c>
      <c r="I7" s="11">
        <v>0.6</v>
      </c>
      <c r="J7" s="11">
        <v>0.4</v>
      </c>
      <c r="K7" s="11">
        <v>0.6</v>
      </c>
      <c r="L7" s="11">
        <v>0.4</v>
      </c>
      <c r="M7" s="11">
        <v>0.6</v>
      </c>
      <c r="N7" s="11">
        <v>0.4</v>
      </c>
      <c r="O7" s="11">
        <v>0.6</v>
      </c>
      <c r="P7" s="11"/>
    </row>
    <row r="8" spans="1:16" x14ac:dyDescent="0.25">
      <c r="A8" s="222" t="b">
        <v>0</v>
      </c>
      <c r="B8" s="9">
        <f t="shared" si="0"/>
        <v>7</v>
      </c>
      <c r="C8" s="47" t="str">
        <f>_xlfn.XLOOKUP($D8,Tab_Def_Processes[Name(EN)],Tab_Def_Processes[ID],,0,)</f>
        <v>06</v>
      </c>
      <c r="D8" s="9" t="str">
        <f>Tab_Def_Processes[[#This Row],[Name(EN)]]</f>
        <v>EoL-Sorting</v>
      </c>
      <c r="E8" s="224" t="s">
        <v>639</v>
      </c>
      <c r="F8" s="224" t="s">
        <v>656</v>
      </c>
      <c r="G8" s="9" t="str">
        <f>_xlfn.XLOOKUP($F8,Table32[Color_Name],Table32[Hex_Code],,0,)</f>
        <v>#F5DEB3</v>
      </c>
      <c r="H8" s="11">
        <v>0.6</v>
      </c>
      <c r="I8" s="11">
        <v>0.6</v>
      </c>
      <c r="J8" s="11">
        <v>0.6</v>
      </c>
      <c r="K8" s="11">
        <v>0.6</v>
      </c>
      <c r="L8" s="11">
        <v>0.6</v>
      </c>
      <c r="M8" s="11">
        <v>0.6</v>
      </c>
      <c r="N8" s="11">
        <v>0.6</v>
      </c>
      <c r="O8" s="11">
        <v>0.6</v>
      </c>
      <c r="P8" s="11"/>
    </row>
    <row r="9" spans="1:16" x14ac:dyDescent="0.25">
      <c r="A9" s="222" t="b">
        <v>0</v>
      </c>
      <c r="B9" s="9">
        <f t="shared" si="0"/>
        <v>8</v>
      </c>
      <c r="C9" s="47" t="str">
        <f>_xlfn.XLOOKUP($D9,Tab_Def_Processes[Name(EN)],Tab_Def_Processes[ID],,0,)</f>
        <v>07</v>
      </c>
      <c r="D9" s="9" t="str">
        <f>Tab_Def_Processes[[#This Row],[Name(EN)]]</f>
        <v>Processing (secondary)</v>
      </c>
      <c r="E9" s="224" t="s">
        <v>639</v>
      </c>
      <c r="F9" s="224" t="s">
        <v>656</v>
      </c>
      <c r="G9" s="9" t="str">
        <f>_xlfn.XLOOKUP($F9,Table32[Color_Name],Table32[Hex_Code],,0,)</f>
        <v>#F5DEB3</v>
      </c>
      <c r="H9" s="11">
        <v>0.5</v>
      </c>
      <c r="I9" s="11">
        <v>0.2</v>
      </c>
      <c r="J9" s="11">
        <v>0.5</v>
      </c>
      <c r="K9" s="11">
        <v>0.2</v>
      </c>
      <c r="L9" s="11">
        <v>0.5</v>
      </c>
      <c r="M9" s="11">
        <v>0.2</v>
      </c>
      <c r="N9" s="11">
        <v>0.5</v>
      </c>
      <c r="O9" s="11">
        <v>0.2</v>
      </c>
      <c r="P9" s="11"/>
    </row>
    <row r="10" spans="1:16" x14ac:dyDescent="0.25">
      <c r="A10" s="222" t="b">
        <v>0</v>
      </c>
      <c r="B10" s="9">
        <f t="shared" si="0"/>
        <v>9</v>
      </c>
      <c r="C10" s="47" t="str">
        <f>_xlfn.XLOOKUP($D10,Tab_Def_Processes[Name(EN)],Tab_Def_Processes[ID],,0,)</f>
        <v>08</v>
      </c>
      <c r="D10" s="9" t="str">
        <f>Tab_Def_Processes[[#This Row],[Name(EN)]]</f>
        <v>Incineration (plant)</v>
      </c>
      <c r="E10" s="224" t="s">
        <v>639</v>
      </c>
      <c r="F10" s="224" t="s">
        <v>652</v>
      </c>
      <c r="G10" s="9" t="str">
        <f>_xlfn.XLOOKUP($F10,Table32[Color_Name],Table32[Hex_Code],,0,)</f>
        <v>#8B4513</v>
      </c>
      <c r="H10" s="11">
        <v>0.9</v>
      </c>
      <c r="I10" s="11">
        <v>0.6</v>
      </c>
      <c r="J10" s="11">
        <v>0.9</v>
      </c>
      <c r="K10" s="11">
        <v>0.6</v>
      </c>
      <c r="L10" s="11">
        <v>0.9</v>
      </c>
      <c r="M10" s="11">
        <v>0.6</v>
      </c>
      <c r="N10" s="11">
        <v>0.9</v>
      </c>
      <c r="O10" s="11">
        <v>0.6</v>
      </c>
      <c r="P10" s="11"/>
    </row>
    <row r="11" spans="1:16" x14ac:dyDescent="0.25">
      <c r="A11" s="222" t="b">
        <v>0</v>
      </c>
      <c r="B11" s="9">
        <f t="shared" si="0"/>
        <v>10</v>
      </c>
      <c r="C11" s="47" t="str">
        <f>_xlfn.XLOOKUP($D11,Tab_Def_Processes[Name(EN)],Tab_Def_Processes[ID],,0,)</f>
        <v>09</v>
      </c>
      <c r="D11" s="9" t="str">
        <f>Tab_Def_Processes[[#This Row],[Name(EN)]]</f>
        <v>Use-Phase (secondary)</v>
      </c>
      <c r="E11" s="224" t="s">
        <v>639</v>
      </c>
      <c r="F11" s="224" t="s">
        <v>656</v>
      </c>
      <c r="G11" s="9" t="str">
        <f>_xlfn.XLOOKUP($F11,Table32[Color_Name],Table32[Hex_Code],,0,)</f>
        <v>#F5DEB3</v>
      </c>
      <c r="H11" s="11">
        <v>0.6</v>
      </c>
      <c r="I11" s="11">
        <v>0.4</v>
      </c>
      <c r="J11" s="11">
        <v>0.6</v>
      </c>
      <c r="K11" s="11">
        <v>0.4</v>
      </c>
      <c r="L11" s="11">
        <v>0.6</v>
      </c>
      <c r="M11" s="11">
        <v>0.4</v>
      </c>
      <c r="N11" s="11">
        <v>0.6</v>
      </c>
      <c r="O11" s="11">
        <v>0.4</v>
      </c>
      <c r="P11" s="11"/>
    </row>
    <row r="12" spans="1:16" x14ac:dyDescent="0.25">
      <c r="A12" s="222" t="b">
        <v>0</v>
      </c>
      <c r="B12" s="9">
        <f t="shared" si="0"/>
        <v>11</v>
      </c>
      <c r="C12" s="47" t="str">
        <f>_xlfn.XLOOKUP($D12,Tab_Def_Processes[Name(EN)],Tab_Def_Processes[ID],,0,)</f>
        <v>10</v>
      </c>
      <c r="D12" s="9"/>
      <c r="E12" s="224" t="s">
        <v>639</v>
      </c>
      <c r="F12" s="224" t="s">
        <v>652</v>
      </c>
      <c r="G12" s="9" t="str">
        <f>_xlfn.XLOOKUP($F12,Table32[Color_Name],Table32[Hex_Code],,0,)</f>
        <v>#8B4513</v>
      </c>
      <c r="H12" s="11">
        <v>0.9</v>
      </c>
      <c r="I12" s="11">
        <v>0.4</v>
      </c>
      <c r="J12" s="11">
        <v>0.9</v>
      </c>
      <c r="K12" s="11">
        <v>0.4</v>
      </c>
      <c r="L12" s="11">
        <v>0.9</v>
      </c>
      <c r="M12" s="11">
        <v>0.4</v>
      </c>
      <c r="N12" s="11">
        <v>0.9</v>
      </c>
      <c r="O12" s="11">
        <v>0.4</v>
      </c>
      <c r="P12" s="11"/>
    </row>
    <row r="13" spans="1:16" x14ac:dyDescent="0.25">
      <c r="A13" s="222" t="b">
        <v>0</v>
      </c>
      <c r="B13" s="9">
        <f t="shared" si="0"/>
        <v>12</v>
      </c>
      <c r="C13" s="47" t="str">
        <f>_xlfn.XLOOKUP($D13,Tab_Def_Processes[Name(EN)],Tab_Def_Processes[ID],,0,)</f>
        <v>10</v>
      </c>
      <c r="D13" s="9"/>
      <c r="E13" s="224"/>
      <c r="F13" s="224"/>
      <c r="G13" s="9" t="e">
        <f>_xlfn.XLOOKUP($F13,Table32[Color_Name],Table32[Hex_Code],,0,)</f>
        <v>#N/A</v>
      </c>
      <c r="H13" s="11"/>
      <c r="I13" s="11"/>
      <c r="J13" s="11"/>
      <c r="K13" s="11"/>
      <c r="L13" s="11"/>
      <c r="M13" s="11"/>
      <c r="N13" s="11"/>
      <c r="O13" s="11"/>
      <c r="P13" s="11"/>
    </row>
    <row r="14" spans="1:16" x14ac:dyDescent="0.25">
      <c r="A14" s="222" t="b">
        <v>0</v>
      </c>
      <c r="B14" s="9">
        <f t="shared" si="0"/>
        <v>13</v>
      </c>
      <c r="C14" s="47" t="str">
        <f>_xlfn.XLOOKUP($D14,Tab_Def_Processes[Name(EN)],Tab_Def_Processes[ID],,0,)</f>
        <v>10</v>
      </c>
      <c r="D14" s="9"/>
      <c r="E14" s="224"/>
      <c r="F14" s="224"/>
      <c r="G14" s="9" t="e">
        <f>_xlfn.XLOOKUP($F14,Table32[Color_Name],Table32[Hex_Code],,0,)</f>
        <v>#N/A</v>
      </c>
      <c r="H14" s="11"/>
      <c r="I14" s="11"/>
      <c r="J14" s="11"/>
      <c r="K14" s="11"/>
      <c r="L14" s="11"/>
      <c r="M14" s="11"/>
      <c r="N14" s="11"/>
      <c r="O14" s="11"/>
      <c r="P14" s="11"/>
    </row>
    <row r="15" spans="1:16" x14ac:dyDescent="0.25">
      <c r="A15" s="222" t="b">
        <v>0</v>
      </c>
      <c r="B15" s="9">
        <f t="shared" si="0"/>
        <v>14</v>
      </c>
      <c r="C15" s="47" t="str">
        <f>_xlfn.XLOOKUP($D15,Tab_Def_Processes[Name(EN)],Tab_Def_Processes[ID],,0,)</f>
        <v>10</v>
      </c>
      <c r="D15" s="9"/>
      <c r="E15" s="224"/>
      <c r="F15" s="224"/>
      <c r="G15" s="9" t="e">
        <f>_xlfn.XLOOKUP($F15,Table32[Color_Name],Table32[Hex_Code],,0,)</f>
        <v>#N/A</v>
      </c>
      <c r="H15" s="11"/>
      <c r="I15" s="11"/>
      <c r="J15" s="11"/>
      <c r="K15" s="11"/>
      <c r="L15" s="11"/>
      <c r="M15" s="11"/>
      <c r="N15" s="11"/>
      <c r="O15" s="11"/>
      <c r="P15" s="11"/>
    </row>
    <row r="16" spans="1:16" x14ac:dyDescent="0.25">
      <c r="A16" s="222" t="b">
        <v>0</v>
      </c>
      <c r="B16" s="9">
        <f t="shared" si="0"/>
        <v>15</v>
      </c>
      <c r="C16" s="47" t="str">
        <f>_xlfn.XLOOKUP($D16,Tab_Def_Processes[Name(EN)],Tab_Def_Processes[ID],,0,)</f>
        <v>10</v>
      </c>
      <c r="D16" s="9"/>
      <c r="E16" s="224"/>
      <c r="F16" s="224"/>
      <c r="G16" s="9" t="e">
        <f>_xlfn.XLOOKUP($F16,Table32[Color_Name],Table32[Hex_Code],,0,)</f>
        <v>#N/A</v>
      </c>
      <c r="H16" s="11"/>
      <c r="I16" s="11"/>
      <c r="J16" s="11"/>
      <c r="K16" s="11"/>
      <c r="L16" s="11"/>
      <c r="M16" s="11"/>
      <c r="N16" s="11"/>
      <c r="O16" s="11"/>
      <c r="P16" s="11"/>
    </row>
    <row r="17" spans="1:16" x14ac:dyDescent="0.25">
      <c r="A17" s="222" t="b">
        <v>0</v>
      </c>
      <c r="B17" s="9">
        <f t="shared" si="0"/>
        <v>16</v>
      </c>
      <c r="C17" s="47" t="str">
        <f>_xlfn.XLOOKUP($D17,Tab_Def_Processes[Name(EN)],Tab_Def_Processes[ID],,0,)</f>
        <v>10</v>
      </c>
      <c r="D17" s="9"/>
      <c r="E17" s="224"/>
      <c r="F17" s="224"/>
      <c r="G17" s="9" t="e">
        <f>_xlfn.XLOOKUP($F17,Table32[Color_Name],Table32[Hex_Code],,0,)</f>
        <v>#N/A</v>
      </c>
      <c r="H17" s="11"/>
      <c r="I17" s="11"/>
      <c r="J17" s="11"/>
      <c r="K17" s="11"/>
      <c r="L17" s="11"/>
      <c r="M17" s="11"/>
      <c r="N17" s="11"/>
      <c r="O17" s="11"/>
      <c r="P17" s="11"/>
    </row>
    <row r="18" spans="1:16" x14ac:dyDescent="0.25">
      <c r="A18" s="222" t="b">
        <v>0</v>
      </c>
      <c r="B18" s="9">
        <f t="shared" si="0"/>
        <v>17</v>
      </c>
      <c r="C18" s="47" t="str">
        <f>_xlfn.XLOOKUP($D18,Tab_Def_Processes[Name(EN)],Tab_Def_Processes[ID],,0,)</f>
        <v>10</v>
      </c>
      <c r="D18" s="9"/>
      <c r="E18" s="224"/>
      <c r="F18" s="224"/>
      <c r="G18" s="9" t="e">
        <f>_xlfn.XLOOKUP($F18,Table32[Color_Name],Table32[Hex_Code],,0,)</f>
        <v>#N/A</v>
      </c>
      <c r="H18" s="11"/>
      <c r="I18" s="11"/>
      <c r="J18" s="11"/>
      <c r="K18" s="11"/>
      <c r="L18" s="11"/>
      <c r="M18" s="11"/>
      <c r="N18" s="11"/>
      <c r="O18" s="11"/>
      <c r="P18" s="11"/>
    </row>
    <row r="19" spans="1:16" x14ac:dyDescent="0.25">
      <c r="A19" s="222" t="b">
        <v>0</v>
      </c>
      <c r="B19" s="9">
        <f t="shared" si="0"/>
        <v>18</v>
      </c>
      <c r="C19" s="47" t="str">
        <f>_xlfn.XLOOKUP($D19,Tab_Def_Processes[Name(EN)],Tab_Def_Processes[ID],,0,)</f>
        <v>10</v>
      </c>
      <c r="D19" s="9"/>
      <c r="E19" s="224"/>
      <c r="F19" s="224"/>
      <c r="G19" s="9" t="e">
        <f>_xlfn.XLOOKUP($F19,Table32[Color_Name],Table32[Hex_Code],,0,)</f>
        <v>#N/A</v>
      </c>
      <c r="H19" s="11"/>
      <c r="I19" s="11"/>
      <c r="J19" s="11"/>
      <c r="K19" s="11"/>
      <c r="L19" s="11"/>
      <c r="M19" s="11"/>
      <c r="N19" s="11"/>
      <c r="O19" s="11"/>
      <c r="P19" s="11"/>
    </row>
    <row r="20" spans="1:16" x14ac:dyDescent="0.25">
      <c r="A20" s="222" t="b">
        <v>0</v>
      </c>
      <c r="B20" s="9">
        <f t="shared" si="0"/>
        <v>19</v>
      </c>
      <c r="C20" s="47" t="str">
        <f>_xlfn.XLOOKUP($D20,Tab_Def_Processes[Name(EN)],Tab_Def_Processes[ID],,0,)</f>
        <v>10</v>
      </c>
      <c r="D20" s="9"/>
      <c r="E20" s="224"/>
      <c r="F20" s="224"/>
      <c r="G20" s="9" t="e">
        <f>_xlfn.XLOOKUP($F20,Table32[Color_Name],Table32[Hex_Code],,0,)</f>
        <v>#N/A</v>
      </c>
      <c r="H20" s="11"/>
      <c r="I20" s="11"/>
      <c r="J20" s="11"/>
      <c r="K20" s="11"/>
      <c r="L20" s="11"/>
      <c r="M20" s="11"/>
      <c r="N20" s="11"/>
      <c r="O20" s="11"/>
      <c r="P20" s="11"/>
    </row>
    <row r="21" spans="1:16" x14ac:dyDescent="0.25">
      <c r="A21" s="222" t="b">
        <v>0</v>
      </c>
      <c r="B21" s="9">
        <f t="shared" si="0"/>
        <v>20</v>
      </c>
      <c r="C21" s="47" t="str">
        <f>_xlfn.XLOOKUP($D21,Tab_Def_Processes[Name(EN)],Tab_Def_Processes[ID],,0,)</f>
        <v>10</v>
      </c>
      <c r="D21" s="9"/>
      <c r="E21" s="224"/>
      <c r="F21" s="224"/>
      <c r="G21" s="9" t="e">
        <f>_xlfn.XLOOKUP($F21,Table32[Color_Name],Table32[Hex_Code],,0,)</f>
        <v>#N/A</v>
      </c>
      <c r="H21" s="11"/>
      <c r="I21" s="11"/>
      <c r="J21" s="11"/>
      <c r="K21" s="11"/>
      <c r="L21" s="11"/>
      <c r="M21" s="11"/>
      <c r="N21" s="11"/>
      <c r="O21" s="11"/>
      <c r="P21" s="11"/>
    </row>
    <row r="22" spans="1:16" x14ac:dyDescent="0.25">
      <c r="A22" s="222" t="b">
        <v>0</v>
      </c>
      <c r="B22" s="9">
        <f t="shared" si="0"/>
        <v>21</v>
      </c>
      <c r="C22" s="47" t="str">
        <f>_xlfn.XLOOKUP($D22,Tab_Def_Processes[Name(EN)],Tab_Def_Processes[ID],,0,)</f>
        <v>10</v>
      </c>
      <c r="D22" s="9"/>
      <c r="E22" s="224"/>
      <c r="F22" s="224"/>
      <c r="G22" s="9" t="e">
        <f>_xlfn.XLOOKUP($F22,Table32[Color_Name],Table32[Hex_Code],,0,)</f>
        <v>#N/A</v>
      </c>
      <c r="H22" s="11"/>
      <c r="I22" s="11"/>
      <c r="J22" s="11"/>
      <c r="K22" s="11"/>
      <c r="L22" s="11"/>
      <c r="M22" s="11"/>
      <c r="N22" s="11"/>
      <c r="O22" s="11"/>
      <c r="P22" s="11"/>
    </row>
    <row r="23" spans="1:16" x14ac:dyDescent="0.25">
      <c r="A23" s="222" t="b">
        <v>0</v>
      </c>
      <c r="B23" s="9">
        <f t="shared" si="0"/>
        <v>22</v>
      </c>
      <c r="C23" s="47" t="str">
        <f>_xlfn.XLOOKUP($D23,Tab_Def_Processes[Name(EN)],Tab_Def_Processes[ID],,0,)</f>
        <v>10</v>
      </c>
      <c r="D23" s="9"/>
      <c r="E23" s="224"/>
      <c r="F23" s="224"/>
      <c r="G23" s="9" t="e">
        <f>_xlfn.XLOOKUP($F23,Table32[Color_Name],Table32[Hex_Code],,0,)</f>
        <v>#N/A</v>
      </c>
      <c r="H23" s="11"/>
      <c r="I23" s="11"/>
      <c r="J23" s="11"/>
      <c r="K23" s="11"/>
      <c r="L23" s="11"/>
      <c r="M23" s="11"/>
      <c r="N23" s="11"/>
      <c r="O23" s="11"/>
      <c r="P23" s="11"/>
    </row>
    <row r="24" spans="1:16" x14ac:dyDescent="0.25">
      <c r="A24" s="222" t="b">
        <v>0</v>
      </c>
      <c r="B24" s="9">
        <f t="shared" si="0"/>
        <v>23</v>
      </c>
      <c r="C24" s="47" t="str">
        <f>_xlfn.XLOOKUP($D24,Tab_Def_Processes[Name(EN)],Tab_Def_Processes[ID],,0,)</f>
        <v>10</v>
      </c>
      <c r="D24" s="9"/>
      <c r="E24" s="224"/>
      <c r="F24" s="224"/>
      <c r="G24" s="9" t="e">
        <f>_xlfn.XLOOKUP($F24,Table32[Color_Name],Table32[Hex_Code],,0,)</f>
        <v>#N/A</v>
      </c>
      <c r="H24" s="11"/>
      <c r="I24" s="11"/>
      <c r="J24" s="11"/>
      <c r="K24" s="11"/>
      <c r="L24" s="11"/>
      <c r="M24" s="11"/>
      <c r="N24" s="11"/>
      <c r="O24" s="11"/>
      <c r="P24" s="11"/>
    </row>
    <row r="25" spans="1:16" x14ac:dyDescent="0.25">
      <c r="A25" s="222" t="b">
        <v>0</v>
      </c>
      <c r="B25" s="9">
        <f t="shared" si="0"/>
        <v>24</v>
      </c>
      <c r="C25" s="47" t="str">
        <f>_xlfn.XLOOKUP($D25,Tab_Def_Processes[Name(EN)],Tab_Def_Processes[ID],,0,)</f>
        <v>10</v>
      </c>
      <c r="D25" s="9"/>
      <c r="E25" s="224"/>
      <c r="F25" s="224"/>
      <c r="G25" s="9" t="e">
        <f>_xlfn.XLOOKUP($F25,Table32[Color_Name],Table32[Hex_Code],,0,)</f>
        <v>#N/A</v>
      </c>
      <c r="H25" s="11"/>
      <c r="I25" s="11"/>
      <c r="J25" s="11"/>
      <c r="K25" s="11"/>
      <c r="L25" s="11"/>
      <c r="M25" s="11"/>
      <c r="N25" s="11"/>
      <c r="O25" s="11"/>
      <c r="P25" s="11"/>
    </row>
    <row r="26" spans="1:16" x14ac:dyDescent="0.25">
      <c r="A26" s="222" t="b">
        <v>0</v>
      </c>
      <c r="B26" s="9">
        <f t="shared" si="0"/>
        <v>25</v>
      </c>
      <c r="C26" s="47" t="str">
        <f>_xlfn.XLOOKUP($D26,Tab_Def_Processes[Name(EN)],Tab_Def_Processes[ID],,0,)</f>
        <v>10</v>
      </c>
      <c r="D26" s="9"/>
      <c r="E26" s="224"/>
      <c r="F26" s="224"/>
      <c r="G26" s="9" t="e">
        <f>_xlfn.XLOOKUP($F26,Table32[Color_Name],Table32[Hex_Code],,0,)</f>
        <v>#N/A</v>
      </c>
      <c r="H26" s="11"/>
      <c r="I26" s="11"/>
      <c r="J26" s="11"/>
      <c r="K26" s="11"/>
      <c r="L26" s="11"/>
      <c r="M26" s="11"/>
      <c r="N26" s="11"/>
      <c r="O26" s="11"/>
      <c r="P26" s="11"/>
    </row>
    <row r="27" spans="1:16" x14ac:dyDescent="0.25">
      <c r="A27" s="222" t="b">
        <v>0</v>
      </c>
      <c r="B27" s="9">
        <f t="shared" si="0"/>
        <v>26</v>
      </c>
      <c r="C27" s="47" t="str">
        <f>_xlfn.XLOOKUP($D27,Tab_Def_Processes[Name(EN)],Tab_Def_Processes[ID],,0,)</f>
        <v>10</v>
      </c>
      <c r="D27" s="9"/>
      <c r="E27" s="224"/>
      <c r="F27" s="224"/>
      <c r="G27" s="9" t="e">
        <f>_xlfn.XLOOKUP($F27,Table32[Color_Name],Table32[Hex_Code],,0,)</f>
        <v>#N/A</v>
      </c>
      <c r="H27" s="11"/>
      <c r="I27" s="11"/>
      <c r="J27" s="11"/>
      <c r="K27" s="11"/>
      <c r="L27" s="11"/>
      <c r="M27" s="11"/>
      <c r="N27" s="11"/>
      <c r="O27" s="11"/>
      <c r="P27" s="11"/>
    </row>
    <row r="28" spans="1:16" x14ac:dyDescent="0.25">
      <c r="A28" s="222" t="b">
        <v>0</v>
      </c>
      <c r="B28" s="9">
        <f t="shared" si="0"/>
        <v>27</v>
      </c>
      <c r="C28" s="47" t="str">
        <f>_xlfn.XLOOKUP($D28,Tab_Def_Processes[Name(EN)],Tab_Def_Processes[ID],,0,)</f>
        <v>10</v>
      </c>
      <c r="D28" s="9"/>
      <c r="E28" s="224"/>
      <c r="F28" s="224"/>
      <c r="G28" s="9" t="e">
        <f>_xlfn.XLOOKUP($F28,Table32[Color_Name],Table32[Hex_Code],,0,)</f>
        <v>#N/A</v>
      </c>
      <c r="H28" s="11"/>
      <c r="I28" s="11"/>
      <c r="J28" s="11"/>
      <c r="K28" s="11"/>
      <c r="L28" s="11"/>
      <c r="M28" s="11"/>
      <c r="N28" s="11"/>
      <c r="O28" s="11"/>
      <c r="P28" s="11"/>
    </row>
    <row r="29" spans="1:16" x14ac:dyDescent="0.25">
      <c r="A29" s="222" t="b">
        <v>0</v>
      </c>
      <c r="B29" s="9">
        <f t="shared" si="0"/>
        <v>28</v>
      </c>
      <c r="C29" s="47" t="str">
        <f>_xlfn.XLOOKUP($D29,Tab_Def_Processes[Name(EN)],Tab_Def_Processes[ID],,0,)</f>
        <v>10</v>
      </c>
      <c r="D29" s="9"/>
      <c r="E29" s="224"/>
      <c r="F29" s="224"/>
      <c r="G29" s="9" t="e">
        <f>_xlfn.XLOOKUP($F29,Table32[Color_Name],Table32[Hex_Code],,0,)</f>
        <v>#N/A</v>
      </c>
      <c r="H29" s="11"/>
      <c r="I29" s="11"/>
      <c r="J29" s="11"/>
      <c r="K29" s="11"/>
      <c r="L29" s="11"/>
      <c r="M29" s="11"/>
      <c r="N29" s="11"/>
      <c r="O29" s="11"/>
      <c r="P29" s="11"/>
    </row>
    <row r="30" spans="1:16" x14ac:dyDescent="0.25">
      <c r="A30" s="222" t="b">
        <v>0</v>
      </c>
      <c r="B30" s="9">
        <f t="shared" si="0"/>
        <v>29</v>
      </c>
      <c r="C30" s="47" t="str">
        <f>_xlfn.XLOOKUP($D30,Tab_Def_Processes[Name(EN)],Tab_Def_Processes[ID],,0,)</f>
        <v>10</v>
      </c>
      <c r="D30" s="9"/>
      <c r="E30" s="224"/>
      <c r="F30" s="224"/>
      <c r="G30" s="9" t="e">
        <f>_xlfn.XLOOKUP($F30,Table32[Color_Name],Table32[Hex_Code],,0,)</f>
        <v>#N/A</v>
      </c>
      <c r="H30" s="11"/>
      <c r="I30" s="11"/>
      <c r="J30" s="11"/>
      <c r="K30" s="11"/>
      <c r="L30" s="11"/>
      <c r="M30" s="11"/>
      <c r="N30" s="11"/>
      <c r="O30" s="11"/>
      <c r="P30" s="11"/>
    </row>
    <row r="31" spans="1:16" x14ac:dyDescent="0.25">
      <c r="A31" s="222" t="b">
        <v>0</v>
      </c>
      <c r="B31" s="9">
        <f t="shared" si="0"/>
        <v>30</v>
      </c>
      <c r="C31" s="47" t="str">
        <f>_xlfn.XLOOKUP($D31,Tab_Def_Processes[Name(EN)],Tab_Def_Processes[ID],,0,)</f>
        <v>10</v>
      </c>
      <c r="D31" s="9"/>
      <c r="E31" s="224"/>
      <c r="F31" s="224"/>
      <c r="G31" s="9" t="e">
        <f>_xlfn.XLOOKUP($F31,Table32[Color_Name],Table32[Hex_Code],,0,)</f>
        <v>#N/A</v>
      </c>
      <c r="H31" s="11"/>
      <c r="I31" s="11"/>
      <c r="J31" s="11"/>
      <c r="K31" s="11"/>
      <c r="L31" s="11"/>
      <c r="M31" s="11"/>
      <c r="N31" s="11"/>
      <c r="O31" s="11"/>
      <c r="P31" s="11"/>
    </row>
    <row r="32" spans="1:16" x14ac:dyDescent="0.25">
      <c r="A32" s="222" t="b">
        <v>0</v>
      </c>
      <c r="B32" s="9">
        <f t="shared" si="0"/>
        <v>31</v>
      </c>
      <c r="C32" s="47" t="str">
        <f>_xlfn.XLOOKUP($D32,Tab_Def_Processes[Name(EN)],Tab_Def_Processes[ID],,0,)</f>
        <v>10</v>
      </c>
      <c r="D32" s="9"/>
      <c r="E32" s="224"/>
      <c r="F32" s="224"/>
      <c r="G32" s="9" t="e">
        <f>_xlfn.XLOOKUP($F32,Table32[Color_Name],Table32[Hex_Code],,0,)</f>
        <v>#N/A</v>
      </c>
      <c r="H32" s="11"/>
      <c r="I32" s="11"/>
      <c r="J32" s="11"/>
      <c r="K32" s="11"/>
      <c r="L32" s="11"/>
      <c r="M32" s="11"/>
      <c r="N32" s="11"/>
      <c r="O32" s="11"/>
      <c r="P32" s="11"/>
    </row>
    <row r="33" spans="1:16" x14ac:dyDescent="0.25">
      <c r="A33" s="222" t="b">
        <v>0</v>
      </c>
      <c r="B33" s="9">
        <f t="shared" si="0"/>
        <v>32</v>
      </c>
      <c r="C33" s="47" t="str">
        <f>_xlfn.XLOOKUP($D33,Tab_Def_Processes[Name(EN)],Tab_Def_Processes[ID],,0,)</f>
        <v>10</v>
      </c>
      <c r="D33" s="9"/>
      <c r="E33" s="224"/>
      <c r="F33" s="224"/>
      <c r="G33" s="9" t="e">
        <f>_xlfn.XLOOKUP($F33,Table32[Color_Name],Table32[Hex_Code],,0,)</f>
        <v>#N/A</v>
      </c>
      <c r="H33" s="11"/>
      <c r="I33" s="11"/>
      <c r="J33" s="11"/>
      <c r="K33" s="11"/>
      <c r="L33" s="11"/>
      <c r="M33" s="11"/>
      <c r="N33" s="11"/>
      <c r="O33" s="11"/>
      <c r="P33" s="11"/>
    </row>
    <row r="34" spans="1:16" x14ac:dyDescent="0.25">
      <c r="A34" s="222" t="b">
        <v>0</v>
      </c>
      <c r="B34" s="9">
        <f t="shared" si="0"/>
        <v>33</v>
      </c>
      <c r="C34" s="47" t="str">
        <f>_xlfn.XLOOKUP($D34,Tab_Def_Processes[Name(EN)],Tab_Def_Processes[ID],,0,)</f>
        <v>10</v>
      </c>
      <c r="D34" s="9"/>
      <c r="E34" s="224"/>
      <c r="F34" s="224"/>
      <c r="G34" s="9" t="e">
        <f>_xlfn.XLOOKUP($F34,Table32[Color_Name],Table32[Hex_Code],,0,)</f>
        <v>#N/A</v>
      </c>
      <c r="H34" s="11"/>
      <c r="I34" s="11"/>
      <c r="J34" s="11"/>
      <c r="K34" s="11"/>
      <c r="L34" s="11"/>
      <c r="M34" s="11"/>
      <c r="N34" s="11"/>
      <c r="O34" s="11"/>
      <c r="P34" s="11"/>
    </row>
    <row r="35" spans="1:16" x14ac:dyDescent="0.25">
      <c r="A35" s="222" t="b">
        <v>0</v>
      </c>
      <c r="B35" s="9">
        <f t="shared" si="0"/>
        <v>34</v>
      </c>
      <c r="C35" s="47" t="str">
        <f>_xlfn.XLOOKUP($D35,Tab_Def_Processes[Name(EN)],Tab_Def_Processes[ID],,0,)</f>
        <v>10</v>
      </c>
      <c r="D35" s="9"/>
      <c r="E35" s="224"/>
      <c r="F35" s="224"/>
      <c r="G35" s="9" t="e">
        <f>_xlfn.XLOOKUP($F35,Table32[Color_Name],Table32[Hex_Code],,0,)</f>
        <v>#N/A</v>
      </c>
      <c r="H35" s="11"/>
      <c r="I35" s="11"/>
      <c r="J35" s="11"/>
      <c r="K35" s="11"/>
      <c r="L35" s="11"/>
      <c r="M35" s="11"/>
      <c r="N35" s="11"/>
      <c r="O35" s="11"/>
      <c r="P35" s="11"/>
    </row>
    <row r="36" spans="1:16" x14ac:dyDescent="0.25">
      <c r="A36" s="222" t="b">
        <v>0</v>
      </c>
      <c r="B36" s="9">
        <f t="shared" si="0"/>
        <v>35</v>
      </c>
      <c r="C36" s="47" t="str">
        <f>_xlfn.XLOOKUP($D36,Tab_Def_Processes[Name(EN)],Tab_Def_Processes[ID],,0,)</f>
        <v>10</v>
      </c>
      <c r="D36" s="9"/>
      <c r="E36" s="224"/>
      <c r="F36" s="224"/>
      <c r="G36" s="9" t="e">
        <f>_xlfn.XLOOKUP($F36,Table32[Color_Name],Table32[Hex_Code],,0,)</f>
        <v>#N/A</v>
      </c>
      <c r="H36" s="11"/>
      <c r="I36" s="11"/>
      <c r="J36" s="11"/>
      <c r="K36" s="11"/>
      <c r="L36" s="11"/>
      <c r="M36" s="11"/>
      <c r="N36" s="11"/>
      <c r="O36" s="11"/>
      <c r="P36" s="11"/>
    </row>
    <row r="37" spans="1:16" x14ac:dyDescent="0.25">
      <c r="A37" s="222" t="b">
        <v>0</v>
      </c>
      <c r="B37" s="9">
        <f t="shared" si="0"/>
        <v>36</v>
      </c>
      <c r="C37" s="47" t="str">
        <f>_xlfn.XLOOKUP($D37,Tab_Def_Processes[Name(EN)],Tab_Def_Processes[ID],,0,)</f>
        <v>10</v>
      </c>
      <c r="D37" s="9"/>
      <c r="E37" s="224"/>
      <c r="F37" s="224"/>
      <c r="G37" s="9" t="e">
        <f>_xlfn.XLOOKUP($F37,Table32[Color_Name],Table32[Hex_Code],,0,)</f>
        <v>#N/A</v>
      </c>
      <c r="H37" s="11"/>
      <c r="I37" s="11"/>
      <c r="J37" s="11"/>
      <c r="K37" s="11"/>
      <c r="L37" s="11"/>
      <c r="M37" s="11"/>
      <c r="N37" s="11"/>
      <c r="O37" s="11"/>
      <c r="P37" s="11"/>
    </row>
    <row r="38" spans="1:16" x14ac:dyDescent="0.25">
      <c r="A38" s="222" t="b">
        <v>0</v>
      </c>
      <c r="B38" s="9">
        <f t="shared" si="0"/>
        <v>37</v>
      </c>
      <c r="C38" s="47" t="str">
        <f>_xlfn.XLOOKUP($D38,Tab_Def_Processes[Name(EN)],Tab_Def_Processes[ID],,0,)</f>
        <v>10</v>
      </c>
      <c r="D38" s="9"/>
      <c r="E38" s="224"/>
      <c r="F38" s="224"/>
      <c r="G38" s="9" t="e">
        <f>_xlfn.XLOOKUP($F38,Table32[Color_Name],Table32[Hex_Code],,0,)</f>
        <v>#N/A</v>
      </c>
      <c r="H38" s="11"/>
      <c r="I38" s="11"/>
      <c r="J38" s="11"/>
      <c r="K38" s="11"/>
      <c r="L38" s="11"/>
      <c r="M38" s="11"/>
      <c r="N38" s="11"/>
      <c r="O38" s="11"/>
      <c r="P38" s="11"/>
    </row>
    <row r="39" spans="1:16" x14ac:dyDescent="0.25">
      <c r="A39" s="222" t="b">
        <v>0</v>
      </c>
      <c r="B39" s="9">
        <f t="shared" si="0"/>
        <v>38</v>
      </c>
      <c r="C39" s="47" t="str">
        <f>_xlfn.XLOOKUP($D39,Tab_Def_Processes[Name(EN)],Tab_Def_Processes[ID],,0,)</f>
        <v>10</v>
      </c>
      <c r="D39" s="9"/>
      <c r="E39" s="224"/>
      <c r="F39" s="224"/>
      <c r="G39" s="9" t="e">
        <f>_xlfn.XLOOKUP($F39,Table32[Color_Name],Table32[Hex_Code],,0,)</f>
        <v>#N/A</v>
      </c>
      <c r="H39" s="11"/>
      <c r="I39" s="11"/>
      <c r="J39" s="11"/>
      <c r="K39" s="11"/>
      <c r="L39" s="11"/>
      <c r="M39" s="11"/>
      <c r="N39" s="11"/>
      <c r="O39" s="11"/>
      <c r="P39" s="11"/>
    </row>
    <row r="40" spans="1:16" x14ac:dyDescent="0.25">
      <c r="A40" s="222" t="b">
        <v>0</v>
      </c>
      <c r="B40" s="9">
        <f t="shared" si="0"/>
        <v>39</v>
      </c>
      <c r="C40" s="47" t="str">
        <f>_xlfn.XLOOKUP($D40,Tab_Def_Processes[Name(EN)],Tab_Def_Processes[ID],,0,)</f>
        <v>10</v>
      </c>
      <c r="D40" s="9"/>
      <c r="E40" s="224"/>
      <c r="F40" s="224"/>
      <c r="G40" s="9" t="e">
        <f>_xlfn.XLOOKUP($F40,Table32[Color_Name],Table32[Hex_Code],,0,)</f>
        <v>#N/A</v>
      </c>
      <c r="H40" s="11"/>
      <c r="I40" s="11"/>
      <c r="J40" s="11"/>
      <c r="K40" s="11"/>
      <c r="L40" s="11"/>
      <c r="M40" s="11"/>
      <c r="N40" s="11"/>
      <c r="O40" s="11"/>
      <c r="P40" s="11"/>
    </row>
    <row r="41" spans="1:16" x14ac:dyDescent="0.25">
      <c r="A41" s="222" t="b">
        <v>0</v>
      </c>
      <c r="B41" s="9">
        <f t="shared" si="0"/>
        <v>40</v>
      </c>
      <c r="C41" s="47" t="str">
        <f>_xlfn.XLOOKUP($D41,Tab_Def_Processes[Name(EN)],Tab_Def_Processes[ID],,0,)</f>
        <v>10</v>
      </c>
      <c r="D41" s="9"/>
      <c r="E41" s="224"/>
      <c r="F41" s="224"/>
      <c r="G41" s="9" t="e">
        <f>_xlfn.XLOOKUP($F41,Table32[Color_Name],Table32[Hex_Code],,0,)</f>
        <v>#N/A</v>
      </c>
      <c r="H41" s="11"/>
      <c r="I41" s="11"/>
      <c r="J41" s="11"/>
      <c r="K41" s="11"/>
      <c r="L41" s="11"/>
      <c r="M41" s="11"/>
      <c r="N41" s="11"/>
      <c r="O41" s="11"/>
      <c r="P41" s="11"/>
    </row>
    <row r="42" spans="1:16" x14ac:dyDescent="0.25">
      <c r="A42" s="222" t="b">
        <v>0</v>
      </c>
      <c r="B42" s="9">
        <f t="shared" si="0"/>
        <v>41</v>
      </c>
      <c r="C42" s="47" t="str">
        <f>_xlfn.XLOOKUP($D42,Tab_Def_Processes[Name(EN)],Tab_Def_Processes[ID],,0,)</f>
        <v>10</v>
      </c>
      <c r="D42" s="9"/>
      <c r="E42" s="224"/>
      <c r="F42" s="224"/>
      <c r="G42" s="9" t="e">
        <f>_xlfn.XLOOKUP($F42,Table32[Color_Name],Table32[Hex_Code],,0,)</f>
        <v>#N/A</v>
      </c>
      <c r="H42" s="11"/>
      <c r="I42" s="11"/>
      <c r="J42" s="11"/>
      <c r="K42" s="11"/>
      <c r="L42" s="11"/>
      <c r="M42" s="11"/>
      <c r="N42" s="11"/>
      <c r="O42" s="11"/>
      <c r="P42" s="11"/>
    </row>
    <row r="43" spans="1:16" x14ac:dyDescent="0.25">
      <c r="A43" s="222" t="b">
        <v>0</v>
      </c>
      <c r="B43" s="9">
        <f t="shared" si="0"/>
        <v>42</v>
      </c>
      <c r="C43" s="47" t="str">
        <f>_xlfn.XLOOKUP($D43,Tab_Def_Processes[Name(EN)],Tab_Def_Processes[ID],,0,)</f>
        <v>10</v>
      </c>
      <c r="D43" s="9"/>
      <c r="E43" s="224"/>
      <c r="F43" s="224"/>
      <c r="G43" s="9" t="e">
        <f>_xlfn.XLOOKUP($F43,Table32[Color_Name],Table32[Hex_Code],,0,)</f>
        <v>#N/A</v>
      </c>
      <c r="H43" s="11"/>
      <c r="I43" s="11"/>
      <c r="J43" s="11"/>
      <c r="K43" s="11"/>
      <c r="L43" s="11"/>
      <c r="M43" s="11"/>
      <c r="N43" s="11"/>
      <c r="O43" s="11"/>
      <c r="P43" s="11"/>
    </row>
    <row r="44" spans="1:16" x14ac:dyDescent="0.25">
      <c r="A44" s="222" t="b">
        <v>0</v>
      </c>
      <c r="B44" s="9">
        <f t="shared" si="0"/>
        <v>43</v>
      </c>
      <c r="C44" s="47" t="str">
        <f>_xlfn.XLOOKUP($D44,Tab_Def_Processes[Name(EN)],Tab_Def_Processes[ID],,0,)</f>
        <v>10</v>
      </c>
      <c r="D44" s="9"/>
      <c r="E44" s="224"/>
      <c r="F44" s="224"/>
      <c r="G44" s="9" t="e">
        <f>_xlfn.XLOOKUP($F44,Table32[Color_Name],Table32[Hex_Code],,0,)</f>
        <v>#N/A</v>
      </c>
      <c r="H44" s="11"/>
      <c r="I44" s="11"/>
      <c r="J44" s="11"/>
      <c r="K44" s="11"/>
      <c r="L44" s="11"/>
      <c r="M44" s="11"/>
      <c r="N44" s="11"/>
      <c r="O44" s="11"/>
      <c r="P44" s="11"/>
    </row>
    <row r="45" spans="1:16" x14ac:dyDescent="0.25">
      <c r="A45" s="222" t="b">
        <v>0</v>
      </c>
      <c r="B45" s="9">
        <f t="shared" si="0"/>
        <v>44</v>
      </c>
      <c r="C45" s="47" t="str">
        <f>_xlfn.XLOOKUP($D45,Tab_Def_Processes[Name(EN)],Tab_Def_Processes[ID],,0,)</f>
        <v>10</v>
      </c>
      <c r="D45" s="9"/>
      <c r="E45" s="224"/>
      <c r="F45" s="224"/>
      <c r="G45" s="9" t="e">
        <f>_xlfn.XLOOKUP($F45,Table32[Color_Name],Table32[Hex_Code],,0,)</f>
        <v>#N/A</v>
      </c>
      <c r="H45" s="11"/>
      <c r="I45" s="11"/>
      <c r="J45" s="11"/>
      <c r="K45" s="11"/>
      <c r="L45" s="11"/>
      <c r="M45" s="11"/>
      <c r="N45" s="11"/>
      <c r="O45" s="11"/>
      <c r="P45" s="11"/>
    </row>
    <row r="46" spans="1:16" x14ac:dyDescent="0.25">
      <c r="A46" s="222" t="b">
        <v>0</v>
      </c>
      <c r="B46" s="9">
        <f t="shared" si="0"/>
        <v>45</v>
      </c>
      <c r="C46" s="47" t="str">
        <f>_xlfn.XLOOKUP($D46,Tab_Def_Processes[Name(EN)],Tab_Def_Processes[ID],,0,)</f>
        <v>10</v>
      </c>
      <c r="D46" s="9"/>
      <c r="E46" s="224"/>
      <c r="F46" s="224"/>
      <c r="G46" s="9" t="e">
        <f>_xlfn.XLOOKUP($F46,Table32[Color_Name],Table32[Hex_Code],,0,)</f>
        <v>#N/A</v>
      </c>
      <c r="H46" s="11"/>
      <c r="I46" s="11"/>
      <c r="J46" s="11"/>
      <c r="K46" s="11"/>
      <c r="L46" s="11"/>
      <c r="M46" s="11"/>
      <c r="N46" s="11"/>
      <c r="O46" s="11"/>
      <c r="P46" s="11"/>
    </row>
    <row r="47" spans="1:16" x14ac:dyDescent="0.25">
      <c r="A47" s="222" t="b">
        <v>0</v>
      </c>
      <c r="B47" s="9">
        <f t="shared" si="0"/>
        <v>46</v>
      </c>
      <c r="C47" s="47" t="str">
        <f>_xlfn.XLOOKUP($D47,Tab_Def_Processes[Name(EN)],Tab_Def_Processes[ID],,0,)</f>
        <v>10</v>
      </c>
      <c r="D47" s="9"/>
      <c r="E47" s="224"/>
      <c r="F47" s="224"/>
      <c r="G47" s="9" t="e">
        <f>_xlfn.XLOOKUP($F47,Table32[Color_Name],Table32[Hex_Code],,0,)</f>
        <v>#N/A</v>
      </c>
      <c r="H47" s="11"/>
      <c r="I47" s="11"/>
      <c r="J47" s="11"/>
      <c r="K47" s="11"/>
      <c r="L47" s="11"/>
      <c r="M47" s="11"/>
      <c r="N47" s="11"/>
      <c r="O47" s="11"/>
      <c r="P47" s="11"/>
    </row>
    <row r="48" spans="1:16" x14ac:dyDescent="0.25">
      <c r="A48" s="222" t="b">
        <v>0</v>
      </c>
      <c r="B48" s="9">
        <f t="shared" si="0"/>
        <v>47</v>
      </c>
      <c r="C48" s="47" t="str">
        <f>_xlfn.XLOOKUP($D48,Tab_Def_Processes[Name(EN)],Tab_Def_Processes[ID],,0,)</f>
        <v>10</v>
      </c>
      <c r="D48" s="9"/>
      <c r="E48" s="224"/>
      <c r="F48" s="224"/>
      <c r="G48" s="9" t="e">
        <f>_xlfn.XLOOKUP($F48,Table32[Color_Name],Table32[Hex_Code],,0,)</f>
        <v>#N/A</v>
      </c>
      <c r="H48" s="11"/>
      <c r="I48" s="11"/>
      <c r="J48" s="11"/>
      <c r="K48" s="11"/>
      <c r="L48" s="11"/>
      <c r="M48" s="11"/>
      <c r="N48" s="11"/>
      <c r="O48" s="11"/>
      <c r="P48" s="11"/>
    </row>
    <row r="49" spans="1:16" x14ac:dyDescent="0.25">
      <c r="A49" s="222" t="b">
        <v>0</v>
      </c>
      <c r="B49" s="9">
        <f t="shared" si="0"/>
        <v>48</v>
      </c>
      <c r="C49" s="47" t="str">
        <f>_xlfn.XLOOKUP($D49,Tab_Def_Processes[Name(EN)],Tab_Def_Processes[ID],,0,)</f>
        <v>10</v>
      </c>
      <c r="D49" s="9"/>
      <c r="E49" s="224"/>
      <c r="F49" s="224"/>
      <c r="G49" s="9" t="e">
        <f>_xlfn.XLOOKUP($F49,Table32[Color_Name],Table32[Hex_Code],,0,)</f>
        <v>#N/A</v>
      </c>
      <c r="H49" s="11"/>
      <c r="I49" s="11"/>
      <c r="J49" s="11"/>
      <c r="K49" s="11"/>
      <c r="L49" s="11"/>
      <c r="M49" s="11"/>
      <c r="N49" s="11"/>
      <c r="O49" s="11"/>
      <c r="P49" s="11"/>
    </row>
    <row r="50" spans="1:16" x14ac:dyDescent="0.25">
      <c r="A50" s="222" t="b">
        <v>0</v>
      </c>
      <c r="B50" s="9">
        <f t="shared" si="0"/>
        <v>49</v>
      </c>
      <c r="C50" s="47" t="str">
        <f>_xlfn.XLOOKUP($D50,Tab_Def_Processes[Name(EN)],Tab_Def_Processes[ID],,0,)</f>
        <v>10</v>
      </c>
      <c r="D50" s="9"/>
      <c r="E50" s="224"/>
      <c r="F50" s="224"/>
      <c r="G50" s="9" t="e">
        <f>_xlfn.XLOOKUP($F50,Table32[Color_Name],Table32[Hex_Code],,0,)</f>
        <v>#N/A</v>
      </c>
      <c r="H50" s="11"/>
      <c r="I50" s="11"/>
      <c r="J50" s="11"/>
      <c r="K50" s="11"/>
      <c r="L50" s="11"/>
      <c r="M50" s="11"/>
      <c r="N50" s="11"/>
      <c r="O50" s="11"/>
      <c r="P50" s="11"/>
    </row>
    <row r="51" spans="1:16" x14ac:dyDescent="0.25">
      <c r="A51" s="222" t="b">
        <v>0</v>
      </c>
      <c r="B51" s="9">
        <f t="shared" si="0"/>
        <v>50</v>
      </c>
      <c r="C51" s="47" t="str">
        <f>_xlfn.XLOOKUP($D51,Tab_Def_Processes[Name(EN)],Tab_Def_Processes[ID],,0,)</f>
        <v>10</v>
      </c>
      <c r="D51" s="9"/>
      <c r="E51" s="224"/>
      <c r="F51" s="224"/>
      <c r="G51" s="9" t="e">
        <f>_xlfn.XLOOKUP($F51,Table32[Color_Name],Table32[Hex_Code],,0,)</f>
        <v>#N/A</v>
      </c>
      <c r="H51" s="11"/>
      <c r="I51" s="11"/>
      <c r="J51" s="11"/>
      <c r="K51" s="11"/>
      <c r="L51" s="11"/>
      <c r="M51" s="11"/>
      <c r="N51" s="11"/>
      <c r="O51" s="11"/>
      <c r="P51" s="11"/>
    </row>
    <row r="52" spans="1:16" x14ac:dyDescent="0.25">
      <c r="A52" s="222" t="b">
        <v>0</v>
      </c>
      <c r="B52" s="9">
        <f t="shared" si="0"/>
        <v>51</v>
      </c>
      <c r="C52" s="47" t="str">
        <f>_xlfn.XLOOKUP($D52,Tab_Def_Processes[Name(EN)],Tab_Def_Processes[ID],,0,)</f>
        <v>10</v>
      </c>
      <c r="D52" s="9"/>
      <c r="E52" s="224"/>
      <c r="F52" s="224"/>
      <c r="G52" s="9" t="e">
        <f>_xlfn.XLOOKUP($F52,Table32[Color_Name],Table32[Hex_Code],,0,)</f>
        <v>#N/A</v>
      </c>
      <c r="H52" s="11"/>
      <c r="I52" s="11"/>
      <c r="J52" s="11"/>
      <c r="K52" s="11"/>
      <c r="L52" s="11"/>
      <c r="M52" s="11"/>
      <c r="N52" s="11"/>
      <c r="O52" s="11"/>
      <c r="P52" s="11"/>
    </row>
    <row r="53" spans="1:16" x14ac:dyDescent="0.25">
      <c r="A53" s="222" t="b">
        <v>0</v>
      </c>
      <c r="B53" s="9">
        <f t="shared" si="0"/>
        <v>52</v>
      </c>
      <c r="C53" s="47" t="str">
        <f>_xlfn.XLOOKUP($D53,Tab_Def_Processes[Name(EN)],Tab_Def_Processes[ID],,0,)</f>
        <v>10</v>
      </c>
      <c r="D53" s="9"/>
      <c r="E53" s="224"/>
      <c r="F53" s="224"/>
      <c r="G53" s="9" t="e">
        <f>_xlfn.XLOOKUP($F53,Table32[Color_Name],Table32[Hex_Code],,0,)</f>
        <v>#N/A</v>
      </c>
      <c r="H53" s="11"/>
      <c r="I53" s="11"/>
      <c r="J53" s="11"/>
      <c r="K53" s="11"/>
      <c r="L53" s="11"/>
      <c r="M53" s="11"/>
      <c r="N53" s="11"/>
      <c r="O53" s="11"/>
      <c r="P53" s="11"/>
    </row>
    <row r="54" spans="1:16" x14ac:dyDescent="0.25">
      <c r="A54" s="222" t="b">
        <v>0</v>
      </c>
      <c r="B54" s="9">
        <f t="shared" si="0"/>
        <v>53</v>
      </c>
      <c r="C54" s="47" t="str">
        <f>_xlfn.XLOOKUP($D54,Tab_Def_Processes[Name(EN)],Tab_Def_Processes[ID],,0,)</f>
        <v>10</v>
      </c>
      <c r="D54" s="9"/>
      <c r="E54" s="224"/>
      <c r="F54" s="224"/>
      <c r="G54" s="9" t="e">
        <f>_xlfn.XLOOKUP($F54,Table32[Color_Name],Table32[Hex_Code],,0,)</f>
        <v>#N/A</v>
      </c>
      <c r="H54" s="11"/>
      <c r="I54" s="11"/>
      <c r="J54" s="11"/>
      <c r="K54" s="11"/>
      <c r="L54" s="11"/>
      <c r="M54" s="11"/>
      <c r="N54" s="11"/>
      <c r="O54" s="11"/>
      <c r="P54" s="11"/>
    </row>
    <row r="55" spans="1:16" x14ac:dyDescent="0.25">
      <c r="A55" s="222" t="b">
        <v>0</v>
      </c>
      <c r="B55" s="9">
        <f t="shared" si="0"/>
        <v>54</v>
      </c>
      <c r="C55" s="47" t="str">
        <f>_xlfn.XLOOKUP($D55,Tab_Def_Processes[Name(EN)],Tab_Def_Processes[ID],,0,)</f>
        <v>10</v>
      </c>
      <c r="D55" s="9"/>
      <c r="E55" s="224"/>
      <c r="F55" s="224"/>
      <c r="G55" s="9" t="e">
        <f>_xlfn.XLOOKUP($F55,Table32[Color_Name],Table32[Hex_Code],,0,)</f>
        <v>#N/A</v>
      </c>
      <c r="H55" s="11"/>
      <c r="I55" s="11"/>
      <c r="J55" s="11"/>
      <c r="K55" s="11"/>
      <c r="L55" s="11"/>
      <c r="M55" s="11"/>
      <c r="N55" s="11"/>
      <c r="O55" s="11"/>
      <c r="P55" s="11"/>
    </row>
    <row r="56" spans="1:16" x14ac:dyDescent="0.25">
      <c r="A56" s="222" t="b">
        <v>0</v>
      </c>
      <c r="B56" s="9">
        <f t="shared" si="0"/>
        <v>55</v>
      </c>
      <c r="C56" s="47" t="str">
        <f>_xlfn.XLOOKUP($D56,Tab_Def_Processes[Name(EN)],Tab_Def_Processes[ID],,0,)</f>
        <v>10</v>
      </c>
      <c r="D56" s="9"/>
      <c r="E56" s="224"/>
      <c r="F56" s="224"/>
      <c r="G56" s="9" t="e">
        <f>_xlfn.XLOOKUP($F56,Table32[Color_Name],Table32[Hex_Code],,0,)</f>
        <v>#N/A</v>
      </c>
      <c r="H56" s="11"/>
      <c r="I56" s="11"/>
      <c r="J56" s="11"/>
      <c r="K56" s="11"/>
      <c r="L56" s="11"/>
      <c r="M56" s="11"/>
      <c r="N56" s="11"/>
      <c r="O56" s="11"/>
      <c r="P56" s="11"/>
    </row>
    <row r="57" spans="1:16" x14ac:dyDescent="0.25">
      <c r="A57" s="222" t="b">
        <v>0</v>
      </c>
      <c r="B57" s="9">
        <f t="shared" si="0"/>
        <v>56</v>
      </c>
      <c r="C57" s="47" t="str">
        <f>_xlfn.XLOOKUP($D57,Tab_Def_Processes[Name(EN)],Tab_Def_Processes[ID],,0,)</f>
        <v>10</v>
      </c>
      <c r="D57" s="9"/>
      <c r="E57" s="224"/>
      <c r="F57" s="224"/>
      <c r="G57" s="9" t="e">
        <f>_xlfn.XLOOKUP($F57,Table32[Color_Name],Table32[Hex_Code],,0,)</f>
        <v>#N/A</v>
      </c>
      <c r="H57" s="11"/>
      <c r="I57" s="11"/>
      <c r="J57" s="11"/>
      <c r="K57" s="11"/>
      <c r="L57" s="11"/>
      <c r="M57" s="11"/>
      <c r="N57" s="11"/>
      <c r="O57" s="11"/>
      <c r="P57" s="11"/>
    </row>
    <row r="58" spans="1:16" x14ac:dyDescent="0.25">
      <c r="A58" s="222" t="b">
        <v>0</v>
      </c>
      <c r="B58" s="9">
        <f t="shared" si="0"/>
        <v>57</v>
      </c>
      <c r="C58" s="47" t="str">
        <f>_xlfn.XLOOKUP($D58,Tab_Def_Processes[Name(EN)],Tab_Def_Processes[ID],,0,)</f>
        <v>10</v>
      </c>
      <c r="D58" s="9"/>
      <c r="E58" s="224"/>
      <c r="F58" s="224"/>
      <c r="G58" s="9" t="e">
        <f>_xlfn.XLOOKUP($F58,Table32[Color_Name],Table32[Hex_Code],,0,)</f>
        <v>#N/A</v>
      </c>
      <c r="H58" s="11"/>
      <c r="I58" s="11"/>
      <c r="J58" s="11"/>
      <c r="K58" s="11"/>
      <c r="L58" s="11"/>
      <c r="M58" s="11"/>
      <c r="N58" s="11"/>
      <c r="O58" s="11"/>
      <c r="P58" s="11"/>
    </row>
    <row r="59" spans="1:16" ht="15.75" thickBot="1" x14ac:dyDescent="0.3">
      <c r="A59" s="223" t="b">
        <v>0</v>
      </c>
      <c r="B59" s="220">
        <f t="shared" si="0"/>
        <v>58</v>
      </c>
      <c r="C59" s="47" t="str">
        <f>_xlfn.XLOOKUP($D59,Tab_Def_Processes[Name(EN)],Tab_Def_Processes[ID],,0,)</f>
        <v>10</v>
      </c>
      <c r="D59" s="9"/>
      <c r="E59" s="224"/>
      <c r="F59" s="224"/>
      <c r="G59" s="9" t="e">
        <f>_xlfn.XLOOKUP($F59,Table32[Color_Name],Table32[Hex_Code],,0,)</f>
        <v>#N/A</v>
      </c>
      <c r="H59" s="11"/>
      <c r="I59" s="11"/>
      <c r="J59" s="11"/>
      <c r="K59" s="11"/>
      <c r="L59" s="11"/>
      <c r="M59" s="11"/>
      <c r="N59" s="11"/>
      <c r="O59" s="11"/>
      <c r="P59" s="11"/>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P32" sqref="P32"/>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93" t="s">
        <v>31</v>
      </c>
      <c r="B1" s="193" t="s">
        <v>40</v>
      </c>
      <c r="C1" s="193" t="s">
        <v>89</v>
      </c>
      <c r="D1" s="225" t="s">
        <v>601</v>
      </c>
      <c r="E1" s="225" t="s">
        <v>729</v>
      </c>
      <c r="F1" s="225" t="s">
        <v>6</v>
      </c>
    </row>
    <row r="2" spans="1:6" x14ac:dyDescent="0.25">
      <c r="A2" s="16">
        <f>ROW()-1</f>
        <v>1</v>
      </c>
      <c r="B2" s="9" t="str">
        <f>_xlfn.XLOOKUP(C2,Tab_Def_Flows[Name(EN)],Tab_Def_Flows[Flow_ID],,0,)</f>
        <v>F_00_02</v>
      </c>
      <c r="C2" s="9" t="str">
        <f>Tab_Def_Flows[[#This Row],[Name(EN)]]</f>
        <v>Atmossphere_Input_C</v>
      </c>
      <c r="D2" s="189" t="s">
        <v>673</v>
      </c>
      <c r="E2" s="9" t="str">
        <f>_xlfn.XLOOKUP($D2,Table32[Color_Name],Table32[Hex_Code],,0,)</f>
        <v>#87CEEB</v>
      </c>
      <c r="F2" s="37"/>
    </row>
    <row r="3" spans="1:6" x14ac:dyDescent="0.25">
      <c r="A3" s="16">
        <f t="shared" ref="A3:A51" si="0">ROW()-1</f>
        <v>2</v>
      </c>
      <c r="B3" s="9" t="str">
        <f>_xlfn.XLOOKUP(C3,Tab_Def_Flows[Name(EN)],Tab_Def_Flows[Flow_ID],,0,)</f>
        <v>F_01_02</v>
      </c>
      <c r="C3" s="9" t="str">
        <f>Tab_Def_Flows[[#This Row],[Name(EN)]]</f>
        <v>Environment_Input_E</v>
      </c>
      <c r="D3" s="189" t="s">
        <v>640</v>
      </c>
      <c r="E3" s="9" t="str">
        <f>_xlfn.XLOOKUP($D3,Table32[Color_Name],Table32[Hex_Code],,0,)</f>
        <v>#228B22</v>
      </c>
      <c r="F3" s="37"/>
    </row>
    <row r="4" spans="1:6" x14ac:dyDescent="0.25">
      <c r="A4" s="16">
        <f t="shared" si="0"/>
        <v>3</v>
      </c>
      <c r="B4" s="9" t="str">
        <f>_xlfn.XLOOKUP(C4,Tab_Def_Flows[Name(EN)],Tab_Def_Flows[Flow_ID],,0,)</f>
        <v>F_02_03</v>
      </c>
      <c r="C4" s="9" t="str">
        <f>Tab_Def_Flows[[#This Row],[Name(EN)]]</f>
        <v>Wood</v>
      </c>
      <c r="D4" s="189" t="s">
        <v>656</v>
      </c>
      <c r="E4" s="9" t="str">
        <f>_xlfn.XLOOKUP($D4,Table32[Color_Name],Table32[Hex_Code],,0,)</f>
        <v>#F5DEB3</v>
      </c>
      <c r="F4" s="37"/>
    </row>
    <row r="5" spans="1:6" x14ac:dyDescent="0.25">
      <c r="A5" s="16">
        <f t="shared" si="0"/>
        <v>4</v>
      </c>
      <c r="B5" s="9" t="str">
        <f>_xlfn.XLOOKUP(C5,Tab_Def_Flows[Name(EN)],Tab_Def_Flows[Flow_ID],,0,)</f>
        <v>F_03_04</v>
      </c>
      <c r="C5" s="9" t="str">
        <f>Tab_Def_Flows[[#This Row],[Name(EN)]]</f>
        <v>Processing_Waste(primary)</v>
      </c>
      <c r="D5" s="189" t="s">
        <v>656</v>
      </c>
      <c r="E5" s="9" t="str">
        <f>_xlfn.XLOOKUP($D5,Table32[Color_Name],Table32[Hex_Code],,0,)</f>
        <v>#F5DEB3</v>
      </c>
      <c r="F5" s="37"/>
    </row>
    <row r="6" spans="1:6" x14ac:dyDescent="0.25">
      <c r="A6" s="16">
        <f t="shared" si="0"/>
        <v>5</v>
      </c>
      <c r="B6" s="9" t="str">
        <f>_xlfn.XLOOKUP(C6,Tab_Def_Flows[Name(EN)],Tab_Def_Flows[Flow_ID],,0,)</f>
        <v>F_04_00</v>
      </c>
      <c r="C6" s="9" t="str">
        <f>Tab_Def_Flows[[#This Row],[Name(EN)]]</f>
        <v>Incineration(BHKW)_Emissions_C</v>
      </c>
      <c r="D6" s="189" t="s">
        <v>656</v>
      </c>
      <c r="E6" s="9" t="str">
        <f>_xlfn.XLOOKUP($D6,Table32[Color_Name],Table32[Hex_Code],,0,)</f>
        <v>#F5DEB3</v>
      </c>
      <c r="F6" s="37"/>
    </row>
    <row r="7" spans="1:6" x14ac:dyDescent="0.25">
      <c r="A7" s="16">
        <f t="shared" si="0"/>
        <v>6</v>
      </c>
      <c r="B7" s="9" t="str">
        <f>_xlfn.XLOOKUP(C7,Tab_Def_Flows[Name(EN)],Tab_Def_Flows[Flow_ID],,0,)</f>
        <v>F_04_01</v>
      </c>
      <c r="C7" s="9" t="str">
        <f>Tab_Def_Flows[[#This Row],[Name(EN)]]</f>
        <v>Incineration(BHKW)_Emissions_E</v>
      </c>
      <c r="D7" s="189" t="s">
        <v>673</v>
      </c>
      <c r="E7" s="9" t="str">
        <f>_xlfn.XLOOKUP($D7,Table32[Color_Name],Table32[Hex_Code],,0,)</f>
        <v>#87CEEB</v>
      </c>
      <c r="F7" s="37"/>
    </row>
    <row r="8" spans="1:6" x14ac:dyDescent="0.25">
      <c r="A8" s="16">
        <f t="shared" si="0"/>
        <v>7</v>
      </c>
      <c r="B8" s="9" t="str">
        <f>_xlfn.XLOOKUP(C8,Tab_Def_Flows[Name(EN)],Tab_Def_Flows[Flow_ID],,0,)</f>
        <v>F_03_05</v>
      </c>
      <c r="C8" s="9" t="str">
        <f>Tab_Def_Flows[[#This Row],[Name(EN)]]</f>
        <v>Construction_Wood</v>
      </c>
      <c r="D8" s="189" t="s">
        <v>640</v>
      </c>
      <c r="E8" s="9" t="str">
        <f>_xlfn.XLOOKUP($D8,Table32[Color_Name],Table32[Hex_Code],,0,)</f>
        <v>#228B22</v>
      </c>
      <c r="F8" s="37"/>
    </row>
    <row r="9" spans="1:6" x14ac:dyDescent="0.25">
      <c r="A9" s="16">
        <f t="shared" si="0"/>
        <v>8</v>
      </c>
      <c r="B9" s="9" t="str">
        <f>_xlfn.XLOOKUP(C9,Tab_Def_Flows[Name(EN)],Tab_Def_Flows[Flow_ID],,0,)</f>
        <v>F_05_06</v>
      </c>
      <c r="C9" s="9" t="str">
        <f>Tab_Def_Flows[[#This Row],[Name(EN)]]</f>
        <v>Construction_Wood_EoL</v>
      </c>
      <c r="D9" s="189" t="s">
        <v>656</v>
      </c>
      <c r="E9" s="9" t="str">
        <f>_xlfn.XLOOKUP($D9,Table32[Color_Name],Table32[Hex_Code],,0,)</f>
        <v>#F5DEB3</v>
      </c>
      <c r="F9" s="37"/>
    </row>
    <row r="10" spans="1:6" x14ac:dyDescent="0.25">
      <c r="A10" s="16">
        <f t="shared" si="0"/>
        <v>9</v>
      </c>
      <c r="B10" s="9" t="str">
        <f>_xlfn.XLOOKUP(C10,Tab_Def_Flows[Name(EN)],Tab_Def_Flows[Flow_ID],,0,)</f>
        <v>F_06_07</v>
      </c>
      <c r="C10" s="9" t="str">
        <f>Tab_Def_Flows[[#This Row],[Name(EN)]]</f>
        <v>EoL_Wood_Secondary_processing</v>
      </c>
      <c r="D10" s="189" t="s">
        <v>656</v>
      </c>
      <c r="E10" s="9" t="str">
        <f>_xlfn.XLOOKUP($D10,Table32[Color_Name],Table32[Hex_Code],,0,)</f>
        <v>#F5DEB3</v>
      </c>
      <c r="F10" s="37"/>
    </row>
    <row r="11" spans="1:6" x14ac:dyDescent="0.25">
      <c r="A11" s="16">
        <f t="shared" si="0"/>
        <v>10</v>
      </c>
      <c r="B11" s="9" t="str">
        <f>_xlfn.XLOOKUP(C11,Tab_Def_Flows[Name(EN)],Tab_Def_Flows[Flow_ID],,0,)</f>
        <v>F_06_08</v>
      </c>
      <c r="C11" s="9" t="str">
        <f>Tab_Def_Flows[[#This Row],[Name(EN)]]</f>
        <v>EoL_Wood_Incineration</v>
      </c>
      <c r="D11" s="189" t="s">
        <v>656</v>
      </c>
      <c r="E11" s="9" t="str">
        <f>_xlfn.XLOOKUP($D11,Table32[Color_Name],Table32[Hex_Code],,0,)</f>
        <v>#F5DEB3</v>
      </c>
      <c r="F11" s="37"/>
    </row>
    <row r="12" spans="1:6" x14ac:dyDescent="0.25">
      <c r="A12" s="16">
        <f t="shared" si="0"/>
        <v>11</v>
      </c>
      <c r="B12" s="9" t="str">
        <f>_xlfn.XLOOKUP(C12,Tab_Def_Flows[Name(EN)],Tab_Def_Flows[Flow_ID],,0,)</f>
        <v>F_07_09</v>
      </c>
      <c r="C12" s="9" t="str">
        <f>Tab_Def_Flows[[#This Row],[Name(EN)]]</f>
        <v>Particle_Board</v>
      </c>
      <c r="D12" s="189" t="s">
        <v>673</v>
      </c>
      <c r="E12" s="9" t="str">
        <f>_xlfn.XLOOKUP($D12,Table32[Color_Name],Table32[Hex_Code],,0,)</f>
        <v>#87CEEB</v>
      </c>
      <c r="F12" s="37"/>
    </row>
    <row r="13" spans="1:6" x14ac:dyDescent="0.25">
      <c r="A13" s="16">
        <f t="shared" si="0"/>
        <v>12</v>
      </c>
      <c r="B13" s="9" t="str">
        <f>_xlfn.XLOOKUP(C13,Tab_Def_Flows[Name(EN)],Tab_Def_Flows[Flow_ID],,0,)</f>
        <v>F_07_04</v>
      </c>
      <c r="C13" s="9" t="str">
        <f>Tab_Def_Flows[[#This Row],[Name(EN)]]</f>
        <v>Processing_Waste(secondary)</v>
      </c>
      <c r="D13" s="189" t="s">
        <v>640</v>
      </c>
      <c r="E13" s="9" t="str">
        <f>_xlfn.XLOOKUP($D13,Table32[Color_Name],Table32[Hex_Code],,0,)</f>
        <v>#228B22</v>
      </c>
      <c r="F13" s="37"/>
    </row>
    <row r="14" spans="1:6" x14ac:dyDescent="0.25">
      <c r="A14" s="16">
        <f t="shared" si="0"/>
        <v>13</v>
      </c>
      <c r="B14" s="9" t="str">
        <f>_xlfn.XLOOKUP(C14,Tab_Def_Flows[Name(EN)],Tab_Def_Flows[Flow_ID],,0,)</f>
        <v>F_09_06</v>
      </c>
      <c r="C14" s="9" t="str">
        <f>Tab_Def_Flows[[#This Row],[Name(EN)]]</f>
        <v>Particle_Board_EoL</v>
      </c>
      <c r="D14" s="189" t="s">
        <v>673</v>
      </c>
      <c r="E14" s="9" t="str">
        <f>_xlfn.XLOOKUP($D14,Table32[Color_Name],Table32[Hex_Code],,0,)</f>
        <v>#87CEEB</v>
      </c>
      <c r="F14" s="37"/>
    </row>
    <row r="15" spans="1:6" x14ac:dyDescent="0.25">
      <c r="A15" s="16">
        <f t="shared" si="0"/>
        <v>14</v>
      </c>
      <c r="B15" s="9" t="e">
        <f>_xlfn.XLOOKUP(C15,Tab_Def_Flows[Name(EN)],Tab_Def_Flows[Flow_ID],,0,)</f>
        <v>#N/A</v>
      </c>
      <c r="C15" s="9">
        <f>Tab_Def_Flows[[#This Row],[Name(EN)]]</f>
        <v>0</v>
      </c>
      <c r="D15" s="189" t="s">
        <v>640</v>
      </c>
      <c r="E15" s="9" t="str">
        <f>_xlfn.XLOOKUP($D15,Table32[Color_Name],Table32[Hex_Code],,0,)</f>
        <v>#228B22</v>
      </c>
      <c r="F15" s="37"/>
    </row>
    <row r="16" spans="1:6" x14ac:dyDescent="0.25">
      <c r="A16" s="16">
        <f t="shared" si="0"/>
        <v>15</v>
      </c>
      <c r="B16" s="9" t="e">
        <f>_xlfn.XLOOKUP(C16,Tab_Def_Flows[Name(EN)],Tab_Def_Flows[Flow_ID],,0,)</f>
        <v>#N/A</v>
      </c>
      <c r="C16" s="9">
        <f>Tab_Def_Flows[[#This Row],[Name(EN)]]</f>
        <v>0</v>
      </c>
      <c r="D16" s="189" t="s">
        <v>656</v>
      </c>
      <c r="E16" s="9" t="str">
        <f>_xlfn.XLOOKUP($D16,Table32[Color_Name],Table32[Hex_Code],,0,)</f>
        <v>#F5DEB3</v>
      </c>
      <c r="F16" s="37"/>
    </row>
    <row r="17" spans="1:6" x14ac:dyDescent="0.25">
      <c r="A17" s="16">
        <f t="shared" si="0"/>
        <v>16</v>
      </c>
      <c r="B17" s="9" t="e">
        <f>_xlfn.XLOOKUP(C17,Tab_Def_Flows[Name(EN)],Tab_Def_Flows[Flow_ID],,0,)</f>
        <v>#N/A</v>
      </c>
      <c r="C17" s="9">
        <f>Tab_Def_Flows[[#This Row],[Name(EN)]]</f>
        <v>0</v>
      </c>
      <c r="D17" s="189"/>
      <c r="E17" s="9" t="e">
        <f>_xlfn.XLOOKUP($D17,Table32[Color_Name],Table32[Hex_Code],,0,)</f>
        <v>#N/A</v>
      </c>
      <c r="F17" s="37"/>
    </row>
    <row r="18" spans="1:6" x14ac:dyDescent="0.25">
      <c r="A18" s="16">
        <f t="shared" si="0"/>
        <v>17</v>
      </c>
      <c r="B18" s="9" t="e">
        <f>_xlfn.XLOOKUP(C18,Tab_Def_Flows[Name(EN)],Tab_Def_Flows[Flow_ID],,0,)</f>
        <v>#N/A</v>
      </c>
      <c r="C18" s="9">
        <f>Tab_Def_Flows[[#This Row],[Name(EN)]]</f>
        <v>0</v>
      </c>
      <c r="D18" s="189"/>
      <c r="E18" s="9" t="e">
        <f>_xlfn.XLOOKUP($D18,Table32[Color_Name],Table32[Hex_Code],,0,)</f>
        <v>#N/A</v>
      </c>
      <c r="F18" s="37"/>
    </row>
    <row r="19" spans="1:6" x14ac:dyDescent="0.25">
      <c r="A19" s="16">
        <f t="shared" si="0"/>
        <v>18</v>
      </c>
      <c r="B19" s="9" t="e">
        <f>_xlfn.XLOOKUP(C19,Tab_Def_Flows[Name(EN)],Tab_Def_Flows[Flow_ID],,0,)</f>
        <v>#N/A</v>
      </c>
      <c r="C19" s="9">
        <f>Tab_Def_Flows[[#This Row],[Name(EN)]]</f>
        <v>0</v>
      </c>
      <c r="D19" s="189"/>
      <c r="E19" s="9" t="e">
        <f>_xlfn.XLOOKUP($D19,Table32[Color_Name],Table32[Hex_Code],,0,)</f>
        <v>#N/A</v>
      </c>
      <c r="F19" s="37"/>
    </row>
    <row r="20" spans="1:6" x14ac:dyDescent="0.25">
      <c r="A20" s="16">
        <f t="shared" si="0"/>
        <v>19</v>
      </c>
      <c r="B20" s="9" t="e">
        <f>_xlfn.XLOOKUP(C20,Tab_Def_Flows[Name(EN)],Tab_Def_Flows[Flow_ID],,0,)</f>
        <v>#N/A</v>
      </c>
      <c r="C20" s="9">
        <f>Tab_Def_Flows[[#This Row],[Name(EN)]]</f>
        <v>0</v>
      </c>
      <c r="D20" s="189"/>
      <c r="E20" s="9" t="e">
        <f>_xlfn.XLOOKUP($D20,Table32[Color_Name],Table32[Hex_Code],,0,)</f>
        <v>#N/A</v>
      </c>
      <c r="F20" s="37"/>
    </row>
    <row r="21" spans="1:6" x14ac:dyDescent="0.25">
      <c r="A21" s="16">
        <f t="shared" si="0"/>
        <v>20</v>
      </c>
      <c r="B21" s="9" t="e">
        <f>_xlfn.XLOOKUP(C21,Tab_Def_Flows[Name(EN)],Tab_Def_Flows[Flow_ID],,0,)</f>
        <v>#N/A</v>
      </c>
      <c r="C21" s="9">
        <f>Tab_Def_Flows[[#This Row],[Name(EN)]]</f>
        <v>0</v>
      </c>
      <c r="D21" s="189"/>
      <c r="E21" s="9" t="e">
        <f>_xlfn.XLOOKUP($D21,Table32[Color_Name],Table32[Hex_Code],,0,)</f>
        <v>#N/A</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6" t="s">
        <v>606</v>
      </c>
      <c r="B1" s="226" t="s">
        <v>288</v>
      </c>
      <c r="C1" s="226" t="s">
        <v>6</v>
      </c>
      <c r="D1" s="226" t="s">
        <v>607</v>
      </c>
      <c r="E1" s="226" t="s">
        <v>257</v>
      </c>
      <c r="I1" s="225" t="s">
        <v>626</v>
      </c>
      <c r="J1" s="225" t="s">
        <v>627</v>
      </c>
      <c r="K1" s="225" t="s">
        <v>628</v>
      </c>
      <c r="L1" s="225" t="s">
        <v>6</v>
      </c>
    </row>
    <row r="2" spans="1:14" x14ac:dyDescent="0.25">
      <c r="A2" s="9" t="s">
        <v>608</v>
      </c>
      <c r="B2" s="11">
        <v>0.5</v>
      </c>
      <c r="C2" s="37" t="s">
        <v>609</v>
      </c>
      <c r="D2" s="37" t="s">
        <v>610</v>
      </c>
      <c r="I2" t="s">
        <v>180</v>
      </c>
      <c r="J2" t="s">
        <v>630</v>
      </c>
      <c r="K2" t="s">
        <v>629</v>
      </c>
      <c r="L2" t="s">
        <v>236</v>
      </c>
    </row>
    <row r="3" spans="1:14" x14ac:dyDescent="0.25">
      <c r="A3" s="9" t="s">
        <v>611</v>
      </c>
      <c r="B3" s="11">
        <v>0.5</v>
      </c>
      <c r="C3" s="37" t="s">
        <v>612</v>
      </c>
      <c r="D3" s="37" t="s">
        <v>610</v>
      </c>
      <c r="I3" t="s">
        <v>181</v>
      </c>
      <c r="J3" t="s">
        <v>631</v>
      </c>
      <c r="K3" t="s">
        <v>629</v>
      </c>
      <c r="L3" t="s">
        <v>632</v>
      </c>
    </row>
    <row r="4" spans="1:14" x14ac:dyDescent="0.25">
      <c r="A4" s="9" t="s">
        <v>613</v>
      </c>
      <c r="B4" s="11">
        <v>0.3</v>
      </c>
      <c r="C4" s="37" t="s">
        <v>614</v>
      </c>
      <c r="D4" s="37" t="s">
        <v>615</v>
      </c>
      <c r="I4" t="s">
        <v>182</v>
      </c>
      <c r="J4" t="s">
        <v>633</v>
      </c>
      <c r="K4" t="s">
        <v>629</v>
      </c>
      <c r="L4" t="s">
        <v>634</v>
      </c>
    </row>
    <row r="5" spans="1:14" x14ac:dyDescent="0.25">
      <c r="A5" s="9" t="s">
        <v>616</v>
      </c>
      <c r="B5" s="11" t="s">
        <v>765</v>
      </c>
      <c r="C5" s="37" t="s">
        <v>617</v>
      </c>
      <c r="D5" s="37" t="s">
        <v>618</v>
      </c>
    </row>
    <row r="6" spans="1:14" x14ac:dyDescent="0.25">
      <c r="A6" s="9" t="s">
        <v>619</v>
      </c>
      <c r="B6" s="11" t="s">
        <v>620</v>
      </c>
      <c r="C6" s="37" t="s">
        <v>621</v>
      </c>
      <c r="D6" s="37" t="s">
        <v>622</v>
      </c>
    </row>
    <row r="7" spans="1:14" x14ac:dyDescent="0.25">
      <c r="A7" s="9" t="s">
        <v>623</v>
      </c>
      <c r="B7" s="11" t="s">
        <v>624</v>
      </c>
      <c r="C7" s="37" t="s">
        <v>625</v>
      </c>
      <c r="D7" s="37" t="s">
        <v>622</v>
      </c>
    </row>
    <row r="8" spans="1:14" x14ac:dyDescent="0.25">
      <c r="A8" s="9" t="s">
        <v>730</v>
      </c>
      <c r="B8" s="11">
        <v>1600</v>
      </c>
      <c r="C8" s="37" t="s">
        <v>731</v>
      </c>
      <c r="M8" t="s">
        <v>732</v>
      </c>
      <c r="N8" t="s">
        <v>733</v>
      </c>
    </row>
    <row r="9" spans="1:14" x14ac:dyDescent="0.25">
      <c r="A9" s="9" t="s">
        <v>734</v>
      </c>
      <c r="B9" s="11">
        <v>1200</v>
      </c>
      <c r="C9" s="37" t="s">
        <v>735</v>
      </c>
      <c r="H9" s="9" t="s">
        <v>736</v>
      </c>
      <c r="I9" s="11">
        <v>800</v>
      </c>
      <c r="J9" s="37" t="s">
        <v>737</v>
      </c>
      <c r="M9" t="s">
        <v>732</v>
      </c>
      <c r="N9" t="s">
        <v>733</v>
      </c>
    </row>
    <row r="10" spans="1:14" x14ac:dyDescent="0.25">
      <c r="A10" s="9" t="s">
        <v>744</v>
      </c>
      <c r="B10" s="11">
        <v>1</v>
      </c>
      <c r="C10" s="37" t="s">
        <v>745</v>
      </c>
      <c r="D10" t="s">
        <v>746</v>
      </c>
      <c r="E10" t="s">
        <v>733</v>
      </c>
      <c r="H10" s="9" t="s">
        <v>738</v>
      </c>
      <c r="I10" s="11">
        <v>600</v>
      </c>
      <c r="J10" s="37" t="s">
        <v>739</v>
      </c>
      <c r="M10" t="s">
        <v>732</v>
      </c>
      <c r="N10" t="s">
        <v>733</v>
      </c>
    </row>
    <row r="11" spans="1:14" x14ac:dyDescent="0.25">
      <c r="A11" s="9" t="s">
        <v>747</v>
      </c>
      <c r="B11" s="11">
        <v>1</v>
      </c>
      <c r="C11" s="37" t="s">
        <v>748</v>
      </c>
      <c r="D11" t="s">
        <v>746</v>
      </c>
      <c r="E11" t="s">
        <v>733</v>
      </c>
      <c r="H11" s="9" t="s">
        <v>740</v>
      </c>
      <c r="I11" s="11">
        <v>1600</v>
      </c>
      <c r="J11" s="37" t="s">
        <v>741</v>
      </c>
      <c r="M11" t="s">
        <v>732</v>
      </c>
      <c r="N11" t="s">
        <v>733</v>
      </c>
    </row>
    <row r="12" spans="1:14" x14ac:dyDescent="0.25">
      <c r="A12" s="9" t="s">
        <v>749</v>
      </c>
      <c r="B12" s="11" t="b">
        <v>1</v>
      </c>
      <c r="C12" s="37" t="s">
        <v>750</v>
      </c>
      <c r="D12" t="s">
        <v>746</v>
      </c>
      <c r="E12" t="s">
        <v>733</v>
      </c>
      <c r="H12" s="9" t="s">
        <v>742</v>
      </c>
      <c r="I12" s="11">
        <v>1200</v>
      </c>
      <c r="J12" s="37" t="s">
        <v>743</v>
      </c>
      <c r="M12" t="s">
        <v>732</v>
      </c>
      <c r="N12" t="s">
        <v>733</v>
      </c>
    </row>
    <row r="13" spans="1:14" x14ac:dyDescent="0.25">
      <c r="A13" s="9" t="s">
        <v>751</v>
      </c>
      <c r="B13" s="11">
        <v>0.3</v>
      </c>
      <c r="C13" s="37" t="s">
        <v>752</v>
      </c>
      <c r="D13" t="s">
        <v>746</v>
      </c>
      <c r="E13" t="s">
        <v>733</v>
      </c>
      <c r="M13" t="s">
        <v>732</v>
      </c>
      <c r="N13" t="s">
        <v>733</v>
      </c>
    </row>
    <row r="14" spans="1:14" x14ac:dyDescent="0.25">
      <c r="A14" s="9" t="s">
        <v>753</v>
      </c>
      <c r="B14" s="11">
        <v>3</v>
      </c>
      <c r="C14" s="37" t="s">
        <v>754</v>
      </c>
      <c r="D14" t="s">
        <v>746</v>
      </c>
      <c r="E14" t="s">
        <v>733</v>
      </c>
      <c r="M14" t="s">
        <v>732</v>
      </c>
      <c r="N14" t="s">
        <v>733</v>
      </c>
    </row>
    <row r="15" spans="1:14" x14ac:dyDescent="0.25">
      <c r="A15" s="9" t="s">
        <v>755</v>
      </c>
      <c r="B15" s="11" t="s">
        <v>765</v>
      </c>
      <c r="C15" s="37" t="s">
        <v>756</v>
      </c>
      <c r="D15" t="s">
        <v>746</v>
      </c>
      <c r="E15" t="s">
        <v>733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578</v>
      </c>
      <c r="C2" t="s">
        <v>579</v>
      </c>
      <c r="D2" t="s">
        <v>580</v>
      </c>
      <c r="E2" t="s">
        <v>602</v>
      </c>
      <c r="F2" t="s">
        <v>582</v>
      </c>
      <c r="G2" t="s">
        <v>583</v>
      </c>
      <c r="H2" t="s">
        <v>584</v>
      </c>
      <c r="I2" t="s">
        <v>585</v>
      </c>
      <c r="J2" t="s">
        <v>586</v>
      </c>
      <c r="K2" t="s">
        <v>587</v>
      </c>
      <c r="L2" t="s">
        <v>588</v>
      </c>
      <c r="M2" t="s">
        <v>589</v>
      </c>
      <c r="N2" t="s">
        <v>590</v>
      </c>
      <c r="O2" t="s">
        <v>591</v>
      </c>
      <c r="P2" t="s">
        <v>592</v>
      </c>
    </row>
    <row r="3" spans="2:16" x14ac:dyDescent="0.25">
      <c r="C3" t="s">
        <v>593</v>
      </c>
      <c r="D3" t="s">
        <v>596</v>
      </c>
      <c r="E3" t="s">
        <v>603</v>
      </c>
    </row>
    <row r="4" spans="2:16" x14ac:dyDescent="0.25">
      <c r="C4" t="s">
        <v>594</v>
      </c>
      <c r="D4" t="s">
        <v>597</v>
      </c>
      <c r="E4" t="s">
        <v>604</v>
      </c>
    </row>
    <row r="5" spans="2:16" x14ac:dyDescent="0.25">
      <c r="C5" t="s">
        <v>595</v>
      </c>
      <c r="D5" t="s">
        <v>598</v>
      </c>
      <c r="E5" t="s">
        <v>605</v>
      </c>
    </row>
    <row r="6" spans="2:16" x14ac:dyDescent="0.25">
      <c r="C6" t="s">
        <v>600</v>
      </c>
      <c r="D6" t="s">
        <v>599</v>
      </c>
    </row>
    <row r="20" spans="2:6" x14ac:dyDescent="0.25">
      <c r="B20" t="s">
        <v>578</v>
      </c>
      <c r="C20" t="s">
        <v>581</v>
      </c>
    </row>
    <row r="21" spans="2:6" x14ac:dyDescent="0.25">
      <c r="B21" s="226" t="s">
        <v>464</v>
      </c>
      <c r="C21" s="226" t="s">
        <v>635</v>
      </c>
      <c r="D21" s="226" t="s">
        <v>636</v>
      </c>
      <c r="E21" s="226" t="s">
        <v>637</v>
      </c>
      <c r="F21" s="226" t="s">
        <v>638</v>
      </c>
    </row>
    <row r="22" spans="2:6" x14ac:dyDescent="0.25">
      <c r="B22" t="s">
        <v>639</v>
      </c>
      <c r="C22" t="s">
        <v>640</v>
      </c>
      <c r="D22" t="s">
        <v>641</v>
      </c>
      <c r="E22" t="s">
        <v>642</v>
      </c>
      <c r="F22" t="s">
        <v>643</v>
      </c>
    </row>
    <row r="23" spans="2:6" x14ac:dyDescent="0.25">
      <c r="B23" t="s">
        <v>639</v>
      </c>
      <c r="C23" t="s">
        <v>644</v>
      </c>
      <c r="D23" t="s">
        <v>645</v>
      </c>
      <c r="E23" t="s">
        <v>646</v>
      </c>
      <c r="F23" t="s">
        <v>647</v>
      </c>
    </row>
    <row r="24" spans="2:6" x14ac:dyDescent="0.25">
      <c r="B24" t="s">
        <v>639</v>
      </c>
      <c r="C24" t="s">
        <v>648</v>
      </c>
      <c r="D24" t="s">
        <v>649</v>
      </c>
      <c r="E24" t="s">
        <v>650</v>
      </c>
      <c r="F24" t="s">
        <v>651</v>
      </c>
    </row>
    <row r="25" spans="2:6" x14ac:dyDescent="0.25">
      <c r="B25" t="s">
        <v>639</v>
      </c>
      <c r="C25" t="s">
        <v>652</v>
      </c>
      <c r="D25" t="s">
        <v>653</v>
      </c>
      <c r="E25" t="s">
        <v>654</v>
      </c>
      <c r="F25" t="s">
        <v>655</v>
      </c>
    </row>
    <row r="26" spans="2:6" x14ac:dyDescent="0.25">
      <c r="B26" t="s">
        <v>639</v>
      </c>
      <c r="C26" t="s">
        <v>656</v>
      </c>
      <c r="D26" t="s">
        <v>657</v>
      </c>
      <c r="E26" t="s">
        <v>658</v>
      </c>
      <c r="F26" t="s">
        <v>659</v>
      </c>
    </row>
    <row r="27" spans="2:6" x14ac:dyDescent="0.25">
      <c r="B27" t="s">
        <v>660</v>
      </c>
      <c r="C27" t="s">
        <v>661</v>
      </c>
      <c r="D27" t="s">
        <v>662</v>
      </c>
      <c r="E27" t="s">
        <v>663</v>
      </c>
      <c r="F27" t="s">
        <v>664</v>
      </c>
    </row>
    <row r="28" spans="2:6" x14ac:dyDescent="0.25">
      <c r="B28" t="s">
        <v>660</v>
      </c>
      <c r="C28" t="s">
        <v>665</v>
      </c>
      <c r="D28" t="s">
        <v>666</v>
      </c>
      <c r="E28" t="s">
        <v>667</v>
      </c>
      <c r="F28" t="s">
        <v>668</v>
      </c>
    </row>
    <row r="29" spans="2:6" x14ac:dyDescent="0.25">
      <c r="B29" t="s">
        <v>660</v>
      </c>
      <c r="C29" t="s">
        <v>669</v>
      </c>
      <c r="D29" t="s">
        <v>670</v>
      </c>
      <c r="E29" t="s">
        <v>671</v>
      </c>
      <c r="F29" t="s">
        <v>672</v>
      </c>
    </row>
    <row r="30" spans="2:6" x14ac:dyDescent="0.25">
      <c r="B30" t="s">
        <v>660</v>
      </c>
      <c r="C30" t="s">
        <v>673</v>
      </c>
      <c r="D30" t="s">
        <v>674</v>
      </c>
      <c r="E30" t="s">
        <v>675</v>
      </c>
      <c r="F30" t="s">
        <v>676</v>
      </c>
    </row>
    <row r="31" spans="2:6" x14ac:dyDescent="0.25">
      <c r="B31" t="s">
        <v>677</v>
      </c>
      <c r="C31" t="s">
        <v>678</v>
      </c>
      <c r="D31" t="s">
        <v>679</v>
      </c>
      <c r="E31" t="s">
        <v>680</v>
      </c>
      <c r="F31" t="s">
        <v>681</v>
      </c>
    </row>
    <row r="32" spans="2:6" x14ac:dyDescent="0.25">
      <c r="B32" t="s">
        <v>677</v>
      </c>
      <c r="C32" t="s">
        <v>682</v>
      </c>
      <c r="D32" t="s">
        <v>683</v>
      </c>
      <c r="E32" t="s">
        <v>684</v>
      </c>
      <c r="F32" t="s">
        <v>685</v>
      </c>
    </row>
    <row r="33" spans="2:6" x14ac:dyDescent="0.25">
      <c r="B33" t="s">
        <v>677</v>
      </c>
      <c r="C33" t="s">
        <v>686</v>
      </c>
      <c r="D33" t="s">
        <v>687</v>
      </c>
      <c r="E33" t="s">
        <v>688</v>
      </c>
      <c r="F33" t="s">
        <v>689</v>
      </c>
    </row>
    <row r="34" spans="2:6" x14ac:dyDescent="0.25">
      <c r="B34" t="s">
        <v>677</v>
      </c>
      <c r="C34" t="s">
        <v>690</v>
      </c>
      <c r="D34" t="s">
        <v>691</v>
      </c>
      <c r="E34" t="s">
        <v>692</v>
      </c>
      <c r="F34" t="s">
        <v>693</v>
      </c>
    </row>
    <row r="35" spans="2:6" x14ac:dyDescent="0.25">
      <c r="B35" t="s">
        <v>694</v>
      </c>
      <c r="C35" t="s">
        <v>695</v>
      </c>
      <c r="D35" t="s">
        <v>696</v>
      </c>
      <c r="E35" t="s">
        <v>697</v>
      </c>
      <c r="F35" t="s">
        <v>698</v>
      </c>
    </row>
    <row r="36" spans="2:6" x14ac:dyDescent="0.25">
      <c r="B36" t="s">
        <v>694</v>
      </c>
      <c r="C36" t="s">
        <v>699</v>
      </c>
      <c r="D36" t="s">
        <v>700</v>
      </c>
      <c r="E36" t="s">
        <v>701</v>
      </c>
      <c r="F36" t="s">
        <v>702</v>
      </c>
    </row>
    <row r="37" spans="2:6" x14ac:dyDescent="0.25">
      <c r="B37" t="s">
        <v>694</v>
      </c>
      <c r="C37" t="s">
        <v>703</v>
      </c>
      <c r="D37" t="s">
        <v>704</v>
      </c>
      <c r="E37" t="s">
        <v>705</v>
      </c>
      <c r="F37" t="s">
        <v>706</v>
      </c>
    </row>
    <row r="38" spans="2:6" x14ac:dyDescent="0.25">
      <c r="B38" t="s">
        <v>694</v>
      </c>
      <c r="C38" t="s">
        <v>707</v>
      </c>
      <c r="D38" t="s">
        <v>708</v>
      </c>
      <c r="E38" t="s">
        <v>709</v>
      </c>
      <c r="F38" t="s">
        <v>710</v>
      </c>
    </row>
    <row r="39" spans="2:6" x14ac:dyDescent="0.25">
      <c r="B39" t="s">
        <v>711</v>
      </c>
      <c r="C39" t="s">
        <v>712</v>
      </c>
      <c r="D39" t="s">
        <v>713</v>
      </c>
      <c r="E39" t="s">
        <v>714</v>
      </c>
      <c r="F39" t="s">
        <v>715</v>
      </c>
    </row>
    <row r="40" spans="2:6" x14ac:dyDescent="0.25">
      <c r="B40" t="s">
        <v>711</v>
      </c>
      <c r="C40" t="s">
        <v>716</v>
      </c>
      <c r="D40" t="s">
        <v>717</v>
      </c>
      <c r="E40" t="s">
        <v>718</v>
      </c>
      <c r="F40" t="s">
        <v>719</v>
      </c>
    </row>
    <row r="41" spans="2:6" x14ac:dyDescent="0.25">
      <c r="B41" t="s">
        <v>711</v>
      </c>
      <c r="C41" t="s">
        <v>720</v>
      </c>
      <c r="D41" t="s">
        <v>721</v>
      </c>
      <c r="E41" t="s">
        <v>722</v>
      </c>
      <c r="F41" t="s">
        <v>723</v>
      </c>
    </row>
    <row r="42" spans="2:6" x14ac:dyDescent="0.25">
      <c r="B42" t="s">
        <v>711</v>
      </c>
      <c r="C42" t="s">
        <v>724</v>
      </c>
      <c r="D42" t="s">
        <v>725</v>
      </c>
      <c r="E42" t="s">
        <v>726</v>
      </c>
      <c r="F42" t="s">
        <v>727</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253</v>
      </c>
      <c r="B1" s="276" t="str">
        <f>'2_1_Definition_Processes'!D2</f>
        <v>Atmosphere</v>
      </c>
      <c r="C1" s="276"/>
      <c r="D1" s="276"/>
      <c r="E1" s="276"/>
      <c r="F1" s="276"/>
      <c r="G1" s="276"/>
      <c r="H1" s="276"/>
      <c r="I1" s="152" t="s">
        <v>252</v>
      </c>
      <c r="J1" s="277" t="s">
        <v>132</v>
      </c>
      <c r="K1" s="277"/>
      <c r="L1" s="277"/>
      <c r="M1" s="277"/>
    </row>
    <row r="2" spans="1:22" ht="16.5" thickBot="1" x14ac:dyDescent="0.3">
      <c r="A2" s="267" t="s">
        <v>251</v>
      </c>
      <c r="B2" s="268"/>
      <c r="C2" s="268"/>
      <c r="D2" s="268"/>
      <c r="E2" s="268"/>
      <c r="F2" s="268"/>
      <c r="G2" s="268"/>
      <c r="H2" s="268"/>
      <c r="I2" s="268"/>
      <c r="J2" s="268"/>
      <c r="K2" s="268"/>
      <c r="L2" s="268"/>
      <c r="M2" s="269"/>
    </row>
    <row r="3" spans="1:22" ht="126.75" customHeight="1" thickBot="1" x14ac:dyDescent="0.3">
      <c r="A3" s="278"/>
      <c r="B3" s="279"/>
      <c r="C3" s="279"/>
      <c r="D3" s="279"/>
      <c r="E3" s="279"/>
      <c r="F3" s="279"/>
      <c r="G3" s="279"/>
      <c r="H3" s="279"/>
      <c r="I3" s="279"/>
      <c r="J3" s="279"/>
      <c r="K3" s="279"/>
      <c r="L3" s="279"/>
      <c r="M3" s="280"/>
    </row>
    <row r="4" spans="1:22" ht="31.5" customHeight="1" x14ac:dyDescent="0.25">
      <c r="A4" s="151" t="s">
        <v>250</v>
      </c>
      <c r="B4" s="281"/>
      <c r="C4" s="282"/>
      <c r="D4" s="283"/>
      <c r="E4" s="284" t="s">
        <v>249</v>
      </c>
      <c r="F4" s="285"/>
      <c r="G4" s="156"/>
      <c r="H4" s="156"/>
      <c r="I4" s="150"/>
      <c r="J4" s="150"/>
      <c r="K4" s="150"/>
      <c r="L4" s="150"/>
      <c r="M4" s="150"/>
    </row>
    <row r="5" spans="1:22" ht="16.5" customHeight="1" x14ac:dyDescent="0.25">
      <c r="A5" s="153" t="s">
        <v>248</v>
      </c>
      <c r="B5" s="270" t="s">
        <v>766</v>
      </c>
      <c r="C5" s="270"/>
      <c r="D5" s="271"/>
      <c r="E5" s="153" t="s">
        <v>248</v>
      </c>
      <c r="F5" s="272" t="s">
        <v>768</v>
      </c>
      <c r="G5" s="272"/>
      <c r="H5" s="273"/>
      <c r="I5" s="154"/>
      <c r="J5" s="149"/>
      <c r="K5" s="149"/>
      <c r="L5" s="149"/>
      <c r="M5" s="146"/>
    </row>
    <row r="6" spans="1:22" ht="16.5" customHeight="1" x14ac:dyDescent="0.25">
      <c r="A6" s="153" t="s">
        <v>247</v>
      </c>
      <c r="B6" s="272" t="s">
        <v>767</v>
      </c>
      <c r="C6" s="272"/>
      <c r="D6" s="273"/>
      <c r="E6" s="153" t="s">
        <v>247</v>
      </c>
      <c r="F6" s="272" t="s">
        <v>448</v>
      </c>
      <c r="G6" s="272"/>
      <c r="H6" s="273"/>
      <c r="I6" s="154"/>
      <c r="J6" s="149"/>
      <c r="K6" s="149"/>
      <c r="L6" s="149"/>
      <c r="M6" s="146"/>
    </row>
    <row r="7" spans="1:22" ht="16.5" customHeight="1" x14ac:dyDescent="0.25">
      <c r="A7" s="148" t="s">
        <v>246</v>
      </c>
      <c r="B7" s="272" t="str">
        <f>_xlfn.XLOOKUP(J1,Tab_Def_Processes[Process_ID],Tab_Def_Processes[Input_Flow_I_3],"No_flow.",0,1)</f>
        <v>N.A.</v>
      </c>
      <c r="C7" s="272"/>
      <c r="D7" s="273"/>
      <c r="E7" s="148" t="s">
        <v>246</v>
      </c>
      <c r="F7" s="272" t="s">
        <v>449</v>
      </c>
      <c r="G7" s="272"/>
      <c r="H7" s="273"/>
      <c r="I7" s="155"/>
      <c r="J7" s="147"/>
      <c r="K7" s="147"/>
      <c r="L7" s="147"/>
      <c r="M7" s="146"/>
    </row>
    <row r="8" spans="1:22" ht="16.5" customHeight="1" x14ac:dyDescent="0.25">
      <c r="A8" s="148" t="s">
        <v>245</v>
      </c>
      <c r="B8" s="272" t="str">
        <f>_xlfn.XLOOKUP(J1,Tab_Def_Processes[Process_ID],Tab_Def_Processes[Input_Flow_I_4],"No_flow.",0,1)</f>
        <v>N.A.</v>
      </c>
      <c r="C8" s="272"/>
      <c r="D8" s="273"/>
      <c r="E8" s="148" t="s">
        <v>245</v>
      </c>
      <c r="F8" s="272" t="str">
        <f>_xlfn.XLOOKUP(J1,Tab_Def_Processes[Process_ID],Tab_Def_Processes[Output_Flow_O_4],"No_flow.",0,1)</f>
        <v>N.A.</v>
      </c>
      <c r="G8" s="272"/>
      <c r="H8" s="273"/>
      <c r="I8" s="155"/>
      <c r="J8" s="147"/>
      <c r="K8" s="147"/>
      <c r="L8" s="147"/>
      <c r="M8" s="146"/>
    </row>
    <row r="9" spans="1:22" ht="16.5" customHeight="1" x14ac:dyDescent="0.25">
      <c r="A9" s="148" t="s">
        <v>244</v>
      </c>
      <c r="B9" s="272" t="str">
        <f>_xlfn.XLOOKUP(J1,Tab_Def_Processes[Process_ID],Tab_Def_Processes[Input_Flow_I_5],"No_flow.",0,1)</f>
        <v>N.A.</v>
      </c>
      <c r="C9" s="272"/>
      <c r="D9" s="273"/>
      <c r="E9" s="148" t="s">
        <v>244</v>
      </c>
      <c r="F9" s="272" t="str">
        <f>_xlfn.XLOOKUP(J1,Tab_Def_Processes[Process_ID],Tab_Def_Processes[Output_Flow_O_5],"No_flow.",0,1)</f>
        <v>N.A.</v>
      </c>
      <c r="G9" s="272"/>
      <c r="H9" s="273"/>
      <c r="I9" s="155"/>
      <c r="J9" s="147"/>
      <c r="K9" s="147"/>
      <c r="L9" s="147"/>
      <c r="M9" s="146"/>
    </row>
    <row r="10" spans="1:22" ht="16.5" customHeight="1" thickBot="1" x14ac:dyDescent="0.3">
      <c r="A10" s="157" t="s">
        <v>243</v>
      </c>
      <c r="B10" s="274"/>
      <c r="C10" s="274"/>
      <c r="D10" s="275"/>
      <c r="E10" s="157" t="s">
        <v>243</v>
      </c>
      <c r="F10" s="274"/>
      <c r="G10" s="274"/>
      <c r="H10" s="275"/>
      <c r="I10" s="155"/>
      <c r="J10" s="147"/>
      <c r="K10" s="147"/>
      <c r="L10" s="147"/>
      <c r="M10" s="146"/>
    </row>
    <row r="11" spans="1:22" ht="16.5" thickBot="1" x14ac:dyDescent="0.3">
      <c r="A11" s="267" t="s">
        <v>242</v>
      </c>
      <c r="B11" s="268"/>
      <c r="C11" s="268"/>
      <c r="D11" s="268"/>
      <c r="E11" s="268"/>
      <c r="F11" s="268"/>
      <c r="G11" s="268"/>
      <c r="H11" s="268"/>
      <c r="I11" s="268"/>
      <c r="J11" s="268"/>
      <c r="K11" s="268"/>
      <c r="L11" s="268"/>
      <c r="M11" s="269"/>
    </row>
    <row r="12" spans="1:22" ht="33" customHeight="1" thickBot="1" x14ac:dyDescent="0.3">
      <c r="A12" s="145">
        <v>1000</v>
      </c>
      <c r="B12" s="144" t="s">
        <v>241</v>
      </c>
      <c r="C12" s="143"/>
      <c r="D12" s="143"/>
      <c r="E12" s="143"/>
      <c r="F12" s="143"/>
      <c r="G12" s="143"/>
      <c r="H12" s="143"/>
      <c r="I12" s="143"/>
      <c r="J12" s="143"/>
      <c r="K12" s="143"/>
      <c r="L12" s="143"/>
      <c r="M12" s="142"/>
    </row>
    <row r="13" spans="1:22" ht="16.5" thickBot="1" x14ac:dyDescent="0.3">
      <c r="A13" s="242" t="s">
        <v>240</v>
      </c>
      <c r="B13" s="243"/>
      <c r="C13" s="243"/>
      <c r="D13" s="243"/>
      <c r="E13" s="243"/>
      <c r="F13" s="243"/>
      <c r="G13" s="243"/>
      <c r="H13" s="243"/>
      <c r="I13" s="243"/>
      <c r="J13" s="243"/>
      <c r="K13" s="243"/>
      <c r="L13" s="243"/>
      <c r="M13" s="244"/>
    </row>
    <row r="14" spans="1:22" ht="16.5" thickBot="1" x14ac:dyDescent="0.3">
      <c r="A14" s="103" t="s">
        <v>226</v>
      </c>
      <c r="B14" s="246" t="s">
        <v>238</v>
      </c>
      <c r="C14" s="247"/>
      <c r="D14" s="248"/>
      <c r="E14" s="249" t="s">
        <v>237</v>
      </c>
      <c r="F14" s="250"/>
      <c r="G14" s="250"/>
      <c r="H14" s="251"/>
      <c r="I14" s="252" t="s">
        <v>236</v>
      </c>
      <c r="J14" s="253"/>
      <c r="K14" s="253"/>
      <c r="L14" s="253"/>
      <c r="M14" s="254"/>
      <c r="P14" s="203">
        <v>0.2384</v>
      </c>
      <c r="Q14" s="55" t="s">
        <v>183</v>
      </c>
      <c r="R14" s="203">
        <v>0.76160000000000005</v>
      </c>
      <c r="S14" s="55" t="s">
        <v>183</v>
      </c>
      <c r="T14" s="203">
        <v>0</v>
      </c>
      <c r="U14" s="55" t="s">
        <v>183</v>
      </c>
      <c r="V14" s="190">
        <f>Tab_Def_Flows[[#This Row],[CC_DM'[%']]]*Tab_Def_Flows[[#This Row],[DM]]</f>
        <v>0.25</v>
      </c>
    </row>
    <row r="15" spans="1:22" ht="63.75" thickBot="1" x14ac:dyDescent="0.3">
      <c r="A15" s="64"/>
      <c r="B15" s="77" t="s">
        <v>235</v>
      </c>
      <c r="C15" s="130" t="s">
        <v>234</v>
      </c>
      <c r="D15" s="129" t="s">
        <v>227</v>
      </c>
      <c r="E15" s="128" t="s">
        <v>233</v>
      </c>
      <c r="F15" s="76" t="s">
        <v>232</v>
      </c>
      <c r="G15" s="76" t="s">
        <v>231</v>
      </c>
      <c r="H15" s="127" t="s">
        <v>227</v>
      </c>
      <c r="I15" s="126" t="s">
        <v>230</v>
      </c>
      <c r="J15" s="75" t="s">
        <v>229</v>
      </c>
      <c r="K15" s="75" t="s">
        <v>228</v>
      </c>
      <c r="L15" s="75" t="s">
        <v>227</v>
      </c>
      <c r="M15" s="125"/>
      <c r="P15" s="203">
        <v>0.14000000000000001</v>
      </c>
      <c r="Q15" s="55" t="s">
        <v>183</v>
      </c>
      <c r="R15" s="203">
        <v>0.86</v>
      </c>
      <c r="S15" s="55" t="s">
        <v>183</v>
      </c>
      <c r="T15" s="203">
        <v>0.48</v>
      </c>
      <c r="U15" s="55" t="s">
        <v>183</v>
      </c>
      <c r="V15" s="190">
        <f>Tab_Def_Flows[[#This Row],[CC_DM'[%']]]*Tab_Def_Flows[[#This Row],[DM]]</f>
        <v>0</v>
      </c>
    </row>
    <row r="16" spans="1:22" ht="23.25" customHeight="1" x14ac:dyDescent="0.25">
      <c r="A16" s="97" t="str">
        <f>B5</f>
        <v>Wheat Straw</v>
      </c>
      <c r="B16" s="73">
        <v>100</v>
      </c>
      <c r="C16" s="124">
        <f t="shared" ref="C16:C21" si="0">B16/$B$22</f>
        <v>0.77519379844961245</v>
      </c>
      <c r="D16" s="123" t="s">
        <v>199</v>
      </c>
      <c r="E16" s="122">
        <v>0.86</v>
      </c>
      <c r="F16" s="72">
        <f t="shared" ref="F16:F21" si="1">E16*B16</f>
        <v>86</v>
      </c>
      <c r="G16" s="121">
        <f t="shared" ref="G16:G21" si="2">F16/$F$22</f>
        <v>1</v>
      </c>
      <c r="H16" s="120" t="s">
        <v>199</v>
      </c>
      <c r="I16" s="119">
        <v>0.14000000000000001</v>
      </c>
      <c r="J16" s="71">
        <f t="shared" ref="J16:J21" si="3">I16*B16</f>
        <v>14.000000000000002</v>
      </c>
      <c r="K16" s="139">
        <f t="shared" ref="K16:K21" si="4">J16/$J$22</f>
        <v>0.32558139534883723</v>
      </c>
      <c r="L16" s="116" t="s">
        <v>199</v>
      </c>
      <c r="M16" s="116"/>
    </row>
    <row r="17" spans="1:23" ht="23.25" customHeight="1" x14ac:dyDescent="0.25">
      <c r="A17" s="97" t="str">
        <f t="shared" ref="A16:A21" si="5">B6</f>
        <v>Water</v>
      </c>
      <c r="B17" s="73">
        <v>29</v>
      </c>
      <c r="C17" s="124">
        <f t="shared" si="0"/>
        <v>0.22480620155038761</v>
      </c>
      <c r="D17" s="123" t="s">
        <v>199</v>
      </c>
      <c r="E17" s="122">
        <v>0</v>
      </c>
      <c r="F17" s="72">
        <f t="shared" si="1"/>
        <v>0</v>
      </c>
      <c r="G17" s="121">
        <f t="shared" si="2"/>
        <v>0</v>
      </c>
      <c r="H17" s="120" t="s">
        <v>199</v>
      </c>
      <c r="I17" s="119">
        <f>1-E17</f>
        <v>1</v>
      </c>
      <c r="J17" s="71">
        <f t="shared" si="3"/>
        <v>29</v>
      </c>
      <c r="K17" s="139">
        <f t="shared" si="4"/>
        <v>0.67441860465116277</v>
      </c>
      <c r="L17" s="116" t="s">
        <v>199</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201</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226</v>
      </c>
      <c r="B23" s="229" t="s">
        <v>225</v>
      </c>
      <c r="C23" s="230"/>
      <c r="D23" s="230"/>
      <c r="E23" s="230"/>
      <c r="F23" s="230"/>
      <c r="G23" s="230"/>
      <c r="H23" s="231"/>
      <c r="I23" s="232" t="s">
        <v>224</v>
      </c>
      <c r="J23" s="233"/>
      <c r="K23" s="233"/>
      <c r="L23" s="233"/>
      <c r="M23" s="234"/>
    </row>
    <row r="24" spans="1:23" ht="63.75" thickBot="1" x14ac:dyDescent="0.3">
      <c r="A24" s="7"/>
      <c r="B24" s="102" t="s">
        <v>223</v>
      </c>
      <c r="C24" s="101" t="s">
        <v>222</v>
      </c>
      <c r="D24" s="101" t="s">
        <v>221</v>
      </c>
      <c r="E24" s="101" t="s">
        <v>220</v>
      </c>
      <c r="F24" s="102" t="s">
        <v>219</v>
      </c>
      <c r="G24" s="101" t="s">
        <v>218</v>
      </c>
      <c r="H24" s="166" t="s">
        <v>217</v>
      </c>
      <c r="I24" s="100" t="s">
        <v>216</v>
      </c>
      <c r="J24" s="99" t="s">
        <v>215</v>
      </c>
      <c r="K24" s="99" t="s">
        <v>214</v>
      </c>
      <c r="L24" s="99" t="s">
        <v>213</v>
      </c>
      <c r="M24" s="98" t="s">
        <v>212</v>
      </c>
      <c r="P24" s="203">
        <v>0.14000000000000001</v>
      </c>
      <c r="Q24" s="55" t="s">
        <v>183</v>
      </c>
      <c r="R24" s="203">
        <v>0.86</v>
      </c>
      <c r="S24" s="55" t="s">
        <v>183</v>
      </c>
      <c r="T24" s="203">
        <v>0.48</v>
      </c>
      <c r="U24" s="55" t="s">
        <v>183</v>
      </c>
      <c r="V24" s="190">
        <f>Tab_Def_Flows[[#This Row],[CC_DM'[%']]]*Tab_Def_Flows[[#This Row],[DM]]</f>
        <v>0</v>
      </c>
      <c r="W24" s="204" t="s">
        <v>184</v>
      </c>
    </row>
    <row r="25" spans="1:23" ht="27" customHeight="1" x14ac:dyDescent="0.25">
      <c r="A25" s="97" t="str">
        <f t="shared" ref="A25:A30" si="6">B5</f>
        <v>Wheat Straw</v>
      </c>
      <c r="B25" s="96">
        <v>0.48</v>
      </c>
      <c r="C25" s="94">
        <f>F16*B25</f>
        <v>41.28</v>
      </c>
      <c r="D25" s="95">
        <f t="shared" ref="D25:D30" si="7">C25/$C$31</f>
        <v>1</v>
      </c>
      <c r="E25" s="94" t="s">
        <v>199</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199</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201</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5" t="s">
        <v>239</v>
      </c>
      <c r="B32" s="256"/>
      <c r="C32" s="256"/>
      <c r="D32" s="256"/>
      <c r="E32" s="256"/>
      <c r="F32" s="256"/>
      <c r="G32" s="256"/>
      <c r="H32" s="256"/>
      <c r="I32" s="256"/>
      <c r="J32" s="256"/>
      <c r="K32" s="256"/>
      <c r="L32" s="256"/>
      <c r="M32" s="257"/>
    </row>
    <row r="33" spans="1:18" ht="16.5" customHeight="1" thickBot="1" x14ac:dyDescent="0.3">
      <c r="A33" s="103" t="s">
        <v>226</v>
      </c>
      <c r="B33" s="258" t="s">
        <v>238</v>
      </c>
      <c r="C33" s="259"/>
      <c r="D33" s="260"/>
      <c r="E33" s="261" t="s">
        <v>237</v>
      </c>
      <c r="F33" s="262"/>
      <c r="G33" s="262"/>
      <c r="H33" s="263"/>
      <c r="I33" s="264" t="s">
        <v>236</v>
      </c>
      <c r="J33" s="265"/>
      <c r="K33" s="265"/>
      <c r="L33" s="265"/>
      <c r="M33" s="266"/>
    </row>
    <row r="34" spans="1:18" ht="62.25" customHeight="1" thickBot="1" x14ac:dyDescent="0.3">
      <c r="A34" s="64"/>
      <c r="B34" s="77" t="s">
        <v>235</v>
      </c>
      <c r="C34" s="130" t="s">
        <v>234</v>
      </c>
      <c r="D34" s="129" t="s">
        <v>227</v>
      </c>
      <c r="E34" s="128" t="s">
        <v>233</v>
      </c>
      <c r="F34" s="76" t="s">
        <v>232</v>
      </c>
      <c r="G34" s="76" t="s">
        <v>231</v>
      </c>
      <c r="H34" s="127" t="s">
        <v>227</v>
      </c>
      <c r="I34" s="126" t="s">
        <v>230</v>
      </c>
      <c r="J34" s="75" t="s">
        <v>229</v>
      </c>
      <c r="K34" s="75" t="s">
        <v>228</v>
      </c>
      <c r="L34" s="75" t="s">
        <v>227</v>
      </c>
      <c r="M34" s="125"/>
    </row>
    <row r="35" spans="1:18" ht="15.75" x14ac:dyDescent="0.25">
      <c r="A35" s="97" t="str">
        <f t="shared" ref="A35:A40" si="18">F5</f>
        <v>Compost</v>
      </c>
      <c r="B35" s="73">
        <v>86</v>
      </c>
      <c r="C35" s="124">
        <f t="shared" ref="C35:C40" si="19">B35/$B$41</f>
        <v>0.66666666666666663</v>
      </c>
      <c r="D35" s="123" t="s">
        <v>199</v>
      </c>
      <c r="E35" s="122">
        <v>0.5</v>
      </c>
      <c r="F35" s="72">
        <f>E35*B35</f>
        <v>43</v>
      </c>
      <c r="G35" s="121">
        <f t="shared" ref="G35:G40" si="20">F35/$F$41</f>
        <v>0.5</v>
      </c>
      <c r="H35" s="120" t="s">
        <v>199</v>
      </c>
      <c r="I35" s="119">
        <f>1-E35</f>
        <v>0.5</v>
      </c>
      <c r="J35" s="71">
        <f t="shared" ref="J35:J40" si="21">I35*B35</f>
        <v>43</v>
      </c>
      <c r="K35" s="118">
        <f>J35/$J$41</f>
        <v>1</v>
      </c>
      <c r="L35" s="117" t="s">
        <v>199</v>
      </c>
      <c r="M35" s="116"/>
      <c r="R35">
        <f>C54/B17</f>
        <v>2.9655172413793105</v>
      </c>
    </row>
    <row r="36" spans="1:18" ht="15.75" x14ac:dyDescent="0.25">
      <c r="A36" s="97" t="str">
        <f t="shared" si="18"/>
        <v>Compost_Emissions_C</v>
      </c>
      <c r="B36" s="73">
        <v>18.920000000000002</v>
      </c>
      <c r="C36" s="124">
        <f t="shared" si="19"/>
        <v>0.14666666666666667</v>
      </c>
      <c r="D36" s="123" t="s">
        <v>199</v>
      </c>
      <c r="E36" s="122">
        <v>1</v>
      </c>
      <c r="F36" s="72">
        <v>18.920000000000002</v>
      </c>
      <c r="G36" s="121">
        <f t="shared" si="20"/>
        <v>0.22000000000000003</v>
      </c>
      <c r="H36" s="120" t="s">
        <v>199</v>
      </c>
      <c r="I36" s="119">
        <f>1-E36</f>
        <v>0</v>
      </c>
      <c r="J36" s="71">
        <f t="shared" si="21"/>
        <v>0</v>
      </c>
      <c r="K36" s="118">
        <f>J36/$J$41</f>
        <v>0</v>
      </c>
      <c r="L36" s="117" t="s">
        <v>199</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201</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226</v>
      </c>
      <c r="B42" s="229" t="s">
        <v>225</v>
      </c>
      <c r="C42" s="230"/>
      <c r="D42" s="230"/>
      <c r="E42" s="230"/>
      <c r="F42" s="230"/>
      <c r="G42" s="230"/>
      <c r="H42" s="231"/>
      <c r="I42" s="232" t="s">
        <v>224</v>
      </c>
      <c r="J42" s="233"/>
      <c r="K42" s="233"/>
      <c r="L42" s="233"/>
      <c r="M42" s="234"/>
    </row>
    <row r="43" spans="1:18" ht="63.75" thickBot="1" x14ac:dyDescent="0.3">
      <c r="A43" s="7"/>
      <c r="B43" s="102" t="s">
        <v>223</v>
      </c>
      <c r="C43" s="101" t="s">
        <v>222</v>
      </c>
      <c r="D43" s="101" t="s">
        <v>221</v>
      </c>
      <c r="E43" s="101" t="s">
        <v>220</v>
      </c>
      <c r="F43" s="102" t="s">
        <v>219</v>
      </c>
      <c r="G43" s="101" t="s">
        <v>218</v>
      </c>
      <c r="H43" s="166" t="s">
        <v>217</v>
      </c>
      <c r="I43" s="100" t="s">
        <v>216</v>
      </c>
      <c r="J43" s="99" t="s">
        <v>215</v>
      </c>
      <c r="K43" s="99" t="s">
        <v>214</v>
      </c>
      <c r="L43" s="99" t="s">
        <v>213</v>
      </c>
      <c r="M43" s="98" t="s">
        <v>212</v>
      </c>
    </row>
    <row r="44" spans="1:18" ht="15.75" x14ac:dyDescent="0.25">
      <c r="A44" s="97" t="str">
        <f t="shared" ref="A44:A49" si="23">A35</f>
        <v>Compost</v>
      </c>
      <c r="B44" s="96">
        <v>0.52</v>
      </c>
      <c r="C44" s="94">
        <f>J35*B44</f>
        <v>22.36</v>
      </c>
      <c r="D44" s="95">
        <f t="shared" ref="D44:D49" si="24">C44/$C$50</f>
        <v>0.54166666666666663</v>
      </c>
      <c r="E44" s="94" t="s">
        <v>199</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199</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199</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5"/>
    </row>
    <row r="50" spans="1:18" ht="16.5" thickBot="1" x14ac:dyDescent="0.3">
      <c r="A50" s="87" t="s">
        <v>201</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5" t="s">
        <v>211</v>
      </c>
      <c r="B51" s="236"/>
      <c r="C51" s="236"/>
      <c r="D51" s="236"/>
      <c r="E51" s="237"/>
      <c r="F51" s="238" t="s">
        <v>210</v>
      </c>
      <c r="G51" s="239"/>
      <c r="H51" s="239"/>
      <c r="I51" s="239"/>
      <c r="J51" s="239"/>
      <c r="K51" s="239"/>
      <c r="L51" s="239"/>
      <c r="M51" s="240"/>
    </row>
    <row r="52" spans="1:18" ht="16.5" thickBot="1" x14ac:dyDescent="0.3">
      <c r="A52" s="4" t="s">
        <v>209</v>
      </c>
      <c r="B52" s="77" t="s">
        <v>208</v>
      </c>
      <c r="C52" s="76" t="s">
        <v>181</v>
      </c>
      <c r="D52" s="75" t="s">
        <v>180</v>
      </c>
      <c r="E52" s="74" t="s">
        <v>207</v>
      </c>
      <c r="F52" s="228"/>
      <c r="G52" s="228"/>
      <c r="H52" s="228"/>
      <c r="I52" s="228"/>
      <c r="J52" s="228"/>
      <c r="K52" s="228"/>
      <c r="L52" s="228"/>
      <c r="M52" s="241"/>
    </row>
    <row r="53" spans="1:18" ht="15.75" x14ac:dyDescent="0.25">
      <c r="A53" s="5" t="s">
        <v>206</v>
      </c>
      <c r="B53" s="73">
        <f>B22</f>
        <v>129</v>
      </c>
      <c r="C53" s="72">
        <f>F22</f>
        <v>86</v>
      </c>
      <c r="D53" s="71">
        <f>J22</f>
        <v>43</v>
      </c>
      <c r="E53" s="70">
        <f>C31</f>
        <v>41.28</v>
      </c>
      <c r="F53" s="228"/>
      <c r="G53" s="228"/>
      <c r="H53" s="228"/>
      <c r="I53" s="228"/>
      <c r="J53" s="228"/>
      <c r="K53" s="228"/>
      <c r="L53" s="228"/>
      <c r="M53" s="241"/>
      <c r="P53">
        <f>C53-C54</f>
        <v>0</v>
      </c>
      <c r="R53">
        <f>R50-R45</f>
        <v>0</v>
      </c>
    </row>
    <row r="54" spans="1:18" ht="16.5" thickBot="1" x14ac:dyDescent="0.3">
      <c r="A54" s="5" t="s">
        <v>205</v>
      </c>
      <c r="B54" s="73">
        <f>B41</f>
        <v>129</v>
      </c>
      <c r="C54" s="72">
        <f>F41</f>
        <v>86</v>
      </c>
      <c r="D54" s="71">
        <f>J41</f>
        <v>43</v>
      </c>
      <c r="E54" s="70">
        <f>C50</f>
        <v>41.28</v>
      </c>
      <c r="F54" s="228"/>
      <c r="G54" s="228"/>
      <c r="H54" s="228"/>
      <c r="I54" s="228"/>
      <c r="J54" s="228"/>
      <c r="K54" s="228"/>
      <c r="L54" s="228"/>
      <c r="M54" s="241"/>
    </row>
    <row r="55" spans="1:18" ht="15.75" x14ac:dyDescent="0.25">
      <c r="A55" s="4" t="s">
        <v>204</v>
      </c>
      <c r="B55" s="162">
        <f>B53-B54</f>
        <v>0</v>
      </c>
      <c r="C55" s="163">
        <f>C53-C54</f>
        <v>0</v>
      </c>
      <c r="D55" s="164">
        <f>D53-D54</f>
        <v>0</v>
      </c>
      <c r="E55" s="165">
        <f>E53-E54</f>
        <v>0</v>
      </c>
      <c r="F55" s="228"/>
      <c r="G55" s="228"/>
      <c r="H55" s="228"/>
      <c r="I55" s="228"/>
      <c r="J55" s="228"/>
      <c r="K55" s="228"/>
      <c r="L55" s="228"/>
      <c r="M55" s="241"/>
    </row>
    <row r="56" spans="1:18" ht="16.5" thickBot="1" x14ac:dyDescent="0.3">
      <c r="A56" s="7" t="s">
        <v>203</v>
      </c>
      <c r="B56" s="69">
        <f>B53/B54</f>
        <v>1</v>
      </c>
      <c r="C56" s="67">
        <f>C53/C54</f>
        <v>1</v>
      </c>
      <c r="D56" s="66">
        <f>D53/D54</f>
        <v>1</v>
      </c>
      <c r="E56" s="65">
        <f>E53/E54</f>
        <v>1</v>
      </c>
      <c r="F56" s="228"/>
      <c r="G56" s="228"/>
      <c r="H56" s="228"/>
      <c r="I56" s="228"/>
      <c r="J56" s="228"/>
      <c r="K56" s="228"/>
      <c r="L56" s="228"/>
      <c r="M56" s="241"/>
    </row>
    <row r="57" spans="1:18" ht="15.75" thickBot="1" x14ac:dyDescent="0.3">
      <c r="A57" s="235" t="s">
        <v>202</v>
      </c>
      <c r="B57" s="236"/>
      <c r="C57" s="236"/>
      <c r="D57" s="236"/>
      <c r="E57" s="237"/>
      <c r="F57" s="228"/>
      <c r="G57" s="228"/>
      <c r="H57" s="228"/>
      <c r="I57" s="228"/>
      <c r="J57" s="228"/>
      <c r="K57" s="228"/>
      <c r="L57" s="228"/>
      <c r="M57" s="241"/>
      <c r="Q57" s="288">
        <f>B53-B54</f>
        <v>0</v>
      </c>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28"/>
      <c r="G58" s="228"/>
      <c r="H58" s="228"/>
      <c r="I58" s="228"/>
      <c r="J58" s="228"/>
      <c r="K58" s="228"/>
      <c r="L58" s="228"/>
      <c r="M58" s="241"/>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28"/>
      <c r="G59" s="228"/>
      <c r="H59" s="228"/>
      <c r="I59" s="228"/>
      <c r="J59" s="228"/>
      <c r="K59" s="228"/>
      <c r="L59" s="228"/>
      <c r="M59" s="241"/>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28"/>
      <c r="G60" s="228"/>
      <c r="H60" s="228"/>
      <c r="I60" s="228"/>
      <c r="J60" s="228"/>
      <c r="K60" s="228"/>
      <c r="L60" s="228"/>
      <c r="M60" s="241"/>
    </row>
    <row r="61" spans="1:18" ht="16.5" thickBot="1" x14ac:dyDescent="0.3">
      <c r="A61" s="7" t="str">
        <f t="shared" si="38"/>
        <v>N.A.</v>
      </c>
      <c r="B61" s="68">
        <f t="shared" si="39"/>
        <v>0</v>
      </c>
      <c r="C61" s="67">
        <f>($G$41*F38)/($B$22*$E$22)</f>
        <v>0</v>
      </c>
      <c r="D61" s="66">
        <f t="shared" si="40"/>
        <v>0</v>
      </c>
      <c r="E61" s="65">
        <f t="shared" si="41"/>
        <v>0</v>
      </c>
      <c r="F61" s="228"/>
      <c r="G61" s="228"/>
      <c r="H61" s="228"/>
      <c r="I61" s="228"/>
      <c r="J61" s="228"/>
      <c r="K61" s="228"/>
      <c r="L61" s="228"/>
      <c r="M61" s="241"/>
    </row>
    <row r="62" spans="1:18" ht="16.5" thickBot="1" x14ac:dyDescent="0.3">
      <c r="A62" s="7" t="str">
        <f t="shared" si="38"/>
        <v>N.A.</v>
      </c>
      <c r="B62" s="68">
        <f t="shared" si="39"/>
        <v>0</v>
      </c>
      <c r="C62" s="67">
        <f>(B39*E39)/($B$22*$E$22)</f>
        <v>0</v>
      </c>
      <c r="D62" s="66">
        <f t="shared" si="40"/>
        <v>0</v>
      </c>
      <c r="E62" s="65">
        <f t="shared" si="41"/>
        <v>0</v>
      </c>
      <c r="F62" s="228"/>
      <c r="G62" s="228"/>
      <c r="H62" s="228"/>
      <c r="I62" s="228"/>
      <c r="J62" s="228"/>
      <c r="K62" s="228"/>
      <c r="L62" s="228"/>
      <c r="M62" s="241"/>
    </row>
    <row r="63" spans="1:18" ht="16.5" thickBot="1" x14ac:dyDescent="0.3">
      <c r="A63" s="7">
        <f t="shared" si="38"/>
        <v>0</v>
      </c>
      <c r="B63" s="68">
        <f t="shared" si="39"/>
        <v>0</v>
      </c>
      <c r="C63" s="67">
        <f>(B40*E40)/($B$22*$E$22)</f>
        <v>0</v>
      </c>
      <c r="D63" s="66">
        <f t="shared" si="40"/>
        <v>0</v>
      </c>
      <c r="E63" s="65">
        <f t="shared" si="41"/>
        <v>0</v>
      </c>
      <c r="F63" s="228"/>
      <c r="G63" s="228"/>
      <c r="H63" s="228"/>
      <c r="I63" s="228"/>
      <c r="J63" s="228"/>
      <c r="K63" s="228"/>
      <c r="L63" s="228"/>
      <c r="M63" s="241"/>
    </row>
    <row r="64" spans="1:18" ht="16.5" thickBot="1" x14ac:dyDescent="0.3">
      <c r="A64" s="4" t="s">
        <v>201</v>
      </c>
      <c r="B64" s="158">
        <f>SUM(B58:B63)</f>
        <v>0.99999999999999978</v>
      </c>
      <c r="C64" s="159">
        <f>SUM(C58:C63)</f>
        <v>1</v>
      </c>
      <c r="D64" s="160">
        <f>SUM(D58:D63)</f>
        <v>1</v>
      </c>
      <c r="E64" s="161">
        <f>SUM(E58:E63)</f>
        <v>1</v>
      </c>
      <c r="F64" s="228"/>
      <c r="G64" s="228"/>
      <c r="H64" s="228"/>
      <c r="I64" s="228"/>
      <c r="J64" s="228"/>
      <c r="K64" s="228"/>
      <c r="L64" s="228"/>
      <c r="M64" s="241"/>
    </row>
    <row r="65" spans="1:13" ht="16.5" thickBot="1" x14ac:dyDescent="0.3">
      <c r="A65" s="242" t="s">
        <v>200</v>
      </c>
      <c r="B65" s="243"/>
      <c r="C65" s="243"/>
      <c r="D65" s="243"/>
      <c r="E65" s="243"/>
      <c r="F65" s="243"/>
      <c r="G65" s="243"/>
      <c r="H65" s="243"/>
      <c r="I65" s="243"/>
      <c r="J65" s="243"/>
      <c r="K65" s="243"/>
      <c r="L65" s="243"/>
      <c r="M65" s="244"/>
    </row>
    <row r="66" spans="1:13" x14ac:dyDescent="0.25">
      <c r="A66" s="5" t="s">
        <v>199</v>
      </c>
      <c r="B66" s="245" t="s">
        <v>198</v>
      </c>
      <c r="C66" s="245"/>
      <c r="D66" s="245"/>
      <c r="E66" s="245"/>
      <c r="F66" s="245"/>
      <c r="G66" s="5" t="s">
        <v>197</v>
      </c>
      <c r="M66" s="59"/>
    </row>
    <row r="67" spans="1:13" ht="18.75" customHeight="1" x14ac:dyDescent="0.25">
      <c r="A67" s="5" t="s">
        <v>196</v>
      </c>
      <c r="B67" s="228" t="s">
        <v>183</v>
      </c>
      <c r="C67" s="228"/>
      <c r="D67" s="228"/>
      <c r="E67" s="228"/>
      <c r="F67" s="228"/>
      <c r="G67" s="5" t="s">
        <v>195</v>
      </c>
      <c r="M67" s="59"/>
    </row>
    <row r="68" spans="1:13" x14ac:dyDescent="0.25">
      <c r="A68" s="5" t="s">
        <v>194</v>
      </c>
      <c r="G68" s="5" t="s">
        <v>193</v>
      </c>
      <c r="M68" s="59"/>
    </row>
    <row r="69" spans="1:13" x14ac:dyDescent="0.25">
      <c r="A69" s="5" t="s">
        <v>192</v>
      </c>
      <c r="G69" s="5" t="s">
        <v>191</v>
      </c>
      <c r="M69" s="59"/>
    </row>
    <row r="70" spans="1:13" x14ac:dyDescent="0.25">
      <c r="A70" s="5" t="s">
        <v>190</v>
      </c>
      <c r="G70" s="5" t="s">
        <v>189</v>
      </c>
      <c r="M70" s="59"/>
    </row>
    <row r="71" spans="1:13" x14ac:dyDescent="0.25">
      <c r="A71" s="5" t="s">
        <v>188</v>
      </c>
      <c r="G71" s="5" t="s">
        <v>187</v>
      </c>
      <c r="M71" s="59"/>
    </row>
    <row r="72" spans="1:13" ht="15.75" thickBot="1" x14ac:dyDescent="0.3">
      <c r="A72" s="7" t="s">
        <v>186</v>
      </c>
      <c r="B72" s="58"/>
      <c r="C72" s="58"/>
      <c r="D72" s="58"/>
      <c r="E72" s="58"/>
      <c r="F72" s="58"/>
      <c r="G72" s="7" t="s">
        <v>185</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253</v>
      </c>
      <c r="B1" s="276" t="str">
        <f>'2_1_Definition_Processes'!D2</f>
        <v>Atmosphere</v>
      </c>
      <c r="C1" s="276"/>
      <c r="D1" s="276"/>
      <c r="E1" s="276"/>
      <c r="F1" s="276"/>
      <c r="G1" s="276"/>
      <c r="H1" s="276"/>
      <c r="I1" s="152" t="s">
        <v>252</v>
      </c>
      <c r="J1" s="277" t="s">
        <v>132</v>
      </c>
      <c r="K1" s="277"/>
      <c r="L1" s="277"/>
      <c r="M1" s="277"/>
    </row>
    <row r="2" spans="1:22" ht="16.5" thickBot="1" x14ac:dyDescent="0.3">
      <c r="A2" s="267" t="s">
        <v>251</v>
      </c>
      <c r="B2" s="268"/>
      <c r="C2" s="268"/>
      <c r="D2" s="268"/>
      <c r="E2" s="268"/>
      <c r="F2" s="268"/>
      <c r="G2" s="268"/>
      <c r="H2" s="268"/>
      <c r="I2" s="268"/>
      <c r="J2" s="268"/>
      <c r="K2" s="268"/>
      <c r="L2" s="268"/>
      <c r="M2" s="269"/>
    </row>
    <row r="3" spans="1:22" ht="126.75" customHeight="1" thickBot="1" x14ac:dyDescent="0.3">
      <c r="A3" s="278"/>
      <c r="B3" s="279"/>
      <c r="C3" s="279"/>
      <c r="D3" s="279"/>
      <c r="E3" s="279"/>
      <c r="F3" s="279"/>
      <c r="G3" s="279"/>
      <c r="H3" s="279"/>
      <c r="I3" s="279"/>
      <c r="J3" s="279"/>
      <c r="K3" s="279"/>
      <c r="L3" s="279"/>
      <c r="M3" s="280"/>
    </row>
    <row r="4" spans="1:22" ht="31.5" customHeight="1" x14ac:dyDescent="0.25">
      <c r="A4" s="151" t="s">
        <v>250</v>
      </c>
      <c r="B4" s="281"/>
      <c r="C4" s="282"/>
      <c r="D4" s="283"/>
      <c r="E4" s="284" t="s">
        <v>249</v>
      </c>
      <c r="F4" s="285"/>
      <c r="G4" s="156"/>
      <c r="H4" s="156"/>
      <c r="I4" s="150"/>
      <c r="J4" s="150"/>
      <c r="K4" s="150"/>
      <c r="L4" s="150"/>
      <c r="M4" s="150"/>
    </row>
    <row r="5" spans="1:22" ht="16.5" customHeight="1" x14ac:dyDescent="0.25">
      <c r="A5" s="153" t="s">
        <v>248</v>
      </c>
      <c r="B5" s="270" t="s">
        <v>425</v>
      </c>
      <c r="C5" s="270"/>
      <c r="D5" s="271"/>
      <c r="E5" s="153" t="s">
        <v>248</v>
      </c>
      <c r="F5" s="272" t="str">
        <f>_xlfn.XLOOKUP(J1,Tab_Def_Processes[Process_ID],Tab_Def_Processes[Output_Flow_O_1],"No_flow.",0,1)</f>
        <v>Wheat Plant</v>
      </c>
      <c r="G5" s="272"/>
      <c r="H5" s="273"/>
      <c r="I5" s="154"/>
      <c r="J5" s="149"/>
      <c r="K5" s="149"/>
      <c r="L5" s="149"/>
      <c r="M5" s="146"/>
    </row>
    <row r="6" spans="1:22" ht="16.5" customHeight="1" x14ac:dyDescent="0.25">
      <c r="A6" s="153" t="s">
        <v>247</v>
      </c>
      <c r="B6" s="272" t="s">
        <v>426</v>
      </c>
      <c r="C6" s="272"/>
      <c r="D6" s="273"/>
      <c r="E6" s="153" t="s">
        <v>247</v>
      </c>
      <c r="F6" s="272" t="str">
        <f>_xlfn.XLOOKUP(J1,Tab_Def_Processes[Process_ID],Tab_Def_Processes[Output_Flow_O_2],"No_flow.",0,1)</f>
        <v>N.A.</v>
      </c>
      <c r="G6" s="272"/>
      <c r="H6" s="273"/>
      <c r="I6" s="154"/>
      <c r="J6" s="149"/>
      <c r="K6" s="149"/>
      <c r="L6" s="149"/>
      <c r="M6" s="146"/>
    </row>
    <row r="7" spans="1:22" ht="16.5" customHeight="1" x14ac:dyDescent="0.25">
      <c r="A7" s="148" t="s">
        <v>246</v>
      </c>
      <c r="B7" s="272" t="str">
        <f>_xlfn.XLOOKUP(J1,Tab_Def_Processes[Process_ID],Tab_Def_Processes[Input_Flow_I_3],"No_flow.",0,1)</f>
        <v>N.A.</v>
      </c>
      <c r="C7" s="272"/>
      <c r="D7" s="273"/>
      <c r="E7" s="148" t="s">
        <v>246</v>
      </c>
      <c r="F7" s="272" t="str">
        <f>_xlfn.XLOOKUP(J1,Tab_Def_Processes[Process_ID],Tab_Def_Processes[Output_Flow_O_3],"No_flow.",0,1)</f>
        <v>N.A.</v>
      </c>
      <c r="G7" s="272"/>
      <c r="H7" s="273"/>
      <c r="I7" s="155"/>
      <c r="J7" s="147"/>
      <c r="K7" s="147"/>
      <c r="L7" s="147"/>
      <c r="M7" s="146"/>
    </row>
    <row r="8" spans="1:22" ht="16.5" customHeight="1" x14ac:dyDescent="0.25">
      <c r="A8" s="148" t="s">
        <v>245</v>
      </c>
      <c r="B8" s="272" t="str">
        <f>_xlfn.XLOOKUP(J1,Tab_Def_Processes[Process_ID],Tab_Def_Processes[Input_Flow_I_4],"No_flow.",0,1)</f>
        <v>N.A.</v>
      </c>
      <c r="C8" s="272"/>
      <c r="D8" s="273"/>
      <c r="E8" s="148" t="s">
        <v>245</v>
      </c>
      <c r="F8" s="272" t="str">
        <f>_xlfn.XLOOKUP(J1,Tab_Def_Processes[Process_ID],Tab_Def_Processes[Output_Flow_O_4],"No_flow.",0,1)</f>
        <v>N.A.</v>
      </c>
      <c r="G8" s="272"/>
      <c r="H8" s="273"/>
      <c r="I8" s="155"/>
      <c r="J8" s="147"/>
      <c r="K8" s="147"/>
      <c r="L8" s="147"/>
      <c r="M8" s="146"/>
    </row>
    <row r="9" spans="1:22" ht="16.5" customHeight="1" x14ac:dyDescent="0.25">
      <c r="A9" s="148" t="s">
        <v>244</v>
      </c>
      <c r="B9" s="272" t="str">
        <f>_xlfn.XLOOKUP(J1,Tab_Def_Processes[Process_ID],Tab_Def_Processes[Input_Flow_I_5],"No_flow.",0,1)</f>
        <v>N.A.</v>
      </c>
      <c r="C9" s="272"/>
      <c r="D9" s="273"/>
      <c r="E9" s="148" t="s">
        <v>244</v>
      </c>
      <c r="F9" s="272" t="str">
        <f>_xlfn.XLOOKUP(J1,Tab_Def_Processes[Process_ID],Tab_Def_Processes[Output_Flow_O_5],"No_flow.",0,1)</f>
        <v>N.A.</v>
      </c>
      <c r="G9" s="272"/>
      <c r="H9" s="273"/>
      <c r="I9" s="155"/>
      <c r="J9" s="147"/>
      <c r="K9" s="147"/>
      <c r="L9" s="147"/>
      <c r="M9" s="146"/>
    </row>
    <row r="10" spans="1:22" ht="16.5" customHeight="1" thickBot="1" x14ac:dyDescent="0.3">
      <c r="A10" s="157" t="s">
        <v>243</v>
      </c>
      <c r="B10" s="274"/>
      <c r="C10" s="274"/>
      <c r="D10" s="275"/>
      <c r="E10" s="157" t="s">
        <v>243</v>
      </c>
      <c r="F10" s="274"/>
      <c r="G10" s="274"/>
      <c r="H10" s="275"/>
      <c r="I10" s="155"/>
      <c r="J10" s="147"/>
      <c r="K10" s="147"/>
      <c r="L10" s="147"/>
      <c r="M10" s="146"/>
    </row>
    <row r="11" spans="1:22" ht="16.5" thickBot="1" x14ac:dyDescent="0.3">
      <c r="A11" s="267" t="s">
        <v>242</v>
      </c>
      <c r="B11" s="268"/>
      <c r="C11" s="268"/>
      <c r="D11" s="268"/>
      <c r="E11" s="268"/>
      <c r="F11" s="268"/>
      <c r="G11" s="268"/>
      <c r="H11" s="268"/>
      <c r="I11" s="268"/>
      <c r="J11" s="268"/>
      <c r="K11" s="268"/>
      <c r="L11" s="268"/>
      <c r="M11" s="269"/>
    </row>
    <row r="12" spans="1:22" ht="33" customHeight="1" thickBot="1" x14ac:dyDescent="0.3">
      <c r="A12" s="145">
        <v>1000</v>
      </c>
      <c r="B12" s="144" t="s">
        <v>241</v>
      </c>
      <c r="C12" s="143"/>
      <c r="D12" s="143"/>
      <c r="E12" s="143"/>
      <c r="F12" s="143"/>
      <c r="G12" s="143"/>
      <c r="H12" s="143"/>
      <c r="I12" s="143"/>
      <c r="J12" s="143"/>
      <c r="K12" s="143"/>
      <c r="L12" s="143"/>
      <c r="M12" s="142"/>
    </row>
    <row r="13" spans="1:22" ht="16.5" thickBot="1" x14ac:dyDescent="0.3">
      <c r="A13" s="242" t="s">
        <v>240</v>
      </c>
      <c r="B13" s="243"/>
      <c r="C13" s="243"/>
      <c r="D13" s="243"/>
      <c r="E13" s="243"/>
      <c r="F13" s="243"/>
      <c r="G13" s="243"/>
      <c r="H13" s="243"/>
      <c r="I13" s="243"/>
      <c r="J13" s="243"/>
      <c r="K13" s="243"/>
      <c r="L13" s="243"/>
      <c r="M13" s="244"/>
    </row>
    <row r="14" spans="1:22" ht="16.5" thickBot="1" x14ac:dyDescent="0.3">
      <c r="A14" s="103" t="s">
        <v>226</v>
      </c>
      <c r="B14" s="246" t="s">
        <v>238</v>
      </c>
      <c r="C14" s="247"/>
      <c r="D14" s="248"/>
      <c r="E14" s="249" t="s">
        <v>237</v>
      </c>
      <c r="F14" s="250"/>
      <c r="G14" s="250"/>
      <c r="H14" s="251"/>
      <c r="I14" s="252" t="s">
        <v>236</v>
      </c>
      <c r="J14" s="253"/>
      <c r="K14" s="253"/>
      <c r="L14" s="253"/>
      <c r="M14" s="254"/>
      <c r="P14" s="203">
        <v>0.2384</v>
      </c>
      <c r="Q14" s="55" t="s">
        <v>183</v>
      </c>
      <c r="R14" s="203">
        <v>0.76160000000000005</v>
      </c>
      <c r="S14" s="55" t="s">
        <v>183</v>
      </c>
      <c r="T14" s="203">
        <v>0</v>
      </c>
      <c r="U14" s="55" t="s">
        <v>183</v>
      </c>
      <c r="V14" s="190">
        <f>Tab_Def_Flows[[#This Row],[CC_DM'[%']]]*Tab_Def_Flows[[#This Row],[DM]]</f>
        <v>0.25</v>
      </c>
    </row>
    <row r="15" spans="1:22" ht="63.75" thickBot="1" x14ac:dyDescent="0.3">
      <c r="A15" s="64"/>
      <c r="B15" s="77" t="s">
        <v>235</v>
      </c>
      <c r="C15" s="130" t="s">
        <v>234</v>
      </c>
      <c r="D15" s="129" t="s">
        <v>227</v>
      </c>
      <c r="E15" s="128" t="s">
        <v>233</v>
      </c>
      <c r="F15" s="76" t="s">
        <v>232</v>
      </c>
      <c r="G15" s="76" t="s">
        <v>231</v>
      </c>
      <c r="H15" s="127" t="s">
        <v>227</v>
      </c>
      <c r="I15" s="126" t="s">
        <v>230</v>
      </c>
      <c r="J15" s="75" t="s">
        <v>229</v>
      </c>
      <c r="K15" s="75" t="s">
        <v>228</v>
      </c>
      <c r="L15" s="75" t="s">
        <v>227</v>
      </c>
      <c r="M15" s="125"/>
      <c r="P15" s="203">
        <v>0.14000000000000001</v>
      </c>
      <c r="Q15" s="55" t="s">
        <v>183</v>
      </c>
      <c r="R15" s="203">
        <v>0.86</v>
      </c>
      <c r="S15" s="55" t="s">
        <v>183</v>
      </c>
      <c r="T15" s="203">
        <v>0.48</v>
      </c>
      <c r="U15" s="55" t="s">
        <v>183</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199</v>
      </c>
      <c r="E16" s="122">
        <v>0</v>
      </c>
      <c r="F16" s="72">
        <f t="shared" ref="F16:F21" si="2">E16*B16</f>
        <v>0</v>
      </c>
      <c r="G16" s="121">
        <f t="shared" ref="G16:G21" si="3">F16/$F$22</f>
        <v>0</v>
      </c>
      <c r="H16" s="120" t="s">
        <v>199</v>
      </c>
      <c r="I16" s="119">
        <f>1-E16</f>
        <v>1</v>
      </c>
      <c r="J16" s="71">
        <f t="shared" ref="J16:J21" si="4">I16*B16</f>
        <v>297904.57</v>
      </c>
      <c r="K16" s="139">
        <f t="shared" ref="K16:K21" si="5">J16/$J$22</f>
        <v>0.47999999832429568</v>
      </c>
      <c r="L16" s="116" t="s">
        <v>199</v>
      </c>
      <c r="M16" s="116"/>
    </row>
    <row r="17" spans="1:23" ht="23.25" customHeight="1" x14ac:dyDescent="0.25">
      <c r="A17" s="97" t="str">
        <f t="shared" si="0"/>
        <v>Environment Input</v>
      </c>
      <c r="B17" s="73">
        <v>423763.48</v>
      </c>
      <c r="C17" s="124">
        <f t="shared" si="1"/>
        <v>0.58720000144110573</v>
      </c>
      <c r="D17" s="123" t="s">
        <v>199</v>
      </c>
      <c r="E17" s="122">
        <v>0.23841961794348115</v>
      </c>
      <c r="F17" s="72">
        <f t="shared" si="2"/>
        <v>101033.52700000002</v>
      </c>
      <c r="G17" s="121">
        <f t="shared" si="3"/>
        <v>1</v>
      </c>
      <c r="H17" s="120" t="s">
        <v>199</v>
      </c>
      <c r="I17" s="119">
        <f>1-E17</f>
        <v>0.76158038205651879</v>
      </c>
      <c r="J17" s="71">
        <f t="shared" si="4"/>
        <v>322729.95299999992</v>
      </c>
      <c r="K17" s="139">
        <f t="shared" si="5"/>
        <v>0.52000000167570437</v>
      </c>
      <c r="L17" s="116" t="s">
        <v>199</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201</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226</v>
      </c>
      <c r="B23" s="229" t="s">
        <v>225</v>
      </c>
      <c r="C23" s="230"/>
      <c r="D23" s="230"/>
      <c r="E23" s="230"/>
      <c r="F23" s="230"/>
      <c r="G23" s="230"/>
      <c r="H23" s="231"/>
      <c r="I23" s="232" t="s">
        <v>224</v>
      </c>
      <c r="J23" s="233"/>
      <c r="K23" s="233"/>
      <c r="L23" s="233"/>
      <c r="M23" s="234"/>
    </row>
    <row r="24" spans="1:23" ht="63.75" thickBot="1" x14ac:dyDescent="0.3">
      <c r="A24" s="7"/>
      <c r="B24" s="102" t="s">
        <v>223</v>
      </c>
      <c r="C24" s="101" t="s">
        <v>222</v>
      </c>
      <c r="D24" s="101" t="s">
        <v>221</v>
      </c>
      <c r="E24" s="101" t="s">
        <v>220</v>
      </c>
      <c r="F24" s="102" t="s">
        <v>219</v>
      </c>
      <c r="G24" s="101" t="s">
        <v>218</v>
      </c>
      <c r="H24" s="166" t="s">
        <v>217</v>
      </c>
      <c r="I24" s="100" t="s">
        <v>216</v>
      </c>
      <c r="J24" s="99" t="s">
        <v>215</v>
      </c>
      <c r="K24" s="99" t="s">
        <v>214</v>
      </c>
      <c r="L24" s="99" t="s">
        <v>213</v>
      </c>
      <c r="M24" s="98" t="s">
        <v>212</v>
      </c>
      <c r="P24" s="203">
        <v>0.14000000000000001</v>
      </c>
      <c r="Q24" s="55" t="s">
        <v>183</v>
      </c>
      <c r="R24" s="203">
        <v>0.86</v>
      </c>
      <c r="S24" s="55" t="s">
        <v>183</v>
      </c>
      <c r="T24" s="203">
        <v>0.48</v>
      </c>
      <c r="U24" s="55" t="s">
        <v>183</v>
      </c>
      <c r="V24" s="190">
        <f>Tab_Def_Flows[[#This Row],[CC_DM'[%']]]*Tab_Def_Flows[[#This Row],[DM]]</f>
        <v>0</v>
      </c>
      <c r="W24" s="204" t="s">
        <v>184</v>
      </c>
    </row>
    <row r="25" spans="1:23" ht="27" customHeight="1" x14ac:dyDescent="0.25">
      <c r="A25" s="97" t="str">
        <f t="shared" ref="A25:A30" si="6">B5</f>
        <v>Atmosphere input</v>
      </c>
      <c r="B25" s="96">
        <v>1</v>
      </c>
      <c r="C25" s="94">
        <f>J16*B25</f>
        <v>297904.57</v>
      </c>
      <c r="D25" s="95">
        <f t="shared" ref="D25:D30" si="7">C25/$C$31</f>
        <v>1</v>
      </c>
      <c r="E25" s="94" t="s">
        <v>199</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199</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201</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5" t="s">
        <v>239</v>
      </c>
      <c r="B32" s="256"/>
      <c r="C32" s="256"/>
      <c r="D32" s="256"/>
      <c r="E32" s="256"/>
      <c r="F32" s="256"/>
      <c r="G32" s="256"/>
      <c r="H32" s="256"/>
      <c r="I32" s="256"/>
      <c r="J32" s="256"/>
      <c r="K32" s="256"/>
      <c r="L32" s="256"/>
      <c r="M32" s="257"/>
    </row>
    <row r="33" spans="1:18" ht="16.5" customHeight="1" thickBot="1" x14ac:dyDescent="0.3">
      <c r="A33" s="103" t="s">
        <v>226</v>
      </c>
      <c r="B33" s="258" t="s">
        <v>238</v>
      </c>
      <c r="C33" s="259"/>
      <c r="D33" s="260"/>
      <c r="E33" s="261" t="s">
        <v>237</v>
      </c>
      <c r="F33" s="262"/>
      <c r="G33" s="262"/>
      <c r="H33" s="263"/>
      <c r="I33" s="264" t="s">
        <v>236</v>
      </c>
      <c r="J33" s="265"/>
      <c r="K33" s="265"/>
      <c r="L33" s="265"/>
      <c r="M33" s="266"/>
    </row>
    <row r="34" spans="1:18" ht="62.25" customHeight="1" thickBot="1" x14ac:dyDescent="0.3">
      <c r="A34" s="64"/>
      <c r="B34" s="77" t="s">
        <v>235</v>
      </c>
      <c r="C34" s="130" t="s">
        <v>234</v>
      </c>
      <c r="D34" s="129" t="s">
        <v>227</v>
      </c>
      <c r="E34" s="128" t="s">
        <v>233</v>
      </c>
      <c r="F34" s="76" t="s">
        <v>232</v>
      </c>
      <c r="G34" s="76" t="s">
        <v>231</v>
      </c>
      <c r="H34" s="127" t="s">
        <v>227</v>
      </c>
      <c r="I34" s="126" t="s">
        <v>230</v>
      </c>
      <c r="J34" s="75" t="s">
        <v>229</v>
      </c>
      <c r="K34" s="75" t="s">
        <v>228</v>
      </c>
      <c r="L34" s="75" t="s">
        <v>227</v>
      </c>
      <c r="M34" s="125"/>
    </row>
    <row r="35" spans="1:18" ht="15.75" x14ac:dyDescent="0.25">
      <c r="A35" s="97" t="str">
        <f t="shared" ref="A35:A40" si="18">F5</f>
        <v>Wheat Plant</v>
      </c>
      <c r="B35" s="73">
        <f>B22</f>
        <v>721668.05</v>
      </c>
      <c r="C35" s="124">
        <f t="shared" ref="C35:C40" si="19">B35/$B$41</f>
        <v>1</v>
      </c>
      <c r="D35" s="123" t="s">
        <v>199</v>
      </c>
      <c r="E35" s="122">
        <v>0.14000000000000001</v>
      </c>
      <c r="F35" s="72">
        <f>E35*B35</f>
        <v>101033.52700000002</v>
      </c>
      <c r="G35" s="121">
        <f t="shared" ref="G35:G40" si="20">F35/$F$41</f>
        <v>1</v>
      </c>
      <c r="H35" s="120" t="s">
        <v>199</v>
      </c>
      <c r="I35" s="119">
        <f>1-E35</f>
        <v>0.86</v>
      </c>
      <c r="J35" s="71">
        <f t="shared" ref="J35:J40" si="21">I35*B35</f>
        <v>620634.52300000004</v>
      </c>
      <c r="K35" s="118">
        <f>J35/$J$41</f>
        <v>1</v>
      </c>
      <c r="L35" s="117" t="s">
        <v>199</v>
      </c>
      <c r="M35" s="116"/>
      <c r="R35">
        <f>C54/B17</f>
        <v>0.23841961794348115</v>
      </c>
    </row>
    <row r="36" spans="1:18" ht="15.75" x14ac:dyDescent="0.25">
      <c r="A36" s="97" t="str">
        <f t="shared" si="18"/>
        <v>N.A.</v>
      </c>
      <c r="B36" s="73">
        <v>0</v>
      </c>
      <c r="C36" s="124">
        <f t="shared" si="19"/>
        <v>0</v>
      </c>
      <c r="D36" s="123" t="s">
        <v>199</v>
      </c>
      <c r="E36" s="122">
        <v>0</v>
      </c>
      <c r="F36" s="72">
        <f t="shared" ref="F36:F40" si="22">E36*B36</f>
        <v>0</v>
      </c>
      <c r="G36" s="121">
        <f t="shared" si="20"/>
        <v>0</v>
      </c>
      <c r="H36" s="120" t="s">
        <v>199</v>
      </c>
      <c r="I36" s="119">
        <f>1-E36</f>
        <v>1</v>
      </c>
      <c r="J36" s="71">
        <f t="shared" si="21"/>
        <v>0</v>
      </c>
      <c r="K36" s="118">
        <f>J36/$J$41</f>
        <v>0</v>
      </c>
      <c r="L36" s="117" t="s">
        <v>199</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201</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226</v>
      </c>
      <c r="B42" s="229" t="s">
        <v>225</v>
      </c>
      <c r="C42" s="230"/>
      <c r="D42" s="230"/>
      <c r="E42" s="230"/>
      <c r="F42" s="230"/>
      <c r="G42" s="230"/>
      <c r="H42" s="231"/>
      <c r="I42" s="232" t="s">
        <v>224</v>
      </c>
      <c r="J42" s="233"/>
      <c r="K42" s="233"/>
      <c r="L42" s="233"/>
      <c r="M42" s="234"/>
    </row>
    <row r="43" spans="1:18" ht="63.75" thickBot="1" x14ac:dyDescent="0.3">
      <c r="A43" s="7"/>
      <c r="B43" s="102" t="s">
        <v>223</v>
      </c>
      <c r="C43" s="101" t="s">
        <v>222</v>
      </c>
      <c r="D43" s="101" t="s">
        <v>221</v>
      </c>
      <c r="E43" s="101" t="s">
        <v>220</v>
      </c>
      <c r="F43" s="102" t="s">
        <v>219</v>
      </c>
      <c r="G43" s="101" t="s">
        <v>218</v>
      </c>
      <c r="H43" s="166" t="s">
        <v>217</v>
      </c>
      <c r="I43" s="100" t="s">
        <v>216</v>
      </c>
      <c r="J43" s="99" t="s">
        <v>215</v>
      </c>
      <c r="K43" s="99" t="s">
        <v>214</v>
      </c>
      <c r="L43" s="99" t="s">
        <v>213</v>
      </c>
      <c r="M43" s="98" t="s">
        <v>212</v>
      </c>
    </row>
    <row r="44" spans="1:18" ht="15.75" x14ac:dyDescent="0.25">
      <c r="A44" s="97" t="str">
        <f t="shared" ref="A44:A49" si="23">A35</f>
        <v>Wheat Plant</v>
      </c>
      <c r="B44" s="96">
        <v>0.48</v>
      </c>
      <c r="C44" s="94">
        <f>J35*B44</f>
        <v>297904.57104000001</v>
      </c>
      <c r="D44" s="95">
        <f t="shared" ref="D44:D49" si="24">C44/$C$50</f>
        <v>1</v>
      </c>
      <c r="E44" s="94" t="s">
        <v>199</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199</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199</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5"/>
    </row>
    <row r="50" spans="1:17" ht="16.5" thickBot="1" x14ac:dyDescent="0.3">
      <c r="A50" s="87" t="s">
        <v>201</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5" t="s">
        <v>211</v>
      </c>
      <c r="B51" s="236"/>
      <c r="C51" s="236"/>
      <c r="D51" s="236"/>
      <c r="E51" s="237"/>
      <c r="F51" s="238" t="s">
        <v>210</v>
      </c>
      <c r="G51" s="239"/>
      <c r="H51" s="239"/>
      <c r="I51" s="239"/>
      <c r="J51" s="239"/>
      <c r="K51" s="239"/>
      <c r="L51" s="239"/>
      <c r="M51" s="240"/>
    </row>
    <row r="52" spans="1:17" ht="16.5" thickBot="1" x14ac:dyDescent="0.3">
      <c r="A52" s="4" t="s">
        <v>209</v>
      </c>
      <c r="B52" s="77" t="s">
        <v>208</v>
      </c>
      <c r="C52" s="76" t="s">
        <v>181</v>
      </c>
      <c r="D52" s="75" t="s">
        <v>180</v>
      </c>
      <c r="E52" s="74" t="s">
        <v>207</v>
      </c>
      <c r="F52" s="228"/>
      <c r="G52" s="228"/>
      <c r="H52" s="228"/>
      <c r="I52" s="228"/>
      <c r="J52" s="228"/>
      <c r="K52" s="228"/>
      <c r="L52" s="228"/>
      <c r="M52" s="241"/>
    </row>
    <row r="53" spans="1:17" ht="15.75" x14ac:dyDescent="0.25">
      <c r="A53" s="5" t="s">
        <v>206</v>
      </c>
      <c r="B53" s="73">
        <f>B22</f>
        <v>721668.05</v>
      </c>
      <c r="C53" s="72">
        <f>F22</f>
        <v>101033.52700000002</v>
      </c>
      <c r="D53" s="71">
        <f>J22</f>
        <v>620634.52299999993</v>
      </c>
      <c r="E53" s="70">
        <f>C31</f>
        <v>297904.57</v>
      </c>
      <c r="F53" s="228"/>
      <c r="G53" s="228"/>
      <c r="H53" s="228"/>
      <c r="I53" s="228"/>
      <c r="J53" s="228"/>
      <c r="K53" s="228"/>
      <c r="L53" s="228"/>
      <c r="M53" s="241"/>
    </row>
    <row r="54" spans="1:17" ht="16.5" thickBot="1" x14ac:dyDescent="0.3">
      <c r="A54" s="5" t="s">
        <v>205</v>
      </c>
      <c r="B54" s="73">
        <f>B41</f>
        <v>721668.05</v>
      </c>
      <c r="C54" s="72">
        <f>F41</f>
        <v>101033.52700000002</v>
      </c>
      <c r="D54" s="71">
        <f>J41</f>
        <v>620634.52300000004</v>
      </c>
      <c r="E54" s="70">
        <f>C50</f>
        <v>297904.57104000001</v>
      </c>
      <c r="F54" s="228"/>
      <c r="G54" s="228"/>
      <c r="H54" s="228"/>
      <c r="I54" s="228"/>
      <c r="J54" s="228"/>
      <c r="K54" s="228"/>
      <c r="L54" s="228"/>
      <c r="M54" s="241"/>
    </row>
    <row r="55" spans="1:17" ht="15.75" x14ac:dyDescent="0.25">
      <c r="A55" s="4" t="s">
        <v>204</v>
      </c>
      <c r="B55" s="162">
        <f>B53-B54</f>
        <v>0</v>
      </c>
      <c r="C55" s="163">
        <f>C53-C54</f>
        <v>0</v>
      </c>
      <c r="D55" s="164">
        <f>D53-D54</f>
        <v>0</v>
      </c>
      <c r="E55" s="165">
        <f>E53-E54</f>
        <v>-1.0400000028312206E-3</v>
      </c>
      <c r="F55" s="228"/>
      <c r="G55" s="228"/>
      <c r="H55" s="228"/>
      <c r="I55" s="228"/>
      <c r="J55" s="228"/>
      <c r="K55" s="228"/>
      <c r="L55" s="228"/>
      <c r="M55" s="241"/>
    </row>
    <row r="56" spans="1:17" ht="16.5" thickBot="1" x14ac:dyDescent="0.3">
      <c r="A56" s="7" t="s">
        <v>203</v>
      </c>
      <c r="B56" s="69">
        <f>B53/B54</f>
        <v>1</v>
      </c>
      <c r="C56" s="67">
        <f>C53/C54</f>
        <v>1</v>
      </c>
      <c r="D56" s="66">
        <f>D53/D54</f>
        <v>0.99999999999999978</v>
      </c>
      <c r="E56" s="65">
        <f>E53/E54</f>
        <v>0.99999999650894911</v>
      </c>
      <c r="F56" s="228"/>
      <c r="G56" s="228"/>
      <c r="H56" s="228"/>
      <c r="I56" s="228"/>
      <c r="J56" s="228"/>
      <c r="K56" s="228"/>
      <c r="L56" s="228"/>
      <c r="M56" s="241"/>
    </row>
    <row r="57" spans="1:17" ht="15.75" thickBot="1" x14ac:dyDescent="0.3">
      <c r="A57" s="235" t="s">
        <v>202</v>
      </c>
      <c r="B57" s="236"/>
      <c r="C57" s="236"/>
      <c r="D57" s="236"/>
      <c r="E57" s="237"/>
      <c r="F57" s="228"/>
      <c r="G57" s="228"/>
      <c r="H57" s="228"/>
      <c r="I57" s="228"/>
      <c r="J57" s="228"/>
      <c r="K57" s="228"/>
      <c r="L57" s="228"/>
      <c r="M57" s="241"/>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28"/>
      <c r="G58" s="228"/>
      <c r="H58" s="228"/>
      <c r="I58" s="228"/>
      <c r="J58" s="228"/>
      <c r="K58" s="228"/>
      <c r="L58" s="228"/>
      <c r="M58" s="241"/>
    </row>
    <row r="59" spans="1:17" ht="16.5" thickBot="1" x14ac:dyDescent="0.3">
      <c r="A59" s="7" t="str">
        <f t="shared" si="35"/>
        <v>N.A.</v>
      </c>
      <c r="B59" s="68">
        <f t="shared" si="36"/>
        <v>0</v>
      </c>
      <c r="C59" s="67">
        <f>(E36*B36)/($B$22*$E$22)</f>
        <v>0</v>
      </c>
      <c r="D59" s="66">
        <f t="shared" si="37"/>
        <v>0</v>
      </c>
      <c r="E59" s="65" t="e">
        <f t="shared" si="38"/>
        <v>#DIV/0!</v>
      </c>
      <c r="F59" s="228"/>
      <c r="G59" s="228"/>
      <c r="H59" s="228"/>
      <c r="I59" s="228"/>
      <c r="J59" s="228"/>
      <c r="K59" s="228"/>
      <c r="L59" s="228"/>
      <c r="M59" s="241"/>
    </row>
    <row r="60" spans="1:17" ht="16.5" thickBot="1" x14ac:dyDescent="0.3">
      <c r="A60" s="7" t="str">
        <f t="shared" si="35"/>
        <v>N.A.</v>
      </c>
      <c r="B60" s="68">
        <f t="shared" si="36"/>
        <v>0</v>
      </c>
      <c r="C60" s="67">
        <f>(E37*B37)/($B$22*$E$22)</f>
        <v>0</v>
      </c>
      <c r="D60" s="66">
        <f t="shared" si="37"/>
        <v>0</v>
      </c>
      <c r="E60" s="65" t="e">
        <f t="shared" si="38"/>
        <v>#DIV/0!</v>
      </c>
      <c r="F60" s="228"/>
      <c r="G60" s="228"/>
      <c r="H60" s="228"/>
      <c r="I60" s="228"/>
      <c r="J60" s="228"/>
      <c r="K60" s="228"/>
      <c r="L60" s="228"/>
      <c r="M60" s="241"/>
    </row>
    <row r="61" spans="1:17" ht="16.5" thickBot="1" x14ac:dyDescent="0.3">
      <c r="A61" s="7" t="str">
        <f t="shared" si="35"/>
        <v>N.A.</v>
      </c>
      <c r="B61" s="68">
        <f t="shared" si="36"/>
        <v>0</v>
      </c>
      <c r="C61" s="67">
        <f>($G$41*F38)/($B$22*$E$22)</f>
        <v>0</v>
      </c>
      <c r="D61" s="66">
        <f t="shared" si="37"/>
        <v>0</v>
      </c>
      <c r="E61" s="65" t="e">
        <f t="shared" si="38"/>
        <v>#DIV/0!</v>
      </c>
      <c r="F61" s="228"/>
      <c r="G61" s="228"/>
      <c r="H61" s="228"/>
      <c r="I61" s="228"/>
      <c r="J61" s="228"/>
      <c r="K61" s="228"/>
      <c r="L61" s="228"/>
      <c r="M61" s="241"/>
    </row>
    <row r="62" spans="1:17" ht="16.5" thickBot="1" x14ac:dyDescent="0.3">
      <c r="A62" s="7" t="str">
        <f t="shared" si="35"/>
        <v>N.A.</v>
      </c>
      <c r="B62" s="68">
        <f t="shared" si="36"/>
        <v>0</v>
      </c>
      <c r="C62" s="67">
        <f>(B39*E39)/($B$22*$E$22)</f>
        <v>0</v>
      </c>
      <c r="D62" s="66">
        <f t="shared" si="37"/>
        <v>0</v>
      </c>
      <c r="E62" s="65" t="e">
        <f t="shared" si="38"/>
        <v>#DIV/0!</v>
      </c>
      <c r="F62" s="228"/>
      <c r="G62" s="228"/>
      <c r="H62" s="228"/>
      <c r="I62" s="228"/>
      <c r="J62" s="228"/>
      <c r="K62" s="228"/>
      <c r="L62" s="228"/>
      <c r="M62" s="241"/>
    </row>
    <row r="63" spans="1:17" ht="16.5" thickBot="1" x14ac:dyDescent="0.3">
      <c r="A63" s="7">
        <f t="shared" si="35"/>
        <v>0</v>
      </c>
      <c r="B63" s="68">
        <f t="shared" si="36"/>
        <v>0</v>
      </c>
      <c r="C63" s="67">
        <f>(B40*E40)/($B$22*$E$22)</f>
        <v>0</v>
      </c>
      <c r="D63" s="66">
        <f t="shared" si="37"/>
        <v>0</v>
      </c>
      <c r="E63" s="65" t="e">
        <f t="shared" si="38"/>
        <v>#DIV/0!</v>
      </c>
      <c r="F63" s="228"/>
      <c r="G63" s="228"/>
      <c r="H63" s="228"/>
      <c r="I63" s="228"/>
      <c r="J63" s="228"/>
      <c r="K63" s="228"/>
      <c r="L63" s="228"/>
      <c r="M63" s="241"/>
    </row>
    <row r="64" spans="1:17" ht="16.5" thickBot="1" x14ac:dyDescent="0.3">
      <c r="A64" s="4" t="s">
        <v>201</v>
      </c>
      <c r="B64" s="158">
        <f>SUM(B58:B63)</f>
        <v>1</v>
      </c>
      <c r="C64" s="159">
        <f>SUM(C58:C63)</f>
        <v>1</v>
      </c>
      <c r="D64" s="160">
        <f>SUM(D58:D63)</f>
        <v>1.0000000000000002</v>
      </c>
      <c r="E64" s="161" t="e">
        <f>SUM(E58:E63)</f>
        <v>#DIV/0!</v>
      </c>
      <c r="F64" s="228"/>
      <c r="G64" s="228"/>
      <c r="H64" s="228"/>
      <c r="I64" s="228"/>
      <c r="J64" s="228"/>
      <c r="K64" s="228"/>
      <c r="L64" s="228"/>
      <c r="M64" s="241"/>
    </row>
    <row r="65" spans="1:13" ht="16.5" thickBot="1" x14ac:dyDescent="0.3">
      <c r="A65" s="242" t="s">
        <v>200</v>
      </c>
      <c r="B65" s="243"/>
      <c r="C65" s="243"/>
      <c r="D65" s="243"/>
      <c r="E65" s="243"/>
      <c r="F65" s="243"/>
      <c r="G65" s="243"/>
      <c r="H65" s="243"/>
      <c r="I65" s="243"/>
      <c r="J65" s="243"/>
      <c r="K65" s="243"/>
      <c r="L65" s="243"/>
      <c r="M65" s="244"/>
    </row>
    <row r="66" spans="1:13" x14ac:dyDescent="0.25">
      <c r="A66" s="5" t="s">
        <v>199</v>
      </c>
      <c r="B66" s="245" t="s">
        <v>198</v>
      </c>
      <c r="C66" s="245"/>
      <c r="D66" s="245"/>
      <c r="E66" s="245"/>
      <c r="F66" s="245"/>
      <c r="G66" s="5" t="s">
        <v>197</v>
      </c>
      <c r="M66" s="59"/>
    </row>
    <row r="67" spans="1:13" ht="18.75" customHeight="1" x14ac:dyDescent="0.25">
      <c r="A67" s="5" t="s">
        <v>196</v>
      </c>
      <c r="B67" s="228" t="s">
        <v>183</v>
      </c>
      <c r="C67" s="228"/>
      <c r="D67" s="228"/>
      <c r="E67" s="228"/>
      <c r="F67" s="228"/>
      <c r="G67" s="5" t="s">
        <v>195</v>
      </c>
      <c r="M67" s="59"/>
    </row>
    <row r="68" spans="1:13" x14ac:dyDescent="0.25">
      <c r="A68" s="5" t="s">
        <v>194</v>
      </c>
      <c r="G68" s="5" t="s">
        <v>193</v>
      </c>
      <c r="M68" s="59"/>
    </row>
    <row r="69" spans="1:13" x14ac:dyDescent="0.25">
      <c r="A69" s="5" t="s">
        <v>192</v>
      </c>
      <c r="G69" s="5" t="s">
        <v>191</v>
      </c>
      <c r="M69" s="59"/>
    </row>
    <row r="70" spans="1:13" x14ac:dyDescent="0.25">
      <c r="A70" s="5" t="s">
        <v>190</v>
      </c>
      <c r="G70" s="5" t="s">
        <v>189</v>
      </c>
      <c r="M70" s="59"/>
    </row>
    <row r="71" spans="1:13" x14ac:dyDescent="0.25">
      <c r="A71" s="5" t="s">
        <v>188</v>
      </c>
      <c r="G71" s="5" t="s">
        <v>187</v>
      </c>
      <c r="M71" s="59"/>
    </row>
    <row r="72" spans="1:13" ht="15.75" thickBot="1" x14ac:dyDescent="0.3">
      <c r="A72" s="7" t="s">
        <v>186</v>
      </c>
      <c r="B72" s="58"/>
      <c r="C72" s="58"/>
      <c r="D72" s="58"/>
      <c r="E72" s="58"/>
      <c r="F72" s="58"/>
      <c r="G72" s="7" t="s">
        <v>185</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34</v>
      </c>
    </row>
    <row r="7" spans="2:5" x14ac:dyDescent="0.25">
      <c r="B7" t="s">
        <v>421</v>
      </c>
      <c r="D7">
        <v>0.47399999999999998</v>
      </c>
      <c r="E7" s="200">
        <v>0.47399999999999998</v>
      </c>
    </row>
    <row r="8" spans="2:5" x14ac:dyDescent="0.25">
      <c r="B8" t="s">
        <v>422</v>
      </c>
      <c r="D8">
        <v>7.3850399999999941E-2</v>
      </c>
      <c r="E8" s="200">
        <v>7.3850399999999941E-2</v>
      </c>
    </row>
    <row r="9" spans="2:5" x14ac:dyDescent="0.25">
      <c r="B9" t="s">
        <v>423</v>
      </c>
      <c r="D9">
        <v>0.38923999999999964</v>
      </c>
      <c r="E9" s="200">
        <v>0.38923999999999964</v>
      </c>
    </row>
    <row r="10" spans="2:5" x14ac:dyDescent="0.25">
      <c r="B10" t="s">
        <v>424</v>
      </c>
      <c r="D10">
        <v>6.2909599999999954E-2</v>
      </c>
      <c r="E10" s="200">
        <v>6.2909599999999954E-2</v>
      </c>
    </row>
    <row r="11" spans="2:5" x14ac:dyDescent="0.25">
      <c r="D11">
        <f>SUM(D7:D10)</f>
        <v>0.99999999999999956</v>
      </c>
      <c r="E11" s="34">
        <f>SUM(E7:E10)</f>
        <v>0.99999999999999956</v>
      </c>
    </row>
    <row r="13" spans="2:5" x14ac:dyDescent="0.25">
      <c r="B13" t="s">
        <v>422</v>
      </c>
      <c r="D13">
        <v>7.3850399999999941E-2</v>
      </c>
      <c r="E13" s="200">
        <f>D13/$D$16</f>
        <v>0.1404</v>
      </c>
    </row>
    <row r="14" spans="2:5" x14ac:dyDescent="0.25">
      <c r="B14" t="s">
        <v>423</v>
      </c>
      <c r="D14">
        <v>0.38923999999999964</v>
      </c>
      <c r="E14" s="200">
        <f t="shared" ref="E14:E15" si="0">D14/$D$16</f>
        <v>0.73999999999999988</v>
      </c>
    </row>
    <row r="15" spans="2:5" x14ac:dyDescent="0.25">
      <c r="B15" t="s">
        <v>424</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G29" sqref="G29"/>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6" t="s">
        <v>330</v>
      </c>
      <c r="B1" s="286"/>
      <c r="C1" s="286"/>
      <c r="E1" s="286" t="s">
        <v>331</v>
      </c>
      <c r="F1" s="286"/>
      <c r="G1" s="286"/>
    </row>
    <row r="2" spans="1:12" x14ac:dyDescent="0.25">
      <c r="A2" s="22" t="s">
        <v>31</v>
      </c>
      <c r="B2" s="22" t="s">
        <v>32</v>
      </c>
      <c r="C2" s="22" t="s">
        <v>6</v>
      </c>
      <c r="E2" s="22" t="s">
        <v>31</v>
      </c>
      <c r="F2" s="22" t="s">
        <v>32</v>
      </c>
      <c r="G2" s="22" t="s">
        <v>6</v>
      </c>
      <c r="J2" s="287" t="s">
        <v>62</v>
      </c>
      <c r="K2" s="287"/>
      <c r="L2" s="287"/>
    </row>
    <row r="3" spans="1:12" x14ac:dyDescent="0.25">
      <c r="A3" s="3">
        <v>1</v>
      </c>
      <c r="B3" s="3" t="s">
        <v>206</v>
      </c>
      <c r="C3" s="3"/>
      <c r="E3" s="3">
        <v>1</v>
      </c>
      <c r="F3" s="3" t="s">
        <v>124</v>
      </c>
      <c r="G3" s="3" t="s">
        <v>126</v>
      </c>
      <c r="J3" s="2" t="s">
        <v>31</v>
      </c>
      <c r="K3" s="2" t="s">
        <v>32</v>
      </c>
      <c r="L3" s="2" t="s">
        <v>6</v>
      </c>
    </row>
    <row r="4" spans="1:12" x14ac:dyDescent="0.25">
      <c r="A4" s="3">
        <v>2</v>
      </c>
      <c r="B4" s="3" t="s">
        <v>205</v>
      </c>
      <c r="C4" s="3"/>
      <c r="E4" s="3">
        <v>2</v>
      </c>
      <c r="F4" s="3" t="s">
        <v>125</v>
      </c>
      <c r="G4" s="3" t="s">
        <v>127</v>
      </c>
      <c r="J4" s="3">
        <v>1</v>
      </c>
      <c r="K4" s="3" t="s">
        <v>99</v>
      </c>
      <c r="L4" s="3" t="s">
        <v>99</v>
      </c>
    </row>
    <row r="5" spans="1:12" x14ac:dyDescent="0.25">
      <c r="A5">
        <v>3</v>
      </c>
      <c r="B5" t="s">
        <v>121</v>
      </c>
      <c r="E5" s="3">
        <v>3</v>
      </c>
      <c r="F5" s="3" t="s">
        <v>129</v>
      </c>
      <c r="G5" s="3" t="s">
        <v>130</v>
      </c>
      <c r="J5">
        <v>2</v>
      </c>
      <c r="K5" t="s">
        <v>16</v>
      </c>
      <c r="L5" t="s">
        <v>16</v>
      </c>
    </row>
    <row r="6" spans="1:12" x14ac:dyDescent="0.25">
      <c r="E6" s="3">
        <v>4</v>
      </c>
      <c r="F6" s="3" t="s">
        <v>123</v>
      </c>
      <c r="G6" s="3" t="s">
        <v>128</v>
      </c>
      <c r="J6" s="3">
        <v>3</v>
      </c>
      <c r="K6" s="3" t="s">
        <v>100</v>
      </c>
      <c r="L6" s="3" t="s">
        <v>100</v>
      </c>
    </row>
    <row r="7" spans="1:12" x14ac:dyDescent="0.25">
      <c r="J7">
        <v>4</v>
      </c>
      <c r="K7" t="s">
        <v>101</v>
      </c>
      <c r="L7" t="s">
        <v>101</v>
      </c>
    </row>
    <row r="8" spans="1:12" x14ac:dyDescent="0.25">
      <c r="J8" s="3">
        <v>5</v>
      </c>
      <c r="K8" s="3" t="s">
        <v>102</v>
      </c>
      <c r="L8" s="3" t="s">
        <v>102</v>
      </c>
    </row>
    <row r="9" spans="1:12" x14ac:dyDescent="0.25">
      <c r="A9" s="286" t="s">
        <v>332</v>
      </c>
      <c r="B9" s="286"/>
      <c r="C9" s="286"/>
      <c r="J9">
        <v>6</v>
      </c>
    </row>
    <row r="10" spans="1:12" x14ac:dyDescent="0.25">
      <c r="A10" t="s">
        <v>31</v>
      </c>
      <c r="B10" t="s">
        <v>209</v>
      </c>
      <c r="C10" t="s">
        <v>6</v>
      </c>
      <c r="E10" s="286"/>
      <c r="F10" s="286"/>
      <c r="G10" s="286"/>
    </row>
    <row r="11" spans="1:12" x14ac:dyDescent="0.25">
      <c r="B11" t="s">
        <v>430</v>
      </c>
      <c r="E11" s="201"/>
      <c r="F11" s="201"/>
      <c r="G11" s="201"/>
    </row>
    <row r="12" spans="1:12" x14ac:dyDescent="0.25">
      <c r="B12" t="s">
        <v>444</v>
      </c>
      <c r="E12" s="201"/>
      <c r="F12" s="201"/>
      <c r="G12" s="201"/>
    </row>
    <row r="13" spans="1:12" x14ac:dyDescent="0.25">
      <c r="B13" t="s">
        <v>446</v>
      </c>
      <c r="E13" s="201"/>
      <c r="F13" s="201"/>
      <c r="G13" s="201"/>
    </row>
    <row r="14" spans="1:12" x14ac:dyDescent="0.25">
      <c r="B14" t="s">
        <v>445</v>
      </c>
      <c r="C14" t="s">
        <v>431</v>
      </c>
      <c r="E14" s="201"/>
      <c r="F14" s="201"/>
      <c r="G14" s="201"/>
    </row>
    <row r="15" spans="1:12" x14ac:dyDescent="0.25">
      <c r="B15" t="s">
        <v>447</v>
      </c>
      <c r="E15" s="201"/>
      <c r="F15" s="201"/>
      <c r="G15" s="201"/>
    </row>
    <row r="16" spans="1:12" x14ac:dyDescent="0.25">
      <c r="B16" t="s">
        <v>433</v>
      </c>
      <c r="E16" s="201"/>
      <c r="F16" s="201"/>
      <c r="G16" s="201"/>
    </row>
    <row r="17" spans="1:12" x14ac:dyDescent="0.25">
      <c r="B17" t="s">
        <v>443</v>
      </c>
      <c r="E17" s="201"/>
      <c r="F17" s="201"/>
      <c r="G17" s="201"/>
    </row>
    <row r="18" spans="1:12" x14ac:dyDescent="0.25">
      <c r="B18" t="s">
        <v>434</v>
      </c>
      <c r="E18" s="201"/>
      <c r="F18" s="201"/>
      <c r="G18" s="201"/>
    </row>
    <row r="19" spans="1:12" x14ac:dyDescent="0.25">
      <c r="E19" s="201"/>
      <c r="F19" s="201"/>
      <c r="G19" s="201"/>
    </row>
    <row r="20" spans="1:12" x14ac:dyDescent="0.25">
      <c r="A20" s="286" t="s">
        <v>441</v>
      </c>
      <c r="B20" s="286"/>
      <c r="C20" s="286"/>
    </row>
    <row r="21" spans="1:12" x14ac:dyDescent="0.25">
      <c r="A21" t="s">
        <v>301</v>
      </c>
      <c r="B21" t="s">
        <v>432</v>
      </c>
      <c r="C21" t="s">
        <v>6</v>
      </c>
    </row>
    <row r="22" spans="1:12" x14ac:dyDescent="0.25">
      <c r="A22">
        <v>1</v>
      </c>
      <c r="B22" t="s">
        <v>435</v>
      </c>
    </row>
    <row r="23" spans="1:12" x14ac:dyDescent="0.25">
      <c r="A23">
        <v>2</v>
      </c>
      <c r="B23" t="s">
        <v>436</v>
      </c>
    </row>
    <row r="24" spans="1:12" x14ac:dyDescent="0.25">
      <c r="A24">
        <v>3</v>
      </c>
      <c r="B24" t="s">
        <v>437</v>
      </c>
    </row>
    <row r="25" spans="1:12" x14ac:dyDescent="0.25">
      <c r="A25">
        <v>4</v>
      </c>
      <c r="B25" t="s">
        <v>438</v>
      </c>
    </row>
    <row r="26" spans="1:12" x14ac:dyDescent="0.25">
      <c r="A26" t="s">
        <v>439</v>
      </c>
      <c r="B26" t="s">
        <v>439</v>
      </c>
    </row>
    <row r="27" spans="1:12" x14ac:dyDescent="0.25">
      <c r="A27" t="s">
        <v>440</v>
      </c>
      <c r="B27" t="s">
        <v>440</v>
      </c>
    </row>
    <row r="28" spans="1:12" x14ac:dyDescent="0.25">
      <c r="J28" s="287" t="s">
        <v>62</v>
      </c>
      <c r="K28" s="287"/>
      <c r="L28" s="287"/>
    </row>
    <row r="29" spans="1:12" x14ac:dyDescent="0.25">
      <c r="J29" s="2" t="s">
        <v>31</v>
      </c>
      <c r="K29" s="2" t="s">
        <v>32</v>
      </c>
      <c r="L29" s="2" t="s">
        <v>6</v>
      </c>
    </row>
    <row r="30" spans="1:12" x14ac:dyDescent="0.25">
      <c r="J30" s="3">
        <v>1</v>
      </c>
      <c r="K30" s="3" t="s">
        <v>99</v>
      </c>
      <c r="L30" s="3" t="s">
        <v>99</v>
      </c>
    </row>
    <row r="31" spans="1:12" x14ac:dyDescent="0.25">
      <c r="A31" s="286" t="s">
        <v>333</v>
      </c>
      <c r="B31" s="286"/>
      <c r="C31" s="286"/>
      <c r="J31">
        <v>2</v>
      </c>
      <c r="K31" t="s">
        <v>16</v>
      </c>
      <c r="L31" t="s">
        <v>16</v>
      </c>
    </row>
    <row r="32" spans="1:12" x14ac:dyDescent="0.25">
      <c r="A32" t="s">
        <v>31</v>
      </c>
      <c r="B32" t="s">
        <v>334</v>
      </c>
      <c r="C32" t="s">
        <v>6</v>
      </c>
      <c r="J32" s="3">
        <v>3</v>
      </c>
      <c r="K32" s="3" t="s">
        <v>100</v>
      </c>
      <c r="L32" s="3" t="s">
        <v>100</v>
      </c>
    </row>
    <row r="33" spans="1:12" x14ac:dyDescent="0.25">
      <c r="A33">
        <v>1</v>
      </c>
      <c r="B33" t="s">
        <v>310</v>
      </c>
      <c r="C33" t="s">
        <v>335</v>
      </c>
      <c r="J33">
        <v>4</v>
      </c>
      <c r="K33" t="s">
        <v>101</v>
      </c>
      <c r="L33" t="s">
        <v>101</v>
      </c>
    </row>
    <row r="34" spans="1:12" x14ac:dyDescent="0.25">
      <c r="A34">
        <v>2</v>
      </c>
      <c r="B34" t="s">
        <v>311</v>
      </c>
      <c r="C34" t="s">
        <v>336</v>
      </c>
      <c r="J34" s="3">
        <v>5</v>
      </c>
      <c r="K34" s="3" t="s">
        <v>102</v>
      </c>
      <c r="L34" s="3" t="s">
        <v>102</v>
      </c>
    </row>
    <row r="35" spans="1:12" x14ac:dyDescent="0.25">
      <c r="A35">
        <v>3</v>
      </c>
      <c r="B35" t="s">
        <v>312</v>
      </c>
      <c r="C35" t="s">
        <v>337</v>
      </c>
    </row>
    <row r="36" spans="1:12" x14ac:dyDescent="0.25">
      <c r="A36">
        <v>4</v>
      </c>
    </row>
    <row r="38" spans="1:12" x14ac:dyDescent="0.25">
      <c r="A38" s="286" t="s">
        <v>338</v>
      </c>
      <c r="B38" s="286"/>
      <c r="C38" s="286"/>
    </row>
    <row r="39" spans="1:12" x14ac:dyDescent="0.25">
      <c r="A39" t="s">
        <v>301</v>
      </c>
      <c r="B39" t="s">
        <v>339</v>
      </c>
      <c r="C39" t="s">
        <v>6</v>
      </c>
    </row>
    <row r="40" spans="1:12" x14ac:dyDescent="0.25">
      <c r="A40">
        <v>1</v>
      </c>
      <c r="B40" t="s">
        <v>302</v>
      </c>
      <c r="F40" s="286" t="s">
        <v>63</v>
      </c>
      <c r="G40" s="286"/>
      <c r="H40" s="286"/>
    </row>
    <row r="41" spans="1:12" x14ac:dyDescent="0.25">
      <c r="A41">
        <v>2</v>
      </c>
      <c r="B41" t="s">
        <v>303</v>
      </c>
      <c r="F41" t="s">
        <v>31</v>
      </c>
      <c r="G41" t="s">
        <v>32</v>
      </c>
      <c r="H41" t="s">
        <v>6</v>
      </c>
    </row>
    <row r="42" spans="1:12" x14ac:dyDescent="0.25">
      <c r="A42">
        <v>3</v>
      </c>
      <c r="B42" t="s">
        <v>304</v>
      </c>
      <c r="F42">
        <v>1</v>
      </c>
      <c r="G42" t="s">
        <v>33</v>
      </c>
      <c r="H42" t="s">
        <v>33</v>
      </c>
    </row>
    <row r="43" spans="1:12" x14ac:dyDescent="0.25">
      <c r="A43">
        <v>4</v>
      </c>
      <c r="B43" t="s">
        <v>305</v>
      </c>
      <c r="F43">
        <v>2</v>
      </c>
      <c r="G43" t="s">
        <v>14</v>
      </c>
      <c r="H43" t="s">
        <v>14</v>
      </c>
    </row>
    <row r="44" spans="1:12" x14ac:dyDescent="0.25">
      <c r="A44">
        <v>5</v>
      </c>
      <c r="B44" t="s">
        <v>306</v>
      </c>
      <c r="F44">
        <v>3</v>
      </c>
      <c r="G44" t="s">
        <v>15</v>
      </c>
      <c r="H44" t="s">
        <v>15</v>
      </c>
    </row>
    <row r="45" spans="1:12" x14ac:dyDescent="0.25">
      <c r="A45">
        <v>6</v>
      </c>
      <c r="B45" t="s">
        <v>307</v>
      </c>
      <c r="F45">
        <v>4</v>
      </c>
      <c r="G45" t="s">
        <v>103</v>
      </c>
      <c r="H45" t="s">
        <v>103</v>
      </c>
    </row>
    <row r="46" spans="1:12" x14ac:dyDescent="0.25">
      <c r="A46">
        <v>7</v>
      </c>
      <c r="B46" t="s">
        <v>308</v>
      </c>
      <c r="F46">
        <v>5</v>
      </c>
    </row>
    <row r="47" spans="1:12" x14ac:dyDescent="0.25">
      <c r="A47">
        <v>8</v>
      </c>
      <c r="F47">
        <v>6</v>
      </c>
    </row>
    <row r="48" spans="1:12" x14ac:dyDescent="0.25">
      <c r="A48">
        <v>9</v>
      </c>
      <c r="F48">
        <v>7</v>
      </c>
    </row>
    <row r="49" spans="1:6" x14ac:dyDescent="0.25">
      <c r="F49">
        <v>8</v>
      </c>
    </row>
    <row r="51" spans="1:6" x14ac:dyDescent="0.25">
      <c r="A51" s="286" t="s">
        <v>340</v>
      </c>
      <c r="B51" s="286"/>
    </row>
    <row r="52" spans="1:6" x14ac:dyDescent="0.25">
      <c r="A52" t="s">
        <v>31</v>
      </c>
      <c r="B52" t="s">
        <v>35</v>
      </c>
    </row>
    <row r="53" spans="1:6" x14ac:dyDescent="0.25">
      <c r="A53">
        <v>1</v>
      </c>
      <c r="B53" t="s">
        <v>7</v>
      </c>
    </row>
    <row r="54" spans="1:6" x14ac:dyDescent="0.25">
      <c r="A54">
        <v>2</v>
      </c>
      <c r="B54" t="s">
        <v>8</v>
      </c>
    </row>
    <row r="56" spans="1:6" x14ac:dyDescent="0.25">
      <c r="A56" t="s">
        <v>301</v>
      </c>
      <c r="B56" t="s">
        <v>339</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301</v>
      </c>
      <c r="B68" t="s">
        <v>414</v>
      </c>
      <c r="C68" t="s">
        <v>6</v>
      </c>
      <c r="E68" t="s">
        <v>301</v>
      </c>
      <c r="F68" t="s">
        <v>408</v>
      </c>
      <c r="G68" t="s">
        <v>6</v>
      </c>
      <c r="I68" t="s">
        <v>301</v>
      </c>
      <c r="J68" t="s">
        <v>409</v>
      </c>
      <c r="K68" t="s">
        <v>6</v>
      </c>
      <c r="M68" t="s">
        <v>301</v>
      </c>
      <c r="N68" t="s">
        <v>410</v>
      </c>
      <c r="O68" t="s">
        <v>6</v>
      </c>
      <c r="Q68" t="s">
        <v>301</v>
      </c>
      <c r="R68" t="s">
        <v>411</v>
      </c>
      <c r="S68" t="s">
        <v>6</v>
      </c>
      <c r="U68" t="s">
        <v>301</v>
      </c>
      <c r="V68" t="s">
        <v>415</v>
      </c>
      <c r="W68" t="s">
        <v>6</v>
      </c>
    </row>
    <row r="69" spans="1:23" x14ac:dyDescent="0.25">
      <c r="A69">
        <v>1</v>
      </c>
      <c r="B69" t="s">
        <v>416</v>
      </c>
      <c r="E69">
        <v>1</v>
      </c>
      <c r="F69" t="s">
        <v>399</v>
      </c>
      <c r="I69">
        <v>1</v>
      </c>
      <c r="J69" t="s">
        <v>401</v>
      </c>
      <c r="M69">
        <v>1</v>
      </c>
      <c r="N69" t="s">
        <v>403</v>
      </c>
      <c r="Q69">
        <v>1</v>
      </c>
      <c r="R69" t="s">
        <v>405</v>
      </c>
      <c r="U69">
        <v>1</v>
      </c>
      <c r="V69" t="s">
        <v>399</v>
      </c>
    </row>
    <row r="70" spans="1:23" x14ac:dyDescent="0.25">
      <c r="A70">
        <v>2</v>
      </c>
      <c r="B70" t="s">
        <v>419</v>
      </c>
      <c r="E70">
        <v>2</v>
      </c>
      <c r="F70" t="s">
        <v>400</v>
      </c>
      <c r="I70">
        <v>2</v>
      </c>
      <c r="J70" t="s">
        <v>402</v>
      </c>
      <c r="M70">
        <v>2</v>
      </c>
      <c r="N70" t="s">
        <v>404</v>
      </c>
      <c r="Q70">
        <v>2</v>
      </c>
      <c r="R70" t="s">
        <v>406</v>
      </c>
      <c r="U70">
        <v>2</v>
      </c>
      <c r="V70" t="s">
        <v>400</v>
      </c>
    </row>
    <row r="71" spans="1:23" x14ac:dyDescent="0.25">
      <c r="A71">
        <v>3</v>
      </c>
      <c r="B71" t="s">
        <v>417</v>
      </c>
      <c r="E71">
        <v>3</v>
      </c>
      <c r="I71">
        <v>3</v>
      </c>
      <c r="M71">
        <v>3</v>
      </c>
      <c r="Q71">
        <v>3</v>
      </c>
      <c r="R71" t="s">
        <v>407</v>
      </c>
      <c r="U71">
        <v>3</v>
      </c>
      <c r="V71" t="s">
        <v>401</v>
      </c>
    </row>
    <row r="72" spans="1:23" x14ac:dyDescent="0.25">
      <c r="A72">
        <v>4</v>
      </c>
      <c r="B72" t="s">
        <v>418</v>
      </c>
      <c r="E72">
        <v>4</v>
      </c>
      <c r="I72">
        <v>4</v>
      </c>
      <c r="M72">
        <v>4</v>
      </c>
      <c r="Q72">
        <v>4</v>
      </c>
      <c r="U72">
        <v>4</v>
      </c>
      <c r="V72" t="s">
        <v>402</v>
      </c>
    </row>
    <row r="73" spans="1:23" x14ac:dyDescent="0.25">
      <c r="A73">
        <v>5</v>
      </c>
      <c r="B73" t="s">
        <v>420</v>
      </c>
      <c r="E73">
        <v>5</v>
      </c>
      <c r="I73">
        <v>5</v>
      </c>
      <c r="M73">
        <v>5</v>
      </c>
      <c r="Q73">
        <v>5</v>
      </c>
      <c r="U73">
        <v>5</v>
      </c>
      <c r="V73" t="s">
        <v>403</v>
      </c>
    </row>
    <row r="74" spans="1:23" x14ac:dyDescent="0.25">
      <c r="A74">
        <v>6</v>
      </c>
      <c r="E74">
        <v>6</v>
      </c>
      <c r="I74">
        <v>6</v>
      </c>
      <c r="M74">
        <v>6</v>
      </c>
      <c r="Q74">
        <v>6</v>
      </c>
      <c r="U74">
        <v>6</v>
      </c>
      <c r="V74" t="s">
        <v>404</v>
      </c>
    </row>
    <row r="75" spans="1:23" x14ac:dyDescent="0.25">
      <c r="A75">
        <v>7</v>
      </c>
      <c r="E75">
        <v>7</v>
      </c>
      <c r="I75">
        <v>7</v>
      </c>
      <c r="M75">
        <v>7</v>
      </c>
      <c r="Q75">
        <v>7</v>
      </c>
      <c r="U75">
        <v>7</v>
      </c>
      <c r="V75" t="s">
        <v>405</v>
      </c>
    </row>
    <row r="76" spans="1:23" x14ac:dyDescent="0.25">
      <c r="A76">
        <v>8</v>
      </c>
      <c r="E76">
        <v>8</v>
      </c>
      <c r="I76">
        <v>8</v>
      </c>
      <c r="M76">
        <v>8</v>
      </c>
      <c r="Q76">
        <v>8</v>
      </c>
      <c r="U76">
        <v>8</v>
      </c>
      <c r="V76" t="s">
        <v>406</v>
      </c>
    </row>
    <row r="77" spans="1:23" x14ac:dyDescent="0.25">
      <c r="A77">
        <v>9</v>
      </c>
      <c r="E77">
        <v>9</v>
      </c>
      <c r="I77">
        <v>9</v>
      </c>
      <c r="M77">
        <v>9</v>
      </c>
      <c r="Q77">
        <v>9</v>
      </c>
      <c r="U77">
        <v>9</v>
      </c>
      <c r="V77" t="s">
        <v>407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301</v>
      </c>
      <c r="B88" t="s">
        <v>453</v>
      </c>
      <c r="C88" t="s">
        <v>6</v>
      </c>
    </row>
    <row r="89" spans="1:21" x14ac:dyDescent="0.25">
      <c r="A89">
        <v>1</v>
      </c>
      <c r="B89" t="s">
        <v>450</v>
      </c>
      <c r="C89" t="s">
        <v>454</v>
      </c>
    </row>
    <row r="90" spans="1:21" ht="135" x14ac:dyDescent="0.25">
      <c r="A90">
        <v>2</v>
      </c>
      <c r="B90" t="s">
        <v>456</v>
      </c>
      <c r="C90" s="1" t="s">
        <v>455</v>
      </c>
    </row>
    <row r="91" spans="1:21" ht="75" x14ac:dyDescent="0.25">
      <c r="A91">
        <v>3</v>
      </c>
      <c r="B91" t="s">
        <v>451</v>
      </c>
      <c r="C91" s="1" t="s">
        <v>457</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2025-09-15T17:05:31Z</dcterms:modified>
</cp:coreProperties>
</file>