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E5B8DDDF-9DBC-4562-9465-41C724307A7A}" xr6:coauthVersionLast="47" xr6:coauthVersionMax="47" xr10:uidLastSave="{00000000-0000-0000-0000-000000000000}"/>
  <bookViews>
    <workbookView xWindow="38295" yWindow="-8745" windowWidth="16410" windowHeight="15105" tabRatio="840" firstSheet="7" activeTab="11"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3. TC_Data" sheetId="28" r:id="rId15"/>
    <sheet name="PX - Template" sheetId="27" r:id="rId16"/>
    <sheet name="4. Calculation_factors&gt;&gt;&gt;&gt;" sheetId="13" r:id="rId17"/>
    <sheet name="Sheet2" sheetId="43" r:id="rId18"/>
    <sheet name="4. Codelists&gt;&gt;&gt;&gt;" sheetId="3" r:id="rId19"/>
    <sheet name="4_1 Codelists" sheetId="17" r:id="rId20"/>
    <sheet name="5. Wastefiles &gt;&gt;&gt;&gt;" sheetId="14" r:id="rId21"/>
  </sheets>
  <externalReferences>
    <externalReference r:id="rId22"/>
  </externalReference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37" l="1"/>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0" i="39"/>
  <c r="E14" i="43"/>
  <c r="E15" i="43"/>
  <c r="E13" i="43"/>
  <c r="D16" i="43"/>
  <c r="E11" i="43"/>
  <c r="D11" i="43"/>
  <c r="B2" i="43"/>
  <c r="C21" i="38" l="1" a="1"/>
  <c r="C21" i="38" s="1"/>
  <c r="A13" i="42"/>
  <c r="A12" i="42"/>
  <c r="A11" i="42"/>
  <c r="A10" i="42"/>
  <c r="A9" i="42"/>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2"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2" i="39"/>
  <c r="I3" i="39"/>
  <c r="I4" i="3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2" i="39"/>
  <c r="I2"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7" i="39"/>
  <c r="G7" i="39"/>
  <c r="F7" i="39"/>
  <c r="E7" i="39"/>
  <c r="C7" i="39"/>
  <c r="B7"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C7" i="37"/>
  <c r="B7" i="37"/>
  <c r="K6" i="37"/>
  <c r="J6" i="37"/>
  <c r="I6" i="37"/>
  <c r="H6" i="37"/>
  <c r="G6" i="37"/>
  <c r="F6" i="37"/>
  <c r="E6" i="37"/>
  <c r="C6" i="37"/>
  <c r="B6" i="37"/>
  <c r="K5" i="37"/>
  <c r="J5" i="37"/>
  <c r="I5" i="37"/>
  <c r="H5" i="37"/>
  <c r="G5" i="37"/>
  <c r="F5" i="37"/>
  <c r="E5" i="37"/>
  <c r="C5" i="37"/>
  <c r="B5" i="37"/>
  <c r="K4" i="37"/>
  <c r="J4" i="37"/>
  <c r="I4" i="37"/>
  <c r="H4" i="37"/>
  <c r="G4" i="37"/>
  <c r="F4" i="37"/>
  <c r="E4" i="37"/>
  <c r="C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Q2" i="21" l="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16" i="15"/>
  <c r="U17" i="15"/>
  <c r="U18" i="15"/>
  <c r="U19" i="15"/>
  <c r="U20" i="15"/>
  <c r="U21"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N3" i="39" s="1"/>
  <c r="O3" i="39" s="1"/>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7" i="39" l="1"/>
  <c r="O7"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0" i="39" s="1"/>
  <c r="O10"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3" i="39" l="1"/>
  <c r="O13"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0" i="39" l="1"/>
  <c r="O40" i="39" s="1"/>
  <c r="N42" i="39"/>
  <c r="O42" i="39" s="1"/>
  <c r="N19" i="39"/>
  <c r="O19" i="39" s="1"/>
  <c r="N32" i="39"/>
  <c r="O32" i="39" s="1"/>
  <c r="N23" i="39"/>
  <c r="O23"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2" i="39" s="1"/>
  <c r="O12" i="39" s="1"/>
  <c r="C10" i="15"/>
  <c r="R17" i="16"/>
  <c r="AD10" i="16"/>
  <c r="C11" i="15"/>
  <c r="N6" i="39" s="1"/>
  <c r="O6" i="39" s="1"/>
  <c r="C17" i="15"/>
  <c r="N47" i="39" s="1"/>
  <c r="O47"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4" i="39" l="1"/>
  <c r="O24" i="39" s="1"/>
  <c r="N15" i="39"/>
  <c r="O15" i="39" s="1"/>
  <c r="N49" i="39"/>
  <c r="O49" i="39" s="1"/>
  <c r="N28" i="39"/>
  <c r="O28" i="39" s="1"/>
  <c r="N41" i="39"/>
  <c r="O41" i="39" s="1"/>
  <c r="N27" i="39"/>
  <c r="O27" i="39" s="1"/>
  <c r="N52" i="39"/>
  <c r="O52" i="39" s="1"/>
  <c r="N54" i="39"/>
  <c r="O54" i="39" s="1"/>
  <c r="N57" i="39"/>
  <c r="O57" i="39" s="1"/>
  <c r="N31" i="39"/>
  <c r="O31" i="39" s="1"/>
  <c r="N34" i="39"/>
  <c r="O34" i="39" s="1"/>
  <c r="N48" i="39"/>
  <c r="O48" i="39" s="1"/>
  <c r="N51" i="39"/>
  <c r="O51" i="39" s="1"/>
  <c r="N38" i="39"/>
  <c r="O38" i="39" s="1"/>
  <c r="N37" i="39"/>
  <c r="O37" i="39" s="1"/>
  <c r="N35" i="39"/>
  <c r="O35" i="39" s="1"/>
  <c r="N55" i="39"/>
  <c r="O55" i="39" s="1"/>
  <c r="N29" i="39"/>
  <c r="O29" i="39" s="1"/>
  <c r="N50" i="39"/>
  <c r="O50" i="39" s="1"/>
  <c r="N30" i="39"/>
  <c r="O30" i="39" s="1"/>
  <c r="N45" i="39"/>
  <c r="O45" i="39" s="1"/>
  <c r="N18" i="39"/>
  <c r="O18" i="39" s="1"/>
  <c r="N16" i="39"/>
  <c r="O16" i="39" s="1"/>
  <c r="AF7" i="16"/>
  <c r="N33" i="39"/>
  <c r="O33" i="39" s="1"/>
  <c r="N21" i="39"/>
  <c r="O21" i="39" s="1"/>
  <c r="N58" i="39"/>
  <c r="O58" i="39" s="1"/>
  <c r="N22" i="39"/>
  <c r="O22" i="39" s="1"/>
  <c r="N36" i="39"/>
  <c r="O36" i="39" s="1"/>
  <c r="N39" i="39"/>
  <c r="O39" i="39" s="1"/>
  <c r="N14" i="39"/>
  <c r="O14" i="39" s="1"/>
  <c r="N43" i="39"/>
  <c r="O43" i="39" s="1"/>
  <c r="N25" i="39"/>
  <c r="O25" i="39" s="1"/>
  <c r="N17" i="39"/>
  <c r="O17" i="39" s="1"/>
  <c r="N20" i="39"/>
  <c r="O20" i="39" s="1"/>
  <c r="N53" i="39"/>
  <c r="O53" i="39" s="1"/>
  <c r="N26" i="39"/>
  <c r="O26" i="39" s="1"/>
  <c r="N56" i="39"/>
  <c r="O56" i="39" s="1"/>
  <c r="N44" i="39"/>
  <c r="O44" i="39" s="1"/>
  <c r="N46" i="39"/>
  <c r="O46" i="39" s="1"/>
  <c r="BD2" i="33"/>
  <c r="I2" i="33"/>
  <c r="AY2" i="33"/>
  <c r="AO2" i="33"/>
  <c r="AE2" i="33"/>
  <c r="AJ2" i="33"/>
  <c r="AT2" i="33"/>
  <c r="AD7" i="16"/>
  <c r="H5" i="33"/>
  <c r="AY5" i="33" s="1"/>
  <c r="N5" i="39"/>
  <c r="O5" i="39" s="1"/>
  <c r="AB10" i="16"/>
  <c r="N8" i="39"/>
  <c r="O8" i="39" s="1"/>
  <c r="N11" i="39"/>
  <c r="O11" i="39" s="1"/>
  <c r="H15" i="33"/>
  <c r="BD15" i="33" s="1"/>
  <c r="N9" i="39"/>
  <c r="O9"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<sst xmlns="http://schemas.openxmlformats.org/spreadsheetml/2006/main" count="1882" uniqueCount="516">
  <si>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</si>
  <si>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</si>
  <si>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</si>
  <si>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</si>
  <si>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</si>
  <si>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</si>
  <si>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</si>
  <si>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</si>
  <si>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</si>
  <si>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</si>
  <si>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</si>
  <si>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</si>
  <si>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</si>
  <si>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</si>
  <si>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</si>
  <si>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</si>
  <si>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</si>
  <si>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</si>
  <si>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</si>
  <si>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</si>
  <si>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</si>
  <si>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</si>
  <si>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</si>
  <si>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</si>
  <si>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</si>
  <si>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</si>
  <si>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</si>
  <si>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</si>
  <si>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</si>
  <si>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</si>
  <si>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</si>
  <si>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</si>
  <si>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</si>
  <si>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</si>
  <si>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</si>
  <si>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</si>
  <si>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</si>
  <si>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</si>
  <si>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</si>
  <si>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</si>
  <si>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</si>
  <si>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</si>
  <si>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</si>
  <si>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</si>
  <si>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</si>
  <si>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</si>
  <si>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</si>
  <si>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</si>
  <si>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</si>
  <si>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</si>
  <si>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</si>
  <si>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</si>
  <si>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</si>
  <si>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</si>
  <si>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</si>
  <si>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</si>
  <si>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</si>
  <si>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</si>
  <si>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</si>
  <si>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</si>
  <si>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</si>
  <si>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</si>
  <si>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</si>
  <si>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</si>
  <si>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</si>
  <si>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</si>
  <si>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</si>
  <si>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</si>
  <si>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</si>
  <si>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</si>
  <si>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</si>
  <si>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</si>
  <si>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</si>
  <si>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</si>
  <si>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</si>
  <si>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</si>
  <si>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</si>
  <si>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</si>
  <si>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</si>
  <si>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</si>
  <si>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</si>
  <si>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</si>
  <si>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</si>
  <si>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</si>
  <si>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</si>
  <si>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</si>
  <si>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</si>
  <si>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</si>
  <si>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</si>
  <si>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</si>
  <si>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</si>
  <si>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</si>
  <si>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</si>
  <si>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</si>
  <si>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</si>
  <si>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</si>
  <si>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</si>
  <si>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</si>
  <si>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</si>
  <si>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</si>
  <si>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</si>
  <si>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</si>
  <si>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</si>
  <si>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</si>
  <si>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</si>
  <si>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</si>
  <si>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</si>
  <si>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</si>
  <si>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</si>
  <si>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</si>
  <si>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</si>
  <si>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</si>
  <si>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</si>
  <si>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</si>
  <si>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</si>
  <si>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</si>
  <si>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</si>
  <si>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</si>
  <si>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</si>
  <si>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</si>
  <si>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</si>
  <si>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</si>
  <si>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</si>
  <si>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</si>
  <si>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</si>
  <si>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</si>
  <si>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</si>
  <si>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</si>
  <si>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</si>
  <si>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</si>
  <si>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</si>
  <si>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</si>
  <si>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</si>
  <si>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</si>
  <si>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</si>
  <si>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</si>
  <si>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</si>
  <si>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</si>
  <si>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</si>
  <si>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</si>
  <si>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</si>
  <si>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</si>
  <si>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</si>
  <si>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</si>
  <si>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</si>
  <si>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</si>
  <si>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</si>
  <si>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</si>
  <si>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</si>
  <si>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</si>
  <si>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</si>
  <si>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</si>
  <si>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</si>
  <si>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</si>
  <si>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</si>
  <si>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</si>
  <si>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</si>
  <si>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</si>
  <si>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</si>
  <si>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</si>
  <si>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</si>
  <si>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</si>
  <si>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</si>
  <si>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</si>
  <si>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</si>
  <si>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</si>
  <si>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</si>
  <si>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</si>
  <si>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</si>
  <si>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</si>
  <si>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</si>
  <si>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</si>
  <si>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</si>
  <si>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</si>
  <si>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</si>
  <si>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</si>
  <si>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</si>
  <si>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</si>
  <si>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</si>
  <si>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</si>
  <si>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</si>
  <si>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</si>
  <si>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</si>
  <si>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</si>
  <si>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</si>
  <si>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</si>
  <si>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</si>
  <si>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</si>
  <si>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</si>
  <si>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</si>
  <si>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</si>
  <si>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</si>
  <si>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</si>
  <si>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</si>
  <si>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</si>
  <si>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</si>
  <si>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</si>
  <si>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</si>
  <si>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</si>
  <si>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</si>
  <si>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</si>
  <si>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</si>
  <si>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</si>
  <si>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</si>
  <si>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</si>
  <si>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</si>
  <si>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</si>
  <si>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</si>
  <si>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</si>
  <si>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</si>
  <si>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</si>
  <si>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</si>
  <si>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</si>
  <si>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</si>
  <si>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</si>
  <si>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</si>
  <si>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</si>
  <si>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</si>
  <si>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</si>
  <si>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</si>
  <si>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</si>
  <si>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</si>
  <si>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</si>
  <si>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</si>
  <si>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</si>
  <si>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</si>
  <si>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</si>
  <si>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</si>
  <si>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</si>
  <si>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</si>
  <si>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</si>
  <si>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</si>
  <si>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</si>
  <si>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</si>
  <si>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</si>
  <si>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</si>
  <si>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</si>
  <si>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</si>
  <si>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</si>
  <si>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</si>
  <si>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</si>
  <si>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</si>
  <si>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</si>
  <si>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</si>
  <si>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</si>
  <si>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</si>
  <si>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</si>
  <si>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</si>
  <si>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</si>
  <si>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</si>
  <si>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</si>
  <si>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</si>
  <si>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</si>
  <si>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</si>
  <si>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</si>
  <si>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</si>
  <si>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</si>
  <si>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</si>
  <si>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</si>
  <si>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</si>
  <si>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</si>
  <si>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</si>
  <si>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</si>
  <si>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</si>
  <si>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</si>
  <si>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</si>
  <si>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</si>
  <si>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</si>
  <si>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</si>
  <si>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</si>
  <si>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</si>
  <si>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</si>
  <si>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</si>
  <si>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</si>
  <si>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</si>
  <si>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</si>
  <si>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</si>
  <si>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</si>
  <si>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</si>
  <si>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</si>
  <si>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</si>
  <si>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</si>
  <si>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</si>
  <si>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</si>
  <si>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</si>
  <si>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</si>
  <si>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</si>
  <si>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</si>
  <si>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</si>
  <si>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</si>
  <si>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</si>
  <si>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</si>
  <si>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</si>
  <si>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</si>
  <si>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</si>
  <si>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</si>
  <si>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</si>
  <si>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</si>
  <si>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</si>
  <si>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</si>
  <si>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</si>
  <si>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</si>
  <si>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</si>
  <si>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</si>
  <si>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</si>
  <si>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</si>
  <si>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</si>
  <si>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</si>
  <si>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</si>
  <si>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</si>
  <si>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</si>
  <si>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</si>
  <si>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</si>
  <si>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</si>
  <si>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</si>
  <si>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</si>
  <si>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</si>
  <si>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</si>
  <si>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</si>
  <si>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</si>
  <si>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</si>
  <si>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</si>
  <si>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</si>
  <si>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</si>
  <si>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</si>
  <si>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</si>
  <si>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</si>
  <si>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</si>
  <si>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</si>
  <si>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</si>
  <si>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</si>
  <si>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</si>
  <si>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</si>
  <si>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</si>
  <si>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</si>
  <si>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</si>
  <si>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</si>
  <si>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</si>
  <si>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</si>
  <si>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</si>
  <si>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</si>
  <si>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</si>
  <si>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</si>
  <si>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</si>
  <si>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</si>
  <si>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</si>
  <si>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</si>
  <si>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</si>
  <si>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</si>
  <si>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</si>
  <si>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</si>
  <si>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</si>
  <si>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</si>
  <si>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</si>
  <si>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</si>
  <si>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</si>
  <si>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</si>
  <si>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</si>
  <si>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</si>
  <si>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</si>
  <si>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</si>
  <si>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</si>
  <si>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</si>
  <si>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</si>
  <si>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</si>
  <si>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</si>
  <si>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</si>
  <si>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</si>
  <si>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</si>
  <si>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</si>
  <si>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</si>
  <si>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</si>
  <si>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</si>
  <si>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</si>
  <si>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</si>
  <si>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</si>
  <si>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Incorporation</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</si>
  <si>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</si>
  <si>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</si>
  <si>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</si>
  <si>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</si>
  <si>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</si>
  <si>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</si>
  <si>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</si>
  <si>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</si>
  <si>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</si>
  <si>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</si>
  <si>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</si>
  <si>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</si>
  <si>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</si>
  <si>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</si>
  <si>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</si>
  <si>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</si>
  <si>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</si>
  <si>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</si>
  <si>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</si>
  <si>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</si>
  <si>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</si>
  <si>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</si>
  <si>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</si>
  <si>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</si>
  <si>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</si>
  <si>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</si>
  <si>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</si>
  <si>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</si>
  <si>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</si>
  <si>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</si>
  <si>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</si>
  <si>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</si>
  <si>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</si>
  <si>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</si>
  <si>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BioDYM MFA Tool - Configuration Settings</t>
  </si>
  <si>
    <t>Input File Path</t>
  </si>
  <si>
    <t>data/01_input/your_data_file.xlsx</t>
  </si>
  <si>
    <t>Output File Path</t>
  </si>
  <si>
    <t>data/02_output/results.xlsx</t>
  </si>
  <si>
    <t>Start Year</t>
  </si>
  <si>
    <t>End Year</t>
  </si>
  <si>
    <t>Elements (comma-separated)</t>
  </si>
  <si>
    <t>material,WC,DM,CC</t>
  </si>
  <si>
    <t>🎲 CALCULATION OPTIONS</t>
  </si>
  <si>
    <t>Run Monte Carlo Simulation</t>
  </si>
  <si>
    <t>Monte Carlo Iterations</t>
  </si>
  <si>
    <t>Run DSM Calculation</t>
  </si>
  <si>
    <t>Run FOMP Calculation</t>
  </si>
  <si>
    <t>📈 ANALYSIS SETTINGS</t>
  </si>
  <si>
    <t>Minimum Flow Threshold (Mg)</t>
  </si>
  <si>
    <t>Show Zero Flows in Plots</t>
  </si>
  <si>
    <t>Export Format</t>
  </si>
  <si>
    <t>Excel</t>
  </si>
  <si>
    <t>🎨 VISUALIZATION SETTINGS</t>
  </si>
  <si>
    <t>Default Plot Style</t>
  </si>
  <si>
    <t>Line</t>
  </si>
  <si>
    <t>Color Scheme</t>
  </si>
  <si>
    <t>Default</t>
  </si>
  <si>
    <t>Export Plots as Images</t>
  </si>
  <si>
    <t>Dashboard Layout</t>
  </si>
  <si>
    <t>Grid</t>
  </si>
  <si>
    <t>⚠️  VALIDATION SETTINGS</t>
  </si>
  <si>
    <t>Mass Balance Tolerance</t>
  </si>
  <si>
    <t>Data Validation Level</t>
  </si>
  <si>
    <t>Strict</t>
  </si>
  <si>
    <t>Auto-save Results</t>
  </si>
  <si>
    <t xml:space="preserve"> MODEL SCOPE</t>
  </si>
  <si>
    <t>FILE PATHS</t>
  </si>
  <si>
    <t>Selected Options</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</si>
  <si>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</si>
  <si>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</si>
  <si>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</si>
  <si>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</si>
  <si>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</si>
  <si>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</si>
  <si>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</si>
  <si>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</si>
  <si>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</si>
  <si>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</si>
  <si>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</si>
  <si>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</si>
  <si>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</si>
  <si>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</si>
  <si>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</si>
  <si>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</si>
  <si>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</si>
  <si>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</si>
  <si>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</si>
  <si>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TC_04_00</t>
  </si>
  <si>
    <t>TC_04_01</t>
  </si>
  <si>
    <t>TC_05_06</t>
  </si>
  <si>
    <t>fomp_10_k1</t>
  </si>
  <si>
    <t>fomp_10_k2</t>
  </si>
  <si>
    <t>Scenario Manager</t>
  </si>
  <si>
    <t>Scenario available?</t>
  </si>
  <si>
    <t>Scenario 1:</t>
  </si>
  <si>
    <t xml:space="preserve">Scenario 2: </t>
  </si>
  <si>
    <t>Scenario 3:</t>
  </si>
  <si>
    <t>Scenario</t>
  </si>
  <si>
    <t>High recycling rate</t>
  </si>
  <si>
    <t>No incineration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</si>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</sst>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color rgb="FFFFFFFF"/>
      <name val="Calibri"/>
      <family val="2"/>
    </font>
  </fonts>
  <fills count="39">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
      <patternFill patternType="solid">
        <fgColor rgb="FF4F81BD"/>
        <bgColor rgb="FF4F81BD"/>
      </patternFill>
    </fill>
    <fill>
      <patternFill patternType="solid">
        <fgColor rgb="FFD0D8E4"/>
        <bgColor rgb="FFD0D8E4"/>
      </patternFill>
    </fill>
  </fills>
  <borders count="43">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76">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14" fillId="37" borderId="0" xfId="0" applyFont="1" applyFill="1"/>
    <xf numFmtId="0" fontId="14" fillId="37" borderId="3" xfId="0" applyFont="1" applyFill="1" applyBorder="1"/>
    <xf numFmtId="0" fontId="14" fillId="37" borderId="4" xfId="0" applyFont="1" applyFill="1" applyBorder="1"/>
    <xf numFmtId="0" fontId="14" fillId="37" borderId="5" xfId="0" applyFont="1" applyFill="1" applyBorder="1"/>
    <xf numFmtId="0" fontId="0" fillId="38" borderId="6" xfId="0" applyFill="1" applyBorder="1"/>
    <xf numFmtId="0" fontId="14" fillId="37" borderId="6" xfId="0" applyFont="1" applyFill="1" applyBorder="1"/>
    <xf numFmtId="0" fontId="14" fillId="37" borderId="7" xfId="0" applyFont="1" applyFill="1" applyBorder="1"/>
    <xf numFmtId="0" fontId="0" fillId="38" borderId="8" xfId="0" applyFill="1" applyBorder="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0" fillId="0" borderId="0" xfId="0" applyAlignment="1">
      <alignment horizontal="left" wrapText="1"/>
    </xf>
    <xf numFmtId="0" fontId="0" fillId="0" borderId="0" xfId="0" applyAlignment="1">
      <alignment horizont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17">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annes\Nextcloud\Shared\2024_Carbonflow_B-BB_Research\02_data\05_Python%20files\250428_bioDYM-Paper\bioDYM-CERT-edit-main\studies\rye_straw_cascading_treatment_system\250530_Scenario4_Data_04.xlsx" TargetMode="External"/><Relationship Id="rId1" Type="http://schemas.openxmlformats.org/officeDocument/2006/relationships/externalLinkPath" Target="/Users/Johannes/Nextcloud/Shared/2024_Carbonflow_B-BB_Research/02_data/05_Python%20files/250428_bioDYM-Paper/bioDYM-CERT-edit-main/studies/rye_straw_cascading_treatment_system/250530_Scenario4_Data_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Version_02.05."/>
      <sheetName val="1_Flows&gt;&gt;&gt;&gt;"/>
      <sheetName val="1_1_Definition_Flows"/>
      <sheetName val="1_2_Data_Flows"/>
      <sheetName val="2. Processes&gt;&gt;&gt;&gt;"/>
      <sheetName val="2_1_Definition_Processes"/>
      <sheetName val="2_3_Process_TCs"/>
      <sheetName val="2_4_Process_Stock_"/>
      <sheetName val="3. Calculation_factors&gt;&gt;&gt;&gt;"/>
      <sheetName val="3_1_Calculation_factors (Waste)"/>
      <sheetName val="3_1_Calculation_factors (Wood)"/>
      <sheetName val="4. Codelists&gt;&gt;&gt;&gt;"/>
      <sheetName val="4_1 Codelists"/>
      <sheetName val="5. Wastefiles &gt;&gt;&gt;&gt;"/>
      <sheetName val="2_2_Process_Data"/>
      <sheetName val="Data_Processes"/>
      <sheetName val="1_2_WC_DM_CC_Flows"/>
      <sheetName val="Data_Processes_TCs"/>
      <sheetName val="2_3_Process_TC"/>
      <sheetName val="Tabelle2"/>
      <sheetName val="Tabelle3"/>
      <sheetName val="Data_Processes_Stocks"/>
      <sheetName val="250530_Scenario4_Data_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16" dataCellStyle="04_Comments"/>
    <tableColumn id="1" xr3:uid="{23E8F131-81B2-4705-927A-A42C393BEDCE}" name="ID" dataDxfId="115">
      <calculatedColumnFormula>ROW()-1</calculatedColumnFormula>
    </tableColumn>
    <tableColumn id="2" xr3:uid="{D694ED25-71D4-4BD1-B627-FBE0FAE9FC8B}" name="Flow_ID" dataDxfId="114">
      <calculatedColumnFormula>"F_"&amp;LEFT(I2,2)&amp;"_"&amp;LEFT(K2,2)</calculatedColumnFormula>
    </tableColumn>
    <tableColumn id="3" xr3:uid="{CA1C6FA9-65CA-47E1-94EA-BBB750256C84}" name="Name(EN)" dataDxfId="113"/>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12">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11"/>
    <tableColumn id="22" xr3:uid="{ABA27704-56CF-4C30-88CB-BB6E944F7F08}" name="WC_source" dataDxfId="110"/>
    <tableColumn id="23" xr3:uid="{5CA0D08F-32C9-451C-A223-78F9E163EE87}" name="DM" dataDxfId="109"/>
    <tableColumn id="19" xr3:uid="{B3649430-F3A4-4F10-84D0-61D5F3B7C06D}" name="DM_source"/>
    <tableColumn id="20" xr3:uid="{826B197D-7E74-49DB-8367-DD0E48B963C3}" name="CC_DM[%]" dataDxfId="108"/>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07"/>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06">
      <calculatedColumnFormula>_xlfn.XLOOKUP(C2,Tab_Def_Flows[Name(EN)],Tab_Def_Flows[Process_ID_I],,0,)</calculatedColumnFormula>
    </tableColumn>
    <tableColumn id="34" xr3:uid="{1EF5EFE9-B149-4960-A691-8F1B8725DE37}" name="TC?" dataDxfId="105">
      <calculatedColumnFormula>_xlfn.XLOOKUP(C2,Tab_Def_Flows[Name(EN)],#REF!,,0,)</calculatedColumnFormula>
    </tableColumn>
    <tableColumn id="30" xr3:uid="{F13B49C3-7111-4C57-A913-01AB03549B56}" name="WC?" dataDxfId="104">
      <calculatedColumnFormula>_xlfn.XLOOKUP(C2,Tab_Def_Flows[Name(EN)],Tab_Def_Flows[WC?],,0,)</calculatedColumnFormula>
    </tableColumn>
    <tableColumn id="31" xr3:uid="{24B36152-385D-4D3C-A274-72EA56B6819A}" name="DM?" dataDxfId="103">
      <calculatedColumnFormula>_xlfn.XLOOKUP(C2,Tab_Def_Flows[Name(EN)],Tab_Def_Flows[DM?],,0,)</calculatedColumnFormula>
    </tableColumn>
    <tableColumn id="32" xr3:uid="{A086924B-597B-4B7A-B9B2-8397025FD97B}" name="CC?" dataDxfId="102">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01"/>
    <tableColumn id="10" xr3:uid="{830F5101-5C33-4F82-BC56-E2BC7AF81364}" name="UoM_Source"/>
    <tableColumn id="11" xr3:uid="{4CDA8F79-829B-47EF-ADFC-3E43B62F90A4}" name="Name_Source"/>
    <tableColumn id="26" xr3:uid="{5682EF5B-30C4-46B4-B5FF-A174139B9E8A}" name="AVV" dataDxfId="100">
      <calculatedColumnFormula>INDEX(#REF!,MATCH(Tab_Data_Flows[[#This Row],[Name(EN)]],#REF!,0),12)</calculatedColumnFormula>
    </tableColumn>
    <tableColumn id="27" xr3:uid="{0FD99FBB-FEDB-4B73-A541-FB8A676D64E7}" name="Titel_Source" dataDxfId="99">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98"/>
    <tableColumn id="25" xr3:uid="{94996270-9A62-4B8C-B04B-D56A7F9FDE30}" name="Name_CF" dataDxfId="97">
      <calculatedColumnFormula>#REF!</calculatedColumnFormula>
    </tableColumn>
    <tableColumn id="17" xr3:uid="{E761CF85-B508-4386-AFDF-6ABE121824EE}" name="Flow_Py" dataDxfId="96"/>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95" dataCellStyle="04_Comments"/>
    <tableColumn id="1" xr3:uid="{A63F92FA-2376-4B5A-A2DF-588878E604E1}" name="ID" dataDxfId="94">
      <calculatedColumnFormula>ROW()-1</calculatedColumnFormula>
    </tableColumn>
    <tableColumn id="2" xr3:uid="{6D346BEA-29CA-401C-8ABB-6C62791A731A}" name="Process_ID" dataDxfId="93">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92"/>
    <tableColumn id="14" xr3:uid="{334FD543-CE98-4427-87D5-A79F68872B3C}" name="Input_Flow_I_1" dataDxfId="91"/>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90">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89">
      <calculatedColumnFormula>_xlfn.XLOOKUP(AK2,Tab_Def_Flows[Name(EN)],Tab_Def_Flows[Flow_ID],,0,)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8" totalsRowShown="0" tableBorderDxfId="88" headerRowCellStyle="05_Header">
  <autoFilter ref="A1:U58" xr:uid="{7602A998-85E6-499A-B1A3-C584F22BB41F}"/>
  <tableColumns count="21">
    <tableColumn id="33" xr3:uid="{2E104FB0-3B3F-413B-B1B0-969D126AA7B1}" name="Complete?" dataDxfId="87" dataCellStyle="04_Comments"/>
    <tableColumn id="1" xr3:uid="{B9E05773-FB7F-407B-8FB3-BE93F6BB50D9}" name="ID" dataDxfId="86">
      <calculatedColumnFormula>ROW()-1</calculatedColumnFormula>
    </tableColumn>
    <tableColumn id="2" xr3:uid="{4324CFF4-5791-4829-80A7-8BA4CF2CD799}" name="Process_ID" dataDxfId="85">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84">
      <calculatedColumnFormula>_xlfn.XLOOKUP($D2,Tab_Def_Processes[Name(EN)],Tab_Def_Processes[Initial_Stock?],,0,)</calculatedColumnFormula>
    </tableColumn>
    <tableColumn id="12" xr3:uid="{1AEDC949-1281-46C8-9543-F9AB0A724F08}" name="DSM?" dataDxfId="83">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82" headerRowCellStyle="05_Header">
  <autoFilter ref="A1:U63" xr:uid="{7602A998-85E6-499A-B1A3-C584F22BB41F}"/>
  <tableColumns count="21">
    <tableColumn id="24" xr3:uid="{799CF049-9A74-47E4-BCE6-68EB92DFEDD4}" name="Complete?" dataDxfId="81" dataCellStyle="04_Comments"/>
    <tableColumn id="1" xr3:uid="{75AB9428-C675-46D8-B904-74A952E29611}" name="ID" dataDxfId="80">
      <calculatedColumnFormula>ROW()-1</calculatedColumnFormula>
    </tableColumn>
    <tableColumn id="22" xr3:uid="{055CB3E4-C1DF-486D-9F8E-E65039E95278}" name="Stock_ID" dataDxfId="79">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78"/>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77" headerRowBorderDxfId="76" tableBorderDxfId="75">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74" dataCellStyle="04_Comments"/>
    <tableColumn id="1" xr3:uid="{CE7CE076-C32F-4791-85A9-C6321A66E672}" name="ID" dataDxfId="73">
      <calculatedColumnFormula>ROW()-1</calculatedColumnFormula>
    </tableColumn>
    <tableColumn id="2" xr3:uid="{F7259AFD-9D16-4ACC-BDB2-8D0DCC203B92}" name="Process_ID" dataDxfId="72"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71"/>
    <tableColumn id="57" xr3:uid="{D3D78B03-02F6-42CA-BD33-6A54DF04FE86}" name="Column1"/>
    <tableColumn id="11" xr3:uid="{D4C9F650-44B6-4DD5-875E-10DEE39F6D03}" name="Input_Flow_I_1" dataDxfId="70">
      <calculatedColumnFormula>_xlfn.XLOOKUP($D2,Tab_Def_Processes[Name(EN)],Tab_Def_Processes[Input_Flow_I_1],,0,)</calculatedColumnFormula>
    </tableColumn>
    <tableColumn id="12" xr3:uid="{5D9673E4-4F5C-4A02-8FE3-DAF7E360A271}" name="Flow_ID_I_1" dataDxfId="69">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68">
      <calculatedColumnFormula>_xlfn.XLOOKUP($D2,Tab_Def_Processes[Name(EN)],Tab_Def_Processes[Input_Flow_I_2],,0,)</calculatedColumnFormula>
    </tableColumn>
    <tableColumn id="14" xr3:uid="{39DCAF4C-C94E-4F6B-9473-486EB368D1A4}" name="Flow_ID_I_3" dataDxfId="67">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66">
      <calculatedColumnFormula>_xlfn.XLOOKUP($D2,Tab_Def_Processes[Name(EN)],Tab_Def_Processes[Input_Flow_I_3],,0,)</calculatedColumnFormula>
    </tableColumn>
    <tableColumn id="16" xr3:uid="{59EB2AB7-4406-48E2-A12E-175CA457D434}" name="Flow ID I_3" dataDxfId="65">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64">
      <calculatedColumnFormula>_xlfn.XLOOKUP($D2,Tab_Def_Processes[Name(EN)],Tab_Def_Processes[Input_Flow_I_4],,0,)</calculatedColumnFormula>
    </tableColumn>
    <tableColumn id="18" xr3:uid="{6B6A8FB7-CFFD-4E02-B4C2-DA33227D2D15}" name="Flow ID I_4" dataDxfId="63">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62">
      <calculatedColumnFormula>_xlfn.XLOOKUP($D2,Tab_Def_Processes[Name(EN)],Tab_Def_Processes[Input_Flow_I_5],,0,)</calculatedColumnFormula>
    </tableColumn>
    <tableColumn id="20" xr3:uid="{4DEF4D28-396A-452E-A2BA-F6E3F074F47C}" name="Flow ID I_5" dataDxfId="61">
      <calculatedColumnFormula>_xlfn.XLOOKUP($D2,Tab_Def_Processes[Name(EN)],Tab_Def_Processes[Flow_ID_I_5],,0,)</calculatedColumnFormula>
    </tableColumn>
    <tableColumn id="39" xr3:uid="{31A505D2-1052-4114-89A3-0125D2AEA2C0}" name="Flow_TC_I_5_[%]"/>
    <tableColumn id="34" xr3:uid="{87220065-CDDC-4D7C-BE11-D9EA0B3FF3E5}" name="Sum_TC_I" dataDxfId="60">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59">
      <calculatedColumnFormula>_xlfn.XLOOKUP($D2,#REF!,#REF!,,0,)</calculatedColumnFormula>
    </tableColumn>
    <tableColumn id="22" xr3:uid="{B381C1D4-C8F7-4BE4-A024-4BBD1B417D36}" name="Flow_ID_O_1" dataDxfId="58">
      <calculatedColumnFormula>_xlfn.XLOOKUP($D2,#REF!,#REF!,,0,)</calculatedColumnFormula>
    </tableColumn>
    <tableColumn id="63" xr3:uid="{C44CA027-9688-45B0-88EB-F14F3A7BECB8}" name="TC_ID_O_1_Year" dataDxfId="57">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56"/>
    <tableColumn id="23" xr3:uid="{B25FB2F6-238F-410A-AF2E-782A213D011A}" name="Output_Flow_O_2" dataDxfId="55">
      <calculatedColumnFormula>_xlfn.XLOOKUP($D2,#REF!,#REF!,,0,)</calculatedColumnFormula>
    </tableColumn>
    <tableColumn id="24" xr3:uid="{97798FE5-868B-45C0-AE3B-C29AF4C86E8E}" name="Flow_ID_O_2" dataDxfId="54">
      <calculatedColumnFormula>_xlfn.XLOOKUP($D2,#REF!,#REF!,,0,)</calculatedColumnFormula>
    </tableColumn>
    <tableColumn id="64" xr3:uid="{3679F173-262B-4D42-9125-71B27049FF31}" name="TC_ID_O_2_Year" dataDxfId="53">
      <calculatedColumnFormula>Tab_Process_TCs2527[[#This Row],[Flow_ID]]</calculatedColumnFormula>
    </tableColumn>
    <tableColumn id="54" xr3:uid="{59052527-1CA5-4A17-978F-E10A4CF13AAE}" name="TC_ID_O_2" dataDxfId="52">
      <calculatedColumnFormula>"TC"&amp;"_"&amp;RIGHT(AI2,5)</calculatedColumnFormula>
    </tableColumn>
    <tableColumn id="41" xr3:uid="{7F915D49-034F-4E82-9BAA-B8ED5CA4F335}" name="TC_O_2_[%]" dataDxfId="51" dataCellStyle="Percent"/>
    <tableColumn id="25" xr3:uid="{5714904F-F57E-48CA-BFAA-826C1CEFD309}" name="Output_Flow_O_3" dataDxfId="50">
      <calculatedColumnFormula>_xlfn.XLOOKUP($D2,#REF!,#REF!,,0,)</calculatedColumnFormula>
    </tableColumn>
    <tableColumn id="26" xr3:uid="{BF841E8C-9EB2-40B0-BD1F-8C768DE188AD}" name="Flow_ID_O_3" dataDxfId="49">
      <calculatedColumnFormula>_xlfn.XLOOKUP($D2,#REF!,#REF!,,0,)</calculatedColumnFormula>
    </tableColumn>
    <tableColumn id="65" xr3:uid="{40F24D12-78F3-4E2A-85F5-F634958096FD}" name="TC_ID_O_3_Year" dataDxfId="48">
      <calculatedColumnFormula>Tab_Process_TCs2527[[#This Row],[Flow_ID]]</calculatedColumnFormula>
    </tableColumn>
    <tableColumn id="42" xr3:uid="{231A0501-9932-43B0-A3F9-EB8BB036203D}" name="TC_ID_O_3" dataDxfId="47">
      <calculatedColumnFormula>"TC"&amp;"_"&amp;RIGHT(AN2,5)</calculatedColumnFormula>
    </tableColumn>
    <tableColumn id="27" xr3:uid="{25A11679-9BF9-4DEC-B798-B8A275D3B8AC}" name="TC_O_3_[%]" dataDxfId="46" dataCellStyle="Percent"/>
    <tableColumn id="28" xr3:uid="{67E45B1E-4E5D-4D83-A664-45983FD6F9D1}" name="Output_Flow_O_4" dataDxfId="45">
      <calculatedColumnFormula>_xlfn.XLOOKUP($D2,#REF!,#REF!,,0,)</calculatedColumnFormula>
    </tableColumn>
    <tableColumn id="43" xr3:uid="{C5680328-8545-431B-B943-966088B5B85B}" name="Flow_ID_O_4" dataDxfId="44">
      <calculatedColumnFormula>_xlfn.XLOOKUP($D2,#REF!,#REF!,,0,)</calculatedColumnFormula>
    </tableColumn>
    <tableColumn id="66" xr3:uid="{3C939FEA-060E-42BF-AC8F-37677818A9F4}" name="TC_ID_O_4_Year" dataDxfId="43">
      <calculatedColumnFormula>Tab_Process_TCs2527[[#This Row],[Flow_ID]]</calculatedColumnFormula>
    </tableColumn>
    <tableColumn id="29" xr3:uid="{5B8610D8-109C-4CC7-9DE9-5EF61CC39BD7}" name="TC_ID_O_4" dataDxfId="42">
      <calculatedColumnFormula>"TC"&amp;"_"&amp;RIGHT(AN2,5)</calculatedColumnFormula>
    </tableColumn>
    <tableColumn id="30" xr3:uid="{8DFBA5BB-ECEC-455D-9C69-3FF71622F2AC}" name="TC_O_4_[%]" dataDxfId="41" dataCellStyle="Percent"/>
    <tableColumn id="44" xr3:uid="{5785B5EE-01FF-44CB-9D74-9D2780652646}" name="Output_Flow_O_5" dataDxfId="40">
      <calculatedColumnFormula>_xlfn.XLOOKUP($D2,#REF!,#REF!,,0,)</calculatedColumnFormula>
    </tableColumn>
    <tableColumn id="31" xr3:uid="{54C02504-99D3-419C-9253-1DA532111E60}" name="Flow_ID_O_5" dataDxfId="39">
      <calculatedColumnFormula>_xlfn.XLOOKUP($D2,#REF!,#REF!,,0,)</calculatedColumnFormula>
    </tableColumn>
    <tableColumn id="67" xr3:uid="{770D2E29-F077-423A-9DDE-B86470FADA38}" name="TC_ID_O_5_Year" dataDxfId="38">
      <calculatedColumnFormula>Tab_Process_TCs2527[[#This Row],[Flow_ID]]</calculatedColumnFormula>
    </tableColumn>
    <tableColumn id="46" xr3:uid="{CBB535D2-9A64-4C2F-AF19-4CF0A79C6798}" name="TC_ID_O_5" dataDxfId="37">
      <calculatedColumnFormula>"TC"&amp;"_"&amp;RIGHT(AX2,5)</calculatedColumnFormula>
    </tableColumn>
    <tableColumn id="45" xr3:uid="{43E42E8C-202D-4522-9E50-CB3B80F8EE29}" name="TC O_5_[%]" dataDxfId="36" dataCellStyle="Percent"/>
    <tableColumn id="32" xr3:uid="{FD3810B5-3F37-4777-8ACB-D2CAAFA5C5EB}" name="Output_Flow_O_6" dataDxfId="35">
      <calculatedColumnFormula>_xlfn.XLOOKUP($D2,#REF!,#REF!,,0,)</calculatedColumnFormula>
    </tableColumn>
    <tableColumn id="48" xr3:uid="{EF811571-9CC9-41DC-BFA4-320CD8D9C0C6}" name="Flow_ID_O_6" dataDxfId="34">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33">
      <calculatedColumnFormula>"TC"&amp;"_"&amp;RIGHT(BC2,5)</calculatedColumnFormula>
    </tableColumn>
    <tableColumn id="50" xr3:uid="{5AF5E9BC-3B3E-4244-A22E-AC3284E0E97C}" name="TC O_6_[%]" dataDxfId="32" dataCellStyle="Percent"/>
    <tableColumn id="51" xr3:uid="{B76A3DEE-BBAC-4CE1-BE1D-2941B928DB78}" name="Sum_TC_O" dataDxfId="31"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30" dataDxfId="29" tableBorderDxfId="28">
  <autoFilter ref="A1:R51" xr:uid="{258723AD-03F6-4700-9C12-0435A55E108D}"/>
  <tableColumns count="18">
    <tableColumn id="1" xr3:uid="{33B8EF63-7663-4BA6-9B91-D446C0C9C276}" name="Complete?" dataCellStyle="04_Comments"/>
    <tableColumn id="2" xr3:uid="{6589C290-508A-4E8E-8896-B6E09EB1B594}" name="ID" dataDxfId="27">
      <calculatedColumnFormula>ROW()-1</calculatedColumnFormula>
    </tableColumn>
    <tableColumn id="4" xr3:uid="{F4E33EB8-7313-4BD5-8A0A-D0E18A2A18E9}" name="Process_ID" dataDxfId="26">
      <calculatedColumnFormula>_xlfn.XLOOKUP($D2,Tab_Def_Processes[Name(EN)],Tab_Def_Processes[Process_ID],,0,)</calculatedColumnFormula>
    </tableColumn>
    <tableColumn id="5" xr3:uid="{E9F30AE4-3733-473D-B124-CDB1D225C217}" name="Name(EN)" dataDxfId="25"/>
    <tableColumn id="6" xr3:uid="{8636F935-6448-4819-ADDF-71DFA45559FA}" name="Process_Type" dataDxfId="24">
      <calculatedColumnFormula>_xlfn.XLOOKUP($D2,Tab_Def_Processes[Name(EN)],Tab_Def_Processes[Process_Type],,0,)</calculatedColumnFormula>
    </tableColumn>
    <tableColumn id="11" xr3:uid="{60B3771B-3986-46D1-B5BA-CE7814BD4A11}" name="TC?" dataDxfId="23">
      <calculatedColumnFormula>_xlfn.XLOOKUP($D2,Tab_Def_Processes[Name(EN)],Tab_Def_Processes[TC?],,0,)</calculatedColumnFormula>
    </tableColumn>
    <tableColumn id="12" xr3:uid="{A2F17CD8-5CAE-47C5-88AC-65F98D1E04A7}" name="Dyn_TC?" dataDxfId="22">
      <calculatedColumnFormula>_xlfn.XLOOKUP($D2,Tab_Def_Processes[Name(EN)],Tab_Def_Processes[Dyn_TC?],,0,)</calculatedColumnFormula>
    </tableColumn>
    <tableColumn id="13" xr3:uid="{AAC3F32E-5E29-4B43-870A-6E7FC451D4C7}" name="Stock?" dataDxfId="21">
      <calculatedColumnFormula>_xlfn.XLOOKUP($D2,Tab_Def_Processes[Name(EN)],Tab_Def_Processes[Stock?],,0,)</calculatedColumnFormula>
    </tableColumn>
    <tableColumn id="14" xr3:uid="{46AA84AB-D3F4-4DFC-AFA9-73ECA93071B0}" name="Initial_Stock?" dataDxfId="20">
      <calculatedColumnFormula>_xlfn.XLOOKUP($D2,Tab_Def_Processes[Name(EN)],Tab_Def_Processes[Initial_Stock?],,0,)</calculatedColumnFormula>
    </tableColumn>
    <tableColumn id="7" xr3:uid="{4D982150-569B-49F8-B2ED-A59759BD8284}" name="DSM?" dataDxfId="19"/>
    <tableColumn id="8" xr3:uid="{722B87D6-F9E5-415C-984B-850168F8B4C0}" name="FOMP?" dataDxfId="18"/>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17" tableBorderDxfId="16" headerRowCellStyle="05_Header">
  <autoFilter ref="A1:Q41" xr:uid="{258723AD-03F6-4700-9C12-0435A55E108D}"/>
  <tableColumns count="17">
    <tableColumn id="1" xr3:uid="{45321D18-7A58-4FFA-814A-4BFE5587094A}" name="Complete?" dataCellStyle="04_Comments"/>
    <tableColumn id="2" xr3:uid="{EC881CBD-180B-4D64-9A86-8AA6EC24B7F6}" name="ID" dataDxfId="15">
      <calculatedColumnFormula>ROW()-1</calculatedColumnFormula>
    </tableColumn>
    <tableColumn id="4" xr3:uid="{844E5006-9125-4DE3-A7C3-7D82AE3725EE}" name="Process_ID" dataDxfId="14">
      <calculatedColumnFormula>_xlfn.XLOOKUP($D2,Tab_Def_Processes[Name(EN)],Tab_Def_Processes[Process_ID],,0,)</calculatedColumnFormula>
    </tableColumn>
    <tableColumn id="5" xr3:uid="{0A9A4390-230F-4C39-9AF5-D72E04524EC5}" name="Name(EN)" dataDxfId="13"/>
    <tableColumn id="6" xr3:uid="{27F8000C-3015-4447-BAA8-364798FFAAFF}" name="Process_Type" dataDxfId="12">
      <calculatedColumnFormula>_xlfn.XLOOKUP($D2,Tab_Def_Processes[Name(EN)],Tab_Def_Processes[Process_Type],,0,)</calculatedColumnFormula>
    </tableColumn>
    <tableColumn id="11" xr3:uid="{CC767FA8-EDF4-482B-B626-0EE382C271A5}" name="TC?" dataDxfId="11">
      <calculatedColumnFormula>_xlfn.XLOOKUP($D2,Tab_Def_Processes[Name(EN)],Tab_Def_Processes[TC?],,0,)</calculatedColumnFormula>
    </tableColumn>
    <tableColumn id="12" xr3:uid="{E84B3ABE-4E12-4E6F-A681-7D39D8B20B42}" name="Dyn_TC?" dataDxfId="10">
      <calculatedColumnFormula>_xlfn.XLOOKUP($D2,Tab_Def_Processes[Name(EN)],Tab_Def_Processes[Dyn_TC?],,0,)</calculatedColumnFormula>
    </tableColumn>
    <tableColumn id="13" xr3:uid="{981DEE9B-FA47-4F47-8F80-39B1E8690449}" name="Stock?" dataDxfId="9">
      <calculatedColumnFormula>_xlfn.XLOOKUP($D2,Tab_Def_Processes[Name(EN)],Tab_Def_Processes[Stock?],,0,)</calculatedColumnFormula>
    </tableColumn>
    <tableColumn id="14" xr3:uid="{69989678-F20B-45BE-B37C-4E9CE9AA75DC}" name="Initial_Stock?" dataDxfId="8">
      <calculatedColumnFormula>_xlfn.XLOOKUP($D2,Tab_Def_Processes[Name(EN)],Tab_Def_Processes[Initial_Stock?],,0,)</calculatedColumnFormula>
    </tableColumn>
    <tableColumn id="7" xr3:uid="{3CFB9275-BB11-4A48-A179-F10B662CD314}" name="DSM?" dataDxfId="7">
      <calculatedColumnFormula>_xlfn.XLOOKUP($D2,Tab_Def_Processes[Name(EN)],Tab_Def_Processes[DSM?],,0,)</calculatedColumnFormula>
    </tableColumn>
    <tableColumn id="8" xr3:uid="{10C6F948-DB35-488A-BBCF-1C22C3F74E52}" name="FOMP?" dataDxfId="6">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G13" totalsRowShown="0" headerRowCellStyle="05_Header">
  <autoFilter ref="A1:G13" xr:uid="{3095CCF5-492B-4C20-9D33-0920A98FD616}"/>
  <tableColumns count="7">
    <tableColumn id="9" xr3:uid="{847C5683-9E78-46CF-90A3-6B93DCA20947}" name="ID" dataCellStyle="03_Auto_Calcaulation">
      <calculatedColumnFormula>ROW()-1</calculatedColumnFormula>
    </tableColumn>
    <tableColumn id="11" xr3:uid="{D79A4623-F4DA-454F-839E-130EAADAAD20}" name="Scenario"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printerSettings" Target="../printerSettings/printerSettings5.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337</v>
      </c>
      <c r="T7">
        <v>2026</v>
      </c>
    </row>
    <row r="8" spans="2:20" x14ac:dyDescent="0.25">
      <c r="C8" t="s">
        <v>28</v>
      </c>
      <c r="F8" t="s">
        <v>10</v>
      </c>
      <c r="N8" s="11" t="s">
        <v>338</v>
      </c>
      <c r="O8" s="11"/>
      <c r="T8">
        <v>2027</v>
      </c>
    </row>
    <row r="9" spans="2:20" x14ac:dyDescent="0.25">
      <c r="F9" t="s">
        <v>9</v>
      </c>
      <c r="N9" s="189" t="s">
        <v>339</v>
      </c>
      <c r="O9" s="189"/>
      <c r="T9">
        <v>2028</v>
      </c>
    </row>
    <row r="10" spans="2:20" x14ac:dyDescent="0.25">
      <c r="N10" s="9" t="s">
        <v>340</v>
      </c>
      <c r="O10" s="9"/>
      <c r="T10">
        <v>2029</v>
      </c>
    </row>
    <row r="11" spans="2:20" x14ac:dyDescent="0.25">
      <c r="N11" s="37" t="s">
        <v>341</v>
      </c>
      <c r="O11" s="37"/>
      <c r="T11">
        <v>2030</v>
      </c>
    </row>
    <row r="12" spans="2:20" x14ac:dyDescent="0.25">
      <c r="B12" s="215" t="s">
        <v>29</v>
      </c>
      <c r="C12" s="215"/>
      <c r="D12" s="215"/>
      <c r="E12" s="215"/>
      <c r="F12" s="215"/>
      <c r="G12" s="215"/>
      <c r="H12" s="215"/>
      <c r="I12" s="215"/>
      <c r="J12" s="215"/>
      <c r="K12" s="215"/>
      <c r="L12" s="215"/>
      <c r="M12" s="215"/>
      <c r="T12">
        <v>2031</v>
      </c>
    </row>
    <row r="13" spans="2:20" x14ac:dyDescent="0.25">
      <c r="B13" s="215"/>
      <c r="C13" s="215"/>
      <c r="D13" s="215"/>
      <c r="E13" s="215"/>
      <c r="F13" s="215"/>
      <c r="G13" s="215"/>
      <c r="H13" s="215"/>
      <c r="I13" s="215"/>
      <c r="J13" s="215"/>
      <c r="K13" s="215"/>
      <c r="L13" s="215"/>
      <c r="M13" s="215"/>
      <c r="T13">
        <v>2032</v>
      </c>
    </row>
    <row r="14" spans="2:20" x14ac:dyDescent="0.25">
      <c r="B14" s="215"/>
      <c r="C14" s="215"/>
      <c r="D14" s="215"/>
      <c r="E14" s="215"/>
      <c r="F14" s="215"/>
      <c r="G14" s="215"/>
      <c r="H14" s="215"/>
      <c r="I14" s="215"/>
      <c r="J14" s="215"/>
      <c r="K14" s="215"/>
      <c r="L14" s="215"/>
      <c r="M14" s="215"/>
      <c r="T14">
        <v>2033</v>
      </c>
    </row>
    <row r="15" spans="2:20" x14ac:dyDescent="0.25">
      <c r="B15" s="216" t="s">
        <v>30</v>
      </c>
      <c r="C15" s="216"/>
      <c r="D15" s="216"/>
      <c r="E15" s="216"/>
      <c r="F15" s="216"/>
      <c r="G15" s="216"/>
      <c r="H15" s="216"/>
      <c r="I15" s="216"/>
      <c r="J15" s="216"/>
      <c r="K15" s="216"/>
      <c r="L15" s="216"/>
      <c r="T15">
        <v>2034</v>
      </c>
    </row>
    <row r="16" spans="2:20" x14ac:dyDescent="0.25">
      <c r="B16" s="216"/>
      <c r="C16" s="216"/>
      <c r="D16" s="216"/>
      <c r="E16" s="216"/>
      <c r="F16" s="216"/>
      <c r="G16" s="216"/>
      <c r="H16" s="216"/>
      <c r="I16" s="216"/>
      <c r="J16" s="216"/>
      <c r="K16" s="216"/>
      <c r="L16" s="216"/>
      <c r="T16">
        <v>2035</v>
      </c>
    </row>
    <row r="17" spans="2:20" x14ac:dyDescent="0.25">
      <c r="B17" s="216"/>
      <c r="C17" s="216"/>
      <c r="D17" s="216"/>
      <c r="E17" s="216"/>
      <c r="F17" s="216"/>
      <c r="G17" s="216"/>
      <c r="H17" s="216"/>
      <c r="I17" s="216"/>
      <c r="J17" s="216"/>
      <c r="K17" s="216"/>
      <c r="L17" s="216"/>
      <c r="T17">
        <v>2036</v>
      </c>
    </row>
    <row r="18" spans="2:20" x14ac:dyDescent="0.25">
      <c r="B18" s="216"/>
      <c r="C18" s="216"/>
      <c r="D18" s="216"/>
      <c r="E18" s="216"/>
      <c r="F18" s="216"/>
      <c r="G18" s="216"/>
      <c r="H18" s="216"/>
      <c r="I18" s="216"/>
      <c r="J18" s="216"/>
      <c r="K18" s="216"/>
      <c r="L18" s="216"/>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385</v>
      </c>
    </row>
    <row r="47" spans="1:3" ht="15.75" x14ac:dyDescent="0.25">
      <c r="A47" s="196" t="s">
        <v>386</v>
      </c>
    </row>
    <row r="48" spans="1:3" x14ac:dyDescent="0.25">
      <c r="A48" t="s">
        <v>387</v>
      </c>
    </row>
    <row r="49" spans="1:1" x14ac:dyDescent="0.25">
      <c r="A49" t="s">
        <v>388</v>
      </c>
    </row>
    <row r="50" spans="1:1" x14ac:dyDescent="0.25">
      <c r="A50" t="s">
        <v>389</v>
      </c>
    </row>
    <row r="51" spans="1:1" x14ac:dyDescent="0.25">
      <c r="A51" t="s">
        <v>390</v>
      </c>
    </row>
    <row r="52" spans="1:1" x14ac:dyDescent="0.25">
      <c r="A52" t="s">
        <v>391</v>
      </c>
    </row>
    <row r="53" spans="1:1" x14ac:dyDescent="0.25">
      <c r="A53" t="s">
        <v>392</v>
      </c>
    </row>
    <row r="54" spans="1:1" x14ac:dyDescent="0.25">
      <c r="A54" t="s">
        <v>393</v>
      </c>
    </row>
    <row r="55" spans="1:1" x14ac:dyDescent="0.25">
      <c r="A55" t="s">
        <v>394</v>
      </c>
    </row>
    <row r="56" spans="1:1" x14ac:dyDescent="0.25">
      <c r="A56" t="s">
        <v>395</v>
      </c>
    </row>
    <row r="57" spans="1:1" x14ac:dyDescent="0.25">
      <c r="A57" t="s">
        <v>396</v>
      </c>
    </row>
    <row r="59" spans="1:1" ht="15.75" x14ac:dyDescent="0.25">
      <c r="A59" s="196" t="s">
        <v>397</v>
      </c>
    </row>
    <row r="60" spans="1:1" x14ac:dyDescent="0.25">
      <c r="A60" t="s">
        <v>398</v>
      </c>
    </row>
    <row r="61" spans="1:1" x14ac:dyDescent="0.25">
      <c r="A61" t="s">
        <v>399</v>
      </c>
    </row>
    <row r="62" spans="1:1" x14ac:dyDescent="0.25">
      <c r="A62" t="s">
        <v>400</v>
      </c>
    </row>
    <row r="63" spans="1:1" x14ac:dyDescent="0.25">
      <c r="A63" t="s">
        <v>401</v>
      </c>
    </row>
    <row r="64" spans="1:1" x14ac:dyDescent="0.25">
      <c r="A64" t="s">
        <v>402</v>
      </c>
    </row>
    <row r="65" spans="1:1" x14ac:dyDescent="0.25">
      <c r="A65" t="s">
        <v>403</v>
      </c>
    </row>
    <row r="66" spans="1:1" ht="15.75" x14ac:dyDescent="0.25">
      <c r="A66" s="196"/>
    </row>
    <row r="67" spans="1:1" x14ac:dyDescent="0.25">
      <c r="A67" t="s">
        <v>404</v>
      </c>
    </row>
    <row r="68" spans="1:1" x14ac:dyDescent="0.25">
      <c r="A68" t="s">
        <v>405</v>
      </c>
    </row>
    <row r="69" spans="1:1" x14ac:dyDescent="0.25">
      <c r="A69" t="s">
        <v>406</v>
      </c>
    </row>
    <row r="70" spans="1:1" x14ac:dyDescent="0.25">
      <c r="A70" t="s">
        <v>407</v>
      </c>
    </row>
    <row r="71" spans="1:1" ht="15.75" x14ac:dyDescent="0.25">
      <c r="A71" s="196" t="s">
        <v>408</v>
      </c>
    </row>
    <row r="73" spans="1:1" x14ac:dyDescent="0.25">
      <c r="A73" t="s">
        <v>409</v>
      </c>
    </row>
    <row r="74" spans="1:1" x14ac:dyDescent="0.25">
      <c r="A74" t="s">
        <v>410</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353</v>
      </c>
    </row>
    <row r="2" spans="1:2" x14ac:dyDescent="0.25">
      <c r="A2" s="191" t="s">
        <v>354</v>
      </c>
      <c r="B2" t="s">
        <v>355</v>
      </c>
    </row>
    <row r="3" spans="1:2" x14ac:dyDescent="0.25">
      <c r="A3" t="s">
        <v>356</v>
      </c>
      <c r="B3" t="s">
        <v>357</v>
      </c>
    </row>
    <row r="4" spans="1:2" x14ac:dyDescent="0.25">
      <c r="A4">
        <v>2</v>
      </c>
      <c r="B4" t="s">
        <v>358</v>
      </c>
    </row>
    <row r="5" spans="1:2" x14ac:dyDescent="0.25">
      <c r="A5" t="s">
        <v>359</v>
      </c>
      <c r="B5" t="s">
        <v>360</v>
      </c>
    </row>
    <row r="6" spans="1:2" x14ac:dyDescent="0.25">
      <c r="A6" t="s">
        <v>361</v>
      </c>
      <c r="B6" t="s">
        <v>365</v>
      </c>
    </row>
    <row r="7" spans="1:2" x14ac:dyDescent="0.25">
      <c r="A7" t="s">
        <v>362</v>
      </c>
    </row>
    <row r="8" spans="1:2" x14ac:dyDescent="0.25">
      <c r="A8" t="s">
        <v>363</v>
      </c>
      <c r="B8" t="s">
        <v>364</v>
      </c>
    </row>
    <row r="9" spans="1:2" x14ac:dyDescent="0.25">
      <c r="A9" t="s">
        <v>366</v>
      </c>
      <c r="B9" t="s">
        <v>367</v>
      </c>
    </row>
    <row r="10" spans="1:2" x14ac:dyDescent="0.25">
      <c r="A10">
        <v>3</v>
      </c>
      <c r="B10" t="s">
        <v>368</v>
      </c>
    </row>
    <row r="11" spans="1:2" x14ac:dyDescent="0.25">
      <c r="A11" t="s">
        <v>369</v>
      </c>
      <c r="B11" t="s">
        <v>370</v>
      </c>
    </row>
    <row r="12" spans="1:2" x14ac:dyDescent="0.25">
      <c r="A12" t="s">
        <v>371</v>
      </c>
      <c r="B12" t="s">
        <v>372</v>
      </c>
    </row>
    <row r="13" spans="1:2" x14ac:dyDescent="0.25">
      <c r="A13">
        <v>4</v>
      </c>
      <c r="B13" t="s">
        <v>373</v>
      </c>
    </row>
    <row r="14" spans="1:2" x14ac:dyDescent="0.25">
      <c r="A14" t="s">
        <v>374</v>
      </c>
      <c r="B14" t="s">
        <v>373</v>
      </c>
    </row>
    <row r="17" spans="1:1" ht="15.75" x14ac:dyDescent="0.25">
      <c r="A17" s="196" t="s">
        <v>386</v>
      </c>
    </row>
    <row r="18" spans="1:1" x14ac:dyDescent="0.25">
      <c r="A18" t="s">
        <v>387</v>
      </c>
    </row>
    <row r="19" spans="1:1" x14ac:dyDescent="0.25">
      <c r="A19" t="s">
        <v>388</v>
      </c>
    </row>
    <row r="20" spans="1:1" x14ac:dyDescent="0.25">
      <c r="A20" t="s">
        <v>389</v>
      </c>
    </row>
    <row r="21" spans="1:1" x14ac:dyDescent="0.25">
      <c r="A21" t="s">
        <v>390</v>
      </c>
    </row>
    <row r="22" spans="1:1" x14ac:dyDescent="0.25">
      <c r="A22" t="s">
        <v>391</v>
      </c>
    </row>
    <row r="23" spans="1:1" x14ac:dyDescent="0.25">
      <c r="A23" t="s">
        <v>392</v>
      </c>
    </row>
    <row r="24" spans="1:1" x14ac:dyDescent="0.25">
      <c r="A24" t="s">
        <v>393</v>
      </c>
    </row>
    <row r="25" spans="1:1" x14ac:dyDescent="0.25">
      <c r="A25" t="s">
        <v>394</v>
      </c>
    </row>
    <row r="26" spans="1:1" x14ac:dyDescent="0.25">
      <c r="A26" t="s">
        <v>395</v>
      </c>
    </row>
    <row r="27" spans="1:1" x14ac:dyDescent="0.25">
      <c r="A27" t="s">
        <v>396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C31"/>
  <sheetViews>
    <sheetView zoomScale="130" zoomScaleNormal="130" workbookViewId="0">
      <selection activeCell="B6" sqref="B6"/>
    </sheetView>
  </sheetViews>
  <sheetFormatPr defaultRowHeight="15" x14ac:dyDescent="0.25"/>
  <cols>
    <col min="1" max="1" width="42.5703125" customWidth="1"/>
    <col min="2" max="2" width="33.85546875" customWidth="1"/>
    <col min="3" max="3" width="29.140625" customWidth="1"/>
  </cols>
  <sheetData>
    <row r="1" spans="1:3" ht="15.75" thickBot="1" x14ac:dyDescent="0.3">
      <c r="A1" s="197" t="s">
        <v>411</v>
      </c>
    </row>
    <row r="2" spans="1:3" x14ac:dyDescent="0.25">
      <c r="A2" s="198" t="s">
        <v>444</v>
      </c>
      <c r="B2" s="199" t="s">
        <v>445</v>
      </c>
      <c r="C2" s="200" t="s">
        <v>43</v>
      </c>
    </row>
    <row r="3" spans="1:3" x14ac:dyDescent="0.25">
      <c r="A3" s="201" t="s">
        <v>412</v>
      </c>
      <c r="B3" s="11" t="s">
        <v>413</v>
      </c>
      <c r="C3" s="37"/>
    </row>
    <row r="4" spans="1:3" x14ac:dyDescent="0.25">
      <c r="A4" s="201" t="s">
        <v>414</v>
      </c>
      <c r="B4" s="11" t="s">
        <v>415</v>
      </c>
      <c r="C4" s="37"/>
    </row>
    <row r="5" spans="1:3" x14ac:dyDescent="0.25">
      <c r="A5" s="202" t="s">
        <v>443</v>
      </c>
      <c r="B5" s="197"/>
      <c r="C5" s="203"/>
    </row>
    <row r="6" spans="1:3" x14ac:dyDescent="0.25">
      <c r="A6" s="201" t="s">
        <v>416</v>
      </c>
      <c r="B6" s="11">
        <v>2025</v>
      </c>
      <c r="C6" s="37"/>
    </row>
    <row r="7" spans="1:3" x14ac:dyDescent="0.25">
      <c r="A7" s="201" t="s">
        <v>417</v>
      </c>
      <c r="B7" s="11">
        <v>2050</v>
      </c>
      <c r="C7" s="37"/>
    </row>
    <row r="8" spans="1:3" x14ac:dyDescent="0.25">
      <c r="A8" s="201" t="s">
        <v>418</v>
      </c>
      <c r="B8" s="11" t="s">
        <v>419</v>
      </c>
      <c r="C8" s="37"/>
    </row>
    <row r="9" spans="1:3" x14ac:dyDescent="0.25">
      <c r="A9" s="202" t="s">
        <v>420</v>
      </c>
      <c r="B9" s="197"/>
      <c r="C9" s="203"/>
    </row>
    <row r="10" spans="1:3" x14ac:dyDescent="0.25">
      <c r="A10" s="201" t="s">
        <v>421</v>
      </c>
      <c r="B10" s="11" t="s">
        <v>7</v>
      </c>
      <c r="C10" s="37"/>
    </row>
    <row r="11" spans="1:3" x14ac:dyDescent="0.25">
      <c r="A11" s="201" t="s">
        <v>422</v>
      </c>
      <c r="B11" s="11">
        <v>100</v>
      </c>
      <c r="C11" s="37"/>
    </row>
    <row r="12" spans="1:3" x14ac:dyDescent="0.25">
      <c r="A12" s="201" t="s">
        <v>423</v>
      </c>
      <c r="B12" s="11" t="s">
        <v>8</v>
      </c>
      <c r="C12" s="37"/>
    </row>
    <row r="13" spans="1:3" x14ac:dyDescent="0.25">
      <c r="A13" s="201" t="s">
        <v>424</v>
      </c>
      <c r="B13" s="11" t="s">
        <v>7</v>
      </c>
      <c r="C13" s="37"/>
    </row>
    <row r="14" spans="1:3" x14ac:dyDescent="0.25">
      <c r="A14" s="202" t="s">
        <v>425</v>
      </c>
      <c r="B14" s="197"/>
      <c r="C14" s="203"/>
    </row>
    <row r="15" spans="1:3" x14ac:dyDescent="0.25">
      <c r="A15" s="201" t="s">
        <v>426</v>
      </c>
      <c r="B15" s="11">
        <v>0.1</v>
      </c>
      <c r="C15" s="37"/>
    </row>
    <row r="16" spans="1:3" x14ac:dyDescent="0.25">
      <c r="A16" s="201" t="s">
        <v>427</v>
      </c>
      <c r="B16" s="11" t="s">
        <v>8</v>
      </c>
      <c r="C16" s="37"/>
    </row>
    <row r="17" spans="1:3" x14ac:dyDescent="0.25">
      <c r="A17" s="201" t="s">
        <v>428</v>
      </c>
      <c r="B17" s="11" t="s">
        <v>429</v>
      </c>
      <c r="C17" s="37"/>
    </row>
    <row r="18" spans="1:3" x14ac:dyDescent="0.25">
      <c r="A18" s="202" t="s">
        <v>470</v>
      </c>
      <c r="B18" s="197"/>
      <c r="C18" s="203"/>
    </row>
    <row r="19" spans="1:3" x14ac:dyDescent="0.25">
      <c r="A19" s="201" t="s">
        <v>471</v>
      </c>
      <c r="B19" s="11" t="s">
        <v>7</v>
      </c>
      <c r="C19" s="37"/>
    </row>
    <row r="20" spans="1:3" x14ac:dyDescent="0.25">
      <c r="A20" s="201" t="s">
        <v>472</v>
      </c>
      <c r="B20" s="11" t="s">
        <v>476</v>
      </c>
      <c r="C20" s="37"/>
    </row>
    <row r="21" spans="1:3" x14ac:dyDescent="0.25">
      <c r="A21" s="201" t="s">
        <v>473</v>
      </c>
      <c r="B21" s="11" t="s">
        <v>477</v>
      </c>
      <c r="C21" s="37"/>
    </row>
    <row r="22" spans="1:3" x14ac:dyDescent="0.25">
      <c r="A22" s="201" t="s">
        <v>474</v>
      </c>
      <c r="B22" s="11"/>
      <c r="C22" s="37"/>
    </row>
    <row r="23" spans="1:3" x14ac:dyDescent="0.25">
      <c r="A23" s="202" t="s">
        <v>430</v>
      </c>
      <c r="B23" s="197"/>
      <c r="C23" s="203"/>
    </row>
    <row r="24" spans="1:3" x14ac:dyDescent="0.25">
      <c r="A24" s="201" t="s">
        <v>431</v>
      </c>
      <c r="B24" s="11" t="s">
        <v>432</v>
      </c>
      <c r="C24" s="37"/>
    </row>
    <row r="25" spans="1:3" x14ac:dyDescent="0.25">
      <c r="A25" s="201" t="s">
        <v>433</v>
      </c>
      <c r="B25" s="11" t="s">
        <v>434</v>
      </c>
      <c r="C25" s="37"/>
    </row>
    <row r="26" spans="1:3" x14ac:dyDescent="0.25">
      <c r="A26" s="201" t="s">
        <v>435</v>
      </c>
      <c r="B26" s="11" t="s">
        <v>7</v>
      </c>
      <c r="C26" s="37"/>
    </row>
    <row r="27" spans="1:3" x14ac:dyDescent="0.25">
      <c r="A27" s="201" t="s">
        <v>436</v>
      </c>
      <c r="B27" s="11" t="s">
        <v>437</v>
      </c>
      <c r="C27" s="37"/>
    </row>
    <row r="28" spans="1:3" x14ac:dyDescent="0.25">
      <c r="A28" s="202" t="s">
        <v>438</v>
      </c>
      <c r="B28" s="197"/>
      <c r="C28" s="203"/>
    </row>
    <row r="29" spans="1:3" x14ac:dyDescent="0.25">
      <c r="A29" s="201" t="s">
        <v>439</v>
      </c>
      <c r="B29" s="11">
        <v>1E-3</v>
      </c>
      <c r="C29" s="37"/>
    </row>
    <row r="30" spans="1:3" x14ac:dyDescent="0.25">
      <c r="A30" s="201" t="s">
        <v>440</v>
      </c>
      <c r="B30" s="11" t="s">
        <v>441</v>
      </c>
      <c r="C30" s="37"/>
    </row>
    <row r="31" spans="1:3" ht="15.75" thickBot="1" x14ac:dyDescent="0.3">
      <c r="A31" s="204" t="s">
        <v>442</v>
      </c>
      <c r="B31" s="205" t="s">
        <v>7</v>
      </c>
      <c r="C31" s="37"/>
    </row>
  </sheetData>
  <dataValidations count="7">
    <dataValidation type="list" allowBlank="1" sqref="B29" xr:uid="{CE4D47E8-43B8-4ED5-BE13-9EFCB92EB467}">
      <formula1>"Strict,Moderate,Relaxed"</formula1>
    </dataValidation>
    <dataValidation type="list" allowBlank="1" sqref="B27:B28" xr:uid="{F99AF790-A2EA-4DEF-A395-6211F608F3FF}">
      <formula1>"Grid,Flow,Compact"</formula1>
    </dataValidation>
    <dataValidation type="list" allowBlank="1" sqref="B25" xr:uid="{4589B1D2-8A73-4863-B91C-BDEAC768356B}">
      <formula1>"Default,Colorblind,High Contrast"</formula1>
    </dataValidation>
    <dataValidation type="list" allowBlank="1" sqref="B24" xr:uid="{6467C29B-0449-4DBC-8B9F-EDEBF3262A52}">
      <formula1>"Line,Bar,Scatter"</formula1>
    </dataValidation>
    <dataValidation type="list" allowBlank="1" sqref="B17:B18" xr:uid="{659805AE-A9FC-4B86-B408-9D3AEC501ADF}">
      <formula1>"Excel,CSV,JSON"</formula1>
    </dataValidation>
    <dataValidation type="list" allowBlank="1" sqref="B10 B23 B12:B16 B19" xr:uid="{2349C248-6F43-4E01-93B7-2091BBC7C074}">
      <formula1>"Yes,No"</formula1>
    </dataValidation>
    <dataValidation allowBlank="1" sqref="B20:B22" xr:uid="{555AE835-3896-44AD-9183-24C6A0742581}"/>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15" zoomScaleNormal="115" workbookViewId="0">
      <pane xSplit="4" ySplit="16" topLeftCell="H17" activePane="bottomRight" state="frozen"/>
      <selection pane="topRight" activeCell="E1" sqref="E1"/>
      <selection pane="bottomLeft" activeCell="A14" sqref="A14"/>
      <selection pane="bottomRight" activeCell="K21" sqref="K21"/>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492</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493</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11"/>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377</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299</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377</v>
      </c>
      <c r="I7" s="9" t="str">
        <f>_xlfn.XLOOKUP(H7,Tab_Def_Processes[Name(EN)],Tab_Def_Processes[Process_ID],,0,)</f>
        <v>04</v>
      </c>
      <c r="J7" s="189" t="s">
        <v>492</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377</v>
      </c>
      <c r="I8" s="9" t="str">
        <f>_xlfn.XLOOKUP(H8,Tab_Def_Processes[Name(EN)],Tab_Def_Processes[Process_ID],,0,)</f>
        <v>04</v>
      </c>
      <c r="J8" s="189" t="s">
        <v>493</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384</v>
      </c>
      <c r="E9" s="37"/>
      <c r="F9" s="37"/>
      <c r="G9" s="37"/>
      <c r="H9" s="189" t="s">
        <v>299</v>
      </c>
      <c r="I9" s="9" t="str">
        <f>_xlfn.XLOOKUP(H9,Tab_Def_Processes[Name(EN)],Tab_Def_Processes[Process_ID],,0,)</f>
        <v>05</v>
      </c>
      <c r="J9" s="189" t="s">
        <v>376</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383</v>
      </c>
      <c r="E10" s="37"/>
      <c r="F10" s="37"/>
      <c r="G10" s="37"/>
      <c r="H10" s="189" t="s">
        <v>376</v>
      </c>
      <c r="I10" s="9" t="str">
        <f>_xlfn.XLOOKUP(H10,Tab_Def_Processes[Name(EN)],Tab_Def_Processes[Process_ID],,0,)</f>
        <v>06</v>
      </c>
      <c r="J10" s="189" t="s">
        <v>101</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382</v>
      </c>
      <c r="E11" s="37"/>
      <c r="F11" s="37"/>
      <c r="G11" s="37"/>
      <c r="H11" s="189" t="s">
        <v>299</v>
      </c>
      <c r="I11" s="9" t="str">
        <f>_xlfn.XLOOKUP(H11,Tab_Def_Processes[Name(EN)],Tab_Def_Processes[Process_ID],,0,)</f>
        <v>05</v>
      </c>
      <c r="J11" s="189" t="s">
        <v>375</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378</v>
      </c>
      <c r="E12" s="37"/>
      <c r="F12" s="37"/>
      <c r="G12" s="37"/>
      <c r="H12" s="189" t="s">
        <v>375</v>
      </c>
      <c r="I12" s="9" t="str">
        <f>_xlfn.XLOOKUP(H12,Tab_Def_Processes[Name(EN)],Tab_Def_Processes[Process_ID],,0,)</f>
        <v>07</v>
      </c>
      <c r="J12" s="189" t="s">
        <v>492</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379</v>
      </c>
      <c r="E13" s="37"/>
      <c r="F13" s="37"/>
      <c r="G13" s="37"/>
      <c r="H13" s="189" t="s">
        <v>375</v>
      </c>
      <c r="I13" s="9" t="str">
        <f>_xlfn.XLOOKUP(H13,Tab_Def_Processes[Name(EN)],Tab_Def_Processes[Process_ID],,0,)</f>
        <v>07</v>
      </c>
      <c r="J13" s="189" t="s">
        <v>493</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380</v>
      </c>
      <c r="E14" s="37"/>
      <c r="F14" s="37"/>
      <c r="G14" s="37"/>
      <c r="H14" s="189" t="s">
        <v>101</v>
      </c>
      <c r="I14" s="9" t="str">
        <f>_xlfn.XLOOKUP(H14,Tab_Def_Processes[Name(EN)],Tab_Def_Processes[Process_ID],,0,)</f>
        <v>08</v>
      </c>
      <c r="J14" s="189" t="s">
        <v>492</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381</v>
      </c>
      <c r="E15" s="37"/>
      <c r="F15" s="37"/>
      <c r="G15" s="37"/>
      <c r="H15" s="189" t="s">
        <v>101</v>
      </c>
      <c r="I15" s="9" t="str">
        <f>_xlfn.XLOOKUP(H15,Tab_Def_Processes[Name(EN)],Tab_Def_Processes[Process_ID],,0,)</f>
        <v>08</v>
      </c>
      <c r="J15" s="189" t="s">
        <v>493</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F_09_09</v>
      </c>
      <c r="D16" s="11"/>
      <c r="E16" s="37"/>
      <c r="F16" s="37"/>
      <c r="G16" s="37"/>
      <c r="H16" s="189"/>
      <c r="I16" s="9" t="str">
        <f>_xlfn.XLOOKUP(H16,Tab_Def_Processes[Name(EN)],Tab_Def_Processes[Process_ID],,0,)</f>
        <v>09</v>
      </c>
      <c r="J16" s="189"/>
      <c r="K16" s="17" t="str">
        <f>_xlfn.XLOOKUP(J16,Tab_Def_Processes[Name(EN)],Tab_Def_Processes[Process_ID],,0,)</f>
        <v>09</v>
      </c>
      <c r="L16" s="189"/>
      <c r="M16" s="189"/>
      <c r="N16" s="189"/>
      <c r="O16" s="183"/>
      <c r="P16" s="55"/>
      <c r="R16" s="55"/>
      <c r="S16" s="183"/>
      <c r="T16" s="55"/>
      <c r="U16" s="190">
        <f>Tab_Def_Flows[[#This Row],[CC_DM'[%']]]*Tab_Def_Flows[[#This Row],[DM]]</f>
        <v>0</v>
      </c>
      <c r="V16" s="11" t="s">
        <v>193</v>
      </c>
    </row>
    <row r="17" spans="1:22" x14ac:dyDescent="0.25">
      <c r="A17" s="194" t="b">
        <v>0</v>
      </c>
      <c r="B17" s="43">
        <f t="shared" si="0"/>
        <v>16</v>
      </c>
      <c r="C17" s="9" t="str">
        <f t="shared" si="2"/>
        <v>F_09_09</v>
      </c>
      <c r="D17" s="11"/>
      <c r="E17" s="37"/>
      <c r="F17" s="37"/>
      <c r="G17" s="37"/>
      <c r="H17" s="189"/>
      <c r="I17" s="9" t="str">
        <f>_xlfn.XLOOKUP(H17,Tab_Def_Processes[Name(EN)],Tab_Def_Processes[Process_ID],,0,)</f>
        <v>09</v>
      </c>
      <c r="J17" s="189"/>
      <c r="K17" s="17" t="str">
        <f>_xlfn.XLOOKUP(J17,Tab_Def_Processes[Name(EN)],Tab_Def_Processes[Process_ID],,0,)</f>
        <v>09</v>
      </c>
      <c r="L17" s="189"/>
      <c r="M17" s="189"/>
      <c r="N17" s="189"/>
      <c r="O17" s="183"/>
      <c r="P17" s="55"/>
      <c r="R17" s="55"/>
      <c r="S17" s="183"/>
      <c r="T17" s="55"/>
      <c r="U17" s="190">
        <f>Tab_Def_Flows[[#This Row],[CC_DM'[%']]]*Tab_Def_Flows[[#This Row],[DM]]</f>
        <v>0</v>
      </c>
      <c r="V17" s="11" t="s">
        <v>193</v>
      </c>
    </row>
    <row r="18" spans="1:22" x14ac:dyDescent="0.25">
      <c r="A18" s="194" t="b">
        <v>0</v>
      </c>
      <c r="B18" s="43">
        <f t="shared" si="0"/>
        <v>17</v>
      </c>
      <c r="C18" s="9" t="str">
        <f t="shared" si="2"/>
        <v>F_09_09</v>
      </c>
      <c r="D18" s="11"/>
      <c r="E18" s="37"/>
      <c r="F18" s="37"/>
      <c r="G18" s="37"/>
      <c r="H18" s="189"/>
      <c r="I18" s="9" t="str">
        <f>_xlfn.XLOOKUP(H18,Tab_Def_Processes[Name(EN)],Tab_Def_Processes[Process_ID],,0,)</f>
        <v>09</v>
      </c>
      <c r="J18" s="189"/>
      <c r="K18" s="17" t="str">
        <f>_xlfn.XLOOKUP(J18,Tab_Def_Processes[Name(EN)],Tab_Def_Processes[Process_ID],,0,)</f>
        <v>09</v>
      </c>
      <c r="L18" s="189"/>
      <c r="M18" s="189"/>
      <c r="N18" s="189"/>
      <c r="O18" s="183"/>
      <c r="P18" s="55"/>
      <c r="R18" s="55"/>
      <c r="S18" s="183"/>
      <c r="T18" s="55"/>
      <c r="U18" s="190">
        <f>Tab_Def_Flows[[#This Row],[CC_DM'[%']]]*Tab_Def_Flows[[#This Row],[DM]]</f>
        <v>0</v>
      </c>
      <c r="V18" s="11" t="s">
        <v>193</v>
      </c>
    </row>
    <row r="19" spans="1:22" x14ac:dyDescent="0.25">
      <c r="A19" s="194" t="b">
        <v>0</v>
      </c>
      <c r="B19" s="43">
        <f t="shared" si="0"/>
        <v>18</v>
      </c>
      <c r="C19" s="9" t="str">
        <f t="shared" si="2"/>
        <v>F_09_09</v>
      </c>
      <c r="D19" s="11"/>
      <c r="E19" s="37"/>
      <c r="F19" s="37"/>
      <c r="G19" s="37"/>
      <c r="H19" s="189"/>
      <c r="I19" s="9" t="str">
        <f>_xlfn.XLOOKUP(H19,Tab_Def_Processes[Name(EN)],Tab_Def_Processes[Process_ID],,0,)</f>
        <v>09</v>
      </c>
      <c r="J19" s="189"/>
      <c r="K19" s="17" t="str">
        <f>_xlfn.XLOOKUP(J19,Tab_Def_Processes[Name(EN)],Tab_Def_Processes[Process_ID],,0,)</f>
        <v>09</v>
      </c>
      <c r="L19" s="189"/>
      <c r="M19" s="189"/>
      <c r="N19" s="189"/>
      <c r="O19" s="183"/>
      <c r="P19" s="55"/>
      <c r="R19" s="55"/>
      <c r="S19" s="183"/>
      <c r="T19" s="55"/>
      <c r="U19" s="190">
        <f>Tab_Def_Flows[[#This Row],[CC_DM'[%']]]*Tab_Def_Flows[[#This Row],[DM]]</f>
        <v>0</v>
      </c>
      <c r="V19" s="11" t="s">
        <v>193</v>
      </c>
    </row>
    <row r="20" spans="1:22" x14ac:dyDescent="0.25">
      <c r="A20" s="194" t="b">
        <v>0</v>
      </c>
      <c r="B20" s="43">
        <f t="shared" si="0"/>
        <v>19</v>
      </c>
      <c r="C20" s="9" t="str">
        <f t="shared" si="2"/>
        <v>F_09_09</v>
      </c>
      <c r="D20" s="11"/>
      <c r="E20" s="37"/>
      <c r="F20" s="37"/>
      <c r="G20" s="37"/>
      <c r="H20" s="189"/>
      <c r="I20" s="9" t="str">
        <f>_xlfn.XLOOKUP(H20,Tab_Def_Processes[Name(EN)],Tab_Def_Processes[Process_ID],,0,)</f>
        <v>09</v>
      </c>
      <c r="J20" s="189"/>
      <c r="K20" s="17" t="str">
        <f>_xlfn.XLOOKUP(J20,Tab_Def_Processes[Name(EN)],Tab_Def_Processes[Process_ID],,0,)</f>
        <v>09</v>
      </c>
      <c r="L20" s="189"/>
      <c r="M20" s="189"/>
      <c r="N20" s="189"/>
      <c r="O20" s="183"/>
      <c r="P20" s="55"/>
      <c r="R20" s="55"/>
      <c r="S20" s="183"/>
      <c r="T20" s="55"/>
      <c r="U20" s="190">
        <f>Tab_Def_Flows[[#This Row],[CC_DM'[%']]]*Tab_Def_Flows[[#This Row],[DM]]</f>
        <v>0</v>
      </c>
      <c r="V20" s="11" t="s">
        <v>193</v>
      </c>
    </row>
    <row r="21" spans="1:22" x14ac:dyDescent="0.25">
      <c r="A21" s="194" t="b">
        <v>0</v>
      </c>
      <c r="B21" s="43">
        <f t="shared" si="0"/>
        <v>20</v>
      </c>
      <c r="C21" s="9" t="str">
        <f t="shared" si="2"/>
        <v>F_09_09</v>
      </c>
      <c r="D21" s="11"/>
      <c r="E21" s="37"/>
      <c r="F21" s="37"/>
      <c r="G21" s="37"/>
      <c r="H21" s="189"/>
      <c r="I21" s="9" t="str">
        <f>_xlfn.XLOOKUP(H21,Tab_Def_Processes[Name(EN)],Tab_Def_Processes[Process_ID],,0,)</f>
        <v>09</v>
      </c>
      <c r="J21" s="189"/>
      <c r="K21" s="17" t="str">
        <f>_xlfn.XLOOKUP(J21,Tab_Def_Processes[Name(EN)],Tab_Def_Processes[Process_ID],,0,)</f>
        <v>09</v>
      </c>
      <c r="L21" s="189"/>
      <c r="M21" s="189"/>
      <c r="N21" s="189"/>
      <c r="O21" s="183"/>
      <c r="P21" s="55"/>
      <c r="R21" s="55"/>
      <c r="S21" s="183"/>
      <c r="T21" s="55"/>
      <c r="U21" s="190">
        <f>Tab_Def_Flows[[#This Row],[CC_DM'[%']]]*Tab_Def_Flows[[#This Row],[DM]]</f>
        <v>0</v>
      </c>
      <c r="V21" s="11" t="s">
        <v>193</v>
      </c>
    </row>
    <row r="22" spans="1:22" x14ac:dyDescent="0.25">
      <c r="A22" s="194" t="b">
        <v>0</v>
      </c>
      <c r="B22" s="43">
        <f t="shared" si="0"/>
        <v>21</v>
      </c>
      <c r="C22" s="9" t="str">
        <f t="shared" si="2"/>
        <v>F_09_09</v>
      </c>
      <c r="D22" s="11"/>
      <c r="E22" s="37"/>
      <c r="F22" s="37"/>
      <c r="G22" s="37"/>
      <c r="H22" s="189"/>
      <c r="I22" s="9" t="str">
        <f>_xlfn.XLOOKUP(H22,Tab_Def_Processes[Name(EN)],Tab_Def_Processes[Process_ID],,0,)</f>
        <v>09</v>
      </c>
      <c r="J22" s="189"/>
      <c r="K22" s="17" t="str">
        <f>_xlfn.XLOOKUP(J22,Tab_Def_Processes[Name(EN)],Tab_Def_Processes[Process_ID],,0,)</f>
        <v>09</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F_09_09</v>
      </c>
      <c r="D23" s="11"/>
      <c r="E23" s="37"/>
      <c r="F23" s="37"/>
      <c r="G23" s="37"/>
      <c r="H23" s="189"/>
      <c r="I23" s="9" t="str">
        <f>_xlfn.XLOOKUP(H23,Tab_Def_Processes[Name(EN)],Tab_Def_Processes[Process_ID],,0,)</f>
        <v>09</v>
      </c>
      <c r="J23" s="189"/>
      <c r="K23" s="17" t="str">
        <f>_xlfn.XLOOKUP(J23,Tab_Def_Processes[Name(EN)],Tab_Def_Processes[Process_ID],,0,)</f>
        <v>09</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F_09_09</v>
      </c>
      <c r="D24" s="11"/>
      <c r="E24" s="37"/>
      <c r="F24" s="37"/>
      <c r="G24" s="37"/>
      <c r="H24" s="189"/>
      <c r="I24" s="9" t="str">
        <f>_xlfn.XLOOKUP(H24,Tab_Def_Processes[Name(EN)],Tab_Def_Processes[Process_ID],,0,)</f>
        <v>09</v>
      </c>
      <c r="J24" s="189"/>
      <c r="K24" s="17" t="str">
        <f>_xlfn.XLOOKUP(J24,Tab_Def_Processes[Name(EN)],Tab_Def_Processes[Process_ID],,0,)</f>
        <v>09</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F_09_09</v>
      </c>
      <c r="D25" s="11"/>
      <c r="E25" s="37"/>
      <c r="F25" s="37"/>
      <c r="G25" s="37"/>
      <c r="H25" s="189"/>
      <c r="I25" s="9" t="str">
        <f>_xlfn.XLOOKUP(H25,Tab_Def_Processes[Name(EN)],Tab_Def_Processes[Process_ID],,0,)</f>
        <v>09</v>
      </c>
      <c r="J25" s="189"/>
      <c r="K25" s="17" t="str">
        <f>_xlfn.XLOOKUP(J25,Tab_Def_Processes[Name(EN)],Tab_Def_Processes[Process_ID],,0,)</f>
        <v>09</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F_09_09</v>
      </c>
      <c r="D26" s="11"/>
      <c r="E26" s="37"/>
      <c r="F26" s="37"/>
      <c r="G26" s="37"/>
      <c r="H26" s="189"/>
      <c r="I26" s="9" t="str">
        <f>_xlfn.XLOOKUP(H26,Tab_Def_Processes[Name(EN)],Tab_Def_Processes[Process_ID],,0,)</f>
        <v>09</v>
      </c>
      <c r="J26" s="189"/>
      <c r="K26" s="17" t="str">
        <f>_xlfn.XLOOKUP(J26,Tab_Def_Processes[Name(EN)],Tab_Def_Processes[Process_ID],,0,)</f>
        <v>09</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F_09_09</v>
      </c>
      <c r="D27" s="11"/>
      <c r="E27" s="37"/>
      <c r="F27" s="37"/>
      <c r="G27" s="37"/>
      <c r="H27" s="189"/>
      <c r="I27" s="9" t="str">
        <f>_xlfn.XLOOKUP(H27,Tab_Def_Processes[Name(EN)],Tab_Def_Processes[Process_ID],,0,)</f>
        <v>09</v>
      </c>
      <c r="J27" s="189"/>
      <c r="K27" s="17" t="str">
        <f>_xlfn.XLOOKUP(J27,Tab_Def_Processes[Name(EN)],Tab_Def_Processes[Process_ID],,0,)</f>
        <v>09</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F_09_09</v>
      </c>
      <c r="D28" s="11"/>
      <c r="E28" s="37"/>
      <c r="F28" s="37"/>
      <c r="G28" s="37"/>
      <c r="H28" s="189"/>
      <c r="I28" s="9" t="str">
        <f>_xlfn.XLOOKUP(H28,Tab_Def_Processes[Name(EN)],Tab_Def_Processes[Process_ID],,0,)</f>
        <v>09</v>
      </c>
      <c r="J28" s="189"/>
      <c r="K28" s="17" t="str">
        <f>_xlfn.XLOOKUP(J28,Tab_Def_Processes[Name(EN)],Tab_Def_Processes[Process_ID],,0,)</f>
        <v>09</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F_09_09</v>
      </c>
      <c r="D29" s="11"/>
      <c r="E29" s="37"/>
      <c r="F29" s="37"/>
      <c r="G29" s="37"/>
      <c r="H29" s="189"/>
      <c r="I29" s="9" t="str">
        <f>_xlfn.XLOOKUP(H29,Tab_Def_Processes[Name(EN)],Tab_Def_Processes[Process_ID],,0,)</f>
        <v>09</v>
      </c>
      <c r="J29" s="189"/>
      <c r="K29" s="17" t="str">
        <f>_xlfn.XLOOKUP(J29,Tab_Def_Processes[Name(EN)],Tab_Def_Processes[Process_ID],,0,)</f>
        <v>09</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F_09_09</v>
      </c>
      <c r="D30" s="11"/>
      <c r="E30" s="37"/>
      <c r="F30" s="37"/>
      <c r="G30" s="37"/>
      <c r="H30" s="189"/>
      <c r="I30" s="9" t="str">
        <f>_xlfn.XLOOKUP(H30,Tab_Def_Processes[Name(EN)],Tab_Def_Processes[Process_ID],,0,)</f>
        <v>09</v>
      </c>
      <c r="J30" s="189"/>
      <c r="K30" s="17" t="str">
        <f>_xlfn.XLOOKUP(J30,Tab_Def_Processes[Name(EN)],Tab_Def_Processes[Process_ID],,0,)</f>
        <v>09</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F_09_09</v>
      </c>
      <c r="D31" s="11"/>
      <c r="E31" s="37"/>
      <c r="F31" s="37"/>
      <c r="G31" s="37"/>
      <c r="H31" s="189"/>
      <c r="I31" s="9" t="str">
        <f>_xlfn.XLOOKUP(H31,Tab_Def_Processes[Name(EN)],Tab_Def_Processes[Process_ID],,0,)</f>
        <v>09</v>
      </c>
      <c r="J31" s="189"/>
      <c r="K31" s="17" t="str">
        <f>_xlfn.XLOOKUP(J31,Tab_Def_Processes[Name(EN)],Tab_Def_Processes[Process_ID],,0,)</f>
        <v>09</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F_09_09</v>
      </c>
      <c r="D32" s="11"/>
      <c r="E32" s="37"/>
      <c r="F32" s="37"/>
      <c r="G32" s="37"/>
      <c r="H32" s="189"/>
      <c r="I32" s="9" t="str">
        <f>_xlfn.XLOOKUP(H32,Tab_Def_Processes[Name(EN)],Tab_Def_Processes[Process_ID],,0,)</f>
        <v>09</v>
      </c>
      <c r="J32" s="189"/>
      <c r="K32" s="17" t="str">
        <f>_xlfn.XLOOKUP(J32,Tab_Def_Processes[Name(EN)],Tab_Def_Processes[Process_ID],,0,)</f>
        <v>09</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F_09_09</v>
      </c>
      <c r="D33" s="11"/>
      <c r="E33" s="37"/>
      <c r="F33" s="37"/>
      <c r="G33" s="37"/>
      <c r="H33" s="189"/>
      <c r="I33" s="9" t="str">
        <f>_xlfn.XLOOKUP(H33,Tab_Def_Processes[Name(EN)],Tab_Def_Processes[Process_ID],,0,)</f>
        <v>09</v>
      </c>
      <c r="J33" s="189"/>
      <c r="K33" s="17" t="str">
        <f>_xlfn.XLOOKUP(J33,Tab_Def_Processes[Name(EN)],Tab_Def_Processes[Process_ID],,0,)</f>
        <v>09</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F_09_09</v>
      </c>
      <c r="D34" s="11"/>
      <c r="E34" s="37"/>
      <c r="F34" s="37"/>
      <c r="G34" s="37"/>
      <c r="H34" s="189"/>
      <c r="I34" s="9" t="str">
        <f>_xlfn.XLOOKUP(H34,Tab_Def_Processes[Name(EN)],Tab_Def_Processes[Process_ID],,0,)</f>
        <v>09</v>
      </c>
      <c r="J34" s="189"/>
      <c r="K34" s="17" t="str">
        <f>_xlfn.XLOOKUP(J34,Tab_Def_Processes[Name(EN)],Tab_Def_Processes[Process_ID],,0,)</f>
        <v>09</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F_09_09</v>
      </c>
      <c r="D35" s="11"/>
      <c r="E35" s="37"/>
      <c r="F35" s="37"/>
      <c r="G35" s="37"/>
      <c r="H35" s="189"/>
      <c r="I35" s="9" t="str">
        <f>_xlfn.XLOOKUP(H35,Tab_Def_Processes[Name(EN)],Tab_Def_Processes[Process_ID],,0,)</f>
        <v>09</v>
      </c>
      <c r="J35" s="189"/>
      <c r="K35" s="17" t="str">
        <f>_xlfn.XLOOKUP(J35,Tab_Def_Processes[Name(EN)],Tab_Def_Processes[Process_ID],,0,)</f>
        <v>09</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F_09_09</v>
      </c>
      <c r="D36" s="11"/>
      <c r="E36" s="37"/>
      <c r="F36" s="37"/>
      <c r="G36" s="37"/>
      <c r="H36" s="189"/>
      <c r="I36" s="9" t="str">
        <f>_xlfn.XLOOKUP(H36,Tab_Def_Processes[Name(EN)],Tab_Def_Processes[Process_ID],,0,)</f>
        <v>09</v>
      </c>
      <c r="J36" s="189"/>
      <c r="K36" s="17" t="str">
        <f>_xlfn.XLOOKUP(J36,Tab_Def_Processes[Name(EN)],Tab_Def_Processes[Process_ID],,0,)</f>
        <v>09</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F_09_09</v>
      </c>
      <c r="D37" s="11"/>
      <c r="E37" s="37"/>
      <c r="F37" s="37"/>
      <c r="G37" s="37"/>
      <c r="H37" s="189"/>
      <c r="I37" s="9" t="str">
        <f>_xlfn.XLOOKUP(H37,Tab_Def_Processes[Name(EN)],Tab_Def_Processes[Process_ID],,0,)</f>
        <v>09</v>
      </c>
      <c r="J37" s="189"/>
      <c r="K37" s="17" t="str">
        <f>_xlfn.XLOOKUP(J37,Tab_Def_Processes[Name(EN)],Tab_Def_Processes[Process_ID],,0,)</f>
        <v>09</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F_09_09</v>
      </c>
      <c r="D38" s="11"/>
      <c r="E38" s="37"/>
      <c r="F38" s="37"/>
      <c r="G38" s="37"/>
      <c r="H38" s="189"/>
      <c r="I38" s="9" t="str">
        <f>_xlfn.XLOOKUP(H38,Tab_Def_Processes[Name(EN)],Tab_Def_Processes[Process_ID],,0,)</f>
        <v>09</v>
      </c>
      <c r="J38" s="189"/>
      <c r="K38" s="17" t="str">
        <f>_xlfn.XLOOKUP(J38,Tab_Def_Processes[Name(EN)],Tab_Def_Processes[Process_ID],,0,)</f>
        <v>09</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F_09_09</v>
      </c>
      <c r="D39" s="11"/>
      <c r="E39" s="37"/>
      <c r="F39" s="37"/>
      <c r="G39" s="37"/>
      <c r="H39" s="189"/>
      <c r="I39" s="9" t="str">
        <f>_xlfn.XLOOKUP(H39,Tab_Def_Processes[Name(EN)],Tab_Def_Processes[Process_ID],,0,)</f>
        <v>09</v>
      </c>
      <c r="J39" s="189"/>
      <c r="K39" s="17" t="str">
        <f>_xlfn.XLOOKUP(J39,Tab_Def_Processes[Name(EN)],Tab_Def_Processes[Process_ID],,0,)</f>
        <v>09</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F_09_09</v>
      </c>
      <c r="D40" s="11"/>
      <c r="E40" s="37"/>
      <c r="F40" s="37"/>
      <c r="G40" s="37"/>
      <c r="H40" s="189"/>
      <c r="I40" s="9" t="str">
        <f>_xlfn.XLOOKUP(H40,Tab_Def_Processes[Name(EN)],Tab_Def_Processes[Process_ID],,0,)</f>
        <v>09</v>
      </c>
      <c r="J40" s="189"/>
      <c r="K40" s="17" t="str">
        <f>_xlfn.XLOOKUP(J40,Tab_Def_Processes[Name(EN)],Tab_Def_Processes[Process_ID],,0,)</f>
        <v>09</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F_09_09</v>
      </c>
      <c r="D41" s="11"/>
      <c r="E41" s="37"/>
      <c r="F41" s="37"/>
      <c r="G41" s="37"/>
      <c r="H41" s="189"/>
      <c r="I41" s="9" t="str">
        <f>_xlfn.XLOOKUP(H41,Tab_Def_Processes[Name(EN)],Tab_Def_Processes[Process_ID],,0,)</f>
        <v>09</v>
      </c>
      <c r="J41" s="189"/>
      <c r="K41" s="17" t="str">
        <f>_xlfn.XLOOKUP(J41,Tab_Def_Processes[Name(EN)],Tab_Def_Processes[Process_ID],,0,)</f>
        <v>09</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F_09_09</v>
      </c>
      <c r="D42" s="11"/>
      <c r="E42" s="37"/>
      <c r="F42" s="37"/>
      <c r="G42" s="37"/>
      <c r="H42" s="189"/>
      <c r="I42" s="9" t="str">
        <f>_xlfn.XLOOKUP(H42,Tab_Def_Processes[Name(EN)],Tab_Def_Processes[Process_ID],,0,)</f>
        <v>09</v>
      </c>
      <c r="J42" s="189"/>
      <c r="K42" s="17" t="str">
        <f>_xlfn.XLOOKUP(J42,Tab_Def_Processes[Name(EN)],Tab_Def_Processes[Process_ID],,0,)</f>
        <v>09</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F_09_09</v>
      </c>
      <c r="D43" s="11"/>
      <c r="E43" s="37"/>
      <c r="F43" s="37"/>
      <c r="G43" s="37"/>
      <c r="H43" s="189"/>
      <c r="I43" s="9" t="str">
        <f>_xlfn.XLOOKUP(H43,Tab_Def_Processes[Name(EN)],Tab_Def_Processes[Process_ID],,0,)</f>
        <v>09</v>
      </c>
      <c r="J43" s="189"/>
      <c r="K43" s="17" t="str">
        <f>_xlfn.XLOOKUP(J43,Tab_Def_Processes[Name(EN)],Tab_Def_Processes[Process_ID],,0,)</f>
        <v>09</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F_09_09</v>
      </c>
      <c r="D44" s="11"/>
      <c r="E44" s="37"/>
      <c r="F44" s="37"/>
      <c r="G44" s="37"/>
      <c r="H44" s="189"/>
      <c r="I44" s="9" t="str">
        <f>_xlfn.XLOOKUP(H44,Tab_Def_Processes[Name(EN)],Tab_Def_Processes[Process_ID],,0,)</f>
        <v>09</v>
      </c>
      <c r="J44" s="189"/>
      <c r="K44" s="17" t="str">
        <f>_xlfn.XLOOKUP(J44,Tab_Def_Processes[Name(EN)],Tab_Def_Processes[Process_ID],,0,)</f>
        <v>09</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F_09_09</v>
      </c>
      <c r="D45" s="11"/>
      <c r="E45" s="37"/>
      <c r="F45" s="37"/>
      <c r="G45" s="37"/>
      <c r="H45" s="189"/>
      <c r="I45" s="9" t="str">
        <f>_xlfn.XLOOKUP(H45,Tab_Def_Processes[Name(EN)],Tab_Def_Processes[Process_ID],,0,)</f>
        <v>09</v>
      </c>
      <c r="J45" s="189"/>
      <c r="K45" s="17" t="str">
        <f>_xlfn.XLOOKUP(J45,Tab_Def_Processes[Name(EN)],Tab_Def_Processes[Process_ID],,0,)</f>
        <v>09</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F_09_09</v>
      </c>
      <c r="D46" s="11"/>
      <c r="E46" s="37"/>
      <c r="F46" s="37"/>
      <c r="G46" s="37"/>
      <c r="H46" s="189"/>
      <c r="I46" s="9" t="str">
        <f>_xlfn.XLOOKUP(H46,Tab_Def_Processes[Name(EN)],Tab_Def_Processes[Process_ID],,0,)</f>
        <v>09</v>
      </c>
      <c r="J46" s="189"/>
      <c r="K46" s="17" t="str">
        <f>_xlfn.XLOOKUP(J46,Tab_Def_Processes[Name(EN)],Tab_Def_Processes[Process_ID],,0,)</f>
        <v>09</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F_09_09</v>
      </c>
      <c r="D47" s="11"/>
      <c r="E47" s="37"/>
      <c r="F47" s="37"/>
      <c r="G47" s="37"/>
      <c r="H47" s="189"/>
      <c r="I47" s="9" t="str">
        <f>_xlfn.XLOOKUP(H47,Tab_Def_Processes[Name(EN)],Tab_Def_Processes[Process_ID],,0,)</f>
        <v>09</v>
      </c>
      <c r="J47" s="189"/>
      <c r="K47" s="17" t="str">
        <f>_xlfn.XLOOKUP(J47,Tab_Def_Processes[Name(EN)],Tab_Def_Processes[Process_ID],,0,)</f>
        <v>09</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F_09_09</v>
      </c>
      <c r="D48" s="11"/>
      <c r="E48" s="37"/>
      <c r="F48" s="37"/>
      <c r="G48" s="37"/>
      <c r="H48" s="189"/>
      <c r="I48" s="9" t="str">
        <f>_xlfn.XLOOKUP(H48,Tab_Def_Processes[Name(EN)],Tab_Def_Processes[Process_ID],,0,)</f>
        <v>09</v>
      </c>
      <c r="J48" s="189"/>
      <c r="K48" s="17" t="str">
        <f>_xlfn.XLOOKUP(J48,Tab_Def_Processes[Name(EN)],Tab_Def_Processes[Process_ID],,0,)</f>
        <v>09</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F_09_09</v>
      </c>
      <c r="D49" s="11"/>
      <c r="E49" s="37"/>
      <c r="F49" s="37"/>
      <c r="G49" s="37"/>
      <c r="H49" s="189"/>
      <c r="I49" s="9" t="str">
        <f>_xlfn.XLOOKUP(H49,Tab_Def_Processes[Name(EN)],Tab_Def_Processes[Process_ID],,0,)</f>
        <v>09</v>
      </c>
      <c r="J49" s="189"/>
      <c r="K49" s="17" t="str">
        <f>_xlfn.XLOOKUP(J49,Tab_Def_Processes[Name(EN)],Tab_Def_Processes[Process_ID],,0,)</f>
        <v>09</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F_09_09</v>
      </c>
      <c r="D50" s="11"/>
      <c r="E50" s="37"/>
      <c r="F50" s="37"/>
      <c r="G50" s="37"/>
      <c r="H50" s="189"/>
      <c r="I50" s="9" t="str">
        <f>_xlfn.XLOOKUP(H50,Tab_Def_Processes[Name(EN)],Tab_Def_Processes[Process_ID],,0,)</f>
        <v>09</v>
      </c>
      <c r="J50" s="189"/>
      <c r="K50" s="17" t="str">
        <f>_xlfn.XLOOKUP(J50,Tab_Def_Processes[Name(EN)],Tab_Def_Processes[Process_ID],,0,)</f>
        <v>09</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F_09_09</v>
      </c>
      <c r="D51" s="11"/>
      <c r="E51" s="37"/>
      <c r="F51" s="37"/>
      <c r="G51" s="37"/>
      <c r="H51" s="189"/>
      <c r="I51" s="9" t="str">
        <f>_xlfn.XLOOKUP(H51,Tab_Def_Processes[Name(EN)],Tab_Def_Processes[Process_ID],,0,)</f>
        <v>09</v>
      </c>
      <c r="J51" s="189"/>
      <c r="K51" s="17" t="str">
        <f>_xlfn.XLOOKUP(J51,Tab_Def_Processes[Name(EN)],Tab_Def_Processes[Process_ID],,0,)</f>
        <v>09</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F_09_09</v>
      </c>
      <c r="D52" s="11"/>
      <c r="E52" s="37"/>
      <c r="F52" s="37"/>
      <c r="G52" s="37"/>
      <c r="H52" s="189"/>
      <c r="I52" s="9" t="str">
        <f>_xlfn.XLOOKUP(H52,Tab_Def_Processes[Name(EN)],Tab_Def_Processes[Process_ID],,0,)</f>
        <v>09</v>
      </c>
      <c r="J52" s="189"/>
      <c r="K52" s="17" t="str">
        <f>_xlfn.XLOOKUP(J52,Tab_Def_Processes[Name(EN)],Tab_Def_Processes[Process_ID],,0,)</f>
        <v>09</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F_09_09</v>
      </c>
      <c r="D53" s="11"/>
      <c r="E53" s="37"/>
      <c r="F53" s="37"/>
      <c r="G53" s="37"/>
      <c r="H53" s="189"/>
      <c r="I53" s="9" t="str">
        <f>_xlfn.XLOOKUP(H53,Tab_Def_Processes[Name(EN)],Tab_Def_Processes[Process_ID],,0,)</f>
        <v>09</v>
      </c>
      <c r="J53" s="189"/>
      <c r="K53" s="17" t="str">
        <f>_xlfn.XLOOKUP(J53,Tab_Def_Processes[Name(EN)],Tab_Def_Processes[Process_ID],,0,)</f>
        <v>09</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F_09_09</v>
      </c>
      <c r="D54" s="11"/>
      <c r="E54" s="38"/>
      <c r="F54" s="37"/>
      <c r="G54" s="38"/>
      <c r="H54" s="189"/>
      <c r="I54" s="9" t="str">
        <f>_xlfn.XLOOKUP(H54,Tab_Def_Processes[Name(EN)],Tab_Def_Processes[Process_ID],,0,)</f>
        <v>09</v>
      </c>
      <c r="J54" s="189"/>
      <c r="K54" s="17" t="str">
        <f>_xlfn.XLOOKUP(J54,Tab_Def_Processes[Name(EN)],Tab_Def_Processes[Process_ID],,0,)</f>
        <v>09</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F_09_09</v>
      </c>
      <c r="D55" s="11"/>
      <c r="E55" s="38"/>
      <c r="F55" s="37"/>
      <c r="G55" s="38"/>
      <c r="H55" s="189"/>
      <c r="I55" s="9" t="str">
        <f>_xlfn.XLOOKUP(H55,Tab_Def_Processes[Name(EN)],Tab_Def_Processes[Process_ID],,0,)</f>
        <v>09</v>
      </c>
      <c r="J55" s="189"/>
      <c r="K55" s="17" t="str">
        <f>_xlfn.XLOOKUP(J55,Tab_Def_Processes[Name(EN)],Tab_Def_Processes[Process_ID],,0,)</f>
        <v>09</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F_09_09</v>
      </c>
      <c r="D56" s="11"/>
      <c r="E56" s="38"/>
      <c r="F56" s="37"/>
      <c r="G56" s="38"/>
      <c r="H56" s="189"/>
      <c r="I56" s="9" t="str">
        <f>_xlfn.XLOOKUP(H56,Tab_Def_Processes[Name(EN)],Tab_Def_Processes[Process_ID],,0,)</f>
        <v>09</v>
      </c>
      <c r="J56" s="189"/>
      <c r="K56" s="17" t="str">
        <f>_xlfn.XLOOKUP(J56,Tab_Def_Processes[Name(EN)],Tab_Def_Processes[Process_ID],,0,)</f>
        <v>09</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F_09_09</v>
      </c>
      <c r="D57" s="11"/>
      <c r="E57" s="38"/>
      <c r="F57" s="37"/>
      <c r="G57" s="38"/>
      <c r="H57" s="189"/>
      <c r="I57" s="9" t="str">
        <f>_xlfn.XLOOKUP(H57,Tab_Def_Processes[Name(EN)],Tab_Def_Processes[Process_ID],,0,)</f>
        <v>09</v>
      </c>
      <c r="J57" s="189"/>
      <c r="K57" s="17" t="str">
        <f>_xlfn.XLOOKUP(J57,Tab_Def_Processes[Name(EN)],Tab_Def_Processes[Process_ID],,0,)</f>
        <v>09</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F_09_09</v>
      </c>
      <c r="D58" s="11"/>
      <c r="E58" s="37"/>
      <c r="F58" s="37"/>
      <c r="G58" s="38"/>
      <c r="H58" s="189"/>
      <c r="I58" s="9" t="str">
        <f>_xlfn.XLOOKUP(H58,Tab_Def_Processes[Name(EN)],Tab_Def_Processes[Process_ID],,0,)</f>
        <v>09</v>
      </c>
      <c r="J58" s="189"/>
      <c r="K58" s="17" t="str">
        <f>_xlfn.XLOOKUP(J58,Tab_Def_Processes[Name(EN)],Tab_Def_Processes[Process_ID],,0,)</f>
        <v>09</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F_09_09</v>
      </c>
      <c r="D59" s="11"/>
      <c r="E59" s="37"/>
      <c r="F59" s="37"/>
      <c r="G59" s="38"/>
      <c r="H59" s="189"/>
      <c r="I59" s="9" t="str">
        <f>_xlfn.XLOOKUP(H59,Tab_Def_Processes[Name(EN)],Tab_Def_Processes[Process_ID],,0,)</f>
        <v>09</v>
      </c>
      <c r="J59" s="189"/>
      <c r="K59" s="17" t="str">
        <f>_xlfn.XLOOKUP(J59,Tab_Def_Processes[Name(EN)],Tab_Def_Processes[Process_ID],,0,)</f>
        <v>09</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F_09_09</v>
      </c>
      <c r="D60" s="11"/>
      <c r="E60" s="37"/>
      <c r="F60" s="37"/>
      <c r="G60" s="38"/>
      <c r="H60" s="189"/>
      <c r="I60" s="9" t="str">
        <f>_xlfn.XLOOKUP(H60,Tab_Def_Processes[Name(EN)],Tab_Def_Processes[Process_ID],,0,)</f>
        <v>09</v>
      </c>
      <c r="J60" s="189"/>
      <c r="K60" s="17" t="str">
        <f>_xlfn.XLOOKUP(J60,Tab_Def_Processes[Name(EN)],Tab_Def_Processes[Process_ID],,0,)</f>
        <v>09</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F_09_09</v>
      </c>
      <c r="D61" s="11"/>
      <c r="E61" s="37"/>
      <c r="F61" s="37"/>
      <c r="G61" s="38"/>
      <c r="H61" s="189"/>
      <c r="I61" s="9" t="str">
        <f>_xlfn.XLOOKUP(H61,Tab_Def_Processes[Name(EN)],Tab_Def_Processes[Process_ID],,0,)</f>
        <v>09</v>
      </c>
      <c r="J61" s="189"/>
      <c r="K61" s="17" t="str">
        <f>_xlfn.XLOOKUP(J61,Tab_Def_Processes[Name(EN)],Tab_Def_Processes[Process_ID],,0,)</f>
        <v>09</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F_09_09</v>
      </c>
      <c r="D62" s="11"/>
      <c r="E62" s="37"/>
      <c r="F62" s="37"/>
      <c r="G62" s="37"/>
      <c r="H62" s="189"/>
      <c r="I62" s="9" t="str">
        <f>_xlfn.XLOOKUP(H62,Tab_Def_Processes[Name(EN)],Tab_Def_Processes[Process_ID],,0,)</f>
        <v>09</v>
      </c>
      <c r="J62" s="189"/>
      <c r="K62" s="17" t="str">
        <f>_xlfn.XLOOKUP(J62,Tab_Def_Processes[Name(EN)],Tab_Def_Processes[Process_ID],,0,)</f>
        <v>09</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F_09_09</v>
      </c>
      <c r="D63" s="11"/>
      <c r="E63" s="37"/>
      <c r="F63" s="37"/>
      <c r="G63" s="37"/>
      <c r="H63" s="189"/>
      <c r="I63" s="9" t="str">
        <f>_xlfn.XLOOKUP(H63,Tab_Def_Processes[Name(EN)],Tab_Def_Processes[Process_ID],,0,)</f>
        <v>09</v>
      </c>
      <c r="J63" s="189"/>
      <c r="K63" s="17" t="str">
        <f>_xlfn.XLOOKUP(J63,Tab_Def_Processes[Name(EN)],Tab_Def_Processes[Process_ID],,0,)</f>
        <v>09</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F_09_09</v>
      </c>
      <c r="D64" s="11"/>
      <c r="E64" s="37"/>
      <c r="F64" s="37"/>
      <c r="G64" s="37"/>
      <c r="H64" s="189"/>
      <c r="I64" s="9" t="str">
        <f>_xlfn.XLOOKUP(H64,Tab_Def_Processes[Name(EN)],Tab_Def_Processes[Process_ID],,0,)</f>
        <v>09</v>
      </c>
      <c r="J64" s="189"/>
      <c r="K64" s="17" t="str">
        <f>_xlfn.XLOOKUP(J64,Tab_Def_Processes[Name(EN)],Tab_Def_Processes[Process_ID],,0,)</f>
        <v>09</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F_09_09</v>
      </c>
      <c r="D65" s="11"/>
      <c r="E65" s="37"/>
      <c r="F65" s="37"/>
      <c r="G65" s="37"/>
      <c r="H65" s="189"/>
      <c r="I65" s="9" t="str">
        <f>_xlfn.XLOOKUP(H65,Tab_Def_Processes[Name(EN)],Tab_Def_Processes[Process_ID],,0,)</f>
        <v>09</v>
      </c>
      <c r="J65" s="189"/>
      <c r="K65" s="17" t="str">
        <f>_xlfn.XLOOKUP(J65,Tab_Def_Processes[Name(EN)],Tab_Def_Processes[Process_ID],,0,)</f>
        <v>09</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F_09_09</v>
      </c>
      <c r="D66" s="11"/>
      <c r="E66" s="37"/>
      <c r="F66" s="37"/>
      <c r="G66" s="37"/>
      <c r="H66" s="189"/>
      <c r="I66" s="9" t="str">
        <f>_xlfn.XLOOKUP(H66,Tab_Def_Processes[Name(EN)],Tab_Def_Processes[Process_ID],,0,)</f>
        <v>09</v>
      </c>
      <c r="J66" s="189"/>
      <c r="K66" s="17" t="str">
        <f>_xlfn.XLOOKUP(J66,Tab_Def_Processes[Name(EN)],Tab_Def_Processes[Process_ID],,0,)</f>
        <v>09</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F_09_09</v>
      </c>
      <c r="D67" s="11"/>
      <c r="E67" s="37"/>
      <c r="F67" s="37"/>
      <c r="G67" s="37"/>
      <c r="H67" s="189"/>
      <c r="I67" s="9" t="str">
        <f>_xlfn.XLOOKUP(H67,Tab_Def_Processes[Name(EN)],Tab_Def_Processes[Process_ID],,0,)</f>
        <v>09</v>
      </c>
      <c r="J67" s="189"/>
      <c r="K67" s="17" t="str">
        <f>_xlfn.XLOOKUP(J67,Tab_Def_Processes[Name(EN)],Tab_Def_Processes[Process_ID],,0,)</f>
        <v>09</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F_09_09</v>
      </c>
      <c r="D68" s="11"/>
      <c r="E68" s="37"/>
      <c r="F68" s="37"/>
      <c r="G68" s="37"/>
      <c r="H68" s="189"/>
      <c r="I68" s="9" t="str">
        <f>_xlfn.XLOOKUP(H68,Tab_Def_Processes[Name(EN)],Tab_Def_Processes[Process_ID],,0,)</f>
        <v>09</v>
      </c>
      <c r="J68" s="189"/>
      <c r="K68" s="17" t="str">
        <f>_xlfn.XLOOKUP(J68,Tab_Def_Processes[Name(EN)],Tab_Def_Processes[Process_ID],,0,)</f>
        <v>09</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F_09_09</v>
      </c>
      <c r="D69" s="11"/>
      <c r="E69" s="37"/>
      <c r="F69" s="37"/>
      <c r="G69" s="37"/>
      <c r="H69" s="189"/>
      <c r="I69" s="9" t="str">
        <f>_xlfn.XLOOKUP(H69,Tab_Def_Processes[Name(EN)],Tab_Def_Processes[Process_ID],,0,)</f>
        <v>09</v>
      </c>
      <c r="J69" s="189"/>
      <c r="K69" s="17" t="str">
        <f>_xlfn.XLOOKUP(J69,Tab_Def_Processes[Name(EN)],Tab_Def_Processes[Process_ID],,0,)</f>
        <v>09</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F_09_09</v>
      </c>
      <c r="D70" s="11"/>
      <c r="E70" s="37"/>
      <c r="F70" s="37"/>
      <c r="G70" s="37"/>
      <c r="H70" s="189"/>
      <c r="I70" s="9" t="str">
        <f>_xlfn.XLOOKUP(H70,Tab_Def_Processes[Name(EN)],Tab_Def_Processes[Process_ID],,0,)</f>
        <v>09</v>
      </c>
      <c r="J70" s="189"/>
      <c r="K70" s="17" t="str">
        <f>_xlfn.XLOOKUP(J70,Tab_Def_Processes[Name(EN)],Tab_Def_Processes[Process_ID],,0,)</f>
        <v>09</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F_09_09</v>
      </c>
      <c r="D71" s="11"/>
      <c r="E71" s="37"/>
      <c r="F71" s="37"/>
      <c r="G71" s="37"/>
      <c r="H71" s="189"/>
      <c r="I71" s="9" t="str">
        <f>_xlfn.XLOOKUP(H71,Tab_Def_Processes[Name(EN)],Tab_Def_Processes[Process_ID],,0,)</f>
        <v>09</v>
      </c>
      <c r="J71" s="189"/>
      <c r="K71" s="17" t="str">
        <f>_xlfn.XLOOKUP(J71,Tab_Def_Processes[Name(EN)],Tab_Def_Processes[Process_ID],,0,)</f>
        <v>09</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F_09_09</v>
      </c>
      <c r="D72" s="11"/>
      <c r="E72" s="37"/>
      <c r="F72" s="37"/>
      <c r="G72" s="37"/>
      <c r="H72" s="189"/>
      <c r="I72" s="9" t="str">
        <f>_xlfn.XLOOKUP(H72,Tab_Def_Processes[Name(EN)],Tab_Def_Processes[Process_ID],,0,)</f>
        <v>09</v>
      </c>
      <c r="J72" s="189"/>
      <c r="K72" s="17" t="str">
        <f>_xlfn.XLOOKUP(J72,Tab_Def_Processes[Name(EN)],Tab_Def_Processes[Process_ID],,0,)</f>
        <v>09</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F_09_09</v>
      </c>
      <c r="D73" s="11"/>
      <c r="E73" s="37"/>
      <c r="F73" s="37"/>
      <c r="G73" s="37"/>
      <c r="H73" s="189"/>
      <c r="I73" s="9" t="str">
        <f>_xlfn.XLOOKUP(H73,Tab_Def_Processes[Name(EN)],Tab_Def_Processes[Process_ID],,0,)</f>
        <v>09</v>
      </c>
      <c r="J73" s="189"/>
      <c r="K73" s="17" t="str">
        <f>_xlfn.XLOOKUP(J73,Tab_Def_Processes[Name(EN)],Tab_Def_Processes[Process_ID],,0,)</f>
        <v>09</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F_09_09</v>
      </c>
      <c r="D74" s="11"/>
      <c r="E74" s="37"/>
      <c r="F74" s="37"/>
      <c r="G74" s="37"/>
      <c r="H74" s="189"/>
      <c r="I74" s="9" t="str">
        <f>_xlfn.XLOOKUP(H74,Tab_Def_Processes[Name(EN)],Tab_Def_Processes[Process_ID],,0,)</f>
        <v>09</v>
      </c>
      <c r="J74" s="189"/>
      <c r="K74" s="17" t="str">
        <f>_xlfn.XLOOKUP(J74,Tab_Def_Processes[Name(EN)],Tab_Def_Processes[Process_ID],,0,)</f>
        <v>09</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F_09_09</v>
      </c>
      <c r="D75" s="11"/>
      <c r="E75" s="37"/>
      <c r="F75" s="37"/>
      <c r="G75" s="37"/>
      <c r="H75" s="189"/>
      <c r="I75" s="9" t="str">
        <f>_xlfn.XLOOKUP(H75,Tab_Def_Processes[Name(EN)],Tab_Def_Processes[Process_ID],,0,)</f>
        <v>09</v>
      </c>
      <c r="J75" s="189"/>
      <c r="K75" s="17" t="str">
        <f>_xlfn.XLOOKUP(J75,Tab_Def_Processes[Name(EN)],Tab_Def_Processes[Process_ID],,0,)</f>
        <v>09</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F_09_09</v>
      </c>
      <c r="D76" s="11"/>
      <c r="E76" s="37"/>
      <c r="F76" s="37"/>
      <c r="G76" s="37"/>
      <c r="H76" s="189"/>
      <c r="I76" s="9" t="str">
        <f>_xlfn.XLOOKUP(H76,Tab_Def_Processes[Name(EN)],Tab_Def_Processes[Process_ID],,0,)</f>
        <v>09</v>
      </c>
      <c r="J76" s="189"/>
      <c r="K76" s="17" t="str">
        <f>_xlfn.XLOOKUP(J76,Tab_Def_Processes[Name(EN)],Tab_Def_Processes[Process_ID],,0,)</f>
        <v>09</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F_09_09</v>
      </c>
      <c r="D77" s="11"/>
      <c r="E77" s="37"/>
      <c r="F77" s="37"/>
      <c r="G77" s="37"/>
      <c r="H77" s="189"/>
      <c r="I77" s="9" t="str">
        <f>_xlfn.XLOOKUP(H77,Tab_Def_Processes[Name(EN)],Tab_Def_Processes[Process_ID],,0,)</f>
        <v>09</v>
      </c>
      <c r="J77" s="189"/>
      <c r="K77" s="17" t="str">
        <f>_xlfn.XLOOKUP(J77,Tab_Def_Processes[Name(EN)],Tab_Def_Processes[Process_ID],,0,)</f>
        <v>09</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F_09_09</v>
      </c>
      <c r="D78" s="11"/>
      <c r="E78" s="37"/>
      <c r="F78" s="37"/>
      <c r="G78" s="37"/>
      <c r="H78" s="189"/>
      <c r="I78" s="9" t="str">
        <f>_xlfn.XLOOKUP(H78,Tab_Def_Processes[Name(EN)],Tab_Def_Processes[Process_ID],,0,)</f>
        <v>09</v>
      </c>
      <c r="J78" s="189"/>
      <c r="K78" s="17" t="str">
        <f>_xlfn.XLOOKUP(J78,Tab_Def_Processes[Name(EN)],Tab_Def_Processes[Process_ID],,0,)</f>
        <v>09</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4" zoomScale="115" zoomScaleNormal="115" workbookViewId="0">
      <selection activeCell="C50" sqref="C50"/>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276</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276</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276</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276</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276</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276</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t="s">
        <v>105</v>
      </c>
      <c r="O60" s="48"/>
      <c r="P60" s="11"/>
      <c r="Q60" s="11"/>
      <c r="R60" s="11"/>
      <c r="S60" s="11"/>
      <c r="T60" s="11"/>
      <c r="U60" s="11"/>
      <c r="V60" s="11"/>
      <c r="W60" s="11"/>
      <c r="X60" s="11" t="s">
        <v>8</v>
      </c>
      <c r="Y60" s="41"/>
      <c r="Z60" s="11"/>
      <c r="AA60" s="35">
        <f>IF(X60="no",O60,O60*Y60)</f>
        <v>0</v>
      </c>
      <c r="AB60" s="11" t="s">
        <v>276</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t="s">
        <v>105</v>
      </c>
      <c r="O61" s="48"/>
      <c r="P61" s="11"/>
      <c r="Q61" s="11"/>
      <c r="R61" s="11"/>
      <c r="S61" s="11"/>
      <c r="T61" s="11"/>
      <c r="U61" s="11"/>
      <c r="V61" s="11"/>
      <c r="W61" s="11"/>
      <c r="X61" s="11" t="s">
        <v>8</v>
      </c>
      <c r="Y61" s="41"/>
      <c r="Z61" s="11"/>
      <c r="AA61" s="35">
        <f t="shared" si="1"/>
        <v>0</v>
      </c>
      <c r="AB61" s="11" t="s">
        <v>276</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t="s">
        <v>105</v>
      </c>
      <c r="O62" s="48"/>
      <c r="P62" s="11"/>
      <c r="Q62" s="11"/>
      <c r="R62" s="11"/>
      <c r="S62" s="11"/>
      <c r="T62" s="11"/>
      <c r="U62" s="11"/>
      <c r="V62" s="11"/>
      <c r="W62" s="11"/>
      <c r="X62" s="11" t="s">
        <v>8</v>
      </c>
      <c r="Y62" s="41"/>
      <c r="Z62" s="11"/>
      <c r="AA62" s="35">
        <f t="shared" si="1"/>
        <v>0</v>
      </c>
      <c r="AB62" s="11" t="s">
        <v>276</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t="s">
        <v>105</v>
      </c>
      <c r="O63" s="48"/>
      <c r="P63" s="11"/>
      <c r="Q63" s="11"/>
      <c r="R63" s="11"/>
      <c r="S63" s="11"/>
      <c r="T63" s="11"/>
      <c r="U63" s="11"/>
      <c r="V63" s="11"/>
      <c r="W63" s="11"/>
      <c r="X63" s="11" t="s">
        <v>8</v>
      </c>
      <c r="Y63" s="41"/>
      <c r="Z63" s="11"/>
      <c r="AA63" s="35">
        <f t="shared" si="1"/>
        <v>0</v>
      </c>
      <c r="AB63" s="11" t="s">
        <v>276</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zoomScale="145" zoomScaleNormal="145" workbookViewId="0">
      <pane xSplit="4" topLeftCell="AF1" activePane="topRight" state="frozen"/>
      <selection pane="topRight" activeCell="AC9" sqref="AC9:AQ10"/>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customWidth="1"/>
    <col min="28" max="28" width="15.5703125" customWidth="1"/>
    <col min="29" max="29" width="26.5703125" customWidth="1"/>
    <col min="30" max="30" width="15.5703125" customWidth="1"/>
    <col min="31" max="31" width="31.42578125" customWidth="1"/>
    <col min="33" max="33" width="18" customWidth="1"/>
    <col min="35" max="35" width="17.140625" customWidth="1"/>
    <col min="36" max="36" width="14" customWidth="1"/>
    <col min="37" max="37" width="17"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301</v>
      </c>
      <c r="N1" s="193" t="s">
        <v>306</v>
      </c>
      <c r="O1" s="193" t="s">
        <v>307</v>
      </c>
      <c r="P1" s="193" t="s">
        <v>334</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492</v>
      </c>
      <c r="E2" s="11"/>
      <c r="F2" s="11"/>
      <c r="G2" s="11"/>
      <c r="H2" s="37"/>
      <c r="I2" s="189" t="s">
        <v>122</v>
      </c>
      <c r="J2" s="189" t="s">
        <v>8</v>
      </c>
      <c r="K2" s="189" t="s">
        <v>8</v>
      </c>
      <c r="L2" s="189" t="s">
        <v>7</v>
      </c>
      <c r="M2" s="189" t="s">
        <v>8</v>
      </c>
      <c r="N2" s="189" t="s">
        <v>8</v>
      </c>
      <c r="O2" s="189" t="s">
        <v>8</v>
      </c>
      <c r="P2" s="184">
        <v>1</v>
      </c>
      <c r="Q2" s="11" t="s">
        <v>300</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493</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377</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299</v>
      </c>
      <c r="E7" s="11"/>
      <c r="F7" s="11"/>
      <c r="G7" s="11"/>
      <c r="H7" s="37"/>
      <c r="I7" s="189" t="s">
        <v>122</v>
      </c>
      <c r="J7" s="189" t="s">
        <v>7</v>
      </c>
      <c r="K7" s="189" t="s">
        <v>7</v>
      </c>
      <c r="L7" s="189" t="s">
        <v>8</v>
      </c>
      <c r="M7" s="189" t="s">
        <v>8</v>
      </c>
      <c r="N7" s="189" t="s">
        <v>8</v>
      </c>
      <c r="O7" s="189" t="s">
        <v>8</v>
      </c>
      <c r="P7" s="184">
        <v>2</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384</v>
      </c>
      <c r="AB7" s="9" t="str">
        <f>_xlfn.XLOOKUP(AA7,Tab_Def_Flows[Name(EN)],Tab_Def_Flows[Flow_ID],,0,)</f>
        <v>F_05_06</v>
      </c>
      <c r="AC7" s="189" t="s">
        <v>382</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376</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383</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375</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378</v>
      </c>
      <c r="AB9" s="9" t="str">
        <f>_xlfn.XLOOKUP(AA9,Tab_Def_Flows[Name(EN)],Tab_Def_Flows[Flow_ID],,0,)</f>
        <v>F_07_00</v>
      </c>
      <c r="AC9" s="189" t="s">
        <v>378</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101</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380</v>
      </c>
      <c r="AB10" s="9" t="str">
        <f>_xlfn.XLOOKUP(AA10,Tab_Def_Flows[Name(EN)],Tab_Def_Flows[Flow_ID],,0,)</f>
        <v>F_08_00</v>
      </c>
      <c r="AC10" s="189" t="s">
        <v>381</v>
      </c>
      <c r="AD10" s="9" t="str">
        <f>_xlfn.XLOOKUP(AC10,Tab_Def_Flows[Name(EN)],Tab_Def_Flows[Flow_ID],,0,)</f>
        <v>F_08_01</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0</v>
      </c>
      <c r="B11" s="43" t="s">
        <v>140</v>
      </c>
      <c r="C11" s="9" t="str">
        <f t="shared" si="0"/>
        <v>09</v>
      </c>
      <c r="D11" s="11"/>
      <c r="E11" s="11"/>
      <c r="F11" s="11"/>
      <c r="G11" s="11"/>
      <c r="H11" s="37"/>
      <c r="I11" s="189"/>
      <c r="J11" s="189"/>
      <c r="K11" s="189"/>
      <c r="L11" s="189"/>
      <c r="M11" s="189"/>
      <c r="N11" s="189"/>
      <c r="O11" s="189"/>
      <c r="P11" s="11"/>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0</v>
      </c>
      <c r="B12" s="43" t="s">
        <v>145</v>
      </c>
      <c r="C12" s="9" t="str">
        <f t="shared" si="0"/>
        <v>10</v>
      </c>
      <c r="D12" s="11"/>
      <c r="E12" s="11"/>
      <c r="F12" s="11"/>
      <c r="G12" s="11"/>
      <c r="H12" s="37"/>
      <c r="I12" s="189"/>
      <c r="J12" s="189"/>
      <c r="K12" s="189"/>
      <c r="L12" s="189"/>
      <c r="M12" s="189"/>
      <c r="N12" s="189"/>
      <c r="O12" s="189"/>
      <c r="P12" s="11"/>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F_09_09</v>
      </c>
      <c r="S52" s="11"/>
      <c r="T52" s="9" t="str">
        <f>_xlfn.XLOOKUP(S52,Tab_Def_Flows[Name(EN)],Tab_Def_Flows[Flow_ID],,0,)</f>
        <v>F_09_09</v>
      </c>
      <c r="U52" s="11"/>
      <c r="V52" s="9" t="str">
        <f>_xlfn.XLOOKUP(U52,Tab_Def_Flows[Name(EN)],Tab_Def_Flows[Flow_ID],,0,)</f>
        <v>F_09_09</v>
      </c>
      <c r="W52" s="11"/>
      <c r="X52" s="9" t="str">
        <f>_xlfn.XLOOKUP(W52,Tab_Def_Flows[Name(EN)],Tab_Def_Flows[Flow_ID],,0,)</f>
        <v>F_09_09</v>
      </c>
      <c r="Y52" s="11"/>
      <c r="Z52" s="20" t="str">
        <f>_xlfn.XLOOKUP(Y52,Tab_Def_Flows[Name(EN)],Tab_Def_Flows[Flow_ID],,0,)</f>
        <v>F_09_09</v>
      </c>
      <c r="AA52" s="189"/>
      <c r="AB52" s="9" t="str">
        <f>_xlfn.XLOOKUP(AA52,Tab_Def_Flows[Name(EN)],Tab_Def_Flows[Flow_ID],,0,)</f>
        <v>F_09_09</v>
      </c>
      <c r="AC52" s="189"/>
      <c r="AD52" s="9" t="str">
        <f>_xlfn.XLOOKUP(AC52,Tab_Def_Flows[Name(EN)],Tab_Def_Flows[Flow_ID],,0,)</f>
        <v>F_09_09</v>
      </c>
      <c r="AE52" s="189" t="s">
        <v>35</v>
      </c>
      <c r="AF52" s="9" t="str">
        <f>_xlfn.XLOOKUP(AE52,Tab_Def_Flows[Name(EN)],Tab_Def_Flows[Flow_ID],,0,)</f>
        <v>N.A.</v>
      </c>
      <c r="AG52" s="189"/>
      <c r="AH52" s="9" t="str">
        <f>_xlfn.XLOOKUP(AG52,Tab_Def_Flows[Name(EN)],Tab_Def_Flows[Flow_ID],,0,)</f>
        <v>F_09_09</v>
      </c>
      <c r="AI52" s="189"/>
      <c r="AJ52" s="9" t="str">
        <f>_xlfn.XLOOKUP(AI52,Tab_Def_Flows[Name(EN)],Tab_Def_Flows[Flow_ID],,0,)</f>
        <v>F_09_09</v>
      </c>
      <c r="AK52" s="189"/>
      <c r="AL52" s="13" t="str">
        <f>_xlfn.XLOOKUP(AK52,Tab_Def_Flows[Name(EN)],Tab_Def_Flows[Flow_ID],,0,)</f>
        <v>F_09_09</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F_09_09</v>
      </c>
      <c r="S53" s="11"/>
      <c r="T53" s="9" t="str">
        <f>_xlfn.XLOOKUP(S53,Tab_Def_Flows[Name(EN)],Tab_Def_Flows[Flow_ID],,0,)</f>
        <v>F_09_09</v>
      </c>
      <c r="U53" s="11"/>
      <c r="V53" s="9" t="str">
        <f>_xlfn.XLOOKUP(U53,Tab_Def_Flows[Name(EN)],Tab_Def_Flows[Flow_ID],,0,)</f>
        <v>F_09_09</v>
      </c>
      <c r="W53" s="11"/>
      <c r="X53" s="9" t="str">
        <f>_xlfn.XLOOKUP(W53,Tab_Def_Flows[Name(EN)],Tab_Def_Flows[Flow_ID],,0,)</f>
        <v>F_09_09</v>
      </c>
      <c r="Y53" s="11"/>
      <c r="Z53" s="21" t="str">
        <f>_xlfn.XLOOKUP(Y53,Tab_Def_Flows[Name(EN)],Tab_Def_Flows[Flow_ID],,0,)</f>
        <v>F_09_09</v>
      </c>
      <c r="AA53" s="189"/>
      <c r="AB53" s="9" t="str">
        <f>_xlfn.XLOOKUP(AA53,Tab_Def_Flows[Name(EN)],Tab_Def_Flows[Flow_ID],,0,)</f>
        <v>F_09_09</v>
      </c>
      <c r="AC53" s="189"/>
      <c r="AD53" s="9" t="str">
        <f>_xlfn.XLOOKUP(AC53,Tab_Def_Flows[Name(EN)],Tab_Def_Flows[Flow_ID],,0,)</f>
        <v>F_09_09</v>
      </c>
      <c r="AE53" s="189" t="s">
        <v>35</v>
      </c>
      <c r="AF53" s="9" t="str">
        <f>_xlfn.XLOOKUP(AE53,Tab_Def_Flows[Name(EN)],Tab_Def_Flows[Flow_ID],,0,)</f>
        <v>N.A.</v>
      </c>
      <c r="AG53" s="189"/>
      <c r="AH53" s="9" t="str">
        <f>_xlfn.XLOOKUP(AG53,Tab_Def_Flows[Name(EN)],Tab_Def_Flows[Flow_ID],,0,)</f>
        <v>F_09_09</v>
      </c>
      <c r="AI53" s="189"/>
      <c r="AJ53" s="9" t="str">
        <f>_xlfn.XLOOKUP(AI53,Tab_Def_Flows[Name(EN)],Tab_Def_Flows[Flow_ID],,0,)</f>
        <v>F_09_09</v>
      </c>
      <c r="AK53" s="189"/>
      <c r="AL53" s="13" t="str">
        <f>_xlfn.XLOOKUP(AK53,Tab_Def_Flows[Name(EN)],Tab_Def_Flows[Flow_ID],,0,)</f>
        <v>F_09_09</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8"/>
  <sheetViews>
    <sheetView zoomScale="115" zoomScaleNormal="115" workbookViewId="0">
      <pane xSplit="4" topLeftCell="N1" activePane="topRight" state="frozen"/>
      <selection pane="topRight" activeCell="P5" sqref="P5"/>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301</v>
      </c>
      <c r="J1" s="193" t="s">
        <v>306</v>
      </c>
      <c r="K1" s="193" t="s">
        <v>307</v>
      </c>
      <c r="L1" s="193" t="s">
        <v>335</v>
      </c>
      <c r="M1" s="193" t="s">
        <v>296</v>
      </c>
      <c r="N1" s="193" t="s">
        <v>41</v>
      </c>
      <c r="O1" s="193" t="s">
        <v>91</v>
      </c>
      <c r="P1" s="193" t="s">
        <v>336</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8"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8"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299</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2</v>
      </c>
      <c r="M5" s="189" t="s">
        <v>384</v>
      </c>
      <c r="N5" s="175" t="str">
        <f>_xlfn.XLOOKUP($M5,Tab_Def_Flows[Name(EN)],Tab_Def_Flows[Flow_ID],,0,)</f>
        <v>F_05_06</v>
      </c>
      <c r="O5" s="42" t="str">
        <f t="shared" si="1"/>
        <v>TC_05_06</v>
      </c>
      <c r="P5" s="192">
        <v>0.74</v>
      </c>
      <c r="Q5" s="37"/>
      <c r="R5" s="37"/>
      <c r="S5" s="37"/>
      <c r="T5" s="37"/>
      <c r="U5" s="37"/>
    </row>
    <row r="6" spans="1:29" x14ac:dyDescent="0.25">
      <c r="A6" s="194" t="b">
        <v>0</v>
      </c>
      <c r="B6" s="9">
        <f t="shared" si="0"/>
        <v>5</v>
      </c>
      <c r="C6" s="47" t="str">
        <f>_xlfn.XLOOKUP($D6,Tab_Def_Processes[Name(EN)],Tab_Def_Processes[ID],,0,)</f>
        <v>05</v>
      </c>
      <c r="D6" s="189" t="s">
        <v>299</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2</v>
      </c>
      <c r="M6" s="189" t="s">
        <v>382</v>
      </c>
      <c r="N6" s="175" t="str">
        <f>_xlfn.XLOOKUP($M6,Tab_Def_Flows[Name(EN)],Tab_Def_Flows[Flow_ID],,0,)</f>
        <v>F_05_07</v>
      </c>
      <c r="O6" s="42" t="str">
        <f t="shared" si="1"/>
        <v>TC_05_07</v>
      </c>
      <c r="P6" s="192">
        <v>0.26</v>
      </c>
      <c r="Q6" s="37"/>
      <c r="R6" s="37"/>
      <c r="S6" s="37"/>
      <c r="T6" s="37"/>
      <c r="U6" s="37"/>
    </row>
    <row r="7" spans="1:29" x14ac:dyDescent="0.25">
      <c r="A7" s="194" t="b">
        <v>0</v>
      </c>
      <c r="B7" s="9">
        <f t="shared" si="0"/>
        <v>6</v>
      </c>
      <c r="C7" s="47" t="str">
        <f>_xlfn.XLOOKUP($D7,Tab_Def_Processes[Name(EN)],Tab_Def_Processes[ID],,0,)</f>
        <v>04</v>
      </c>
      <c r="D7" s="189" t="s">
        <v>377</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No</v>
      </c>
      <c r="I7" s="9"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2</v>
      </c>
      <c r="M7" s="189" t="s">
        <v>274</v>
      </c>
      <c r="N7" s="175" t="str">
        <f>_xlfn.XLOOKUP($M7,Tab_Def_Flows[Name(EN)],Tab_Def_Flows[Flow_ID],,0,)</f>
        <v>F_04_00</v>
      </c>
      <c r="O7" s="42" t="str">
        <f t="shared" si="1"/>
        <v>TC_04_00</v>
      </c>
      <c r="P7" s="192">
        <v>0.4128</v>
      </c>
      <c r="Q7" s="37"/>
      <c r="R7" s="37"/>
      <c r="S7" s="37"/>
      <c r="T7" s="37"/>
      <c r="U7" s="37"/>
    </row>
    <row r="8" spans="1:29" x14ac:dyDescent="0.25">
      <c r="A8" s="194" t="b">
        <v>0</v>
      </c>
      <c r="B8" s="9">
        <f t="shared" si="0"/>
        <v>7</v>
      </c>
      <c r="C8" s="47" t="str">
        <f>_xlfn.XLOOKUP($D8,Tab_Def_Processes[Name(EN)],Tab_Def_Processes[ID],,0,)</f>
        <v>04</v>
      </c>
      <c r="D8" s="189" t="s">
        <v>377</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275</v>
      </c>
      <c r="N8" s="175" t="str">
        <f>_xlfn.XLOOKUP($M8,Tab_Def_Flows[Name(EN)],Tab_Def_Flows[Flow_ID],,0,)</f>
        <v>F_04_01</v>
      </c>
      <c r="O8" s="42" t="str">
        <f t="shared" si="1"/>
        <v>TC_04_01</v>
      </c>
      <c r="P8" s="192">
        <v>0.58719999999999994</v>
      </c>
      <c r="Q8" s="37"/>
      <c r="R8" s="37"/>
      <c r="S8" s="37"/>
      <c r="T8" s="37"/>
      <c r="U8" s="37"/>
    </row>
    <row r="9" spans="1:29" x14ac:dyDescent="0.25">
      <c r="A9" s="194" t="b">
        <v>0</v>
      </c>
      <c r="B9" s="9">
        <f t="shared" si="0"/>
        <v>8</v>
      </c>
      <c r="C9" s="47" t="str">
        <f>_xlfn.XLOOKUP($D9,Tab_Def_Processes[Name(EN)],Tab_Def_Processes[ID],,0,)</f>
        <v>07</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378</v>
      </c>
      <c r="N9" s="175" t="str">
        <f>_xlfn.XLOOKUP($M9,Tab_Def_Flows[Name(EN)],Tab_Def_Flows[Flow_ID],,0,)</f>
        <v>F_07_00</v>
      </c>
      <c r="O9" s="42" t="str">
        <f t="shared" si="1"/>
        <v>TC_07_00</v>
      </c>
      <c r="P9" s="192">
        <v>0.4128</v>
      </c>
      <c r="Q9" s="37"/>
      <c r="R9" s="37"/>
      <c r="S9" s="37"/>
      <c r="T9" s="37"/>
      <c r="U9" s="37"/>
      <c r="AC9" s="34">
        <v>0.4128</v>
      </c>
    </row>
    <row r="10" spans="1:29" x14ac:dyDescent="0.25">
      <c r="A10" s="194" t="b">
        <v>0</v>
      </c>
      <c r="B10" s="9">
        <f t="shared" si="0"/>
        <v>9</v>
      </c>
      <c r="C10" s="47" t="str">
        <f>_xlfn.XLOOKUP($D10,Tab_Def_Processes[Name(EN)],Tab_Def_Processes[ID],,0,)</f>
        <v>07</v>
      </c>
      <c r="D10" s="189" t="s">
        <v>375</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379</v>
      </c>
      <c r="N10" s="175" t="str">
        <f>_xlfn.XLOOKUP($M10,Tab_Def_Flows[Name(EN)],Tab_Def_Flows[Flow_ID],,0,)</f>
        <v>F_07_01</v>
      </c>
      <c r="O10" s="42" t="str">
        <f t="shared" si="1"/>
        <v>TC_07_01</v>
      </c>
      <c r="P10" s="192">
        <v>0.58720000000000006</v>
      </c>
      <c r="Q10" s="37"/>
      <c r="R10" s="37"/>
      <c r="S10" s="37"/>
      <c r="T10" s="37"/>
      <c r="U10" s="37"/>
      <c r="AC10" s="209">
        <f>1-AC9</f>
        <v>0.58719999999999994</v>
      </c>
    </row>
    <row r="11" spans="1:29" x14ac:dyDescent="0.25">
      <c r="A11" s="194" t="b">
        <v>0</v>
      </c>
      <c r="B11" s="9">
        <f t="shared" si="0"/>
        <v>10</v>
      </c>
      <c r="C11" s="47" t="str">
        <f>_xlfn.XLOOKUP($D11,Tab_Def_Processes[Name(EN)],Tab_Def_Processes[ID],,0,)</f>
        <v>06</v>
      </c>
      <c r="D11" s="189" t="s">
        <v>376</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1</v>
      </c>
      <c r="M11" s="189" t="s">
        <v>383</v>
      </c>
      <c r="N11" s="175" t="str">
        <f>_xlfn.XLOOKUP($M11,Tab_Def_Flows[Name(EN)],Tab_Def_Flows[Flow_ID],,0,)</f>
        <v>F_06_08</v>
      </c>
      <c r="O11" s="42" t="str">
        <f t="shared" si="1"/>
        <v>TC_06_08</v>
      </c>
      <c r="P11" s="192">
        <v>1</v>
      </c>
      <c r="Q11" s="37"/>
      <c r="R11" s="37"/>
      <c r="S11" s="37"/>
      <c r="T11" s="37"/>
      <c r="U11" s="37"/>
    </row>
    <row r="12" spans="1:29" x14ac:dyDescent="0.25">
      <c r="A12" s="194" t="b">
        <v>0</v>
      </c>
      <c r="B12" s="9">
        <f t="shared" si="0"/>
        <v>11</v>
      </c>
      <c r="C12" s="47" t="str">
        <f>_xlfn.XLOOKUP($D12,Tab_Def_Processes[Name(EN)],Tab_Def_Processes[ID],,0,)</f>
        <v>08</v>
      </c>
      <c r="D12" s="189" t="s">
        <v>101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_xlfn.XLOOKUP($D12,Tab_Def_Processes[Name(EN)],Tab_Def_Processes[Nr. Outflows],,0,)</f>
        <v>2</v>
      </c>
      <c r="M12" s="189" t="s">
        <v>380</v>
      </c>
      <c r="N12" s="175" t="str">
        <f>_xlfn.XLOOKUP($M12,Tab_Def_Flows[Name(EN)],Tab_Def_Flows[Flow_ID],,0,)</f>
        <v>F_08_00</v>
      </c>
      <c r="O12" s="42" t="str">
        <f t="shared" si="1"/>
        <v>TC_08_00</v>
      </c>
      <c r="P12" s="192">
        <v>0.4128</v>
      </c>
      <c r="Q12" s="37"/>
      <c r="R12" s="37"/>
      <c r="S12" s="37"/>
      <c r="T12" s="37"/>
      <c r="U12" s="37"/>
    </row>
    <row r="13" spans="1:29" x14ac:dyDescent="0.25">
      <c r="A13" s="194" t="b">
        <v>0</v>
      </c>
      <c r="B13" s="9">
        <f t="shared" si="0"/>
        <v>12</v>
      </c>
      <c r="C13" s="47" t="str">
        <f>_xlfn.XLOOKUP($D13,Tab_Def_Processes[Name(EN)],Tab_Def_Processes[ID],,0,)</f>
        <v>08</v>
      </c>
      <c r="D13" s="189" t="s">
        <v>101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381</v>
      </c>
      <c r="N13" s="175" t="str">
        <f>_xlfn.XLOOKUP($M13,Tab_Def_Flows[Name(EN)],Tab_Def_Flows[Flow_ID],,0,)</f>
        <v>F_08_01</v>
      </c>
      <c r="O13" s="42" t="str">
        <f t="shared" si="1"/>
        <v>TC_08_01</v>
      </c>
      <c r="P13" s="192">
        <v>0.58719999999999994</v>
      </c>
      <c r="Q13" s="37"/>
      <c r="R13" s="37"/>
      <c r="S13" s="37"/>
      <c r="T13" s="37"/>
      <c r="U13" s="37"/>
    </row>
    <row r="14" spans="1:29" x14ac:dyDescent="0.25">
      <c r="A14" s="194" t="b">
        <v>0</v>
      </c>
      <c r="B14" s="9">
        <f t="shared" si="0"/>
        <v>13</v>
      </c>
      <c r="C14" s="47" t="e">
        <f>_xlfn.XLOOKUP($D14,Tab_Def_Processes[Name(EN)],Tab_Def_Processes[ID],,0,)</f>
        <v>#N/A</v>
      </c>
      <c r="D14" s="189"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_xlfn.XLOOKUP($D14,Tab_Def_Processes[Name(EN)],Tab_Def_Processes[Nr. Outflows],,0,)</f>
        <v>#N/A</v>
      </c>
      <c r="M14" s="189"/>
      <c r="N14" s="175" t="str">
        <f>_xlfn.XLOOKUP($M14,Tab_Def_Flows[Name(EN)],Tab_Def_Flows[Flow_ID],,0,)</f>
        <v>F_09_09</v>
      </c>
      <c r="O14" s="42" t="str">
        <f t="shared" si="1"/>
        <v>TC_09_09</v>
      </c>
      <c r="P14" s="192"/>
      <c r="Q14" s="37"/>
      <c r="R14" s="37"/>
      <c r="S14" s="37"/>
      <c r="T14" s="37"/>
      <c r="U14" s="37"/>
    </row>
    <row r="15" spans="1:29" x14ac:dyDescent="0.25">
      <c r="A15" s="194" t="b">
        <v>0</v>
      </c>
      <c r="B15" s="9">
        <f t="shared" si="0"/>
        <v>14</v>
      </c>
      <c r="C15" s="47" t="e">
        <f>_xlfn.XLOOKUP($D15,Tab_Def_Processes[Name(EN)],Tab_Def_Processes[ID],,0,)</f>
        <v>#N/A</v>
      </c>
      <c r="D15" s="189"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_xlfn.XLOOKUP($D15,Tab_Def_Processes[Name(EN)],Tab_Def_Processes[Nr. Outflows],,0,)</f>
        <v>#N/A</v>
      </c>
      <c r="M15" s="189"/>
      <c r="N15" s="175" t="str">
        <f>_xlfn.XLOOKUP($M15,Tab_Def_Flows[Name(EN)],Tab_Def_Flows[Flow_ID],,0,)</f>
        <v>F_09_09</v>
      </c>
      <c r="O15" s="42" t="str">
        <f t="shared" si="1"/>
        <v>TC_09_09</v>
      </c>
      <c r="P15" s="192"/>
      <c r="Q15" s="37"/>
      <c r="R15" s="37"/>
      <c r="S15" s="37"/>
      <c r="T15" s="37"/>
      <c r="U15" s="37"/>
    </row>
    <row r="16" spans="1:29" x14ac:dyDescent="0.25">
      <c r="A16" s="194" t="b">
        <v>0</v>
      </c>
      <c r="B16" s="9">
        <f t="shared" si="0"/>
        <v>15</v>
      </c>
      <c r="C16" s="47" t="e">
        <f>_xlfn.XLOOKUP($D16,Tab_Def_Processes[Name(EN)],Tab_Def_Processes[ID],,0,)</f>
        <v>#N/A</v>
      </c>
      <c r="D16" s="189"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_xlfn.XLOOKUP($D16,Tab_Def_Processes[Name(EN)],Tab_Def_Processes[Nr. Outflows],,0,)</f>
        <v>#N/A</v>
      </c>
      <c r="M16" s="189"/>
      <c r="N16" s="175" t="str">
        <f>_xlfn.XLOOKUP($M16,Tab_Def_Flows[Name(EN)],Tab_Def_Flows[Flow_ID],,0,)</f>
        <v>F_09_09</v>
      </c>
      <c r="O16" s="42" t="str">
        <f t="shared" si="1"/>
        <v>TC_09_09</v>
      </c>
      <c r="P16" s="192"/>
      <c r="Q16" s="37"/>
      <c r="R16" s="37"/>
      <c r="S16" s="37"/>
      <c r="T16" s="37"/>
      <c r="U16" s="37"/>
    </row>
    <row r="17" spans="1:21" x14ac:dyDescent="0.25">
      <c r="A17" s="194" t="b">
        <v>0</v>
      </c>
      <c r="B17" s="9">
        <f t="shared" si="0"/>
        <v>16</v>
      </c>
      <c r="C17" s="47" t="e">
        <f>_xlfn.XLOOKUP($D17,Tab_Def_Processes[Name(EN)],Tab_Def_Processes[ID],,0,)</f>
        <v>#N/A</v>
      </c>
      <c r="D17" s="189"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_xlfn.XLOOKUP($D17,Tab_Def_Processes[Name(EN)],Tab_Def_Processes[Nr. Outflows],,0,)</f>
        <v>#N/A</v>
      </c>
      <c r="M17" s="189"/>
      <c r="N17" s="175" t="str">
        <f>_xlfn.XLOOKUP($M17,Tab_Def_Flows[Name(EN)],Tab_Def_Flows[Flow_ID],,0,)</f>
        <v>F_09_09</v>
      </c>
      <c r="O17" s="42" t="str">
        <f t="shared" si="1"/>
        <v>TC_09_09</v>
      </c>
      <c r="P17" s="192"/>
      <c r="Q17" s="37"/>
      <c r="R17" s="37"/>
      <c r="S17" s="37"/>
      <c r="T17" s="37"/>
      <c r="U17" s="37"/>
    </row>
    <row r="18" spans="1:21" x14ac:dyDescent="0.25">
      <c r="A18" s="194" t="b">
        <v>0</v>
      </c>
      <c r="B18" s="9">
        <f t="shared" si="0"/>
        <v>17</v>
      </c>
      <c r="C18" s="47" t="e">
        <f>_xlfn.XLOOKUP($D18,Tab_Def_Processes[Name(EN)],Tab_Def_Processes[ID],,0,)</f>
        <v>#N/A</v>
      </c>
      <c r="D18" s="189"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_xlfn.XLOOKUP($D18,Tab_Def_Processes[Name(EN)],Tab_Def_Processes[Nr. Outflows],,0,)</f>
        <v>#N/A</v>
      </c>
      <c r="M18" s="189"/>
      <c r="N18" s="175" t="str">
        <f>_xlfn.XLOOKUP($M18,Tab_Def_Flows[Name(EN)],Tab_Def_Flows[Flow_ID],,0,)</f>
        <v>F_09_09</v>
      </c>
      <c r="O18" s="42" t="str">
        <f t="shared" si="1"/>
        <v>TC_09_09</v>
      </c>
      <c r="P18" s="192"/>
      <c r="Q18" s="37"/>
      <c r="R18" s="37"/>
      <c r="S18" s="37"/>
      <c r="T18" s="37"/>
      <c r="U18" s="37"/>
    </row>
    <row r="19" spans="1:21" x14ac:dyDescent="0.25">
      <c r="A19" s="194" t="b">
        <v>0</v>
      </c>
      <c r="B19" s="9">
        <f t="shared" si="0"/>
        <v>18</v>
      </c>
      <c r="C19" s="47" t="e">
        <f>_xlfn.XLOOKUP($D19,Tab_Def_Processes[Name(EN)],Tab_Def_Processes[ID],,0,)</f>
        <v>#N/A</v>
      </c>
      <c r="D19" s="189"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_xlfn.XLOOKUP($D19,Tab_Def_Processes[Name(EN)],Tab_Def_Processes[Nr. Outflows],,0,)</f>
        <v>#N/A</v>
      </c>
      <c r="M19" s="189"/>
      <c r="N19" s="175" t="str">
        <f>_xlfn.XLOOKUP($M19,Tab_Def_Flows[Name(EN)],Tab_Def_Flows[Flow_ID],,0,)</f>
        <v>F_09_09</v>
      </c>
      <c r="O19" s="42" t="str">
        <f t="shared" si="1"/>
        <v>TC_09_09</v>
      </c>
      <c r="P19" s="192"/>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F_09_09</v>
      </c>
      <c r="O20" s="42" t="str">
        <f t="shared" si="1"/>
        <v>TC_09_09</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F_09_09</v>
      </c>
      <c r="O21" s="42" t="str">
        <f t="shared" si="1"/>
        <v>TC_09_09</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F_09_09</v>
      </c>
      <c r="O22" s="42" t="str">
        <f t="shared" si="1"/>
        <v>TC_09_09</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F_09_09</v>
      </c>
      <c r="O23" s="42" t="str">
        <f t="shared" si="1"/>
        <v>TC_09_09</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F_09_09</v>
      </c>
      <c r="O24" s="42" t="str">
        <f t="shared" si="1"/>
        <v>TC_09_09</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F_09_09</v>
      </c>
      <c r="O25" s="42" t="str">
        <f t="shared" si="1"/>
        <v>TC_09_09</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F_09_09</v>
      </c>
      <c r="O26" s="42" t="str">
        <f t="shared" si="1"/>
        <v>TC_09_09</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F_09_09</v>
      </c>
      <c r="O27" s="42" t="str">
        <f t="shared" si="1"/>
        <v>TC_09_09</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F_09_09</v>
      </c>
      <c r="O28" s="42" t="str">
        <f t="shared" si="1"/>
        <v>TC_09_09</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F_09_09</v>
      </c>
      <c r="O29" s="42" t="str">
        <f t="shared" si="1"/>
        <v>TC_09_09</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F_09_09</v>
      </c>
      <c r="O30" s="42" t="str">
        <f t="shared" si="1"/>
        <v>TC_09_09</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F_09_09</v>
      </c>
      <c r="O31" s="42" t="str">
        <f t="shared" si="1"/>
        <v>TC_09_09</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F_09_09</v>
      </c>
      <c r="O32" s="42" t="str">
        <f t="shared" si="1"/>
        <v>TC_09_09</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F_09_09</v>
      </c>
      <c r="O33" s="42" t="str">
        <f t="shared" si="1"/>
        <v>TC_09_09</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F_09_09</v>
      </c>
      <c r="O34" s="42" t="str">
        <f t="shared" si="1"/>
        <v>TC_09_09</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F_09_09</v>
      </c>
      <c r="O35" s="42" t="str">
        <f t="shared" si="1"/>
        <v>TC_09_09</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F_09_09</v>
      </c>
      <c r="O36" s="42" t="str">
        <f t="shared" si="1"/>
        <v>TC_09_09</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F_09_09</v>
      </c>
      <c r="O37" s="42" t="str">
        <f t="shared" si="1"/>
        <v>TC_09_09</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F_09_09</v>
      </c>
      <c r="O38" s="42" t="str">
        <f t="shared" si="1"/>
        <v>TC_09_09</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F_09_09</v>
      </c>
      <c r="O39" s="42" t="str">
        <f t="shared" si="1"/>
        <v>TC_09_09</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F_09_09</v>
      </c>
      <c r="O40" s="42" t="str">
        <f t="shared" si="1"/>
        <v>TC_09_09</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F_09_09</v>
      </c>
      <c r="O41" s="42" t="str">
        <f t="shared" si="1"/>
        <v>TC_09_09</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F_09_09</v>
      </c>
      <c r="O42" s="42" t="str">
        <f t="shared" si="1"/>
        <v>TC_09_09</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F_09_09</v>
      </c>
      <c r="O43" s="42" t="str">
        <f t="shared" si="1"/>
        <v>TC_09_09</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F_09_09</v>
      </c>
      <c r="O44" s="42" t="str">
        <f t="shared" si="1"/>
        <v>TC_09_09</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F_09_09</v>
      </c>
      <c r="O45" s="42" t="str">
        <f t="shared" si="1"/>
        <v>TC_09_09</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F_09_09</v>
      </c>
      <c r="O46" s="42" t="str">
        <f t="shared" si="1"/>
        <v>TC_09_09</v>
      </c>
      <c r="P46" s="192"/>
      <c r="Q46" s="37"/>
      <c r="R46" s="37"/>
      <c r="S46" s="37"/>
      <c r="T46" s="37"/>
      <c r="U46" s="37"/>
    </row>
    <row r="47" spans="1:21" x14ac:dyDescent="0.25">
      <c r="A47" s="194" t="b">
        <v>0</v>
      </c>
      <c r="B47" s="9">
        <f t="shared" si="0"/>
        <v>46</v>
      </c>
      <c r="C47" s="47" t="str">
        <f>_xlfn.XLOOKUP($D47,Tab_Def_Processes[Name(EN)],Tab_Def_Processes[ID],,0,)</f>
        <v>09</v>
      </c>
      <c r="D47" s="189"/>
      <c r="E47" s="9">
        <f>_xlfn.XLOOKUP($D47,Tab_Def_Processes[Name(EN)],Tab_Def_Processes[Process_Type],,0,)</f>
        <v>0</v>
      </c>
      <c r="F47" s="9">
        <f>_xlfn.XLOOKUP($D47,Tab_Def_Processes[Name(EN)],Tab_Def_Processes[TC?],,0,)</f>
        <v>0</v>
      </c>
      <c r="G47" s="9">
        <f>_xlfn.XLOOKUP($D47,Tab_Def_Processes[Name(EN)],Tab_Def_Processes[Dyn_TC?],,0,)</f>
        <v>0</v>
      </c>
      <c r="H47" s="9">
        <f>_xlfn.XLOOKUP($D47,Tab_Def_Processes[Name(EN)],Tab_Def_Processes[Stock?],,0,)</f>
        <v>0</v>
      </c>
      <c r="I47" s="9">
        <f>_xlfn.XLOOKUP($D47,Tab_Def_Processes[Name(EN)],Tab_Def_Processes[Initial_Stock?],,0,)</f>
        <v>0</v>
      </c>
      <c r="J47" s="9">
        <f>_xlfn.XLOOKUP($D47,Tab_Def_Processes[Name(EN)],Tab_Def_Processes[DSM?],,0,)</f>
        <v>0</v>
      </c>
      <c r="K47" s="9">
        <f>_xlfn.XLOOKUP($D47,Tab_Def_Processes[Name(EN)],Tab_Def_Processes[FOMP?],,0,)</f>
        <v>0</v>
      </c>
      <c r="L47" s="9">
        <f>_xlfn.XLOOKUP($D47,Tab_Def_Processes[Name(EN)],Tab_Def_Processes[Nr. Outflows],,0,)</f>
        <v>0</v>
      </c>
      <c r="M47" s="189"/>
      <c r="N47" s="175" t="str">
        <f>_xlfn.XLOOKUP($M47,Tab_Def_Flows[Name(EN)],Tab_Def_Flows[Flow_ID],,0,)</f>
        <v>F_09_09</v>
      </c>
      <c r="O47" s="42" t="str">
        <f t="shared" si="1"/>
        <v>TC_09_09</v>
      </c>
      <c r="P47" s="192"/>
      <c r="Q47" s="37"/>
      <c r="R47" s="37"/>
      <c r="S47" s="37"/>
      <c r="T47" s="37"/>
      <c r="U47" s="37"/>
    </row>
    <row r="48" spans="1:21" x14ac:dyDescent="0.25">
      <c r="A48" s="194" t="b">
        <v>0</v>
      </c>
      <c r="B48" s="9">
        <f t="shared" si="0"/>
        <v>47</v>
      </c>
      <c r="C48" s="47" t="str">
        <f>_xlfn.XLOOKUP($D48,Tab_Def_Processes[Name(EN)],Tab_Def_Processes[ID],,0,)</f>
        <v>09</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F_09_09</v>
      </c>
      <c r="O48" s="42" t="str">
        <f t="shared" si="1"/>
        <v>TC_09_09</v>
      </c>
      <c r="P48" s="192"/>
      <c r="Q48" s="37"/>
      <c r="R48" s="37"/>
      <c r="S48" s="37"/>
      <c r="T48" s="37"/>
      <c r="U48" s="37"/>
    </row>
    <row r="49" spans="1:21" x14ac:dyDescent="0.25">
      <c r="A49" s="194" t="b">
        <v>0</v>
      </c>
      <c r="B49" s="9">
        <f t="shared" si="0"/>
        <v>48</v>
      </c>
      <c r="C49" s="47" t="str">
        <f>_xlfn.XLOOKUP($D49,Tab_Def_Processes[Name(EN)],Tab_Def_Processes[ID],,0,)</f>
        <v>09</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F_09_09</v>
      </c>
      <c r="O49" s="42" t="str">
        <f t="shared" si="1"/>
        <v>TC_09_09</v>
      </c>
      <c r="P49" s="192"/>
      <c r="Q49" s="37"/>
      <c r="R49" s="37"/>
      <c r="S49" s="37"/>
      <c r="T49" s="37"/>
      <c r="U49" s="37"/>
    </row>
    <row r="50" spans="1:21" x14ac:dyDescent="0.25">
      <c r="A50" s="194" t="b">
        <v>0</v>
      </c>
      <c r="B50" s="9">
        <f t="shared" si="0"/>
        <v>49</v>
      </c>
      <c r="C50" s="47" t="str">
        <f>_xlfn.XLOOKUP($D50,Tab_Def_Processes[Name(EN)],Tab_Def_Processes[ID],,0,)</f>
        <v>09</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F_09_09</v>
      </c>
      <c r="O50" s="42" t="str">
        <f t="shared" si="1"/>
        <v>TC_09_09</v>
      </c>
      <c r="P50" s="192"/>
      <c r="Q50" s="37"/>
      <c r="R50" s="37"/>
      <c r="S50" s="37"/>
      <c r="T50" s="37"/>
      <c r="U50" s="37"/>
    </row>
    <row r="51" spans="1:21" x14ac:dyDescent="0.25">
      <c r="A51" s="194" t="b">
        <v>0</v>
      </c>
      <c r="B51" s="9">
        <f t="shared" si="0"/>
        <v>50</v>
      </c>
      <c r="C51" s="47" t="str">
        <f>_xlfn.XLOOKUP($D51,Tab_Def_Processes[Name(EN)],Tab_Def_Processes[ID],,0,)</f>
        <v>09</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F_09_09</v>
      </c>
      <c r="O51" s="42" t="str">
        <f t="shared" si="1"/>
        <v>TC_09_09</v>
      </c>
      <c r="P51" s="192"/>
      <c r="Q51" s="37"/>
      <c r="R51" s="37"/>
      <c r="S51" s="37"/>
      <c r="T51" s="37"/>
      <c r="U51" s="37"/>
    </row>
    <row r="52" spans="1:21" x14ac:dyDescent="0.25">
      <c r="A52" s="194" t="b">
        <v>0</v>
      </c>
      <c r="B52" s="9">
        <f t="shared" si="0"/>
        <v>51</v>
      </c>
      <c r="C52" s="47" t="str">
        <f>_xlfn.XLOOKUP($D52,Tab_Def_Processes[Name(EN)],Tab_Def_Processes[ID],,0,)</f>
        <v>09</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F_09_09</v>
      </c>
      <c r="O52" s="42" t="str">
        <f t="shared" si="1"/>
        <v>TC_09_09</v>
      </c>
      <c r="P52" s="192"/>
      <c r="Q52" s="37"/>
      <c r="R52" s="37"/>
      <c r="S52" s="37"/>
      <c r="T52" s="37"/>
      <c r="U52" s="37"/>
    </row>
    <row r="53" spans="1:21" x14ac:dyDescent="0.25">
      <c r="A53" s="194" t="b">
        <v>0</v>
      </c>
      <c r="B53" s="9">
        <f t="shared" si="0"/>
        <v>52</v>
      </c>
      <c r="C53" s="47" t="str">
        <f>_xlfn.XLOOKUP($D53,Tab_Def_Processes[Name(EN)],Tab_Def_Processes[ID],,0,)</f>
        <v>09</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F_09_09</v>
      </c>
      <c r="O53" s="42" t="str">
        <f t="shared" si="1"/>
        <v>TC_09_09</v>
      </c>
      <c r="P53" s="192"/>
      <c r="Q53" s="37"/>
      <c r="R53" s="37"/>
      <c r="S53" s="37"/>
      <c r="T53" s="37"/>
      <c r="U53" s="37"/>
    </row>
    <row r="54" spans="1:21" x14ac:dyDescent="0.25">
      <c r="A54" s="194" t="b">
        <v>0</v>
      </c>
      <c r="B54" s="9">
        <f t="shared" si="0"/>
        <v>53</v>
      </c>
      <c r="C54" s="47" t="str">
        <f>_xlfn.XLOOKUP($D54,Tab_Def_Processes[Name(EN)],Tab_Def_Processes[ID],,0,)</f>
        <v>09</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F_09_09</v>
      </c>
      <c r="O54" s="42" t="str">
        <f t="shared" si="1"/>
        <v>TC_09_09</v>
      </c>
      <c r="P54" s="192"/>
      <c r="Q54" s="37"/>
      <c r="R54" s="37"/>
      <c r="S54" s="37"/>
      <c r="T54" s="37"/>
      <c r="U54" s="37"/>
    </row>
    <row r="55" spans="1:21" x14ac:dyDescent="0.25">
      <c r="A55" s="194" t="b">
        <v>0</v>
      </c>
      <c r="B55" s="9">
        <f t="shared" si="0"/>
        <v>54</v>
      </c>
      <c r="C55" s="47" t="str">
        <f>_xlfn.XLOOKUP($D55,Tab_Def_Processes[Name(EN)],Tab_Def_Processes[ID],,0,)</f>
        <v>09</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F_09_09</v>
      </c>
      <c r="O55" s="42" t="str">
        <f t="shared" si="1"/>
        <v>TC_09_09</v>
      </c>
      <c r="P55" s="192"/>
      <c r="Q55" s="37"/>
      <c r="R55" s="37"/>
      <c r="S55" s="37"/>
      <c r="T55" s="37"/>
      <c r="U55" s="37"/>
    </row>
    <row r="56" spans="1:21" x14ac:dyDescent="0.25">
      <c r="A56" s="194" t="b">
        <v>0</v>
      </c>
      <c r="B56" s="9">
        <f t="shared" si="0"/>
        <v>55</v>
      </c>
      <c r="C56" s="47" t="str">
        <f>_xlfn.XLOOKUP($D56,Tab_Def_Processes[Name(EN)],Tab_Def_Processes[ID],,0,)</f>
        <v>09</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F_09_09</v>
      </c>
      <c r="O56" s="42" t="str">
        <f t="shared" si="1"/>
        <v>TC_09_09</v>
      </c>
      <c r="P56" s="192"/>
      <c r="Q56" s="37"/>
      <c r="R56" s="37"/>
      <c r="S56" s="37"/>
      <c r="T56" s="37"/>
      <c r="U56" s="37"/>
    </row>
    <row r="57" spans="1:21" x14ac:dyDescent="0.25">
      <c r="A57" s="194" t="b">
        <v>0</v>
      </c>
      <c r="B57" s="9">
        <f t="shared" si="0"/>
        <v>56</v>
      </c>
      <c r="C57" s="47" t="str">
        <f>_xlfn.XLOOKUP($D57,Tab_Def_Processes[Name(EN)],Tab_Def_Processes[ID],,0,)</f>
        <v>09</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F_09_09</v>
      </c>
      <c r="O57" s="42" t="str">
        <f t="shared" si="1"/>
        <v>TC_09_09</v>
      </c>
      <c r="P57" s="192"/>
      <c r="Q57" s="37"/>
      <c r="R57" s="37"/>
      <c r="S57" s="37"/>
      <c r="T57" s="37"/>
      <c r="U57" s="37"/>
    </row>
    <row r="58" spans="1:21" x14ac:dyDescent="0.25">
      <c r="A58" s="194" t="b">
        <v>0</v>
      </c>
      <c r="B58" s="9">
        <f t="shared" si="0"/>
        <v>57</v>
      </c>
      <c r="C58" s="47" t="str">
        <f>_xlfn.XLOOKUP($D58,Tab_Def_Processes[Name(EN)],Tab_Def_Processes[ID],,0,)</f>
        <v>09</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F_09_09</v>
      </c>
      <c r="O58" s="42" t="str">
        <f t="shared" si="1"/>
        <v>TC_09_09</v>
      </c>
      <c r="P58" s="192"/>
      <c r="Q58" s="37"/>
      <c r="R58" s="37"/>
      <c r="S58" s="37"/>
      <c r="T58" s="37"/>
      <c r="U58"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301</v>
      </c>
      <c r="K1" s="193" t="s">
        <v>302</v>
      </c>
      <c r="L1" s="193" t="s">
        <v>2</v>
      </c>
      <c r="M1" s="193" t="s">
        <v>303</v>
      </c>
      <c r="N1" s="193" t="s">
        <v>304</v>
      </c>
      <c r="O1" s="193" t="s">
        <v>305</v>
      </c>
      <c r="P1" s="193" t="s">
        <v>450</v>
      </c>
      <c r="Q1" s="193" t="s">
        <v>449</v>
      </c>
      <c r="R1" s="193" t="s">
        <v>448</v>
      </c>
      <c r="S1" s="193" t="s">
        <v>41</v>
      </c>
      <c r="T1" s="193" t="s">
        <v>446</v>
      </c>
      <c r="U1" s="193" t="s">
        <v>447</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09</v>
      </c>
      <c r="R2" s="11" t="s">
        <v>378</v>
      </c>
      <c r="S2" s="9" t="str">
        <f>_xlfn.XLOOKUP(R2,Tab_Def_Flows[Name(EN)],Tab_Def_Flows[Flow_ID],,0,)</f>
        <v>F_07_00</v>
      </c>
      <c r="T2" s="11" t="e">
        <f>"STC_"&amp;Tab_Process_Stock[[#This Row],[Process_ID]]&amp;"_"&amp;Tab_Process_Stock[[#This Row],[Destination_Process]]</f>
        <v>#N/A</v>
      </c>
      <c r="U2" s="206">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206"/>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206"/>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206"/>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206"/>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206"/>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206"/>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206"/>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206"/>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206"/>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206"/>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206"/>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206"/>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206"/>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206"/>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206"/>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206"/>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206"/>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206"/>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206"/>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206"/>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206"/>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206"/>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206"/>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206"/>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206"/>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206"/>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206"/>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206"/>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206"/>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206"/>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206"/>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206"/>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206"/>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206"/>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206"/>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206"/>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206"/>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206"/>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206"/>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206"/>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206"/>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206"/>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206"/>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206"/>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206"/>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206"/>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206"/>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206"/>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206"/>
    </row>
    <row r="52" spans="1:21" x14ac:dyDescent="0.25">
      <c r="A52" s="194" t="b">
        <v>0</v>
      </c>
      <c r="B52" s="9">
        <f t="shared" ref="B52:B63" si="3">ROW()-1</f>
        <v>51</v>
      </c>
      <c r="C52" s="9" t="str">
        <f t="shared" si="1"/>
        <v>S_09</v>
      </c>
      <c r="D52" s="9" t="str">
        <f>_xlfn.XLOOKUP($E52,Tab_Def_Processes[Name(EN)],Tab_Def_Processes[Process_ID],,0,)</f>
        <v>09</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206"/>
    </row>
    <row r="53" spans="1:21" x14ac:dyDescent="0.25">
      <c r="A53" s="194" t="b">
        <v>0</v>
      </c>
      <c r="B53" s="9">
        <f t="shared" si="3"/>
        <v>52</v>
      </c>
      <c r="C53" s="9" t="str">
        <f t="shared" si="1"/>
        <v>S_09</v>
      </c>
      <c r="D53" s="9" t="str">
        <f>_xlfn.XLOOKUP($E53,Tab_Def_Processes[Name(EN)],Tab_Def_Processes[Process_ID],,0,)</f>
        <v>09</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206"/>
    </row>
    <row r="54" spans="1:21" x14ac:dyDescent="0.25">
      <c r="A54" s="194" t="b">
        <v>0</v>
      </c>
      <c r="B54" s="9">
        <f t="shared" si="3"/>
        <v>53</v>
      </c>
      <c r="C54" s="9" t="str">
        <f t="shared" si="1"/>
        <v>S_09</v>
      </c>
      <c r="D54" s="9" t="str">
        <f>_xlfn.XLOOKUP($E54,Tab_Def_Processes[Name(EN)],Tab_Def_Processes[Process_ID],,0,)</f>
        <v>09</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206"/>
    </row>
    <row r="55" spans="1:21" x14ac:dyDescent="0.25">
      <c r="A55" s="194" t="b">
        <v>0</v>
      </c>
      <c r="B55" s="9">
        <f t="shared" si="3"/>
        <v>54</v>
      </c>
      <c r="C55" s="9" t="str">
        <f t="shared" si="1"/>
        <v>S_09</v>
      </c>
      <c r="D55" s="9" t="str">
        <f>_xlfn.XLOOKUP($E55,Tab_Def_Processes[Name(EN)],Tab_Def_Processes[Process_ID],,0,)</f>
        <v>09</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206"/>
    </row>
    <row r="56" spans="1:21" x14ac:dyDescent="0.25">
      <c r="A56" s="194" t="b">
        <v>0</v>
      </c>
      <c r="B56" s="9">
        <f t="shared" si="3"/>
        <v>55</v>
      </c>
      <c r="C56" s="9" t="str">
        <f t="shared" si="1"/>
        <v>S_09</v>
      </c>
      <c r="D56" s="9" t="str">
        <f>_xlfn.XLOOKUP($E56,Tab_Def_Processes[Name(EN)],Tab_Def_Processes[Process_ID],,0,)</f>
        <v>09</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206"/>
    </row>
    <row r="57" spans="1:21" x14ac:dyDescent="0.25">
      <c r="A57" s="194" t="b">
        <v>0</v>
      </c>
      <c r="B57" s="9">
        <f t="shared" si="3"/>
        <v>56</v>
      </c>
      <c r="C57" s="9" t="str">
        <f t="shared" si="1"/>
        <v>S_09</v>
      </c>
      <c r="D57" s="9" t="str">
        <f>_xlfn.XLOOKUP($E57,Tab_Def_Processes[Name(EN)],Tab_Def_Processes[Process_ID],,0,)</f>
        <v>09</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206"/>
    </row>
    <row r="58" spans="1:21" x14ac:dyDescent="0.25">
      <c r="A58" s="194" t="b">
        <v>0</v>
      </c>
      <c r="B58" s="9">
        <f t="shared" si="3"/>
        <v>57</v>
      </c>
      <c r="C58" s="9" t="str">
        <f t="shared" si="1"/>
        <v>S_09</v>
      </c>
      <c r="D58" s="9" t="str">
        <f>_xlfn.XLOOKUP($E58,Tab_Def_Processes[Name(EN)],Tab_Def_Processes[Process_ID],,0,)</f>
        <v>09</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206"/>
    </row>
    <row r="59" spans="1:21" x14ac:dyDescent="0.25">
      <c r="A59" s="194" t="b">
        <v>0</v>
      </c>
      <c r="B59" s="9">
        <f t="shared" si="3"/>
        <v>58</v>
      </c>
      <c r="C59" s="9" t="str">
        <f t="shared" si="1"/>
        <v>S_09</v>
      </c>
      <c r="D59" s="9" t="str">
        <f>_xlfn.XLOOKUP($E59,Tab_Def_Processes[Name(EN)],Tab_Def_Processes[Process_ID],,0,)</f>
        <v>09</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206"/>
    </row>
    <row r="60" spans="1:21" x14ac:dyDescent="0.25">
      <c r="A60" s="194" t="b">
        <v>0</v>
      </c>
      <c r="B60" s="9">
        <f t="shared" si="3"/>
        <v>59</v>
      </c>
      <c r="C60" s="9" t="str">
        <f t="shared" si="1"/>
        <v>S_09</v>
      </c>
      <c r="D60" s="9" t="str">
        <f>_xlfn.XLOOKUP($E60,Tab_Def_Processes[Name(EN)],Tab_Def_Processes[Process_ID],,0,)</f>
        <v>09</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206"/>
    </row>
    <row r="61" spans="1:21" x14ac:dyDescent="0.25">
      <c r="A61" s="194" t="b">
        <v>0</v>
      </c>
      <c r="B61" s="9">
        <f t="shared" si="3"/>
        <v>60</v>
      </c>
      <c r="C61" s="9" t="str">
        <f t="shared" si="1"/>
        <v>S_09</v>
      </c>
      <c r="D61" s="9" t="str">
        <f>_xlfn.XLOOKUP($E61,Tab_Def_Processes[Name(EN)],Tab_Def_Processes[Process_ID],,0,)</f>
        <v>09</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206"/>
    </row>
    <row r="62" spans="1:21" x14ac:dyDescent="0.25">
      <c r="A62" s="194" t="b">
        <v>0</v>
      </c>
      <c r="B62" s="9">
        <f t="shared" si="3"/>
        <v>61</v>
      </c>
      <c r="C62" s="9" t="str">
        <f t="shared" si="1"/>
        <v>S_09</v>
      </c>
      <c r="D62" s="9" t="str">
        <f>_xlfn.XLOOKUP($E62,Tab_Def_Processes[Name(EN)],Tab_Def_Processes[Process_ID],,0,)</f>
        <v>09</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206"/>
    </row>
    <row r="63" spans="1:21" x14ac:dyDescent="0.25">
      <c r="A63" s="194" t="b">
        <v>0</v>
      </c>
      <c r="B63" s="9">
        <f t="shared" si="3"/>
        <v>62</v>
      </c>
      <c r="C63" s="9" t="str">
        <f t="shared" si="1"/>
        <v>S_09</v>
      </c>
      <c r="D63" s="9" t="str">
        <f>_xlfn.XLOOKUP($E63,Tab_Def_Processes[Name(EN)],Tab_Def_Processes[Process_ID],,0,)</f>
        <v>09</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20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J1" activePane="topRight" state="frozen"/>
      <selection pane="topRight" activeCell="K7" sqref="K7"/>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299</v>
      </c>
      <c r="E2" s="189" t="s">
        <v>384</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0.74</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299</v>
      </c>
      <c r="E3" s="189" t="s">
        <v>384</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299</v>
      </c>
      <c r="E4" s="189" t="s">
        <v>382</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0.26</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299</v>
      </c>
      <c r="E5" s="189" t="s">
        <v>382</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0.34</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e">
        <f>_xlfn.XLOOKUP($D6,Tab_Process_TCs[Name(EN)],Tab_Process_TCs[Process_ID],,0,)</f>
        <v>#N/A</v>
      </c>
      <c r="D6" s="189" t="s">
        <v>35</v>
      </c>
      <c r="E6" s="189" t="s">
        <v>35</v>
      </c>
      <c r="F6" s="47" t="e">
        <f>_xlfn.XLOOKUP($D6,Tab_Process_TCs[Name(EN)],Tab_Process_TCs[TC?],,0,)</f>
        <v>#N/A</v>
      </c>
      <c r="G6" s="47" t="e">
        <f>_xlfn.XLOOKUP($D6,Tab_Process_TCs[Name(EN)],Tab_Process_TCs[Dyn_TC?],,0,)</f>
        <v>#N/A</v>
      </c>
      <c r="H6" s="9" t="str">
        <f>_xlfn.XLOOKUP($E6,Tab_Def_Flows[Name(EN)],Tab_Def_Flows[Flow_ID],,0,1)</f>
        <v>N.A.</v>
      </c>
      <c r="I6" s="9" t="str">
        <f>IF(Tab_Process_TCs2527[[#This Row],[Name(EN)]]="N.A.","N.A.","TC"&amp;"_"&amp;RIGHT(H6,5))</f>
        <v>N.A.</v>
      </c>
      <c r="J6" s="11"/>
      <c r="K6" s="56"/>
      <c r="L6" s="9"/>
      <c r="M6" s="16" t="e">
        <f>_xlfn.XLOOKUP($D6,Tab_Def_Processes[Name(EN)],Tab_Def_Processes[Input_Flow_I_1],,0,)</f>
        <v>#N/A</v>
      </c>
      <c r="N6" s="9" t="e">
        <f>_xlfn.XLOOKUP($D6,Tab_Def_Processes[Name(EN)],Tab_Def_Processes[Flow_ID_I_1],,0,)</f>
        <v>#N/A</v>
      </c>
      <c r="O6" s="33"/>
      <c r="P6" s="29" t="e">
        <f>_xlfn.XLOOKUP($D6,Tab_Def_Processes[Name(EN)],Tab_Def_Processes[Input_Flow_I_2],,0,)</f>
        <v>#N/A</v>
      </c>
      <c r="Q6" s="9" t="e">
        <f>_xlfn.XLOOKUP($D6,Tab_Def_Processes[Name(EN)],Tab_Def_Processes[Flow_ID_I_2],,0,)</f>
        <v>#N/A</v>
      </c>
      <c r="R6" s="33"/>
      <c r="S6" s="29" t="e">
        <f>_xlfn.XLOOKUP($D6,Tab_Def_Processes[Name(EN)],Tab_Def_Processes[Input_Flow_I_3],,0,)</f>
        <v>#N/A</v>
      </c>
      <c r="T6" s="9" t="e">
        <f>_xlfn.XLOOKUP($D6,Tab_Def_Processes[Name(EN)],Tab_Def_Processes[Flow_ID_I_3],,0,)</f>
        <v>#N/A</v>
      </c>
      <c r="U6" s="33"/>
      <c r="V6" s="29" t="e">
        <f>_xlfn.XLOOKUP($D6,Tab_Def_Processes[Name(EN)],Tab_Def_Processes[Input_Flow_I_4],,0,)</f>
        <v>#N/A</v>
      </c>
      <c r="W6" s="9" t="e">
        <f>_xlfn.XLOOKUP($D6,Tab_Def_Processes[Name(EN)],Tab_Def_Processes[Flow_ID_I_4],,0,)</f>
        <v>#N/A</v>
      </c>
      <c r="X6" s="33"/>
      <c r="Y6" s="29" t="e">
        <f>_xlfn.XLOOKUP($D6,Tab_Def_Processes[Name(EN)],Tab_Def_Processes[Input_Flow_I_5],,0,)</f>
        <v>#N/A</v>
      </c>
      <c r="Z6" s="9" t="e">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N.A.</v>
      </c>
      <c r="AF6" s="9" t="e">
        <f t="shared" si="1"/>
        <v>#REF!</v>
      </c>
      <c r="AG6" s="49">
        <v>0.2</v>
      </c>
      <c r="AH6" s="16" t="e">
        <f>_xlfn.XLOOKUP($D6,#REF!,#REF!,,0,)</f>
        <v>#REF!</v>
      </c>
      <c r="AI6" s="9" t="e">
        <f>_xlfn.XLOOKUP($D6,#REF!,#REF!,,0,)</f>
        <v>#REF!</v>
      </c>
      <c r="AJ6" s="42" t="str">
        <f>Tab_Process_TCs2527[[#This Row],[Flow_ID]]</f>
        <v>N.A.</v>
      </c>
      <c r="AK6" s="9" t="e">
        <f t="shared" si="2"/>
        <v>#REF!</v>
      </c>
      <c r="AL6" s="176">
        <v>0.8</v>
      </c>
      <c r="AM6" s="16" t="e">
        <f>_xlfn.XLOOKUP($D6,#REF!,#REF!,,0,)</f>
        <v>#REF!</v>
      </c>
      <c r="AN6" s="9" t="e">
        <f>_xlfn.XLOOKUP($D6,#REF!,#REF!,,0,)</f>
        <v>#REF!</v>
      </c>
      <c r="AO6" s="42" t="str">
        <f>Tab_Process_TCs2527[[#This Row],[Flow_ID]]</f>
        <v>N.A.</v>
      </c>
      <c r="AP6" s="9" t="e">
        <f t="shared" si="3"/>
        <v>#REF!</v>
      </c>
      <c r="AQ6" s="168"/>
      <c r="AR6" s="16" t="e">
        <f>_xlfn.XLOOKUP($D6,#REF!,#REF!,,0,)</f>
        <v>#REF!</v>
      </c>
      <c r="AS6" s="9" t="e">
        <f>_xlfn.XLOOKUP($D6,#REF!,#REF!,,0,)</f>
        <v>#REF!</v>
      </c>
      <c r="AT6" s="42" t="str">
        <f>Tab_Process_TCs2527[[#This Row],[Flow_ID]]</f>
        <v>N.A.</v>
      </c>
      <c r="AU6" s="42" t="e">
        <f t="shared" si="4"/>
        <v>#REF!</v>
      </c>
      <c r="AV6" s="168"/>
      <c r="AW6" s="16" t="e">
        <f>_xlfn.XLOOKUP($D6,#REF!,#REF!,,0,)</f>
        <v>#REF!</v>
      </c>
      <c r="AX6" s="9" t="e">
        <f>_xlfn.XLOOKUP($D6,#REF!,#REF!,,0,)</f>
        <v>#REF!</v>
      </c>
      <c r="AY6" s="42" t="str">
        <f>Tab_Process_TCs2527[[#This Row],[Flow_ID]]</f>
        <v>N.A.</v>
      </c>
      <c r="AZ6" s="42" t="e">
        <f t="shared" si="5"/>
        <v>#REF!</v>
      </c>
      <c r="BA6" s="168"/>
      <c r="BB6" s="9" t="e">
        <f>_xlfn.XLOOKUP($D6,#REF!,#REF!,,0,)</f>
        <v>#REF!</v>
      </c>
      <c r="BC6" s="9" t="e">
        <f>_xlfn.XLOOKUP($D6,#REF!,#REF!,,0,)</f>
        <v>#REF!</v>
      </c>
      <c r="BD6" s="42" t="str">
        <f>Tab_Process_TCs2527[[#This Row],[Flow_ID]]</f>
        <v>N.A.</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e">
        <f>_xlfn.XLOOKUP($D7,Tab_Process_TCs[Name(EN)],Tab_Process_TCs[Process_ID],,0,)</f>
        <v>#N/A</v>
      </c>
      <c r="D7" s="189" t="s">
        <v>35</v>
      </c>
      <c r="E7" s="189" t="s">
        <v>35</v>
      </c>
      <c r="F7" s="47" t="e">
        <f>_xlfn.XLOOKUP($D7,Tab_Process_TCs[Name(EN)],Tab_Process_TCs[TC?],,0,)</f>
        <v>#N/A</v>
      </c>
      <c r="G7" s="47" t="e">
        <f>_xlfn.XLOOKUP($D7,Tab_Process_TCs[Name(EN)],Tab_Process_TCs[Dyn_TC?],,0,)</f>
        <v>#N/A</v>
      </c>
      <c r="H7" s="9" t="str">
        <f>_xlfn.XLOOKUP($E7,Tab_Def_Flows[Name(EN)],Tab_Def_Flows[Flow_ID],,0,1)</f>
        <v>N.A.</v>
      </c>
      <c r="I7" s="9" t="str">
        <f>IF(Tab_Process_TCs2527[[#This Row],[Name(EN)]]="N.A.","N.A.","TC"&amp;"_"&amp;RIGHT(H7,5))</f>
        <v>N.A.</v>
      </c>
      <c r="J7" s="11"/>
      <c r="K7" s="56"/>
      <c r="L7" s="9"/>
      <c r="M7" s="16" t="e">
        <f>_xlfn.XLOOKUP($D7,Tab_Def_Processes[Name(EN)],Tab_Def_Processes[Input_Flow_I_1],,0,)</f>
        <v>#N/A</v>
      </c>
      <c r="N7" s="9" t="e">
        <f>_xlfn.XLOOKUP($D7,Tab_Def_Processes[Name(EN)],Tab_Def_Processes[Flow_ID_I_1],,0,)</f>
        <v>#N/A</v>
      </c>
      <c r="O7" s="33"/>
      <c r="P7" s="29" t="e">
        <f>_xlfn.XLOOKUP($D7,Tab_Def_Processes[Name(EN)],Tab_Def_Processes[Input_Flow_I_2],,0,)</f>
        <v>#N/A</v>
      </c>
      <c r="Q7" s="9" t="e">
        <f>_xlfn.XLOOKUP($D7,Tab_Def_Processes[Name(EN)],Tab_Def_Processes[Flow_ID_I_2],,0,)</f>
        <v>#N/A</v>
      </c>
      <c r="R7" s="33"/>
      <c r="S7" s="29" t="e">
        <f>_xlfn.XLOOKUP($D7,Tab_Def_Processes[Name(EN)],Tab_Def_Processes[Input_Flow_I_3],,0,)</f>
        <v>#N/A</v>
      </c>
      <c r="T7" s="9" t="e">
        <f>_xlfn.XLOOKUP($D7,Tab_Def_Processes[Name(EN)],Tab_Def_Processes[Flow_ID_I_3],,0,)</f>
        <v>#N/A</v>
      </c>
      <c r="U7" s="33"/>
      <c r="V7" s="29" t="e">
        <f>_xlfn.XLOOKUP($D7,Tab_Def_Processes[Name(EN)],Tab_Def_Processes[Input_Flow_I_4],,0,)</f>
        <v>#N/A</v>
      </c>
      <c r="W7" s="9" t="e">
        <f>_xlfn.XLOOKUP($D7,Tab_Def_Processes[Name(EN)],Tab_Def_Processes[Flow_ID_I_4],,0,)</f>
        <v>#N/A</v>
      </c>
      <c r="X7" s="33"/>
      <c r="Y7" s="29" t="e">
        <f>_xlfn.XLOOKUP($D7,Tab_Def_Processes[Name(EN)],Tab_Def_Processes[Input_Flow_I_5],,0,)</f>
        <v>#N/A</v>
      </c>
      <c r="Z7" s="9" t="e">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N.A.</v>
      </c>
      <c r="AF7" s="9" t="e">
        <f t="shared" si="1"/>
        <v>#REF!</v>
      </c>
      <c r="AG7" s="49">
        <v>0.2</v>
      </c>
      <c r="AH7" s="16" t="e">
        <f>_xlfn.XLOOKUP($D7,#REF!,#REF!,,0,)</f>
        <v>#REF!</v>
      </c>
      <c r="AI7" s="9" t="e">
        <f>_xlfn.XLOOKUP($D7,#REF!,#REF!,,0,)</f>
        <v>#REF!</v>
      </c>
      <c r="AJ7" s="42" t="str">
        <f>Tab_Process_TCs2527[[#This Row],[Flow_ID]]</f>
        <v>N.A.</v>
      </c>
      <c r="AK7" s="9" t="e">
        <f t="shared" si="2"/>
        <v>#REF!</v>
      </c>
      <c r="AL7" s="176">
        <v>0.8</v>
      </c>
      <c r="AM7" s="16" t="e">
        <f>_xlfn.XLOOKUP($D7,#REF!,#REF!,,0,)</f>
        <v>#REF!</v>
      </c>
      <c r="AN7" s="9" t="e">
        <f>_xlfn.XLOOKUP($D7,#REF!,#REF!,,0,)</f>
        <v>#REF!</v>
      </c>
      <c r="AO7" s="42" t="str">
        <f>Tab_Process_TCs2527[[#This Row],[Flow_ID]]</f>
        <v>N.A.</v>
      </c>
      <c r="AP7" s="9" t="e">
        <f t="shared" si="3"/>
        <v>#REF!</v>
      </c>
      <c r="AQ7" s="168"/>
      <c r="AR7" s="16" t="e">
        <f>_xlfn.XLOOKUP($D7,#REF!,#REF!,,0,)</f>
        <v>#REF!</v>
      </c>
      <c r="AS7" s="9" t="e">
        <f>_xlfn.XLOOKUP($D7,#REF!,#REF!,,0,)</f>
        <v>#REF!</v>
      </c>
      <c r="AT7" s="42" t="str">
        <f>Tab_Process_TCs2527[[#This Row],[Flow_ID]]</f>
        <v>N.A.</v>
      </c>
      <c r="AU7" s="42" t="e">
        <f t="shared" si="4"/>
        <v>#REF!</v>
      </c>
      <c r="AV7" s="168"/>
      <c r="AW7" s="16" t="e">
        <f>_xlfn.XLOOKUP($D7,#REF!,#REF!,,0,)</f>
        <v>#REF!</v>
      </c>
      <c r="AX7" s="9" t="e">
        <f>_xlfn.XLOOKUP($D7,#REF!,#REF!,,0,)</f>
        <v>#REF!</v>
      </c>
      <c r="AY7" s="42" t="str">
        <f>Tab_Process_TCs2527[[#This Row],[Flow_ID]]</f>
        <v>N.A.</v>
      </c>
      <c r="AZ7" s="42" t="e">
        <f t="shared" si="5"/>
        <v>#REF!</v>
      </c>
      <c r="BA7" s="168"/>
      <c r="BB7" s="9" t="e">
        <f>_xlfn.XLOOKUP($D7,#REF!,#REF!,,0,)</f>
        <v>#REF!</v>
      </c>
      <c r="BC7" s="9" t="e">
        <f>_xlfn.XLOOKUP($D7,#REF!,#REF!,,0,)</f>
        <v>#REF!</v>
      </c>
      <c r="BD7" s="42" t="str">
        <f>Tab_Process_TCs2527[[#This Row],[Flow_ID]]</f>
        <v>N.A.</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dataValidations count="1">
    <dataValidation type="list" allowBlank="1" showInputMessage="1" showErrorMessage="1" sqref="D2:D149" xr:uid="{F4EFD03A-BDB8-4DE7-AC41-A9180EB54B38}">
      <formula1>#REF!</formula1>
    </dataValidation>
  </dataValidations>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301</v>
      </c>
      <c r="J1" s="193" t="s">
        <v>306</v>
      </c>
      <c r="K1" s="193" t="s">
        <v>307</v>
      </c>
      <c r="L1" s="193" t="s">
        <v>308</v>
      </c>
      <c r="M1" s="193" t="s">
        <v>320</v>
      </c>
      <c r="N1" s="193" t="s">
        <v>326</v>
      </c>
      <c r="O1" s="193" t="s">
        <v>325</v>
      </c>
      <c r="P1" s="193" t="s">
        <v>309</v>
      </c>
      <c r="Q1" s="193" t="s">
        <v>310</v>
      </c>
      <c r="R1" s="193" t="s">
        <v>311</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abSelected="1" topLeftCell="M1" zoomScaleNormal="100" workbookViewId="0">
      <selection activeCell="Q6" sqref="Q6"/>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301</v>
      </c>
      <c r="J1" s="193" t="s">
        <v>306</v>
      </c>
      <c r="K1" s="193" t="s">
        <v>307</v>
      </c>
      <c r="L1" s="193" t="s">
        <v>334</v>
      </c>
      <c r="M1" s="193" t="s">
        <v>495</v>
      </c>
      <c r="N1" s="193" t="s">
        <v>509</v>
      </c>
      <c r="O1" s="193" t="s">
        <v>498</v>
      </c>
      <c r="P1" s="193" t="s">
        <v>324</v>
      </c>
      <c r="Q1" s="193" t="s">
        <v>297</v>
      </c>
    </row>
    <row r="2" spans="1:17" x14ac:dyDescent="0.25">
      <c r="A2" s="194" t="b">
        <v>1</v>
      </c>
      <c r="B2" s="9">
        <f t="shared" ref="B2:B41" si="0">ROW()-1</f>
        <v>1</v>
      </c>
      <c r="C2" s="9" t="str">
        <f>_xlfn.XLOOKUP($D2,Tab_Def_Processes[Name(EN)],Tab_Def_Processes[Process_ID],,0,)</f>
        <v>08</v>
      </c>
      <c r="D2" s="11" t="s">
        <v>101</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511</v>
      </c>
      <c r="Q2" s="11">
        <v>0.7</v>
      </c>
    </row>
    <row r="3" spans="1:17" x14ac:dyDescent="0.25">
      <c r="A3" s="194" t="b">
        <v>1</v>
      </c>
      <c r="B3" s="9">
        <f t="shared" si="0"/>
        <v>2</v>
      </c>
      <c r="C3" s="9" t="str">
        <f>_xlfn.XLOOKUP($D3,Tab_Def_Processes[Name(EN)],Tab_Def_Processes[Process_ID],,0,)</f>
        <v>08</v>
      </c>
      <c r="D3" s="11" t="s">
        <v>101</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512</v>
      </c>
      <c r="Q3" s="11">
        <v>0.5</v>
      </c>
    </row>
    <row r="4" spans="1:17" x14ac:dyDescent="0.25">
      <c r="A4" s="194" t="b">
        <v>1</v>
      </c>
      <c r="B4" s="9">
        <f t="shared" si="0"/>
        <v>3</v>
      </c>
      <c r="C4" s="9" t="str">
        <f>_xlfn.XLOOKUP($D4,Tab_Def_Processes[Name(EN)],Tab_Def_Processes[Process_ID],,0,)</f>
        <v>08</v>
      </c>
      <c r="D4" s="11" t="s">
        <v>101</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513</v>
      </c>
      <c r="Q4" s="11">
        <v>0.3</v>
      </c>
    </row>
    <row r="5" spans="1:17" x14ac:dyDescent="0.25">
      <c r="A5" s="194" t="b">
        <v>1</v>
      </c>
      <c r="B5" s="9">
        <f t="shared" si="0"/>
        <v>4</v>
      </c>
      <c r="C5" s="9" t="str">
        <f>_xlfn.XLOOKUP($D5,Tab_Def_Processes[Name(EN)],Tab_Def_Processes[Process_ID],,0,)</f>
        <v>08</v>
      </c>
      <c r="D5" s="11" t="s">
        <v>101</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514</v>
      </c>
      <c r="Q5" s="11">
        <v>2.5000000000000001E-2</v>
      </c>
    </row>
    <row r="6" spans="1:17" x14ac:dyDescent="0.25">
      <c r="A6" s="194" t="b">
        <v>1</v>
      </c>
      <c r="B6" s="9">
        <f t="shared" si="0"/>
        <v>5</v>
      </c>
      <c r="C6" s="9" t="str">
        <f>_xlfn.XLOOKUP($D6,Tab_Def_Processes[Name(EN)],Tab_Def_Processes[Process_ID],,0,)</f>
        <v>08</v>
      </c>
      <c r="D6" s="11" t="s">
        <v>101</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506</v>
      </c>
      <c r="O6" s="9" t="str">
        <f>_xlfn.XLOOKUP($N6,CL_3.1_FOMP_Parameters[Category ID],CL_3.1_FOMP_Parameters[Pool_ID],,0,)</f>
        <v>Outflow_1</v>
      </c>
      <c r="P6" s="11" t="s">
        <v>500</v>
      </c>
      <c r="Q6" s="11" t="s">
        <v>494</v>
      </c>
    </row>
    <row r="7" spans="1:17" x14ac:dyDescent="0.25">
      <c r="A7" s="194" t="b">
        <v>1</v>
      </c>
      <c r="B7" s="9">
        <f t="shared" si="0"/>
        <v>6</v>
      </c>
      <c r="C7" s="9" t="str">
        <f>_xlfn.XLOOKUP($D7,Tab_Def_Processes[Name(EN)],Tab_Def_Processes[Process_ID],,0,)</f>
        <v>08</v>
      </c>
      <c r="D7" s="11" t="s">
        <v>101</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507</v>
      </c>
      <c r="O7" s="9" t="str">
        <f>_xlfn.XLOOKUP($N7,CL_3.1_FOMP_Parameters[Category ID],CL_3.1_FOMP_Parameters[Pool_ID],,0,)</f>
        <v>Outflow_2</v>
      </c>
      <c r="P7" s="11" t="s">
        <v>501</v>
      </c>
      <c r="Q7" s="11" t="s">
        <v>499</v>
      </c>
    </row>
    <row r="8" spans="1:17"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9" t="e">
        <f>_xlfn.XLOOKUP(Tab_FOMP[[#This Row],[Name(EN)]],Tab_Def_Processes[Name(EN)],Tab_Def_Processes[Nr. Outflows],,0,)</f>
        <v>#N/A</v>
      </c>
      <c r="M8" s="11"/>
      <c r="N8" s="11"/>
      <c r="O8" s="9" t="e">
        <f>_xlfn.XLOOKUP($N8,CL_3.1_FOMP_Parameters[Category ID],CL_3.1_FOMP_Parameters[Pool_ID],,0,)</f>
        <v>#N/A</v>
      </c>
      <c r="P8" s="11"/>
      <c r="Q8" s="11"/>
    </row>
    <row r="9" spans="1:17"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9" t="e">
        <f>_xlfn.XLOOKUP(Tab_FOMP[[#This Row],[Name(EN)]],Tab_Def_Processes[Name(EN)],Tab_Def_Processes[Nr. Outflows],,0,)</f>
        <v>#N/A</v>
      </c>
      <c r="M9" s="11"/>
      <c r="N9" s="11"/>
      <c r="O9" s="9" t="e">
        <f>_xlfn.XLOOKUP($N9,CL_3.1_FOMP_Parameters[Category ID],CL_3.1_FOMP_Parameters[Pool_ID],,0,)</f>
        <v>#N/A</v>
      </c>
      <c r="P9" s="11"/>
      <c r="Q9" s="11"/>
    </row>
    <row r="10" spans="1:17"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9" t="e">
        <f>_xlfn.XLOOKUP(Tab_FOMP[[#This Row],[Name(EN)]],Tab_Def_Processes[Name(EN)],Tab_Def_Processes[Nr. Outflows],,0,)</f>
        <v>#N/A</v>
      </c>
      <c r="M10" s="11"/>
      <c r="N10" s="11"/>
      <c r="O10" s="9" t="e">
        <f>_xlfn.XLOOKUP($N10,CL_3.1_FOMP_Parameters[Category ID],CL_3.1_FOMP_Parameters[Pool_ID],,0,)</f>
        <v>#N/A</v>
      </c>
      <c r="P10" s="11"/>
      <c r="Q10" s="11"/>
    </row>
    <row r="11" spans="1:17"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9" t="e">
        <f>_xlfn.XLOOKUP(Tab_FOMP[[#This Row],[Name(EN)]],Tab_Def_Processes[Name(EN)],Tab_Def_Processes[Nr. Outflows],,0,)</f>
        <v>#N/A</v>
      </c>
      <c r="M11" s="11"/>
      <c r="N11" s="11"/>
      <c r="O11" s="9" t="e">
        <f>_xlfn.XLOOKUP($N11,CL_3.1_FOMP_Parameters[Category ID],CL_3.1_FOMP_Parameters[Pool_ID],,0,)</f>
        <v>#N/A</v>
      </c>
      <c r="P11" s="11"/>
      <c r="Q11" s="11"/>
    </row>
    <row r="12" spans="1:17"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9" t="e">
        <f>_xlfn.XLOOKUP(Tab_FOMP[[#This Row],[Name(EN)]],Tab_Def_Processes[Name(EN)],Tab_Def_Processes[Nr. Outflows],,0,)</f>
        <v>#N/A</v>
      </c>
      <c r="M12" s="11"/>
      <c r="N12" s="11"/>
      <c r="O12" s="9" t="e">
        <f>_xlfn.XLOOKUP($N12,CL_3.1_FOMP_Parameters[Category ID],CL_3.1_FOMP_Parameters[Pool_ID],,0,)</f>
        <v>#N/A</v>
      </c>
      <c r="P12" s="11"/>
      <c r="Q12" s="11"/>
    </row>
    <row r="13" spans="1:17"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9" t="e">
        <f>_xlfn.XLOOKUP(Tab_FOMP[[#This Row],[Name(EN)]],Tab_Def_Processes[Name(EN)],Tab_Def_Processes[Nr. Outflows],,0,)</f>
        <v>#N/A</v>
      </c>
      <c r="M13" s="11"/>
      <c r="N13" s="11"/>
      <c r="O13" s="9" t="e">
        <f>_xlfn.XLOOKUP($N13,CL_3.1_FOMP_Parameters[Category ID],CL_3.1_FOMP_Parameters[Pool_ID],,0,)</f>
        <v>#N/A</v>
      </c>
      <c r="P13" s="11"/>
      <c r="Q13" s="11"/>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21"/>
  <sheetViews>
    <sheetView workbookViewId="0">
      <selection activeCell="Q16" sqref="Q14:R16"/>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464</v>
      </c>
      <c r="D1" s="193" t="s">
        <v>324</v>
      </c>
      <c r="E1" s="193" t="s">
        <v>327</v>
      </c>
      <c r="F1" s="193" t="s">
        <v>328</v>
      </c>
      <c r="G1" s="193" t="s">
        <v>329</v>
      </c>
      <c r="H1" s="193" t="s">
        <v>330</v>
      </c>
      <c r="I1" s="193" t="s">
        <v>331</v>
      </c>
      <c r="J1" s="193" t="s">
        <v>332</v>
      </c>
    </row>
    <row r="2" spans="1:10" x14ac:dyDescent="0.25">
      <c r="A2" s="9">
        <f>ROW()-1</f>
        <v>1</v>
      </c>
      <c r="B2" s="189" t="s">
        <v>481</v>
      </c>
      <c r="C2" s="189" t="s">
        <v>451</v>
      </c>
      <c r="D2" s="189" t="s">
        <v>333</v>
      </c>
      <c r="E2" s="189" t="s">
        <v>322</v>
      </c>
      <c r="F2" s="11"/>
      <c r="G2" s="11"/>
      <c r="H2" s="11">
        <v>0.3</v>
      </c>
      <c r="I2" s="11">
        <v>0.6</v>
      </c>
      <c r="J2" s="11"/>
    </row>
    <row r="3" spans="1:10" x14ac:dyDescent="0.25">
      <c r="A3" s="9">
        <f t="shared" ref="A3:A13" si="0">ROW()-1</f>
        <v>2</v>
      </c>
      <c r="B3" s="189" t="s">
        <v>481</v>
      </c>
      <c r="C3" s="189" t="s">
        <v>451</v>
      </c>
      <c r="D3" s="189" t="s">
        <v>515</v>
      </c>
      <c r="E3" s="189" t="s">
        <v>321</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row r="21" spans="3:3" x14ac:dyDescent="0.25">
      <c r="C21" t="e" cm="1">
        <f t="array" ref="C21">in</f>
        <v>#NAME?</v>
      </c>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G13"/>
  <sheetViews>
    <sheetView workbookViewId="0">
      <selection activeCell="G25" sqref="G25"/>
    </sheetView>
  </sheetViews>
  <sheetFormatPr defaultRowHeight="15" x14ac:dyDescent="0.25"/>
  <cols>
    <col min="1" max="1" width="6.28515625" customWidth="1"/>
    <col min="2" max="2" width="20.5703125" customWidth="1"/>
    <col min="3" max="4" width="25" customWidth="1"/>
    <col min="5" max="5" width="25.28515625" customWidth="1"/>
    <col min="6" max="6" width="15.5703125" customWidth="1"/>
    <col min="7" max="7" width="23.28515625" customWidth="1"/>
  </cols>
  <sheetData>
    <row r="1" spans="1:7" x14ac:dyDescent="0.25">
      <c r="A1" s="193" t="s">
        <v>32</v>
      </c>
      <c r="B1" s="193" t="s">
        <v>475</v>
      </c>
      <c r="C1" s="193" t="s">
        <v>218</v>
      </c>
      <c r="D1" s="193" t="s">
        <v>464</v>
      </c>
      <c r="E1" s="193" t="s">
        <v>324</v>
      </c>
      <c r="F1" s="193" t="s">
        <v>478</v>
      </c>
      <c r="G1" s="193" t="s">
        <v>43</v>
      </c>
    </row>
    <row r="2" spans="1:7" x14ac:dyDescent="0.25">
      <c r="A2" s="9">
        <f>ROW()-1</f>
        <v>1</v>
      </c>
      <c r="B2" s="189" t="s">
        <v>476</v>
      </c>
      <c r="C2" s="189" t="s">
        <v>460</v>
      </c>
      <c r="D2" s="189" t="s">
        <v>451</v>
      </c>
      <c r="E2" s="189" t="s">
        <v>333</v>
      </c>
      <c r="F2" s="11"/>
      <c r="G2" s="37"/>
    </row>
    <row r="3" spans="1:7" x14ac:dyDescent="0.25">
      <c r="A3" s="9">
        <f t="shared" ref="A3:A13" si="0">ROW()-1</f>
        <v>2</v>
      </c>
      <c r="B3" s="189" t="s">
        <v>476</v>
      </c>
      <c r="C3" s="189" t="s">
        <v>460</v>
      </c>
      <c r="D3" s="189" t="s">
        <v>451</v>
      </c>
      <c r="E3" s="189" t="s">
        <v>465</v>
      </c>
      <c r="F3" s="11"/>
      <c r="G3" s="37"/>
    </row>
    <row r="4" spans="1:7" x14ac:dyDescent="0.25">
      <c r="A4" s="9">
        <f t="shared" si="0"/>
        <v>3</v>
      </c>
      <c r="B4" s="189" t="s">
        <v>476</v>
      </c>
      <c r="C4" s="189" t="s">
        <v>460</v>
      </c>
      <c r="D4" s="189" t="s">
        <v>451</v>
      </c>
      <c r="E4" s="189" t="s">
        <v>466</v>
      </c>
      <c r="F4" s="11"/>
      <c r="G4" s="37"/>
    </row>
    <row r="5" spans="1:7" x14ac:dyDescent="0.25">
      <c r="A5" s="9">
        <f t="shared" si="0"/>
        <v>4</v>
      </c>
      <c r="B5" s="189" t="s">
        <v>476</v>
      </c>
      <c r="C5" s="189" t="s">
        <v>460</v>
      </c>
      <c r="D5" s="189" t="s">
        <v>451</v>
      </c>
      <c r="E5" s="189" t="s">
        <v>467</v>
      </c>
      <c r="F5" s="11"/>
      <c r="G5" s="37"/>
    </row>
    <row r="6" spans="1:7" x14ac:dyDescent="0.25">
      <c r="A6" s="9">
        <f t="shared" si="0"/>
        <v>5</v>
      </c>
      <c r="B6" s="189" t="s">
        <v>476</v>
      </c>
      <c r="C6" s="189" t="s">
        <v>462</v>
      </c>
      <c r="D6" s="189" t="s">
        <v>455</v>
      </c>
      <c r="E6" s="189" t="s">
        <v>468</v>
      </c>
      <c r="F6" s="11"/>
      <c r="G6" s="37"/>
    </row>
    <row r="7" spans="1:7" x14ac:dyDescent="0.25">
      <c r="A7" s="9">
        <f t="shared" si="0"/>
        <v>6</v>
      </c>
      <c r="B7" s="189" t="s">
        <v>476</v>
      </c>
      <c r="C7" s="189" t="s">
        <v>462</v>
      </c>
      <c r="D7" s="189" t="s">
        <v>455</v>
      </c>
      <c r="E7" s="189" t="s">
        <v>469</v>
      </c>
      <c r="F7" s="11"/>
      <c r="G7" s="37"/>
    </row>
    <row r="8" spans="1:7" x14ac:dyDescent="0.25">
      <c r="A8" s="9">
        <f t="shared" si="0"/>
        <v>7</v>
      </c>
      <c r="B8" s="189"/>
      <c r="C8" s="189"/>
      <c r="D8" s="189"/>
      <c r="E8" s="189"/>
      <c r="F8" s="11"/>
      <c r="G8" s="37"/>
    </row>
    <row r="9" spans="1:7" x14ac:dyDescent="0.25">
      <c r="A9" s="9">
        <f t="shared" si="0"/>
        <v>8</v>
      </c>
      <c r="B9" s="189"/>
      <c r="C9" s="189"/>
      <c r="D9" s="189"/>
      <c r="E9" s="189"/>
      <c r="F9" s="11"/>
      <c r="G9" s="37"/>
    </row>
    <row r="10" spans="1:7" x14ac:dyDescent="0.25">
      <c r="A10" s="9">
        <f>ROW()-1</f>
        <v>9</v>
      </c>
      <c r="B10" s="189"/>
      <c r="C10" s="189"/>
      <c r="D10" s="189"/>
      <c r="E10" s="189"/>
      <c r="F10" s="11"/>
      <c r="G10" s="37"/>
    </row>
    <row r="11" spans="1:7" x14ac:dyDescent="0.25">
      <c r="A11" s="9">
        <f t="shared" si="0"/>
        <v>10</v>
      </c>
      <c r="B11" s="189"/>
      <c r="C11" s="189"/>
      <c r="D11" s="189"/>
      <c r="E11" s="189"/>
      <c r="F11" s="11"/>
      <c r="G11" s="37"/>
    </row>
    <row r="12" spans="1:7" x14ac:dyDescent="0.25">
      <c r="A12" s="9">
        <f t="shared" si="0"/>
        <v>11</v>
      </c>
      <c r="B12" s="189"/>
      <c r="C12" s="189"/>
      <c r="D12" s="189"/>
      <c r="E12" s="189"/>
      <c r="F12" s="11"/>
      <c r="G12" s="37"/>
    </row>
    <row r="13" spans="1:7" x14ac:dyDescent="0.25">
      <c r="A13" s="9">
        <f t="shared" si="0"/>
        <v>12</v>
      </c>
      <c r="B13" s="189"/>
      <c r="C13" s="189"/>
      <c r="D13" s="189"/>
      <c r="E13" s="189"/>
      <c r="F13" s="11"/>
      <c r="G13"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CB79E380-8011-411B-B735-1C7402DE23CA}">
          <x14:formula1>
            <xm:f>'0_Configuration'!$B$20:$B$22</xm:f>
          </x14:formula1>
          <xm:sqref>B2:B13</xm:sqref>
        </x14:dataValidation>
        <x14:dataValidation type="list" allowBlank="1" showInputMessage="1" showErrorMessage="1" xr:uid="{780E4E15-5E2B-4003-8CEB-5E4D0C87A8F1}">
          <x14:formula1>
            <xm:f>'4_1 Codelists'!$F$69:$F$84</xm:f>
          </x14:formula1>
          <xm:sqref>D2:D13</xm:sqref>
        </x14:dataValidation>
        <x14:dataValidation type="list" allowBlank="1" showInputMessage="1" showErrorMessage="1" xr:uid="{ED6EA284-CC8E-4F02-A371-BE79D57C07F9}">
          <x14:formula1>
            <xm:f>'4_1 Codelists'!$B$69:$B$84</xm:f>
          </x14:formula1>
          <xm:sqref>C2:C13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17" t="str">
        <f>'2_1_Definition_Processes'!D2</f>
        <v>Atmosphere</v>
      </c>
      <c r="C1" s="217"/>
      <c r="D1" s="217"/>
      <c r="E1" s="217"/>
      <c r="F1" s="217"/>
      <c r="G1" s="217"/>
      <c r="H1" s="217"/>
      <c r="I1" s="152" t="s">
        <v>261</v>
      </c>
      <c r="J1" s="218" t="s">
        <v>133</v>
      </c>
      <c r="K1" s="218"/>
      <c r="L1" s="218"/>
      <c r="M1" s="218"/>
    </row>
    <row r="2" spans="1:22" ht="16.5" thickBot="1" x14ac:dyDescent="0.3">
      <c r="A2" s="219" t="s">
        <v>260</v>
      </c>
      <c r="B2" s="220"/>
      <c r="C2" s="220"/>
      <c r="D2" s="220"/>
      <c r="E2" s="220"/>
      <c r="F2" s="220"/>
      <c r="G2" s="220"/>
      <c r="H2" s="220"/>
      <c r="I2" s="220"/>
      <c r="J2" s="220"/>
      <c r="K2" s="220"/>
      <c r="L2" s="220"/>
      <c r="M2" s="221"/>
    </row>
    <row r="3" spans="1:22" ht="126.75" customHeight="1" thickBot="1" x14ac:dyDescent="0.3">
      <c r="A3" s="222"/>
      <c r="B3" s="223"/>
      <c r="C3" s="223"/>
      <c r="D3" s="223"/>
      <c r="E3" s="223"/>
      <c r="F3" s="223"/>
      <c r="G3" s="223"/>
      <c r="H3" s="223"/>
      <c r="I3" s="223"/>
      <c r="J3" s="223"/>
      <c r="K3" s="223"/>
      <c r="L3" s="223"/>
      <c r="M3" s="224"/>
    </row>
    <row r="4" spans="1:22" ht="31.5" customHeight="1" x14ac:dyDescent="0.25">
      <c r="A4" s="151" t="s">
        <v>259</v>
      </c>
      <c r="B4" s="225"/>
      <c r="C4" s="226"/>
      <c r="D4" s="227"/>
      <c r="E4" s="228" t="s">
        <v>258</v>
      </c>
      <c r="F4" s="229"/>
      <c r="G4" s="156"/>
      <c r="H4" s="156"/>
      <c r="I4" s="150"/>
      <c r="J4" s="150"/>
      <c r="K4" s="150"/>
      <c r="L4" s="150"/>
      <c r="M4" s="150"/>
    </row>
    <row r="5" spans="1:22" ht="16.5" customHeight="1" x14ac:dyDescent="0.25">
      <c r="A5" s="153" t="s">
        <v>257</v>
      </c>
      <c r="B5" s="233" t="s">
        <v>490</v>
      </c>
      <c r="C5" s="233"/>
      <c r="D5" s="234"/>
      <c r="E5" s="153" t="s">
        <v>257</v>
      </c>
      <c r="F5" s="235" t="str">
        <f>_xlfn.XLOOKUP(J1,Tab_Def_Processes[Process_ID],Tab_Def_Processes[Output_Flow_O_1],"No_flow.",0,1)</f>
        <v>Wheat Plant</v>
      </c>
      <c r="G5" s="235"/>
      <c r="H5" s="236"/>
      <c r="I5" s="154"/>
      <c r="J5" s="149"/>
      <c r="K5" s="149"/>
      <c r="L5" s="149"/>
      <c r="M5" s="146"/>
    </row>
    <row r="6" spans="1:22" ht="16.5" customHeight="1" x14ac:dyDescent="0.25">
      <c r="A6" s="153" t="s">
        <v>256</v>
      </c>
      <c r="B6" s="235" t="s">
        <v>491</v>
      </c>
      <c r="C6" s="235"/>
      <c r="D6" s="236"/>
      <c r="E6" s="153" t="s">
        <v>256</v>
      </c>
      <c r="F6" s="235" t="str">
        <f>_xlfn.XLOOKUP(J1,Tab_Def_Processes[Process_ID],Tab_Def_Processes[Output_Flow_O_2],"No_flow.",0,1)</f>
        <v>N.A.</v>
      </c>
      <c r="G6" s="235"/>
      <c r="H6" s="236"/>
      <c r="I6" s="154"/>
      <c r="J6" s="149"/>
      <c r="K6" s="149"/>
      <c r="L6" s="149"/>
      <c r="M6" s="146"/>
    </row>
    <row r="7" spans="1:22" ht="16.5" customHeight="1" x14ac:dyDescent="0.25">
      <c r="A7" s="148" t="s">
        <v>255</v>
      </c>
      <c r="B7" s="235" t="str">
        <f>_xlfn.XLOOKUP(J1,Tab_Def_Processes[Process_ID],Tab_Def_Processes[Input_Flow_I_3],"No_flow.",0,1)</f>
        <v>N.A.</v>
      </c>
      <c r="C7" s="235"/>
      <c r="D7" s="236"/>
      <c r="E7" s="148" t="s">
        <v>255</v>
      </c>
      <c r="F7" s="235" t="str">
        <f>_xlfn.XLOOKUP(J1,Tab_Def_Processes[Process_ID],Tab_Def_Processes[Output_Flow_O_3],"No_flow.",0,1)</f>
        <v>N.A.</v>
      </c>
      <c r="G7" s="235"/>
      <c r="H7" s="236"/>
      <c r="I7" s="155"/>
      <c r="J7" s="147"/>
      <c r="K7" s="147"/>
      <c r="L7" s="147"/>
      <c r="M7" s="146"/>
    </row>
    <row r="8" spans="1:22" ht="16.5" customHeight="1" x14ac:dyDescent="0.25">
      <c r="A8" s="148" t="s">
        <v>254</v>
      </c>
      <c r="B8" s="235" t="str">
        <f>_xlfn.XLOOKUP(J1,Tab_Def_Processes[Process_ID],Tab_Def_Processes[Input_Flow_I_4],"No_flow.",0,1)</f>
        <v>N.A.</v>
      </c>
      <c r="C8" s="235"/>
      <c r="D8" s="236"/>
      <c r="E8" s="148" t="s">
        <v>254</v>
      </c>
      <c r="F8" s="235" t="str">
        <f>_xlfn.XLOOKUP(J1,Tab_Def_Processes[Process_ID],Tab_Def_Processes[Output_Flow_O_4],"No_flow.",0,1)</f>
        <v>N.A.</v>
      </c>
      <c r="G8" s="235"/>
      <c r="H8" s="236"/>
      <c r="I8" s="155"/>
      <c r="J8" s="147"/>
      <c r="K8" s="147"/>
      <c r="L8" s="147"/>
      <c r="M8" s="146"/>
    </row>
    <row r="9" spans="1:22" ht="16.5" customHeight="1" x14ac:dyDescent="0.25">
      <c r="A9" s="148" t="s">
        <v>253</v>
      </c>
      <c r="B9" s="235" t="str">
        <f>_xlfn.XLOOKUP(J1,Tab_Def_Processes[Process_ID],Tab_Def_Processes[Input_Flow_I_5],"No_flow.",0,1)</f>
        <v>N.A.</v>
      </c>
      <c r="C9" s="235"/>
      <c r="D9" s="236"/>
      <c r="E9" s="148" t="s">
        <v>253</v>
      </c>
      <c r="F9" s="235" t="str">
        <f>_xlfn.XLOOKUP(J1,Tab_Def_Processes[Process_ID],Tab_Def_Processes[Output_Flow_O_5],"No_flow.",0,1)</f>
        <v>N.A.</v>
      </c>
      <c r="G9" s="235"/>
      <c r="H9" s="236"/>
      <c r="I9" s="155"/>
      <c r="J9" s="147"/>
      <c r="K9" s="147"/>
      <c r="L9" s="147"/>
      <c r="M9" s="146"/>
    </row>
    <row r="10" spans="1:22" ht="16.5" customHeight="1" thickBot="1" x14ac:dyDescent="0.3">
      <c r="A10" s="157" t="s">
        <v>252</v>
      </c>
      <c r="B10" s="237"/>
      <c r="C10" s="237"/>
      <c r="D10" s="238"/>
      <c r="E10" s="157" t="s">
        <v>252</v>
      </c>
      <c r="F10" s="237"/>
      <c r="G10" s="237"/>
      <c r="H10" s="238"/>
      <c r="I10" s="155"/>
      <c r="J10" s="147"/>
      <c r="K10" s="147"/>
      <c r="L10" s="147"/>
      <c r="M10" s="146"/>
    </row>
    <row r="11" spans="1:22" ht="16.5" thickBot="1" x14ac:dyDescent="0.3">
      <c r="A11" s="219" t="s">
        <v>251</v>
      </c>
      <c r="B11" s="220"/>
      <c r="C11" s="220"/>
      <c r="D11" s="220"/>
      <c r="E11" s="220"/>
      <c r="F11" s="220"/>
      <c r="G11" s="220"/>
      <c r="H11" s="220"/>
      <c r="I11" s="220"/>
      <c r="J11" s="220"/>
      <c r="K11" s="220"/>
      <c r="L11" s="220"/>
      <c r="M11" s="221"/>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30" t="s">
        <v>249</v>
      </c>
      <c r="B13" s="231"/>
      <c r="C13" s="231"/>
      <c r="D13" s="231"/>
      <c r="E13" s="231"/>
      <c r="F13" s="231"/>
      <c r="G13" s="231"/>
      <c r="H13" s="231"/>
      <c r="I13" s="231"/>
      <c r="J13" s="231"/>
      <c r="K13" s="231"/>
      <c r="L13" s="231"/>
      <c r="M13" s="232"/>
    </row>
    <row r="14" spans="1:22" ht="16.5" thickBot="1" x14ac:dyDescent="0.3">
      <c r="A14" s="103" t="s">
        <v>235</v>
      </c>
      <c r="B14" s="239" t="s">
        <v>247</v>
      </c>
      <c r="C14" s="240"/>
      <c r="D14" s="241"/>
      <c r="E14" s="242" t="s">
        <v>246</v>
      </c>
      <c r="F14" s="243"/>
      <c r="G14" s="243"/>
      <c r="H14" s="244"/>
      <c r="I14" s="245" t="s">
        <v>245</v>
      </c>
      <c r="J14" s="246"/>
      <c r="K14" s="246"/>
      <c r="L14" s="246"/>
      <c r="M14" s="247"/>
      <c r="P14" s="212">
        <v>0.2384</v>
      </c>
      <c r="Q14" s="55" t="s">
        <v>192</v>
      </c>
      <c r="R14" s="212">
        <v>0.76160000000000005</v>
      </c>
      <c r="S14" s="55" t="s">
        <v>192</v>
      </c>
      <c r="T14" s="212">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12">
        <v>0.14000000000000001</v>
      </c>
      <c r="Q15" s="55" t="s">
        <v>192</v>
      </c>
      <c r="R15" s="212">
        <v>0.86</v>
      </c>
      <c r="S15" s="55" t="s">
        <v>192</v>
      </c>
      <c r="T15" s="212">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60" t="s">
        <v>234</v>
      </c>
      <c r="C23" s="261"/>
      <c r="D23" s="261"/>
      <c r="E23" s="261"/>
      <c r="F23" s="261"/>
      <c r="G23" s="261"/>
      <c r="H23" s="262"/>
      <c r="I23" s="263" t="s">
        <v>233</v>
      </c>
      <c r="J23" s="264"/>
      <c r="K23" s="264"/>
      <c r="L23" s="264"/>
      <c r="M23" s="265"/>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12">
        <v>0.14000000000000001</v>
      </c>
      <c r="Q24" s="55" t="s">
        <v>192</v>
      </c>
      <c r="R24" s="212">
        <v>0.86</v>
      </c>
      <c r="S24" s="55" t="s">
        <v>192</v>
      </c>
      <c r="T24" s="212">
        <v>0.48</v>
      </c>
      <c r="U24" s="55" t="s">
        <v>192</v>
      </c>
      <c r="V24" s="190">
        <f>Tab_Def_Flows[[#This Row],[CC_DM'[%']]]*Tab_Def_Flows[[#This Row],[DM]]</f>
        <v>0</v>
      </c>
      <c r="W24" s="213"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48" t="s">
        <v>248</v>
      </c>
      <c r="B32" s="249"/>
      <c r="C32" s="249"/>
      <c r="D32" s="249"/>
      <c r="E32" s="249"/>
      <c r="F32" s="249"/>
      <c r="G32" s="249"/>
      <c r="H32" s="249"/>
      <c r="I32" s="249"/>
      <c r="J32" s="249"/>
      <c r="K32" s="249"/>
      <c r="L32" s="249"/>
      <c r="M32" s="250"/>
    </row>
    <row r="33" spans="1:18" ht="16.5" customHeight="1" thickBot="1" x14ac:dyDescent="0.3">
      <c r="A33" s="103" t="s">
        <v>235</v>
      </c>
      <c r="B33" s="251" t="s">
        <v>247</v>
      </c>
      <c r="C33" s="252"/>
      <c r="D33" s="253"/>
      <c r="E33" s="254" t="s">
        <v>246</v>
      </c>
      <c r="F33" s="255"/>
      <c r="G33" s="255"/>
      <c r="H33" s="256"/>
      <c r="I33" s="257" t="s">
        <v>245</v>
      </c>
      <c r="J33" s="258"/>
      <c r="K33" s="258"/>
      <c r="L33" s="258"/>
      <c r="M33" s="259"/>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60" t="s">
        <v>234</v>
      </c>
      <c r="C42" s="261"/>
      <c r="D42" s="261"/>
      <c r="E42" s="261"/>
      <c r="F42" s="261"/>
      <c r="G42" s="261"/>
      <c r="H42" s="262"/>
      <c r="I42" s="263" t="s">
        <v>233</v>
      </c>
      <c r="J42" s="264"/>
      <c r="K42" s="264"/>
      <c r="L42" s="264"/>
      <c r="M42" s="265"/>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14"/>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66" t="s">
        <v>220</v>
      </c>
      <c r="B51" s="267"/>
      <c r="C51" s="267"/>
      <c r="D51" s="267"/>
      <c r="E51" s="268"/>
      <c r="F51" s="269" t="s">
        <v>219</v>
      </c>
      <c r="G51" s="270"/>
      <c r="H51" s="270"/>
      <c r="I51" s="270"/>
      <c r="J51" s="270"/>
      <c r="K51" s="270"/>
      <c r="L51" s="270"/>
      <c r="M51" s="271"/>
    </row>
    <row r="52" spans="1:17" ht="16.5" thickBot="1" x14ac:dyDescent="0.3">
      <c r="A52" s="4" t="s">
        <v>218</v>
      </c>
      <c r="B52" s="77" t="s">
        <v>217</v>
      </c>
      <c r="C52" s="76" t="s">
        <v>189</v>
      </c>
      <c r="D52" s="75" t="s">
        <v>188</v>
      </c>
      <c r="E52" s="74" t="s">
        <v>216</v>
      </c>
      <c r="F52" s="216"/>
      <c r="G52" s="216"/>
      <c r="H52" s="216"/>
      <c r="I52" s="216"/>
      <c r="J52" s="216"/>
      <c r="K52" s="216"/>
      <c r="L52" s="216"/>
      <c r="M52" s="272"/>
    </row>
    <row r="53" spans="1:17" ht="15.75" x14ac:dyDescent="0.25">
      <c r="A53" s="5" t="s">
        <v>215</v>
      </c>
      <c r="B53" s="73">
        <f>B22</f>
        <v>721668.05</v>
      </c>
      <c r="C53" s="72">
        <f>F22</f>
        <v>101033.52700000002</v>
      </c>
      <c r="D53" s="71">
        <f>J22</f>
        <v>620634.52299999993</v>
      </c>
      <c r="E53" s="70">
        <f>C31</f>
        <v>297904.57</v>
      </c>
      <c r="F53" s="216"/>
      <c r="G53" s="216"/>
      <c r="H53" s="216"/>
      <c r="I53" s="216"/>
      <c r="J53" s="216"/>
      <c r="K53" s="216"/>
      <c r="L53" s="216"/>
      <c r="M53" s="272"/>
    </row>
    <row r="54" spans="1:17" ht="16.5" thickBot="1" x14ac:dyDescent="0.3">
      <c r="A54" s="5" t="s">
        <v>214</v>
      </c>
      <c r="B54" s="73">
        <f>B41</f>
        <v>721668.05</v>
      </c>
      <c r="C54" s="72">
        <f>F41</f>
        <v>101033.52700000002</v>
      </c>
      <c r="D54" s="71">
        <f>J41</f>
        <v>620634.52300000004</v>
      </c>
      <c r="E54" s="70">
        <f>C50</f>
        <v>297904.57104000001</v>
      </c>
      <c r="F54" s="216"/>
      <c r="G54" s="216"/>
      <c r="H54" s="216"/>
      <c r="I54" s="216"/>
      <c r="J54" s="216"/>
      <c r="K54" s="216"/>
      <c r="L54" s="216"/>
      <c r="M54" s="272"/>
    </row>
    <row r="55" spans="1:17" ht="15.75" x14ac:dyDescent="0.25">
      <c r="A55" s="4" t="s">
        <v>213</v>
      </c>
      <c r="B55" s="162">
        <f>B53-B54</f>
        <v>0</v>
      </c>
      <c r="C55" s="163">
        <f>C53-C54</f>
        <v>0</v>
      </c>
      <c r="D55" s="164">
        <f>D53-D54</f>
        <v>0</v>
      </c>
      <c r="E55" s="165">
        <f>E53-E54</f>
        <v>-1.0400000028312206E-3</v>
      </c>
      <c r="F55" s="216"/>
      <c r="G55" s="216"/>
      <c r="H55" s="216"/>
      <c r="I55" s="216"/>
      <c r="J55" s="216"/>
      <c r="K55" s="216"/>
      <c r="L55" s="216"/>
      <c r="M55" s="272"/>
    </row>
    <row r="56" spans="1:17" ht="16.5" thickBot="1" x14ac:dyDescent="0.3">
      <c r="A56" s="7" t="s">
        <v>212</v>
      </c>
      <c r="B56" s="69">
        <f>B53/B54</f>
        <v>1</v>
      </c>
      <c r="C56" s="67">
        <f>C53/C54</f>
        <v>1</v>
      </c>
      <c r="D56" s="66">
        <f>D53/D54</f>
        <v>0.99999999999999978</v>
      </c>
      <c r="E56" s="65">
        <f>E53/E54</f>
        <v>0.99999999650894911</v>
      </c>
      <c r="F56" s="216"/>
      <c r="G56" s="216"/>
      <c r="H56" s="216"/>
      <c r="I56" s="216"/>
      <c r="J56" s="216"/>
      <c r="K56" s="216"/>
      <c r="L56" s="216"/>
      <c r="M56" s="272"/>
    </row>
    <row r="57" spans="1:17" ht="15.75" thickBot="1" x14ac:dyDescent="0.3">
      <c r="A57" s="266" t="s">
        <v>211</v>
      </c>
      <c r="B57" s="267"/>
      <c r="C57" s="267"/>
      <c r="D57" s="267"/>
      <c r="E57" s="268"/>
      <c r="F57" s="216"/>
      <c r="G57" s="216"/>
      <c r="H57" s="216"/>
      <c r="I57" s="216"/>
      <c r="J57" s="216"/>
      <c r="K57" s="216"/>
      <c r="L57" s="216"/>
      <c r="M57" s="272"/>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16"/>
      <c r="G58" s="216"/>
      <c r="H58" s="216"/>
      <c r="I58" s="216"/>
      <c r="J58" s="216"/>
      <c r="K58" s="216"/>
      <c r="L58" s="216"/>
      <c r="M58" s="272"/>
    </row>
    <row r="59" spans="1:17" ht="16.5" thickBot="1" x14ac:dyDescent="0.3">
      <c r="A59" s="7" t="str">
        <f t="shared" si="35"/>
        <v>N.A.</v>
      </c>
      <c r="B59" s="68">
        <f t="shared" si="36"/>
        <v>0</v>
      </c>
      <c r="C59" s="67">
        <f>(E36*B36)/($B$22*$E$22)</f>
        <v>0</v>
      </c>
      <c r="D59" s="66">
        <f t="shared" si="37"/>
        <v>0</v>
      </c>
      <c r="E59" s="65" t="e">
        <f t="shared" si="38"/>
        <v>#DIV/0!</v>
      </c>
      <c r="F59" s="216"/>
      <c r="G59" s="216"/>
      <c r="H59" s="216"/>
      <c r="I59" s="216"/>
      <c r="J59" s="216"/>
      <c r="K59" s="216"/>
      <c r="L59" s="216"/>
      <c r="M59" s="272"/>
    </row>
    <row r="60" spans="1:17" ht="16.5" thickBot="1" x14ac:dyDescent="0.3">
      <c r="A60" s="7" t="str">
        <f t="shared" si="35"/>
        <v>N.A.</v>
      </c>
      <c r="B60" s="68">
        <f t="shared" si="36"/>
        <v>0</v>
      </c>
      <c r="C60" s="67">
        <f>(E37*B37)/($B$22*$E$22)</f>
        <v>0</v>
      </c>
      <c r="D60" s="66">
        <f t="shared" si="37"/>
        <v>0</v>
      </c>
      <c r="E60" s="65" t="e">
        <f t="shared" si="38"/>
        <v>#DIV/0!</v>
      </c>
      <c r="F60" s="216"/>
      <c r="G60" s="216"/>
      <c r="H60" s="216"/>
      <c r="I60" s="216"/>
      <c r="J60" s="216"/>
      <c r="K60" s="216"/>
      <c r="L60" s="216"/>
      <c r="M60" s="272"/>
    </row>
    <row r="61" spans="1:17" ht="16.5" thickBot="1" x14ac:dyDescent="0.3">
      <c r="A61" s="7" t="str">
        <f t="shared" si="35"/>
        <v>N.A.</v>
      </c>
      <c r="B61" s="68">
        <f t="shared" si="36"/>
        <v>0</v>
      </c>
      <c r="C61" s="67">
        <f>($G$41*F38)/($B$22*$E$22)</f>
        <v>0</v>
      </c>
      <c r="D61" s="66">
        <f t="shared" si="37"/>
        <v>0</v>
      </c>
      <c r="E61" s="65" t="e">
        <f t="shared" si="38"/>
        <v>#DIV/0!</v>
      </c>
      <c r="F61" s="216"/>
      <c r="G61" s="216"/>
      <c r="H61" s="216"/>
      <c r="I61" s="216"/>
      <c r="J61" s="216"/>
      <c r="K61" s="216"/>
      <c r="L61" s="216"/>
      <c r="M61" s="272"/>
    </row>
    <row r="62" spans="1:17" ht="16.5" thickBot="1" x14ac:dyDescent="0.3">
      <c r="A62" s="7" t="str">
        <f t="shared" si="35"/>
        <v>N.A.</v>
      </c>
      <c r="B62" s="68">
        <f t="shared" si="36"/>
        <v>0</v>
      </c>
      <c r="C62" s="67">
        <f>(B39*E39)/($B$22*$E$22)</f>
        <v>0</v>
      </c>
      <c r="D62" s="66">
        <f t="shared" si="37"/>
        <v>0</v>
      </c>
      <c r="E62" s="65" t="e">
        <f t="shared" si="38"/>
        <v>#DIV/0!</v>
      </c>
      <c r="F62" s="216"/>
      <c r="G62" s="216"/>
      <c r="H62" s="216"/>
      <c r="I62" s="216"/>
      <c r="J62" s="216"/>
      <c r="K62" s="216"/>
      <c r="L62" s="216"/>
      <c r="M62" s="272"/>
    </row>
    <row r="63" spans="1:17" ht="16.5" thickBot="1" x14ac:dyDescent="0.3">
      <c r="A63" s="7">
        <f t="shared" si="35"/>
        <v>0</v>
      </c>
      <c r="B63" s="68">
        <f t="shared" si="36"/>
        <v>0</v>
      </c>
      <c r="C63" s="67">
        <f>(B40*E40)/($B$22*$E$22)</f>
        <v>0</v>
      </c>
      <c r="D63" s="66">
        <f t="shared" si="37"/>
        <v>0</v>
      </c>
      <c r="E63" s="65" t="e">
        <f t="shared" si="38"/>
        <v>#DIV/0!</v>
      </c>
      <c r="F63" s="216"/>
      <c r="G63" s="216"/>
      <c r="H63" s="216"/>
      <c r="I63" s="216"/>
      <c r="J63" s="216"/>
      <c r="K63" s="216"/>
      <c r="L63" s="216"/>
      <c r="M63" s="272"/>
    </row>
    <row r="64" spans="1:17" ht="16.5" thickBot="1" x14ac:dyDescent="0.3">
      <c r="A64" s="4" t="s">
        <v>210</v>
      </c>
      <c r="B64" s="158">
        <f>SUM(B58:B63)</f>
        <v>1</v>
      </c>
      <c r="C64" s="159">
        <f>SUM(C58:C63)</f>
        <v>1</v>
      </c>
      <c r="D64" s="160">
        <f>SUM(D58:D63)</f>
        <v>1.0000000000000002</v>
      </c>
      <c r="E64" s="161" t="e">
        <f>SUM(E58:E63)</f>
        <v>#DIV/0!</v>
      </c>
      <c r="F64" s="216"/>
      <c r="G64" s="216"/>
      <c r="H64" s="216"/>
      <c r="I64" s="216"/>
      <c r="J64" s="216"/>
      <c r="K64" s="216"/>
      <c r="L64" s="216"/>
      <c r="M64" s="272"/>
    </row>
    <row r="65" spans="1:13" ht="16.5" thickBot="1" x14ac:dyDescent="0.3">
      <c r="A65" s="230" t="s">
        <v>209</v>
      </c>
      <c r="B65" s="231"/>
      <c r="C65" s="231"/>
      <c r="D65" s="231"/>
      <c r="E65" s="231"/>
      <c r="F65" s="231"/>
      <c r="G65" s="231"/>
      <c r="H65" s="231"/>
      <c r="I65" s="231"/>
      <c r="J65" s="231"/>
      <c r="K65" s="231"/>
      <c r="L65" s="231"/>
      <c r="M65" s="232"/>
    </row>
    <row r="66" spans="1:13" x14ac:dyDescent="0.25">
      <c r="A66" s="5" t="s">
        <v>208</v>
      </c>
      <c r="B66" s="273" t="s">
        <v>207</v>
      </c>
      <c r="C66" s="273"/>
      <c r="D66" s="273"/>
      <c r="E66" s="273"/>
      <c r="F66" s="273"/>
      <c r="G66" s="5" t="s">
        <v>206</v>
      </c>
      <c r="M66" s="59"/>
    </row>
    <row r="67" spans="1:13" ht="18.75" customHeight="1" x14ac:dyDescent="0.25">
      <c r="A67" s="5" t="s">
        <v>205</v>
      </c>
      <c r="B67" s="216" t="s">
        <v>192</v>
      </c>
      <c r="C67" s="216"/>
      <c r="D67" s="216"/>
      <c r="E67" s="216"/>
      <c r="F67" s="216"/>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207" t="str">
        <f>_xlfn.XLOOKUP($E2,[1]!Tab_Def_Processes[Name(EN)],[1]!Tab_Def_Processes[Output_Flow_O_2],,0,)</f>
        <v>N.A.</v>
      </c>
    </row>
    <row r="7" spans="2:5" x14ac:dyDescent="0.25">
      <c r="B7" t="s">
        <v>486</v>
      </c>
      <c r="D7">
        <v>0.47399999999999998</v>
      </c>
      <c r="E7" s="208">
        <v>0.47399999999999998</v>
      </c>
    </row>
    <row r="8" spans="2:5" x14ac:dyDescent="0.25">
      <c r="B8" t="s">
        <v>487</v>
      </c>
      <c r="D8">
        <v>7.3850399999999941E-2</v>
      </c>
      <c r="E8" s="208">
        <v>7.3850399999999941E-2</v>
      </c>
    </row>
    <row r="9" spans="2:5" x14ac:dyDescent="0.25">
      <c r="B9" t="s">
        <v>488</v>
      </c>
      <c r="D9">
        <v>0.38923999999999964</v>
      </c>
      <c r="E9" s="208">
        <v>0.38923999999999964</v>
      </c>
    </row>
    <row r="10" spans="2:5" x14ac:dyDescent="0.25">
      <c r="B10" t="s">
        <v>489</v>
      </c>
      <c r="D10">
        <v>6.2909599999999954E-2</v>
      </c>
      <c r="E10" s="208">
        <v>6.2909599999999954E-2</v>
      </c>
    </row>
    <row r="11" spans="2:5" x14ac:dyDescent="0.25">
      <c r="D11">
        <f>SUM(D7:D10)</f>
        <v>0.99999999999999956</v>
      </c>
      <c r="E11" s="34">
        <f>SUM(E7:E10)</f>
        <v>0.99999999999999956</v>
      </c>
    </row>
    <row r="13" spans="2:5" x14ac:dyDescent="0.25">
      <c r="B13" t="s">
        <v>487</v>
      </c>
      <c r="D13">
        <v>7.3850399999999941E-2</v>
      </c>
      <c r="E13" s="208">
        <f>D13/$D$16</f>
        <v>0.1404</v>
      </c>
    </row>
    <row r="14" spans="2:5" x14ac:dyDescent="0.25">
      <c r="B14" t="s">
        <v>488</v>
      </c>
      <c r="D14">
        <v>0.38923999999999964</v>
      </c>
      <c r="E14" s="208">
        <f t="shared" ref="E14:E15" si="0">D14/$D$16</f>
        <v>0.73999999999999988</v>
      </c>
    </row>
    <row r="15" spans="2:5" x14ac:dyDescent="0.25">
      <c r="B15" t="s">
        <v>489</v>
      </c>
      <c r="D15">
        <v>6.2909599999999954E-2</v>
      </c>
      <c r="E15" s="208">
        <f t="shared" si="0"/>
        <v>0.11960000000000001</v>
      </c>
    </row>
    <row r="16" spans="2:5" x14ac:dyDescent="0.25">
      <c r="D16">
        <f>SUM(D13:D15)</f>
        <v>0.52599999999999958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zoomScaleNormal="100" workbookViewId="0">
      <selection activeCell="F25" sqref="F25"/>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74" t="s">
        <v>342</v>
      </c>
      <c r="B1" s="274"/>
      <c r="C1" s="274"/>
      <c r="E1" s="274" t="s">
        <v>343</v>
      </c>
      <c r="F1" s="274"/>
      <c r="G1" s="274"/>
    </row>
    <row r="2" spans="1:12" x14ac:dyDescent="0.25">
      <c r="A2" s="22" t="s">
        <v>32</v>
      </c>
      <c r="B2" s="22" t="s">
        <v>33</v>
      </c>
      <c r="C2" s="22" t="s">
        <v>6</v>
      </c>
      <c r="E2" s="22" t="s">
        <v>32</v>
      </c>
      <c r="F2" s="22" t="s">
        <v>33</v>
      </c>
      <c r="G2" s="22" t="s">
        <v>6</v>
      </c>
      <c r="J2" s="275" t="s">
        <v>63</v>
      </c>
      <c r="K2" s="275"/>
      <c r="L2" s="275"/>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74" t="s">
        <v>344</v>
      </c>
      <c r="B9" s="274"/>
      <c r="C9" s="274"/>
      <c r="J9">
        <v>6</v>
      </c>
    </row>
    <row r="10" spans="1:12" x14ac:dyDescent="0.25">
      <c r="A10" t="s">
        <v>32</v>
      </c>
      <c r="B10" t="s">
        <v>218</v>
      </c>
      <c r="C10" t="s">
        <v>6</v>
      </c>
      <c r="E10" s="274"/>
      <c r="F10" s="274"/>
      <c r="G10" s="274"/>
    </row>
    <row r="11" spans="1:12" x14ac:dyDescent="0.25">
      <c r="B11" t="s">
        <v>496</v>
      </c>
      <c r="E11" s="210"/>
      <c r="F11" s="210"/>
      <c r="G11" s="210"/>
    </row>
    <row r="12" spans="1:12" x14ac:dyDescent="0.25">
      <c r="B12" t="s">
        <v>511</v>
      </c>
      <c r="E12" s="210"/>
      <c r="F12" s="210"/>
      <c r="G12" s="210"/>
    </row>
    <row r="13" spans="1:12" x14ac:dyDescent="0.25">
      <c r="B13" t="s">
        <v>513</v>
      </c>
      <c r="E13" s="210"/>
      <c r="F13" s="210"/>
      <c r="G13" s="210"/>
    </row>
    <row r="14" spans="1:12" x14ac:dyDescent="0.25">
      <c r="B14" t="s">
        <v>512</v>
      </c>
      <c r="C14" t="s">
        <v>497</v>
      </c>
      <c r="E14" s="210"/>
      <c r="F14" s="210"/>
      <c r="G14" s="210"/>
    </row>
    <row r="15" spans="1:12" x14ac:dyDescent="0.25">
      <c r="B15" t="s">
        <v>514</v>
      </c>
      <c r="E15" s="210"/>
      <c r="F15" s="210"/>
      <c r="G15" s="210"/>
    </row>
    <row r="16" spans="1:12" x14ac:dyDescent="0.25">
      <c r="B16" t="s">
        <v>500</v>
      </c>
      <c r="E16" s="210"/>
      <c r="F16" s="210"/>
      <c r="G16" s="210"/>
    </row>
    <row r="17" spans="1:12" x14ac:dyDescent="0.25">
      <c r="B17" t="s">
        <v>510</v>
      </c>
      <c r="E17" s="210"/>
      <c r="F17" s="210"/>
      <c r="G17" s="210"/>
    </row>
    <row r="18" spans="1:12" x14ac:dyDescent="0.25">
      <c r="E18" s="210"/>
      <c r="F18" s="210"/>
      <c r="G18" s="210"/>
    </row>
    <row r="19" spans="1:12" x14ac:dyDescent="0.25">
      <c r="E19" s="210"/>
      <c r="F19" s="210"/>
      <c r="G19" s="210"/>
    </row>
    <row r="20" spans="1:12" x14ac:dyDescent="0.25">
      <c r="A20" s="274" t="s">
        <v>508</v>
      </c>
      <c r="B20" s="274"/>
      <c r="C20" s="274"/>
    </row>
    <row r="21" spans="1:12" x14ac:dyDescent="0.25">
      <c r="A21" t="s">
        <v>312</v>
      </c>
      <c r="B21" t="s">
        <v>498</v>
      </c>
      <c r="C21" t="s">
        <v>6</v>
      </c>
    </row>
    <row r="22" spans="1:12" x14ac:dyDescent="0.25">
      <c r="A22">
        <v>1</v>
      </c>
      <c r="B22" t="s">
        <v>502</v>
      </c>
    </row>
    <row r="23" spans="1:12" x14ac:dyDescent="0.25">
      <c r="A23">
        <v>2</v>
      </c>
      <c r="B23" t="s">
        <v>503</v>
      </c>
    </row>
    <row r="24" spans="1:12" x14ac:dyDescent="0.25">
      <c r="A24">
        <v>3</v>
      </c>
      <c r="B24" t="s">
        <v>504</v>
      </c>
    </row>
    <row r="25" spans="1:12" x14ac:dyDescent="0.25">
      <c r="A25">
        <v>4</v>
      </c>
      <c r="B25" t="s">
        <v>505</v>
      </c>
    </row>
    <row r="26" spans="1:12" x14ac:dyDescent="0.25">
      <c r="A26" t="s">
        <v>506</v>
      </c>
      <c r="B26" t="s">
        <v>506</v>
      </c>
    </row>
    <row r="27" spans="1:12" x14ac:dyDescent="0.25">
      <c r="A27" t="s">
        <v>507</v>
      </c>
      <c r="B27" t="s">
        <v>507</v>
      </c>
    </row>
    <row r="28" spans="1:12" x14ac:dyDescent="0.25">
      <c r="J28" s="275" t="s">
        <v>63</v>
      </c>
      <c r="K28" s="275"/>
      <c r="L28" s="275"/>
    </row>
    <row r="29" spans="1:12" x14ac:dyDescent="0.25">
      <c r="J29" s="2" t="s">
        <v>32</v>
      </c>
      <c r="K29" s="2" t="s">
        <v>33</v>
      </c>
      <c r="L29" s="2" t="s">
        <v>6</v>
      </c>
    </row>
    <row r="30" spans="1:12" x14ac:dyDescent="0.25">
      <c r="J30" s="3">
        <v>1</v>
      </c>
      <c r="K30" s="3" t="s">
        <v>100</v>
      </c>
      <c r="L30" s="3" t="s">
        <v>100</v>
      </c>
    </row>
    <row r="31" spans="1:12" x14ac:dyDescent="0.25">
      <c r="A31" s="274" t="s">
        <v>345</v>
      </c>
      <c r="B31" s="274"/>
      <c r="C31" s="274"/>
      <c r="J31">
        <v>2</v>
      </c>
      <c r="K31" t="s">
        <v>16</v>
      </c>
      <c r="L31" t="s">
        <v>16</v>
      </c>
    </row>
    <row r="32" spans="1:12" x14ac:dyDescent="0.25">
      <c r="A32" t="s">
        <v>32</v>
      </c>
      <c r="B32" t="s">
        <v>346</v>
      </c>
      <c r="C32" t="s">
        <v>6</v>
      </c>
      <c r="J32" s="3">
        <v>3</v>
      </c>
      <c r="K32" s="3" t="s">
        <v>101</v>
      </c>
      <c r="L32" s="3" t="s">
        <v>101</v>
      </c>
    </row>
    <row r="33" spans="1:12" x14ac:dyDescent="0.25">
      <c r="A33">
        <v>1</v>
      </c>
      <c r="B33" t="s">
        <v>321</v>
      </c>
      <c r="C33" t="s">
        <v>347</v>
      </c>
      <c r="J33">
        <v>4</v>
      </c>
      <c r="K33" t="s">
        <v>102</v>
      </c>
      <c r="L33" t="s">
        <v>102</v>
      </c>
    </row>
    <row r="34" spans="1:12" x14ac:dyDescent="0.25">
      <c r="A34">
        <v>2</v>
      </c>
      <c r="B34" t="s">
        <v>322</v>
      </c>
      <c r="C34" t="s">
        <v>348</v>
      </c>
      <c r="J34" s="3">
        <v>5</v>
      </c>
      <c r="K34" s="3" t="s">
        <v>103</v>
      </c>
      <c r="L34" s="3" t="s">
        <v>103</v>
      </c>
    </row>
    <row r="35" spans="1:12" x14ac:dyDescent="0.25">
      <c r="A35">
        <v>3</v>
      </c>
      <c r="B35" t="s">
        <v>323</v>
      </c>
      <c r="C35" t="s">
        <v>349</v>
      </c>
    </row>
    <row r="36" spans="1:12" x14ac:dyDescent="0.25">
      <c r="A36">
        <v>4</v>
      </c>
    </row>
    <row r="38" spans="1:12" x14ac:dyDescent="0.25">
      <c r="A38" s="274" t="s">
        <v>350</v>
      </c>
      <c r="B38" s="274"/>
      <c r="C38" s="274"/>
    </row>
    <row r="39" spans="1:12" x14ac:dyDescent="0.25">
      <c r="A39" t="s">
        <v>312</v>
      </c>
      <c r="B39" t="s">
        <v>351</v>
      </c>
      <c r="C39" t="s">
        <v>6</v>
      </c>
    </row>
    <row r="40" spans="1:12" x14ac:dyDescent="0.25">
      <c r="A40">
        <v>1</v>
      </c>
      <c r="B40" t="s">
        <v>313</v>
      </c>
      <c r="F40" s="274" t="s">
        <v>64</v>
      </c>
      <c r="G40" s="274"/>
      <c r="H40" s="274"/>
    </row>
    <row r="41" spans="1:12" x14ac:dyDescent="0.25">
      <c r="A41">
        <v>2</v>
      </c>
      <c r="B41" t="s">
        <v>314</v>
      </c>
      <c r="F41" t="s">
        <v>32</v>
      </c>
      <c r="G41" t="s">
        <v>33</v>
      </c>
      <c r="H41" t="s">
        <v>6</v>
      </c>
    </row>
    <row r="42" spans="1:12" x14ac:dyDescent="0.25">
      <c r="A42">
        <v>3</v>
      </c>
      <c r="B42" t="s">
        <v>315</v>
      </c>
      <c r="F42">
        <v>1</v>
      </c>
      <c r="G42" t="s">
        <v>34</v>
      </c>
      <c r="H42" t="s">
        <v>34</v>
      </c>
    </row>
    <row r="43" spans="1:12" x14ac:dyDescent="0.25">
      <c r="A43">
        <v>4</v>
      </c>
      <c r="B43" t="s">
        <v>316</v>
      </c>
      <c r="F43">
        <v>2</v>
      </c>
      <c r="G43" t="s">
        <v>14</v>
      </c>
      <c r="H43" t="s">
        <v>14</v>
      </c>
    </row>
    <row r="44" spans="1:12" x14ac:dyDescent="0.25">
      <c r="A44">
        <v>5</v>
      </c>
      <c r="B44" t="s">
        <v>317</v>
      </c>
      <c r="F44">
        <v>3</v>
      </c>
      <c r="G44" t="s">
        <v>15</v>
      </c>
      <c r="H44" t="s">
        <v>15</v>
      </c>
    </row>
    <row r="45" spans="1:12" x14ac:dyDescent="0.25">
      <c r="A45">
        <v>6</v>
      </c>
      <c r="B45" t="s">
        <v>318</v>
      </c>
      <c r="F45">
        <v>4</v>
      </c>
      <c r="G45" t="s">
        <v>104</v>
      </c>
      <c r="H45" t="s">
        <v>104</v>
      </c>
    </row>
    <row r="46" spans="1:12" x14ac:dyDescent="0.25">
      <c r="A46">
        <v>7</v>
      </c>
      <c r="B46" t="s">
        <v>319</v>
      </c>
      <c r="F46">
        <v>5</v>
      </c>
    </row>
    <row r="47" spans="1:12" x14ac:dyDescent="0.25">
      <c r="A47">
        <v>8</v>
      </c>
      <c r="F47">
        <v>6</v>
      </c>
    </row>
    <row r="48" spans="1:12" x14ac:dyDescent="0.25">
      <c r="A48">
        <v>9</v>
      </c>
      <c r="F48">
        <v>7</v>
      </c>
    </row>
    <row r="49" spans="1:6" x14ac:dyDescent="0.25">
      <c r="F49">
        <v>8</v>
      </c>
    </row>
    <row r="51" spans="1:6" x14ac:dyDescent="0.25">
      <c r="A51" s="274" t="s">
        <v>352</v>
      </c>
      <c r="B51" s="274"/>
    </row>
    <row r="52" spans="1:6" x14ac:dyDescent="0.25">
      <c r="A52" t="s">
        <v>32</v>
      </c>
      <c r="B52" t="s">
        <v>36</v>
      </c>
    </row>
    <row r="53" spans="1:6" x14ac:dyDescent="0.25">
      <c r="A53">
        <v>1</v>
      </c>
      <c r="B53" t="s">
        <v>7</v>
      </c>
    </row>
    <row r="54" spans="1:6" x14ac:dyDescent="0.25">
      <c r="A54">
        <v>2</v>
      </c>
      <c r="B54" t="s">
        <v>8</v>
      </c>
    </row>
    <row r="56" spans="1:6" x14ac:dyDescent="0.25">
      <c r="A56" t="s">
        <v>312</v>
      </c>
      <c r="B56" t="s">
        <v>351</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312</v>
      </c>
      <c r="B68" t="s">
        <v>479</v>
      </c>
      <c r="C68" t="s">
        <v>6</v>
      </c>
      <c r="E68" t="s">
        <v>312</v>
      </c>
      <c r="F68" t="s">
        <v>460</v>
      </c>
      <c r="G68" t="s">
        <v>6</v>
      </c>
      <c r="I68" t="s">
        <v>312</v>
      </c>
      <c r="J68" t="s">
        <v>461</v>
      </c>
      <c r="K68" t="s">
        <v>6</v>
      </c>
      <c r="M68" t="s">
        <v>312</v>
      </c>
      <c r="N68" t="s">
        <v>462</v>
      </c>
      <c r="O68" t="s">
        <v>6</v>
      </c>
      <c r="Q68" t="s">
        <v>312</v>
      </c>
      <c r="R68" t="s">
        <v>463</v>
      </c>
      <c r="S68" t="s">
        <v>6</v>
      </c>
      <c r="U68" t="s">
        <v>312</v>
      </c>
      <c r="V68" t="s">
        <v>480</v>
      </c>
      <c r="W68" t="s">
        <v>6</v>
      </c>
    </row>
    <row r="69" spans="1:23" x14ac:dyDescent="0.25">
      <c r="A69">
        <v>1</v>
      </c>
      <c r="B69" t="s">
        <v>481</v>
      </c>
      <c r="E69">
        <v>1</v>
      </c>
      <c r="F69" t="s">
        <v>451</v>
      </c>
      <c r="I69">
        <v>1</v>
      </c>
      <c r="J69" t="s">
        <v>453</v>
      </c>
      <c r="M69">
        <v>1</v>
      </c>
      <c r="N69" t="s">
        <v>455</v>
      </c>
      <c r="Q69">
        <v>1</v>
      </c>
      <c r="R69" t="s">
        <v>457</v>
      </c>
      <c r="U69">
        <v>1</v>
      </c>
      <c r="V69" t="s">
        <v>451</v>
      </c>
    </row>
    <row r="70" spans="1:23" x14ac:dyDescent="0.25">
      <c r="A70">
        <v>2</v>
      </c>
      <c r="B70" t="s">
        <v>484</v>
      </c>
      <c r="E70">
        <v>2</v>
      </c>
      <c r="F70" t="s">
        <v>452</v>
      </c>
      <c r="I70">
        <v>2</v>
      </c>
      <c r="J70" t="s">
        <v>454</v>
      </c>
      <c r="M70">
        <v>2</v>
      </c>
      <c r="N70" t="s">
        <v>456</v>
      </c>
      <c r="Q70">
        <v>2</v>
      </c>
      <c r="R70" t="s">
        <v>458</v>
      </c>
      <c r="U70">
        <v>2</v>
      </c>
      <c r="V70" t="s">
        <v>452</v>
      </c>
    </row>
    <row r="71" spans="1:23" x14ac:dyDescent="0.25">
      <c r="A71">
        <v>3</v>
      </c>
      <c r="B71" t="s">
        <v>482</v>
      </c>
      <c r="E71">
        <v>3</v>
      </c>
      <c r="I71">
        <v>3</v>
      </c>
      <c r="M71">
        <v>3</v>
      </c>
      <c r="Q71">
        <v>3</v>
      </c>
      <c r="R71" t="s">
        <v>459</v>
      </c>
      <c r="U71">
        <v>3</v>
      </c>
      <c r="V71" t="s">
        <v>453</v>
      </c>
    </row>
    <row r="72" spans="1:23" x14ac:dyDescent="0.25">
      <c r="A72">
        <v>4</v>
      </c>
      <c r="B72" t="s">
        <v>483</v>
      </c>
      <c r="E72">
        <v>4</v>
      </c>
      <c r="I72">
        <v>4</v>
      </c>
      <c r="M72">
        <v>4</v>
      </c>
      <c r="Q72">
        <v>4</v>
      </c>
      <c r="U72">
        <v>4</v>
      </c>
      <c r="V72" t="s">
        <v>454</v>
      </c>
    </row>
    <row r="73" spans="1:23" x14ac:dyDescent="0.25">
      <c r="A73">
        <v>5</v>
      </c>
      <c r="B73" t="s">
        <v>485</v>
      </c>
      <c r="E73">
        <v>5</v>
      </c>
      <c r="I73">
        <v>5</v>
      </c>
      <c r="M73">
        <v>5</v>
      </c>
      <c r="Q73">
        <v>5</v>
      </c>
      <c r="U73">
        <v>5</v>
      </c>
      <c r="V73" t="s">
        <v>455</v>
      </c>
    </row>
    <row r="74" spans="1:23" x14ac:dyDescent="0.25">
      <c r="A74">
        <v>6</v>
      </c>
      <c r="E74">
        <v>6</v>
      </c>
      <c r="I74">
        <v>6</v>
      </c>
      <c r="M74">
        <v>6</v>
      </c>
      <c r="Q74">
        <v>6</v>
      </c>
      <c r="U74">
        <v>6</v>
      </c>
      <c r="V74" t="s">
        <v>456</v>
      </c>
    </row>
    <row r="75" spans="1:23" x14ac:dyDescent="0.25">
      <c r="A75">
        <v>7</v>
      </c>
      <c r="E75">
        <v>7</v>
      </c>
      <c r="I75">
        <v>7</v>
      </c>
      <c r="M75">
        <v>7</v>
      </c>
      <c r="Q75">
        <v>7</v>
      </c>
      <c r="U75">
        <v>7</v>
      </c>
      <c r="V75" t="s">
        <v>457</v>
      </c>
    </row>
    <row r="76" spans="1:23" x14ac:dyDescent="0.25">
      <c r="A76">
        <v>8</v>
      </c>
      <c r="E76">
        <v>8</v>
      </c>
      <c r="I76">
        <v>8</v>
      </c>
      <c r="M76">
        <v>8</v>
      </c>
      <c r="Q76">
        <v>8</v>
      </c>
      <c r="U76">
        <v>8</v>
      </c>
      <c r="V76" t="s">
        <v>458</v>
      </c>
    </row>
    <row r="77" spans="1:23" x14ac:dyDescent="0.25">
      <c r="A77">
        <v>9</v>
      </c>
      <c r="E77">
        <v>9</v>
      </c>
      <c r="I77">
        <v>9</v>
      </c>
      <c r="M77">
        <v>9</v>
      </c>
      <c r="Q77">
        <v>9</v>
      </c>
      <c r="U77">
        <v>9</v>
      </c>
      <c r="V77" t="s">
        <v>459</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96" spans="1:21" x14ac:dyDescent="0.25">
      <c r="B96" t="s">
        <v>481</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2025-09-01T17:40:11Z</dcterms:modified>
</cp:coreProperties>
</file>