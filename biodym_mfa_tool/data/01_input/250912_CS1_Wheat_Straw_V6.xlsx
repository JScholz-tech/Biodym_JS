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87944EB5-A20A-42C0-9A4D-F699B3DC51C7}" xr6:coauthVersionLast="47" xr6:coauthVersionMax="47" xr10:uidLastSave="{00000000-0000-0000-0000-000000000000}"/>
  <bookViews>
    <workbookView xWindow="-120" yWindow="-120" windowWidth="38640" windowHeight="21120" tabRatio="840" firstSheet="5" activeTab="7"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F9" i="48"/>
  <c r="A39" i="48" s="1"/>
  <c r="A48" i="48" s="1"/>
  <c r="A62" i="48" s="1"/>
  <c r="B9" i="48"/>
  <c r="A20" i="48" s="1"/>
  <c r="F8" i="48"/>
  <c r="A38" i="48" s="1"/>
  <c r="A47" i="48" s="1"/>
  <c r="A61" i="48" s="1"/>
  <c r="B8" i="48"/>
  <c r="A28" i="48" s="1"/>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A19" i="48"/>
  <c r="F31" i="48"/>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<sst xmlns="http://schemas.openxmlformats.org/spreadsheetml/2006/main" count="3931" uniqueCount="813">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</sst>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5" headerRowCellStyle="05_Header">
  <autoFilter ref="A1:U59" xr:uid="{7602A998-85E6-499A-B1A3-C584F22BB41F}"/>
  <tableColumns count="21">
    <tableColumn id="33" xr3:uid="{2E104FB0-3B3F-413B-B1B0-969D126AA7B1}" name="Complete?" dataDxfId="4" dataCellStyle="04_Comments"/>
    <tableColumn id="1" xr3:uid="{B9E05773-FB7F-407B-8FB3-BE93F6BB50D9}" name="ID" dataDxfId="3">
      <calculatedColumnFormula>ROW()-1</calculatedColumnFormula>
    </tableColumn>
    <tableColumn id="2" xr3:uid="{4324CFF4-5791-4829-80A7-8BA4CF2CD799}" name="Process_ID" dataDxfId="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
      <calculatedColumnFormula>_xlfn.XLOOKUP($D2,Tab_Def_Processes[Name(EN)],Tab_Def_Processes[Initial_Stock?],,0,)</calculatedColumnFormula>
    </tableColumn>
    <tableColumn id="12" xr3:uid="{1AEDC949-1281-46C8-9543-F9AB0A724F08}" name="DSM?" dataDxfId="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4" headerRowCellStyle="05_Header">
  <autoFilter ref="A1:U63" xr:uid="{7602A998-85E6-499A-B1A3-C584F22BB41F}"/>
  <tableColumns count="21">
    <tableColumn id="24" xr3:uid="{799CF049-9A74-47E4-BCE6-68EB92DFEDD4}" name="Complete?" dataDxfId="103" dataCellStyle="04_Comments"/>
    <tableColumn id="1" xr3:uid="{75AB9428-C675-46D8-B904-74A952E29611}" name="ID" dataDxfId="102">
      <calculatedColumnFormula>ROW()-1</calculatedColumnFormula>
    </tableColumn>
    <tableColumn id="22" xr3:uid="{055CB3E4-C1DF-486D-9F8E-E65039E95278}" name="Stock_ID" dataDxfId="101">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0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9" headerRowBorderDxfId="98" tableBorderDxfId="97">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6" dataCellStyle="04_Comments"/>
    <tableColumn id="1" xr3:uid="{CE7CE076-C32F-4791-85A9-C6321A66E672}" name="ID" dataDxfId="95">
      <calculatedColumnFormula>ROW()-1</calculatedColumnFormula>
    </tableColumn>
    <tableColumn id="2" xr3:uid="{F7259AFD-9D16-4ACC-BDB2-8D0DCC203B92}" name="Process_ID" dataDxfId="94"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3"/>
    <tableColumn id="57" xr3:uid="{D3D78B03-02F6-42CA-BD33-6A54DF04FE86}" name="Column1"/>
    <tableColumn id="11" xr3:uid="{D4C9F650-44B6-4DD5-875E-10DEE39F6D03}" name="Input_Flow_I_1" dataDxfId="92">
      <calculatedColumnFormula>_xlfn.XLOOKUP($D2,Tab_Def_Processes[Name(EN)],Tab_Def_Processes[Input_Flow_I_1],,0,)</calculatedColumnFormula>
    </tableColumn>
    <tableColumn id="12" xr3:uid="{5D9673E4-4F5C-4A02-8FE3-DAF7E360A271}" name="Flow_ID_I_1" dataDxfId="91">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90">
      <calculatedColumnFormula>_xlfn.XLOOKUP($D2,Tab_Def_Processes[Name(EN)],Tab_Def_Processes[Input_Flow_I_2],,0,)</calculatedColumnFormula>
    </tableColumn>
    <tableColumn id="14" xr3:uid="{39DCAF4C-C94E-4F6B-9473-486EB368D1A4}" name="Flow_ID_I_3" dataDxfId="89">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8">
      <calculatedColumnFormula>_xlfn.XLOOKUP($D2,Tab_Def_Processes[Name(EN)],Tab_Def_Processes[Input_Flow_I_3],,0,)</calculatedColumnFormula>
    </tableColumn>
    <tableColumn id="16" xr3:uid="{59EB2AB7-4406-48E2-A12E-175CA457D434}" name="Flow ID I_3" dataDxfId="87">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6">
      <calculatedColumnFormula>_xlfn.XLOOKUP($D2,Tab_Def_Processes[Name(EN)],Tab_Def_Processes[Input_Flow_I_4],,0,)</calculatedColumnFormula>
    </tableColumn>
    <tableColumn id="18" xr3:uid="{6B6A8FB7-CFFD-4E02-B4C2-DA33227D2D15}" name="Flow ID I_4" dataDxfId="85">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4">
      <calculatedColumnFormula>_xlfn.XLOOKUP($D2,Tab_Def_Processes[Name(EN)],Tab_Def_Processes[Input_Flow_I_5],,0,)</calculatedColumnFormula>
    </tableColumn>
    <tableColumn id="20" xr3:uid="{4DEF4D28-396A-452E-A2BA-F6E3F074F47C}" name="Flow ID I_5" dataDxfId="83">
      <calculatedColumnFormula>_xlfn.XLOOKUP($D2,Tab_Def_Processes[Name(EN)],Tab_Def_Processes[Flow_ID_I_5],,0,)</calculatedColumnFormula>
    </tableColumn>
    <tableColumn id="39" xr3:uid="{31A505D2-1052-4114-89A3-0125D2AEA2C0}" name="Flow_TC_I_5_[%]"/>
    <tableColumn id="34" xr3:uid="{87220065-CDDC-4D7C-BE11-D9EA0B3FF3E5}" name="Sum_TC_I" dataDxfId="82">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1">
      <calculatedColumnFormula>_xlfn.XLOOKUP($D2,#REF!,#REF!,,0,)</calculatedColumnFormula>
    </tableColumn>
    <tableColumn id="22" xr3:uid="{B381C1D4-C8F7-4BE4-A024-4BBD1B417D36}" name="Flow_ID_O_1" dataDxfId="80">
      <calculatedColumnFormula>_xlfn.XLOOKUP($D2,#REF!,#REF!,,0,)</calculatedColumnFormula>
    </tableColumn>
    <tableColumn id="63" xr3:uid="{C44CA027-9688-45B0-88EB-F14F3A7BECB8}" name="TC_ID_O_1_Year" dataDxfId="79">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8"/>
    <tableColumn id="23" xr3:uid="{B25FB2F6-238F-410A-AF2E-782A213D011A}" name="Output_Flow_O_2" dataDxfId="77">
      <calculatedColumnFormula>_xlfn.XLOOKUP($D2,#REF!,#REF!,,0,)</calculatedColumnFormula>
    </tableColumn>
    <tableColumn id="24" xr3:uid="{97798FE5-868B-45C0-AE3B-C29AF4C86E8E}" name="Flow_ID_O_2" dataDxfId="76">
      <calculatedColumnFormula>_xlfn.XLOOKUP($D2,#REF!,#REF!,,0,)</calculatedColumnFormula>
    </tableColumn>
    <tableColumn id="64" xr3:uid="{3679F173-262B-4D42-9125-71B27049FF31}" name="TC_ID_O_2_Year" dataDxfId="75">
      <calculatedColumnFormula>Tab_Process_TCs2527[[#This Row],[Flow_ID]]</calculatedColumnFormula>
    </tableColumn>
    <tableColumn id="54" xr3:uid="{59052527-1CA5-4A17-978F-E10A4CF13AAE}" name="TC_ID_O_2" dataDxfId="74">
      <calculatedColumnFormula>"TC"&amp;"_"&amp;RIGHT(AI2,5)</calculatedColumnFormula>
    </tableColumn>
    <tableColumn id="41" xr3:uid="{7F915D49-034F-4E82-9BAA-B8ED5CA4F335}" name="TC_O_2_[%]" dataDxfId="73" dataCellStyle="Percent"/>
    <tableColumn id="25" xr3:uid="{5714904F-F57E-48CA-BFAA-826C1CEFD309}" name="Output_Flow_O_3" dataDxfId="72">
      <calculatedColumnFormula>_xlfn.XLOOKUP($D2,#REF!,#REF!,,0,)</calculatedColumnFormula>
    </tableColumn>
    <tableColumn id="26" xr3:uid="{BF841E8C-9EB2-40B0-BD1F-8C768DE188AD}" name="Flow_ID_O_3" dataDxfId="71">
      <calculatedColumnFormula>_xlfn.XLOOKUP($D2,#REF!,#REF!,,0,)</calculatedColumnFormula>
    </tableColumn>
    <tableColumn id="65" xr3:uid="{40F24D12-78F3-4E2A-85F5-F634958096FD}" name="TC_ID_O_3_Year" dataDxfId="70">
      <calculatedColumnFormula>Tab_Process_TCs2527[[#This Row],[Flow_ID]]</calculatedColumnFormula>
    </tableColumn>
    <tableColumn id="42" xr3:uid="{231A0501-9932-43B0-A3F9-EB8BB036203D}" name="TC_ID_O_3" dataDxfId="69">
      <calculatedColumnFormula>"TC"&amp;"_"&amp;RIGHT(AN2,5)</calculatedColumnFormula>
    </tableColumn>
    <tableColumn id="27" xr3:uid="{25A11679-9BF9-4DEC-B798-B8A275D3B8AC}" name="TC_O_3_[%]" dataDxfId="68" dataCellStyle="Percent"/>
    <tableColumn id="28" xr3:uid="{67E45B1E-4E5D-4D83-A664-45983FD6F9D1}" name="Output_Flow_O_4" dataDxfId="67">
      <calculatedColumnFormula>_xlfn.XLOOKUP($D2,#REF!,#REF!,,0,)</calculatedColumnFormula>
    </tableColumn>
    <tableColumn id="43" xr3:uid="{C5680328-8545-431B-B943-966088B5B85B}" name="Flow_ID_O_4" dataDxfId="66">
      <calculatedColumnFormula>_xlfn.XLOOKUP($D2,#REF!,#REF!,,0,)</calculatedColumnFormula>
    </tableColumn>
    <tableColumn id="66" xr3:uid="{3C939FEA-060E-42BF-AC8F-37677818A9F4}" name="TC_ID_O_4_Year" dataDxfId="65">
      <calculatedColumnFormula>Tab_Process_TCs2527[[#This Row],[Flow_ID]]</calculatedColumnFormula>
    </tableColumn>
    <tableColumn id="29" xr3:uid="{5B8610D8-109C-4CC7-9DE9-5EF61CC39BD7}" name="TC_ID_O_4" dataDxfId="64">
      <calculatedColumnFormula>"TC"&amp;"_"&amp;RIGHT(AN2,5)</calculatedColumnFormula>
    </tableColumn>
    <tableColumn id="30" xr3:uid="{8DFBA5BB-ECEC-455D-9C69-3FF71622F2AC}" name="TC_O_4_[%]" dataDxfId="63" dataCellStyle="Percent"/>
    <tableColumn id="44" xr3:uid="{5785B5EE-01FF-44CB-9D74-9D2780652646}" name="Output_Flow_O_5" dataDxfId="62">
      <calculatedColumnFormula>_xlfn.XLOOKUP($D2,#REF!,#REF!,,0,)</calculatedColumnFormula>
    </tableColumn>
    <tableColumn id="31" xr3:uid="{54C02504-99D3-419C-9253-1DA532111E60}" name="Flow_ID_O_5" dataDxfId="61">
      <calculatedColumnFormula>_xlfn.XLOOKUP($D2,#REF!,#REF!,,0,)</calculatedColumnFormula>
    </tableColumn>
    <tableColumn id="67" xr3:uid="{770D2E29-F077-423A-9DDE-B86470FADA38}" name="TC_ID_O_5_Year" dataDxfId="60">
      <calculatedColumnFormula>Tab_Process_TCs2527[[#This Row],[Flow_ID]]</calculatedColumnFormula>
    </tableColumn>
    <tableColumn id="46" xr3:uid="{CBB535D2-9A64-4C2F-AF19-4CF0A79C6798}" name="TC_ID_O_5" dataDxfId="59">
      <calculatedColumnFormula>"TC"&amp;"_"&amp;RIGHT(AX2,5)</calculatedColumnFormula>
    </tableColumn>
    <tableColumn id="45" xr3:uid="{43E42E8C-202D-4522-9E50-CB3B80F8EE29}" name="TC O_5_[%]" dataDxfId="58" dataCellStyle="Percent"/>
    <tableColumn id="32" xr3:uid="{FD3810B5-3F37-4777-8ACB-D2CAAFA5C5EB}" name="Output_Flow_O_6" dataDxfId="57">
      <calculatedColumnFormula>_xlfn.XLOOKUP($D2,#REF!,#REF!,,0,)</calculatedColumnFormula>
    </tableColumn>
    <tableColumn id="48" xr3:uid="{EF811571-9CC9-41DC-BFA4-320CD8D9C0C6}" name="Flow_ID_O_6" dataDxfId="56">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5">
      <calculatedColumnFormula>"TC"&amp;"_"&amp;RIGHT(BC2,5)</calculatedColumnFormula>
    </tableColumn>
    <tableColumn id="50" xr3:uid="{5AF5E9BC-3B3E-4244-A22E-AC3284E0E97C}" name="TC O_6_[%]" dataDxfId="54" dataCellStyle="Percent"/>
    <tableColumn id="51" xr3:uid="{B76A3DEE-BBAC-4CE1-BE1D-2941B928DB78}" name="Sum_TC_O" dataDxfId="53"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2" dataDxfId="51" tableBorderDxfId="50">
  <autoFilter ref="A1:R51" xr:uid="{258723AD-03F6-4700-9C12-0435A55E108D}"/>
  <tableColumns count="18">
    <tableColumn id="1" xr3:uid="{33B8EF63-7663-4BA6-9B91-D446C0C9C276}" name="Complete?" dataCellStyle="04_Comments"/>
    <tableColumn id="2" xr3:uid="{6589C290-508A-4E8E-8896-B6E09EB1B594}" name="ID" dataDxfId="49">
      <calculatedColumnFormula>ROW()-1</calculatedColumnFormula>
    </tableColumn>
    <tableColumn id="4" xr3:uid="{F4E33EB8-7313-4BD5-8A0A-D0E18A2A18E9}" name="Process_ID" dataDxfId="48">
      <calculatedColumnFormula>_xlfn.XLOOKUP($D2,Tab_Def_Processes[Name(EN)],Tab_Def_Processes[Process_ID],,0,)</calculatedColumnFormula>
    </tableColumn>
    <tableColumn id="5" xr3:uid="{E9F30AE4-3733-473D-B124-CDB1D225C217}" name="Name(EN)" dataDxfId="47"/>
    <tableColumn id="6" xr3:uid="{8636F935-6448-4819-ADDF-71DFA45559FA}" name="Process_Type" dataDxfId="46">
      <calculatedColumnFormula>_xlfn.XLOOKUP($D2,Tab_Def_Processes[Name(EN)],Tab_Def_Processes[Process_Type],,0,)</calculatedColumnFormula>
    </tableColumn>
    <tableColumn id="11" xr3:uid="{60B3771B-3986-46D1-B5BA-CE7814BD4A11}" name="TC?" dataDxfId="45">
      <calculatedColumnFormula>_xlfn.XLOOKUP($D2,Tab_Def_Processes[Name(EN)],Tab_Def_Processes[TC?],,0,)</calculatedColumnFormula>
    </tableColumn>
    <tableColumn id="12" xr3:uid="{A2F17CD8-5CAE-47C5-88AC-65F98D1E04A7}" name="Dyn_TC?" dataDxfId="44">
      <calculatedColumnFormula>_xlfn.XLOOKUP($D2,Tab_Def_Processes[Name(EN)],Tab_Def_Processes[Dyn_TC?],,0,)</calculatedColumnFormula>
    </tableColumn>
    <tableColumn id="13" xr3:uid="{AAC3F32E-5E29-4B43-870A-6E7FC451D4C7}" name="Stock?" dataDxfId="43">
      <calculatedColumnFormula>_xlfn.XLOOKUP($D2,Tab_Def_Processes[Name(EN)],Tab_Def_Processes[Stock?],,0,)</calculatedColumnFormula>
    </tableColumn>
    <tableColumn id="14" xr3:uid="{46AA84AB-D3F4-4DFC-AFA9-73ECA93071B0}" name="Initial_Stock?" dataDxfId="42">
      <calculatedColumnFormula>_xlfn.XLOOKUP($D2,Tab_Def_Processes[Name(EN)],Tab_Def_Processes[Initial_Stock?],,0,)</calculatedColumnFormula>
    </tableColumn>
    <tableColumn id="7" xr3:uid="{4D982150-569B-49F8-B2ED-A59759BD8284}" name="DSM?" dataDxfId="41"/>
    <tableColumn id="8" xr3:uid="{722B87D6-F9E5-415C-984B-850168F8B4C0}" name="FOMP?" dataDxfId="40"/>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9" tableBorderDxfId="38" headerRowCellStyle="05_Header">
  <autoFilter ref="A1:Q41" xr:uid="{258723AD-03F6-4700-9C12-0435A55E108D}"/>
  <tableColumns count="17">
    <tableColumn id="1" xr3:uid="{45321D18-7A58-4FFA-814A-4BFE5587094A}" name="Complete?" dataCellStyle="04_Comments"/>
    <tableColumn id="2" xr3:uid="{EC881CBD-180B-4D64-9A86-8AA6EC24B7F6}" name="ID" dataDxfId="37">
      <calculatedColumnFormula>ROW()-1</calculatedColumnFormula>
    </tableColumn>
    <tableColumn id="4" xr3:uid="{844E5006-9125-4DE3-A7C3-7D82AE3725EE}" name="Process_ID" dataDxfId="36">
      <calculatedColumnFormula>_xlfn.XLOOKUP($D2,Tab_Def_Processes[Name(EN)],Tab_Def_Processes[Process_ID],,0,)</calculatedColumnFormula>
    </tableColumn>
    <tableColumn id="5" xr3:uid="{0A9A4390-230F-4C39-9AF5-D72E04524EC5}" name="Name(EN)" dataDxfId="35"/>
    <tableColumn id="6" xr3:uid="{27F8000C-3015-4447-BAA8-364798FFAAFF}" name="Process_Type" dataDxfId="34">
      <calculatedColumnFormula>_xlfn.XLOOKUP($D2,Tab_Def_Processes[Name(EN)],Tab_Def_Processes[Process_Type],,0,)</calculatedColumnFormula>
    </tableColumn>
    <tableColumn id="11" xr3:uid="{CC767FA8-EDF4-482B-B626-0EE382C271A5}" name="TC?" dataDxfId="33">
      <calculatedColumnFormula>_xlfn.XLOOKUP($D2,Tab_Def_Processes[Name(EN)],Tab_Def_Processes[TC?],,0,)</calculatedColumnFormula>
    </tableColumn>
    <tableColumn id="12" xr3:uid="{E84B3ABE-4E12-4E6F-A681-7D39D8B20B42}" name="Dyn_TC?" dataDxfId="32">
      <calculatedColumnFormula>_xlfn.XLOOKUP($D2,Tab_Def_Processes[Name(EN)],Tab_Def_Processes[Dyn_TC?],,0,)</calculatedColumnFormula>
    </tableColumn>
    <tableColumn id="13" xr3:uid="{981DEE9B-FA47-4F47-8F80-39B1E8690449}" name="Stock?" dataDxfId="31">
      <calculatedColumnFormula>_xlfn.XLOOKUP($D2,Tab_Def_Processes[Name(EN)],Tab_Def_Processes[Stock?],,0,)</calculatedColumnFormula>
    </tableColumn>
    <tableColumn id="14" xr3:uid="{69989678-F20B-45BE-B37C-4E9CE9AA75DC}" name="Initial_Stock?" dataDxfId="30">
      <calculatedColumnFormula>_xlfn.XLOOKUP($D2,Tab_Def_Processes[Name(EN)],Tab_Def_Processes[Initial_Stock?],,0,)</calculatedColumnFormula>
    </tableColumn>
    <tableColumn id="7" xr3:uid="{3CFB9275-BB11-4A48-A179-F10B662CD314}" name="DSM?" dataDxfId="29">
      <calculatedColumnFormula>_xlfn.XLOOKUP($D2,Tab_Def_Processes[Name(EN)],Tab_Def_Processes[DSM?],,0,)</calculatedColumnFormula>
    </tableColumn>
    <tableColumn id="8" xr3:uid="{10C6F948-DB35-488A-BBCF-1C22C3F74E52}" name="FOMP?" dataDxfId="28">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7">
  <autoFilter ref="A1:P59"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DxfId="23" dataCellStyle="02_Data_Input (DD)"/>
    <tableColumn id="12" xr3:uid="{41BA6A81-81C1-4463-8311-87562C351952}" name="Color_Category" dataDxfId="22" dataCellStyle="02_Data_Input (DD)"/>
    <tableColumn id="11" xr3:uid="{A6B3115D-C460-49E4-B156-47D34854C0D6}" name="Node_Color" dataDxfId="21"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0">
  <autoFilter ref="A1:F51" xr:uid="{C3FEF386-C709-41D8-A84A-E296EE975D12}"/>
  <tableColumns count="6">
    <tableColumn id="1" xr3:uid="{B6E6225C-23E8-433A-835E-8BB33C78FBC1}" name="ID" dataDxfId="19" dataCellStyle="03_Auto_Calcaulation">
      <calculatedColumnFormula>ROW()-1</calculatedColumnFormula>
    </tableColumn>
    <tableColumn id="2" xr3:uid="{D19AA7EE-8012-4211-95D9-A412AE73FEA7}" name="Flow_ID" dataDxfId="18"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7" headerRowBorderDxfId="16" tableBorderDxfId="15">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4" headerRowBorderDxfId="13" tableBorderDxfId="12">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1" headerRowBorderDxfId="10" tableBorderDxfId="9">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8" headerRowBorderDxfId="7" tableBorderDxfId="6">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0" sqref="C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Normal="100" workbookViewId="0">
      <pane xSplit="4" ySplit="16" topLeftCell="H17" activePane="bottomRight" state="frozen"/>
      <selection pane="topRight" activeCell="E1" sqref="E1"/>
      <selection pane="bottomLeft" activeCell="A14" sqref="A14"/>
      <selection pane="bottomRight" activeCell="O48" sqref="O48"/>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F_11_09</v>
      </c>
      <c r="D22" s="11" t="s">
        <v>812</v>
      </c>
      <c r="E22" s="37"/>
      <c r="F22" s="37"/>
      <c r="G22" s="37"/>
      <c r="H22" s="189" t="s">
        <v>811</v>
      </c>
      <c r="I22" s="9" t="str">
        <f>_xlfn.XLOOKUP(H22,Tab_Def_Processes[Name(EN)],Tab_Def_Processes[Process_ID],,0,)</f>
        <v>11</v>
      </c>
      <c r="J22" s="189" t="s">
        <v>470</v>
      </c>
      <c r="K22" s="17" t="str">
        <f>_xlfn.XLOOKUP(J22,Tab_Def_Processes[Name(EN)],Tab_Def_Processes[Process_ID],,0,)</f>
        <v>09</v>
      </c>
      <c r="L22" s="189" t="s">
        <v>7</v>
      </c>
      <c r="M22" s="189" t="s">
        <v>7</v>
      </c>
      <c r="N22" s="189" t="s">
        <v>7</v>
      </c>
      <c r="O22" s="183">
        <v>1</v>
      </c>
      <c r="P22" s="55"/>
      <c r="Q22" s="183">
        <v>0</v>
      </c>
      <c r="R22" s="55"/>
      <c r="S22" s="183">
        <v>0</v>
      </c>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37" zoomScale="115" zoomScaleNormal="115" workbookViewId="0">
      <selection activeCell="P76" sqref="P7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F_11_09</v>
      </c>
      <c r="C54" s="11" t="s">
        <v>812</v>
      </c>
      <c r="D54" s="9"/>
      <c r="E54" s="9" t="str">
        <f>_xlfn.XLOOKUP(C54,Tab_Def_Flows[Name(EN)],Tab_Def_Flows[Output_Process],,0,)</f>
        <v>Water Compostation</v>
      </c>
      <c r="F54" s="9" t="str">
        <f>_xlfn.XLOOKUP(C54,Tab_Def_Flows[Name(EN)],Tab_Def_Flows[Process_ID_O],,0,)</f>
        <v>11</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22016.648869400004</v>
      </c>
      <c r="P54" s="11"/>
      <c r="Q54" s="11"/>
      <c r="R54" s="11" t="e">
        <f>INDEX(#REF!,MATCH(Tab_Data_Flows[[#This Row],[Name(EN)]],#REF!,0),12)</f>
        <v>#REF!</v>
      </c>
      <c r="S54" s="11" t="e">
        <f>MATCH(Tab_Data_Flows[[#This Row],[Name(EN)]],#REF!,0)</f>
        <v>#REF!</v>
      </c>
      <c r="T54" s="11"/>
      <c r="U54" s="11"/>
      <c r="V54" s="11"/>
      <c r="W54" s="11"/>
      <c r="X54" s="11" t="s">
        <v>8</v>
      </c>
      <c r="Y54" s="11"/>
      <c r="Z54" s="11"/>
      <c r="AA54" s="35">
        <f t="shared" si="1"/>
        <v>22016.648869400004</v>
      </c>
      <c r="AB54" s="11" t="s">
        <v>276</v>
      </c>
      <c r="AC54" s="190">
        <f>INDEX(Tab_Def_Flows[[Flow_ID]:[CC_DM_source]],MATCH(Tab_Data_Flows[[#This Row],[Name(EN)]],Tab_Def_Flows[Name(EN)],0),13)</f>
        <v>1</v>
      </c>
      <c r="AD54" s="9">
        <f>IF(J54="Yes",AA54*Tab_Data_Flows[[#This Row],[WC_'[%']]],"N.A.")</f>
        <v>22016.648869400004</v>
      </c>
      <c r="AE54" s="9" t="str">
        <f>Tab_Data_Flows[[#This Row],[UoM_Flow_Py]]</f>
        <v>Mg</v>
      </c>
      <c r="AF54" s="190">
        <f>INDEX(Tab_Def_Flows[[Flow_ID]:[CC_DM_source]],MATCH(Tab_Data_Flows[[#This Row],[Name(EN)]],Tab_Def_Flows[Name(EN)],0),15)</f>
        <v>0</v>
      </c>
      <c r="AG54" s="9">
        <f>IF(K54="Yes",AF54*Tab_Data_Flows[[#This Row],[Flow_Py]],"N.A.")</f>
        <v>0</v>
      </c>
      <c r="AH54" s="9" t="str">
        <f>Tab_Data_Flows[[#This Row],[UoM_Flow_Py]]</f>
        <v>Mg</v>
      </c>
      <c r="AI54" s="190">
        <f>INDEX(Tab_Def_Flows[[Flow_ID]:[CC_DM_source]],MATCH(Tab_Data_Flows[[#This Row],[Name(EN)]],Tab_Def_Flows[Name(EN)],0),17)</f>
        <v>0</v>
      </c>
      <c r="AJ54" s="9">
        <f>IF(L54="Yes",AI54*Tab_Data_Flows[[#This Row],[Flow_Py]]*Tab_Data_Flows[[#This Row],[DM_'[%']]],"N.A.")</f>
        <v>0</v>
      </c>
      <c r="AK54" s="9" t="str">
        <f>Tab_Data_Flows[[#This Row],[UoM_Flow_Py]]</f>
        <v>Mg</v>
      </c>
    </row>
    <row r="55" spans="1:37" x14ac:dyDescent="0.25">
      <c r="A55" s="16">
        <f t="shared" si="0"/>
        <v>54</v>
      </c>
      <c r="B55" s="9" t="str">
        <f>_xlfn.XLOOKUP(C55,Tab_Def_Flows[Name(EN)],Tab_Def_Flows[Flow_ID],,0,)</f>
        <v>F_11_09</v>
      </c>
      <c r="C55" s="11" t="s">
        <v>812</v>
      </c>
      <c r="D55" s="9"/>
      <c r="E55" s="9" t="str">
        <f>_xlfn.XLOOKUP(C55,Tab_Def_Flows[Name(EN)],Tab_Def_Flows[Output_Process],,0,)</f>
        <v>Water Compostation</v>
      </c>
      <c r="F55" s="9" t="str">
        <f>_xlfn.XLOOKUP(C55,Tab_Def_Flows[Name(EN)],Tab_Def_Flows[Process_ID_O],,0,)</f>
        <v>11</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25064.3401042</v>
      </c>
      <c r="P55" s="11"/>
      <c r="Q55" s="11"/>
      <c r="R55" s="11" t="e">
        <f>INDEX(#REF!,MATCH(Tab_Data_Flows[[#This Row],[Name(EN)]],#REF!,0),12)</f>
        <v>#REF!</v>
      </c>
      <c r="S55" s="11" t="e">
        <f>MATCH(Tab_Data_Flows[[#This Row],[Name(EN)]],#REF!,0)</f>
        <v>#REF!</v>
      </c>
      <c r="T55" s="11"/>
      <c r="U55" s="11"/>
      <c r="V55" s="11"/>
      <c r="W55" s="11"/>
      <c r="X55" s="11" t="s">
        <v>8</v>
      </c>
      <c r="Y55" s="11"/>
      <c r="Z55" s="11"/>
      <c r="AA55" s="35">
        <f t="shared" si="1"/>
        <v>25064.3401042</v>
      </c>
      <c r="AB55" s="11" t="s">
        <v>276</v>
      </c>
      <c r="AC55" s="190">
        <f>INDEX(Tab_Def_Flows[[Flow_ID]:[CC_DM_source]],MATCH(Tab_Data_Flows[[#This Row],[Name(EN)]],Tab_Def_Flows[Name(EN)],0),13)</f>
        <v>1</v>
      </c>
      <c r="AD55" s="9">
        <f>IF(J55="Yes",AA55*Tab_Data_Flows[[#This Row],[WC_'[%']]],"N.A.")</f>
        <v>25064.3401042</v>
      </c>
      <c r="AE55" s="9" t="str">
        <f>Tab_Data_Flows[[#This Row],[UoM_Flow_Py]]</f>
        <v>Mg</v>
      </c>
      <c r="AF55" s="190">
        <f>INDEX(Tab_Def_Flows[[Flow_ID]:[CC_DM_source]],MATCH(Tab_Data_Flows[[#This Row],[Name(EN)]],Tab_Def_Flows[Name(EN)],0),15)</f>
        <v>0</v>
      </c>
      <c r="AG55" s="9">
        <f>IF(K55="Yes",AF55*Tab_Data_Flows[[#This Row],[Flow_Py]],"N.A.")</f>
        <v>0</v>
      </c>
      <c r="AH55" s="9" t="str">
        <f>Tab_Data_Flows[[#This Row],[UoM_Flow_Py]]</f>
        <v>Mg</v>
      </c>
      <c r="AI55" s="190">
        <f>INDEX(Tab_Def_Flows[[Flow_ID]:[CC_DM_source]],MATCH(Tab_Data_Flows[[#This Row],[Name(EN)]],Tab_Def_Flows[Name(EN)],0),17)</f>
        <v>0</v>
      </c>
      <c r="AJ55" s="9">
        <f>IF(L55="Yes",AI55*Tab_Data_Flows[[#This Row],[Flow_Py]]*Tab_Data_Flows[[#This Row],[DM_'[%']]],"N.A.")</f>
        <v>0</v>
      </c>
      <c r="AK55" s="9" t="str">
        <f>Tab_Data_Flows[[#This Row],[UoM_Flow_Py]]</f>
        <v>Mg</v>
      </c>
    </row>
    <row r="56" spans="1:37" x14ac:dyDescent="0.25">
      <c r="A56" s="16">
        <f t="shared" si="0"/>
        <v>55</v>
      </c>
      <c r="B56" s="9" t="str">
        <f>_xlfn.XLOOKUP(C56,Tab_Def_Flows[Name(EN)],Tab_Def_Flows[Flow_ID],,0,)</f>
        <v>F_11_09</v>
      </c>
      <c r="C56" s="11" t="s">
        <v>812</v>
      </c>
      <c r="D56" s="9"/>
      <c r="E56" s="9" t="str">
        <f>_xlfn.XLOOKUP(C56,Tab_Def_Flows[Name(EN)],Tab_Def_Flows[Output_Process],,0,)</f>
        <v>Water Compostation</v>
      </c>
      <c r="F56" s="9" t="str">
        <f>_xlfn.XLOOKUP(C56,Tab_Def_Flows[Name(EN)],Tab_Def_Flows[Process_ID_O],,0,)</f>
        <v>11</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18997.301091999998</v>
      </c>
      <c r="P56" s="11"/>
      <c r="Q56" s="11"/>
      <c r="R56" s="11" t="e">
        <f>INDEX(#REF!,MATCH(Tab_Data_Flows[[#This Row],[Name(EN)]],#REF!,0),12)</f>
        <v>#REF!</v>
      </c>
      <c r="S56" s="11" t="e">
        <f>MATCH(Tab_Data_Flows[[#This Row],[Name(EN)]],#REF!,0)</f>
        <v>#REF!</v>
      </c>
      <c r="T56" s="11"/>
      <c r="U56" s="11"/>
      <c r="V56" s="11"/>
      <c r="W56" s="11"/>
      <c r="X56" s="11" t="s">
        <v>8</v>
      </c>
      <c r="Y56" s="11"/>
      <c r="Z56" s="11"/>
      <c r="AA56" s="35">
        <f t="shared" si="1"/>
        <v>18997.301091999998</v>
      </c>
      <c r="AB56" s="11" t="s">
        <v>276</v>
      </c>
      <c r="AC56" s="190">
        <f>INDEX(Tab_Def_Flows[[Flow_ID]:[CC_DM_source]],MATCH(Tab_Data_Flows[[#This Row],[Name(EN)]],Tab_Def_Flows[Name(EN)],0),13)</f>
        <v>1</v>
      </c>
      <c r="AD56" s="9">
        <f>IF(J56="Yes",AA56*Tab_Data_Flows[[#This Row],[WC_'[%']]],"N.A.")</f>
        <v>18997.301091999998</v>
      </c>
      <c r="AE56" s="9" t="str">
        <f>Tab_Data_Flows[[#This Row],[UoM_Flow_Py]]</f>
        <v>Mg</v>
      </c>
      <c r="AF56" s="190">
        <f>INDEX(Tab_Def_Flows[[Flow_ID]:[CC_DM_source]],MATCH(Tab_Data_Flows[[#This Row],[Name(EN)]],Tab_Def_Flows[Name(EN)],0),15)</f>
        <v>0</v>
      </c>
      <c r="AG56" s="9">
        <f>IF(K56="Yes",AF56*Tab_Data_Flows[[#This Row],[Flow_Py]],"N.A.")</f>
        <v>0</v>
      </c>
      <c r="AH56" s="9" t="str">
        <f>Tab_Data_Flows[[#This Row],[UoM_Flow_Py]]</f>
        <v>Mg</v>
      </c>
      <c r="AI56" s="190">
        <f>INDEX(Tab_Def_Flows[[Flow_ID]:[CC_DM_source]],MATCH(Tab_Data_Flows[[#This Row],[Name(EN)]],Tab_Def_Flows[Name(EN)],0),17)</f>
        <v>0</v>
      </c>
      <c r="AJ56" s="9">
        <f>IF(L56="Yes",AI56*Tab_Data_Flows[[#This Row],[Flow_Py]]*Tab_Data_Flows[[#This Row],[DM_'[%']]],"N.A.")</f>
        <v>0</v>
      </c>
      <c r="AK56" s="9" t="str">
        <f>Tab_Data_Flows[[#This Row],[UoM_Flow_Py]]</f>
        <v>Mg</v>
      </c>
    </row>
    <row r="57" spans="1:37" x14ac:dyDescent="0.25">
      <c r="A57" s="16">
        <f t="shared" si="0"/>
        <v>56</v>
      </c>
      <c r="B57" s="9" t="str">
        <f>_xlfn.XLOOKUP(C57,Tab_Def_Flows[Name(EN)],Tab_Def_Flows[Flow_ID],,0,)</f>
        <v>F_11_09</v>
      </c>
      <c r="C57" s="11" t="s">
        <v>812</v>
      </c>
      <c r="D57" s="9"/>
      <c r="E57" s="9" t="str">
        <f>_xlfn.XLOOKUP(C57,Tab_Def_Flows[Name(EN)],Tab_Def_Flows[Output_Process],,0,)</f>
        <v>Water Compostation</v>
      </c>
      <c r="F57" s="9" t="str">
        <f>_xlfn.XLOOKUP(C57,Tab_Def_Flows[Name(EN)],Tab_Def_Flows[Process_ID_O],,0,)</f>
        <v>11</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19514.475453719999</v>
      </c>
      <c r="P57" s="11"/>
      <c r="Q57" s="11"/>
      <c r="R57" s="11" t="e">
        <f>INDEX(#REF!,MATCH(Tab_Data_Flows[[#This Row],[Name(EN)]],#REF!,0),12)</f>
        <v>#REF!</v>
      </c>
      <c r="S57" s="11" t="e">
        <f>MATCH(Tab_Data_Flows[[#This Row],[Name(EN)]],#REF!,0)</f>
        <v>#REF!</v>
      </c>
      <c r="T57" s="11"/>
      <c r="U57" s="11"/>
      <c r="V57" s="11"/>
      <c r="W57" s="11"/>
      <c r="X57" s="11" t="s">
        <v>8</v>
      </c>
      <c r="Y57" s="11"/>
      <c r="Z57" s="11"/>
      <c r="AA57" s="35">
        <f t="shared" si="1"/>
        <v>19514.475453719999</v>
      </c>
      <c r="AB57" s="11" t="s">
        <v>276</v>
      </c>
      <c r="AC57" s="190">
        <f>INDEX(Tab_Def_Flows[[Flow_ID]:[CC_DM_source]],MATCH(Tab_Data_Flows[[#This Row],[Name(EN)]],Tab_Def_Flows[Name(EN)],0),13)</f>
        <v>1</v>
      </c>
      <c r="AD57" s="9">
        <f>IF(J57="Yes",AA57*Tab_Data_Flows[[#This Row],[WC_'[%']]],"N.A.")</f>
        <v>19514.475453719999</v>
      </c>
      <c r="AE57" s="9" t="str">
        <f>Tab_Data_Flows[[#This Row],[UoM_Flow_Py]]</f>
        <v>Mg</v>
      </c>
      <c r="AF57" s="190">
        <f>INDEX(Tab_Def_Flows[[Flow_ID]:[CC_DM_source]],MATCH(Tab_Data_Flows[[#This Row],[Name(EN)]],Tab_Def_Flows[Name(EN)],0),15)</f>
        <v>0</v>
      </c>
      <c r="AG57" s="9">
        <f>IF(K57="Yes",AF57*Tab_Data_Flows[[#This Row],[Flow_Py]],"N.A.")</f>
        <v>0</v>
      </c>
      <c r="AH57" s="9" t="str">
        <f>Tab_Data_Flows[[#This Row],[UoM_Flow_Py]]</f>
        <v>Mg</v>
      </c>
      <c r="AI57" s="190">
        <f>INDEX(Tab_Def_Flows[[Flow_ID]:[CC_DM_source]],MATCH(Tab_Data_Flows[[#This Row],[Name(EN)]],Tab_Def_Flows[Name(EN)],0),17)</f>
        <v>0</v>
      </c>
      <c r="AJ57" s="9">
        <f>IF(L57="Yes",AI57*Tab_Data_Flows[[#This Row],[Flow_Py]]*Tab_Data_Flows[[#This Row],[DM_'[%']]],"N.A.")</f>
        <v>0</v>
      </c>
      <c r="AK57" s="9" t="str">
        <f>Tab_Data_Flows[[#This Row],[UoM_Flow_Py]]</f>
        <v>Mg</v>
      </c>
    </row>
    <row r="58" spans="1:37" x14ac:dyDescent="0.25">
      <c r="A58" s="16">
        <f t="shared" si="0"/>
        <v>57</v>
      </c>
      <c r="B58" s="9" t="str">
        <f>_xlfn.XLOOKUP(C58,Tab_Def_Flows[Name(EN)],Tab_Def_Flows[Flow_ID],,0,)</f>
        <v>F_11_09</v>
      </c>
      <c r="C58" s="11" t="s">
        <v>812</v>
      </c>
      <c r="D58" s="9"/>
      <c r="E58" s="9" t="str">
        <f>_xlfn.XLOOKUP(C58,Tab_Def_Flows[Name(EN)],Tab_Def_Flows[Output_Process],,0,)</f>
        <v>Water Compostation</v>
      </c>
      <c r="F58" s="9" t="str">
        <f>_xlfn.XLOOKUP(C58,Tab_Def_Flows[Name(EN)],Tab_Def_Flows[Process_ID_O],,0,)</f>
        <v>11</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25434.671834920002</v>
      </c>
      <c r="P58" s="11"/>
      <c r="Q58" s="11"/>
      <c r="R58" s="11" t="e">
        <f>INDEX(#REF!,MATCH(Tab_Data_Flows[[#This Row],[Name(EN)]],#REF!,0),12)</f>
        <v>#REF!</v>
      </c>
      <c r="S58" s="11" t="e">
        <f>MATCH(Tab_Data_Flows[[#This Row],[Name(EN)]],#REF!,0)</f>
        <v>#REF!</v>
      </c>
      <c r="T58" s="11"/>
      <c r="U58" s="11"/>
      <c r="V58" s="11"/>
      <c r="W58" s="11"/>
      <c r="X58" s="11" t="s">
        <v>8</v>
      </c>
      <c r="Y58" s="11"/>
      <c r="Z58" s="11"/>
      <c r="AA58" s="35">
        <f t="shared" si="1"/>
        <v>25434.671834920002</v>
      </c>
      <c r="AB58" s="11" t="s">
        <v>276</v>
      </c>
      <c r="AC58" s="190">
        <f>INDEX(Tab_Def_Flows[[Flow_ID]:[CC_DM_source]],MATCH(Tab_Data_Flows[[#This Row],[Name(EN)]],Tab_Def_Flows[Name(EN)],0),13)</f>
        <v>1</v>
      </c>
      <c r="AD58" s="9">
        <f>IF(J58="Yes",AA58*Tab_Data_Flows[[#This Row],[WC_'[%']]],"N.A.")</f>
        <v>25434.671834920002</v>
      </c>
      <c r="AE58" s="9" t="str">
        <f>Tab_Data_Flows[[#This Row],[UoM_Flow_Py]]</f>
        <v>Mg</v>
      </c>
      <c r="AF58" s="190">
        <f>INDEX(Tab_Def_Flows[[Flow_ID]:[CC_DM_source]],MATCH(Tab_Data_Flows[[#This Row],[Name(EN)]],Tab_Def_Flows[Name(EN)],0),15)</f>
        <v>0</v>
      </c>
      <c r="AG58" s="9">
        <f>IF(K58="Yes",AF58*Tab_Data_Flows[[#This Row],[Flow_Py]],"N.A.")</f>
        <v>0</v>
      </c>
      <c r="AH58" s="9" t="str">
        <f>Tab_Data_Flows[[#This Row],[UoM_Flow_Py]]</f>
        <v>Mg</v>
      </c>
      <c r="AI58" s="190">
        <f>INDEX(Tab_Def_Flows[[Flow_ID]:[CC_DM_source]],MATCH(Tab_Data_Flows[[#This Row],[Name(EN)]],Tab_Def_Flows[Name(EN)],0),17)</f>
        <v>0</v>
      </c>
      <c r="AJ58" s="9">
        <f>IF(L58="Yes",AI58*Tab_Data_Flows[[#This Row],[Flow_Py]]*Tab_Data_Flows[[#This Row],[DM_'[%']]],"N.A.")</f>
        <v>0</v>
      </c>
      <c r="AK58" s="9" t="str">
        <f>Tab_Data_Flows[[#This Row],[UoM_Flow_Py]]</f>
        <v>Mg</v>
      </c>
    </row>
    <row r="59" spans="1:37" x14ac:dyDescent="0.25">
      <c r="A59" s="16">
        <f t="shared" si="0"/>
        <v>58</v>
      </c>
      <c r="B59" s="9" t="str">
        <f>_xlfn.XLOOKUP(C59,Tab_Def_Flows[Name(EN)],Tab_Def_Flows[Flow_ID],,0,)</f>
        <v>F_11_09</v>
      </c>
      <c r="C59" s="11" t="s">
        <v>812</v>
      </c>
      <c r="D59" s="9"/>
      <c r="E59" s="9" t="str">
        <f>_xlfn.XLOOKUP(C59,Tab_Def_Flows[Name(EN)],Tab_Def_Flows[Output_Process],,0,)</f>
        <v>Water Compostation</v>
      </c>
      <c r="F59" s="9" t="str">
        <f>_xlfn.XLOOKUP(C59,Tab_Def_Flows[Name(EN)],Tab_Def_Flows[Process_ID_O],,0,)</f>
        <v>11</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23305.390991480002</v>
      </c>
      <c r="P59" s="11"/>
      <c r="Q59" s="11"/>
      <c r="R59" s="11" t="e">
        <f>INDEX(#REF!,MATCH(Tab_Data_Flows[[#This Row],[Name(EN)]],#REF!,0),12)</f>
        <v>#REF!</v>
      </c>
      <c r="S59" s="11" t="e">
        <f>MATCH(Tab_Data_Flows[[#This Row],[Name(EN)]],#REF!,0)</f>
        <v>#REF!</v>
      </c>
      <c r="T59" s="11"/>
      <c r="U59" s="11"/>
      <c r="V59" s="11"/>
      <c r="W59" s="11"/>
      <c r="X59" s="11" t="s">
        <v>8</v>
      </c>
      <c r="Y59" s="11"/>
      <c r="Z59" s="11"/>
      <c r="AA59" s="35">
        <f t="shared" si="1"/>
        <v>23305.390991480002</v>
      </c>
      <c r="AB59" s="11" t="s">
        <v>276</v>
      </c>
      <c r="AC59" s="190">
        <f>INDEX(Tab_Def_Flows[[Flow_ID]:[CC_DM_source]],MATCH(Tab_Data_Flows[[#This Row],[Name(EN)]],Tab_Def_Flows[Name(EN)],0),13)</f>
        <v>1</v>
      </c>
      <c r="AD59" s="9">
        <f>IF(J59="Yes",AA59*Tab_Data_Flows[[#This Row],[WC_'[%']]],"N.A.")</f>
        <v>23305.390991480002</v>
      </c>
      <c r="AE59" s="9" t="str">
        <f>Tab_Data_Flows[[#This Row],[UoM_Flow_Py]]</f>
        <v>Mg</v>
      </c>
      <c r="AF59" s="190">
        <f>INDEX(Tab_Def_Flows[[Flow_ID]:[CC_DM_source]],MATCH(Tab_Data_Flows[[#This Row],[Name(EN)]],Tab_Def_Flows[Name(EN)],0),15)</f>
        <v>0</v>
      </c>
      <c r="AG59" s="9">
        <f>IF(K59="Yes",AF59*Tab_Data_Flows[[#This Row],[Flow_Py]],"N.A.")</f>
        <v>0</v>
      </c>
      <c r="AH59" s="9" t="str">
        <f>Tab_Data_Flows[[#This Row],[UoM_Flow_Py]]</f>
        <v>Mg</v>
      </c>
      <c r="AI59" s="190">
        <f>INDEX(Tab_Def_Flows[[Flow_ID]:[CC_DM_source]],MATCH(Tab_Data_Flows[[#This Row],[Name(EN)]],Tab_Def_Flows[Name(EN)],0),17)</f>
        <v>0</v>
      </c>
      <c r="AJ59" s="9">
        <f>IF(L59="Yes",AI59*Tab_Data_Flows[[#This Row],[Flow_Py]]*Tab_Data_Flows[[#This Row],[DM_'[%']]],"N.A.")</f>
        <v>0</v>
      </c>
      <c r="AK59" s="9" t="str">
        <f>Tab_Data_Flows[[#This Row],[UoM_Flow_Py]]</f>
        <v>Mg</v>
      </c>
    </row>
    <row r="60" spans="1:37" x14ac:dyDescent="0.25">
      <c r="A60" s="16">
        <f t="shared" si="0"/>
        <v>59</v>
      </c>
      <c r="B60" s="9" t="str">
        <f>_xlfn.XLOOKUP(C60,Tab_Def_Flows[Name(EN)],Tab_Def_Flows[Flow_ID],,0,)</f>
        <v>F_11_09</v>
      </c>
      <c r="C60" s="11" t="s">
        <v>812</v>
      </c>
      <c r="D60" s="9">
        <f>_xlfn.XLOOKUP(C60,Tab_Def_Flows[Name(EN)],Tab_Def_Flows[Type_Biomass],,0,)</f>
        <v>0</v>
      </c>
      <c r="E60" s="9" t="str">
        <f>_xlfn.XLOOKUP(C60,Tab_Def_Flows[Name(EN)],Tab_Def_Flows[Output_Process],,0,)</f>
        <v>Water Compostation</v>
      </c>
      <c r="F60" s="9" t="str">
        <f>_xlfn.XLOOKUP(C60,Tab_Def_Flows[Name(EN)],Tab_Def_Flows[Process_ID_O],,0,)</f>
        <v>11</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c r="O60" s="48">
        <v>27685.866612400005</v>
      </c>
      <c r="P60" s="11"/>
      <c r="Q60" s="11"/>
      <c r="R60" s="11"/>
      <c r="S60" s="11"/>
      <c r="T60" s="11"/>
      <c r="U60" s="11"/>
      <c r="V60" s="11"/>
      <c r="W60" s="11"/>
      <c r="X60" s="11" t="s">
        <v>8</v>
      </c>
      <c r="Y60" s="41"/>
      <c r="Z60" s="11"/>
      <c r="AA60" s="35">
        <f>IF(X60="no",O60,O60*Y60)</f>
        <v>27685.866612400005</v>
      </c>
      <c r="AB60" s="11" t="s">
        <v>276</v>
      </c>
      <c r="AC60" s="190">
        <f>INDEX(Tab_Def_Flows[[Flow_ID]:[CC_DM_source]],MATCH(Tab_Data_Flows[[#This Row],[Name(EN)]],Tab_Def_Flows[Name(EN)],0),13)</f>
        <v>1</v>
      </c>
      <c r="AD60" s="9">
        <f>IF(J60="Yes",AA60*Tab_Data_Flows[[#This Row],[WC_'[%']]],"N.A.")</f>
        <v>27685.866612400005</v>
      </c>
      <c r="AE60" s="9" t="str">
        <f>Tab_Data_Flows[[#This Row],[UoM_Flow_Py]]</f>
        <v>Mg</v>
      </c>
      <c r="AF60" s="190">
        <f>INDEX(Tab_Def_Flows[[Flow_ID]:[CC_DM_source]],MATCH(Tab_Data_Flows[[#This Row],[Name(EN)]],Tab_Def_Flows[Name(EN)],0),15)</f>
        <v>0</v>
      </c>
      <c r="AG60" s="9">
        <f>IF(K60="Yes",AF60*Tab_Data_Flows[[#This Row],[Flow_Py]],"N.A.")</f>
        <v>0</v>
      </c>
      <c r="AH60" s="9" t="str">
        <f>Tab_Data_Flows[[#This Row],[UoM_Flow_Py]]</f>
        <v>Mg</v>
      </c>
      <c r="AI60" s="190">
        <f>INDEX(Tab_Def_Flows[[Flow_ID]:[CC_DM_source]],MATCH(Tab_Data_Flows[[#This Row],[Name(EN)]],Tab_Def_Flows[Name(EN)],0),17)</f>
        <v>0</v>
      </c>
      <c r="AJ60" s="9">
        <f>IF(L60="Yes",AI60*Tab_Data_Flows[[#This Row],[Flow_Py]]*Tab_Data_Flows[[#This Row],[DM_'[%']]],"N.A.")</f>
        <v>0</v>
      </c>
      <c r="AK60" s="9" t="str">
        <f>Tab_Data_Flows[[#This Row],[UoM_Flow_Py]]</f>
        <v>Mg</v>
      </c>
    </row>
    <row r="61" spans="1:37" x14ac:dyDescent="0.25">
      <c r="A61" s="16">
        <f t="shared" si="0"/>
        <v>60</v>
      </c>
      <c r="B61" s="9" t="str">
        <f>_xlfn.XLOOKUP(C61,Tab_Def_Flows[Name(EN)],Tab_Def_Flows[Flow_ID],,0,)</f>
        <v>F_11_09</v>
      </c>
      <c r="C61" s="11" t="s">
        <v>812</v>
      </c>
      <c r="D61" s="9">
        <f>_xlfn.XLOOKUP(C61,Tab_Def_Flows[Name(EN)],Tab_Def_Flows[Type_Biomass],,0,)</f>
        <v>0</v>
      </c>
      <c r="E61" s="9" t="str">
        <f>_xlfn.XLOOKUP(C61,Tab_Def_Flows[Name(EN)],Tab_Def_Flows[Output_Process],,0,)</f>
        <v>Water Compostation</v>
      </c>
      <c r="F61" s="9" t="str">
        <f>_xlfn.XLOOKUP(C61,Tab_Def_Flows[Name(EN)],Tab_Def_Flows[Process_ID_O],,0,)</f>
        <v>11</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c r="O61" s="48">
        <v>26092.248588840001</v>
      </c>
      <c r="P61" s="11"/>
      <c r="Q61" s="11"/>
      <c r="R61" s="11"/>
      <c r="S61" s="11"/>
      <c r="T61" s="11"/>
      <c r="U61" s="11"/>
      <c r="V61" s="11"/>
      <c r="W61" s="11"/>
      <c r="X61" s="11" t="s">
        <v>8</v>
      </c>
      <c r="Y61" s="41"/>
      <c r="Z61" s="11"/>
      <c r="AA61" s="35">
        <f t="shared" si="1"/>
        <v>26092.248588840001</v>
      </c>
      <c r="AB61" s="11" t="s">
        <v>276</v>
      </c>
      <c r="AC61" s="190">
        <f>INDEX(Tab_Def_Flows[[Flow_ID]:[CC_DM_source]],MATCH(Tab_Data_Flows[[#This Row],[Name(EN)]],Tab_Def_Flows[Name(EN)],0),13)</f>
        <v>1</v>
      </c>
      <c r="AD61" s="9">
        <f>IF(J61="Yes",AA61*Tab_Data_Flows[[#This Row],[WC_'[%']]],"N.A.")</f>
        <v>26092.248588840001</v>
      </c>
      <c r="AE61" s="9" t="str">
        <f>Tab_Data_Flows[[#This Row],[UoM_Flow_Py]]</f>
        <v>Mg</v>
      </c>
      <c r="AF61" s="190">
        <f>INDEX(Tab_Def_Flows[[Flow_ID]:[CC_DM_source]],MATCH(Tab_Data_Flows[[#This Row],[Name(EN)]],Tab_Def_Flows[Name(EN)],0),15)</f>
        <v>0</v>
      </c>
      <c r="AG61" s="9">
        <f>IF(K61="Yes",AF61*Tab_Data_Flows[[#This Row],[Flow_Py]],"N.A.")</f>
        <v>0</v>
      </c>
      <c r="AH61" s="9" t="str">
        <f>Tab_Data_Flows[[#This Row],[UoM_Flow_Py]]</f>
        <v>Mg</v>
      </c>
      <c r="AI61" s="190">
        <f>INDEX(Tab_Def_Flows[[Flow_ID]:[CC_DM_source]],MATCH(Tab_Data_Flows[[#This Row],[Name(EN)]],Tab_Def_Flows[Name(EN)],0),17)</f>
        <v>0</v>
      </c>
      <c r="AJ61" s="9">
        <f>IF(L61="Yes",AI61*Tab_Data_Flows[[#This Row],[Flow_Py]]*Tab_Data_Flows[[#This Row],[DM_'[%']]],"N.A.")</f>
        <v>0</v>
      </c>
      <c r="AK61" s="9" t="str">
        <f>Tab_Data_Flows[[#This Row],[UoM_Flow_Py]]</f>
        <v>Mg</v>
      </c>
    </row>
    <row r="62" spans="1:37" x14ac:dyDescent="0.25">
      <c r="A62" s="16">
        <f t="shared" si="0"/>
        <v>61</v>
      </c>
      <c r="B62" s="9" t="str">
        <f>_xlfn.XLOOKUP(C62,Tab_Def_Flows[Name(EN)],Tab_Def_Flows[Flow_ID],,0,)</f>
        <v>F_11_09</v>
      </c>
      <c r="C62" s="11" t="s">
        <v>812</v>
      </c>
      <c r="D62" s="9">
        <f>_xlfn.XLOOKUP(C62,Tab_Def_Flows[Name(EN)],Tab_Def_Flows[Type_Biomass],,0,)</f>
        <v>0</v>
      </c>
      <c r="E62" s="9" t="str">
        <f>_xlfn.XLOOKUP(C62,Tab_Def_Flows[Name(EN)],Tab_Def_Flows[Output_Process],,0,)</f>
        <v>Water Compostation</v>
      </c>
      <c r="F62" s="9" t="str">
        <f>_xlfn.XLOOKUP(C62,Tab_Def_Flows[Name(EN)],Tab_Def_Flows[Process_ID_O],,0,)</f>
        <v>11</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c r="O62" s="48">
        <v>28784.767518120003</v>
      </c>
      <c r="P62" s="11"/>
      <c r="Q62" s="11"/>
      <c r="R62" s="11"/>
      <c r="S62" s="11"/>
      <c r="T62" s="11"/>
      <c r="U62" s="11"/>
      <c r="V62" s="11"/>
      <c r="W62" s="11"/>
      <c r="X62" s="11" t="s">
        <v>8</v>
      </c>
      <c r="Y62" s="41"/>
      <c r="Z62" s="11"/>
      <c r="AA62" s="35">
        <f t="shared" si="1"/>
        <v>28784.767518120003</v>
      </c>
      <c r="AB62" s="11" t="s">
        <v>276</v>
      </c>
      <c r="AC62" s="190">
        <f>INDEX(Tab_Def_Flows[[Flow_ID]:[CC_DM_source]],MATCH(Tab_Data_Flows[[#This Row],[Name(EN)]],Tab_Def_Flows[Name(EN)],0),13)</f>
        <v>1</v>
      </c>
      <c r="AD62" s="9">
        <f>IF(J62="Yes",AA62*Tab_Data_Flows[[#This Row],[WC_'[%']]],"N.A.")</f>
        <v>28784.767518120003</v>
      </c>
      <c r="AE62" s="9" t="str">
        <f>Tab_Data_Flows[[#This Row],[UoM_Flow_Py]]</f>
        <v>Mg</v>
      </c>
      <c r="AF62" s="190">
        <f>INDEX(Tab_Def_Flows[[Flow_ID]:[CC_DM_source]],MATCH(Tab_Data_Flows[[#This Row],[Name(EN)]],Tab_Def_Flows[Name(EN)],0),15)</f>
        <v>0</v>
      </c>
      <c r="AG62" s="9">
        <f>IF(K62="Yes",AF62*Tab_Data_Flows[[#This Row],[Flow_Py]],"N.A.")</f>
        <v>0</v>
      </c>
      <c r="AH62" s="9" t="str">
        <f>Tab_Data_Flows[[#This Row],[UoM_Flow_Py]]</f>
        <v>Mg</v>
      </c>
      <c r="AI62" s="190">
        <f>INDEX(Tab_Def_Flows[[Flow_ID]:[CC_DM_source]],MATCH(Tab_Data_Flows[[#This Row],[Name(EN)]],Tab_Def_Flows[Name(EN)],0),17)</f>
        <v>0</v>
      </c>
      <c r="AJ62" s="9">
        <f>IF(L62="Yes",AI62*Tab_Data_Flows[[#This Row],[Flow_Py]]*Tab_Data_Flows[[#This Row],[DM_'[%']]],"N.A.")</f>
        <v>0</v>
      </c>
      <c r="AK62" s="9" t="str">
        <f>Tab_Data_Flows[[#This Row],[UoM_Flow_Py]]</f>
        <v>Mg</v>
      </c>
    </row>
    <row r="63" spans="1:37" x14ac:dyDescent="0.25">
      <c r="A63" s="16">
        <f t="shared" si="0"/>
        <v>62</v>
      </c>
      <c r="B63" s="9" t="str">
        <f>_xlfn.XLOOKUP(C63,Tab_Def_Flows[Name(EN)],Tab_Def_Flows[Flow_ID],,0,)</f>
        <v>F_11_09</v>
      </c>
      <c r="C63" s="11" t="s">
        <v>812</v>
      </c>
      <c r="D63" s="9">
        <f>_xlfn.XLOOKUP(C63,Tab_Def_Flows[Name(EN)],Tab_Def_Flows[Type_Biomass],,0,)</f>
        <v>0</v>
      </c>
      <c r="E63" s="9" t="str">
        <f>_xlfn.XLOOKUP(C63,Tab_Def_Flows[Name(EN)],Tab_Def_Flows[Output_Process],,0,)</f>
        <v>Water Compostation</v>
      </c>
      <c r="F63" s="9" t="str">
        <f>_xlfn.XLOOKUP(C63,Tab_Def_Flows[Name(EN)],Tab_Def_Flows[Process_ID_O],,0,)</f>
        <v>11</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2034</v>
      </c>
      <c r="N63" s="11"/>
      <c r="O63" s="48">
        <v>25214.658816720003</v>
      </c>
      <c r="P63" s="11"/>
      <c r="Q63" s="11"/>
      <c r="R63" s="11"/>
      <c r="S63" s="11"/>
      <c r="T63" s="11"/>
      <c r="U63" s="11"/>
      <c r="V63" s="11"/>
      <c r="W63" s="11"/>
      <c r="X63" s="11" t="s">
        <v>8</v>
      </c>
      <c r="Y63" s="41"/>
      <c r="Z63" s="11"/>
      <c r="AA63" s="35">
        <f t="shared" si="1"/>
        <v>25214.658816720003</v>
      </c>
      <c r="AB63" s="11" t="s">
        <v>276</v>
      </c>
      <c r="AC63" s="190">
        <f>INDEX(Tab_Def_Flows[[Flow_ID]:[CC_DM_source]],MATCH(Tab_Data_Flows[[#This Row],[Name(EN)]],Tab_Def_Flows[Name(EN)],0),13)</f>
        <v>1</v>
      </c>
      <c r="AD63" s="9">
        <f>IF(J63="Yes",AA63*Tab_Data_Flows[[#This Row],[WC_'[%']]],"N.A.")</f>
        <v>25214.658816720003</v>
      </c>
      <c r="AE63" s="9" t="str">
        <f>Tab_Data_Flows[[#This Row],[UoM_Flow_Py]]</f>
        <v>Mg</v>
      </c>
      <c r="AF63" s="190">
        <f>INDEX(Tab_Def_Flows[[Flow_ID]:[CC_DM_source]],MATCH(Tab_Data_Flows[[#This Row],[Name(EN)]],Tab_Def_Flows[Name(EN)],0),15)</f>
        <v>0</v>
      </c>
      <c r="AG63" s="9">
        <f>IF(K63="Yes",AF63*Tab_Data_Flows[[#This Row],[Flow_Py]],"N.A.")</f>
        <v>0</v>
      </c>
      <c r="AH63" s="9" t="str">
        <f>Tab_Data_Flows[[#This Row],[UoM_Flow_Py]]</f>
        <v>Mg</v>
      </c>
      <c r="AI63" s="190">
        <f>INDEX(Tab_Def_Flows[[Flow_ID]:[CC_DM_source]],MATCH(Tab_Data_Flows[[#This Row],[Name(EN)]],Tab_Def_Flows[Name(EN)],0),17)</f>
        <v>0</v>
      </c>
      <c r="AJ63" s="9">
        <f>IF(L63="Yes",AI63*Tab_Data_Flows[[#This Row],[Flow_Py]]*Tab_Data_Flows[[#This Row],[DM_'[%']]],"N.A.")</f>
        <v>0</v>
      </c>
      <c r="AK63" s="9" t="str">
        <f>Tab_Data_Flows[[#This Row],[UoM_Flow_Py]]</f>
        <v>Mg</v>
      </c>
    </row>
    <row r="64" spans="1:37" x14ac:dyDescent="0.25">
      <c r="A64" s="16">
        <f t="shared" si="0"/>
        <v>63</v>
      </c>
      <c r="B64" s="9" t="str">
        <f>_xlfn.XLOOKUP(C64,Tab_Def_Flows[Name(EN)],Tab_Def_Flows[Flow_ID],,0,)</f>
        <v>F_11_09</v>
      </c>
      <c r="C64" s="11" t="s">
        <v>812</v>
      </c>
      <c r="D64" s="9">
        <f>_xlfn.XLOOKUP(C64,Tab_Def_Flows[Name(EN)],Tab_Def_Flows[Type_Biomass],,0,)</f>
        <v>0</v>
      </c>
      <c r="E64" s="9" t="str">
        <f>_xlfn.XLOOKUP(C64,Tab_Def_Flows[Name(EN)],Tab_Def_Flows[Output_Process],,0,)</f>
        <v>Water Compostation</v>
      </c>
      <c r="F64" s="9" t="str">
        <f>_xlfn.XLOOKUP(C64,Tab_Def_Flows[Name(EN)],Tab_Def_Flows[Process_ID_O],,0,)</f>
        <v>11</v>
      </c>
      <c r="G64" s="9" t="str">
        <f>_xlfn.XLOOKUP(C64,Tab_Def_Flows[Name(EN)],Tab_Def_Flows[Input_Process],,0,)</f>
        <v>Compostation &amp; Incorporation</v>
      </c>
      <c r="H64" s="17" t="str">
        <f>_xlfn.XLOOKUP(C64,Tab_Def_Flows[Name(EN)],Tab_Def_Flows[Process_ID_I],,0,)</f>
        <v>09</v>
      </c>
      <c r="I64" s="17" t="e">
        <f>_xlfn.XLOOKUP(C64,Tab_Def_Flows[Name(EN)],#REF!,,0,)</f>
        <v>#REF!</v>
      </c>
      <c r="J64" s="17" t="str">
        <f>_xlfn.XLOOKUP(C64,Tab_Def_Flows[Name(EN)],Tab_Def_Flows[WC?],,0,)</f>
        <v>Yes</v>
      </c>
      <c r="K64" s="17" t="str">
        <f>_xlfn.XLOOKUP(C64,Tab_Def_Flows[Name(EN)],Tab_Def_Flows[DM?],,0,)</f>
        <v>Yes</v>
      </c>
      <c r="L64" s="17" t="str">
        <f>_xlfn.XLOOKUP(C64,Tab_Def_Flows[Name(EN)],Tab_Def_Flows[CC?],,0,)</f>
        <v>Yes</v>
      </c>
      <c r="M64" s="11">
        <v>2035</v>
      </c>
      <c r="N64" s="11"/>
      <c r="O64" s="48">
        <v>23830.69024376</v>
      </c>
      <c r="P64" s="11"/>
      <c r="Q64" s="11"/>
      <c r="R64" s="11"/>
      <c r="S64" s="11"/>
      <c r="T64" s="11"/>
      <c r="U64" s="11"/>
      <c r="V64" s="11"/>
      <c r="W64" s="11"/>
      <c r="X64" s="11" t="s">
        <v>8</v>
      </c>
      <c r="Y64" s="41"/>
      <c r="Z64" s="11"/>
      <c r="AA64" s="35">
        <f t="shared" si="1"/>
        <v>23830.69024376</v>
      </c>
      <c r="AB64" s="11" t="s">
        <v>276</v>
      </c>
      <c r="AC64" s="190">
        <f>INDEX(Tab_Def_Flows[[Flow_ID]:[CC_DM_source]],MATCH(Tab_Data_Flows[[#This Row],[Name(EN)]],Tab_Def_Flows[Name(EN)],0),13)</f>
        <v>1</v>
      </c>
      <c r="AD64" s="9">
        <f>IF(J64="Yes",AA64*Tab_Data_Flows[[#This Row],[WC_'[%']]],"N.A.")</f>
        <v>23830.69024376</v>
      </c>
      <c r="AE64" s="9" t="str">
        <f>Tab_Data_Flows[[#This Row],[UoM_Flow_Py]]</f>
        <v>Mg</v>
      </c>
      <c r="AF64" s="190">
        <f>INDEX(Tab_Def_Flows[[Flow_ID]:[CC_DM_source]],MATCH(Tab_Data_Flows[[#This Row],[Name(EN)]],Tab_Def_Flows[Name(EN)],0),15)</f>
        <v>0</v>
      </c>
      <c r="AG64" s="9">
        <f>IF(K64="Yes",AF64*Tab_Data_Flows[[#This Row],[Flow_Py]],"N.A.")</f>
        <v>0</v>
      </c>
      <c r="AH64" s="9" t="str">
        <f>Tab_Data_Flows[[#This Row],[UoM_Flow_Py]]</f>
        <v>Mg</v>
      </c>
      <c r="AI64" s="190">
        <f>INDEX(Tab_Def_Flows[[Flow_ID]:[CC_DM_source]],MATCH(Tab_Data_Flows[[#This Row],[Name(EN)]],Tab_Def_Flows[Name(EN)],0),17)</f>
        <v>0</v>
      </c>
      <c r="AJ64" s="9">
        <f>IF(L64="Yes",AI64*Tab_Data_Flows[[#This Row],[Flow_Py]]*Tab_Data_Flows[[#This Row],[DM_'[%']]],"N.A.")</f>
        <v>0</v>
      </c>
      <c r="AK64" s="9" t="str">
        <f>Tab_Data_Flows[[#This Row],[UoM_Flow_Py]]</f>
        <v>Mg</v>
      </c>
    </row>
    <row r="65" spans="1:37" x14ac:dyDescent="0.25">
      <c r="A65" s="16">
        <f t="shared" si="0"/>
        <v>64</v>
      </c>
      <c r="B65" s="9" t="str">
        <f>_xlfn.XLOOKUP(C65,Tab_Def_Flows[Name(EN)],Tab_Def_Flows[Flow_ID],,0,)</f>
        <v>F_11_09</v>
      </c>
      <c r="C65" s="11" t="s">
        <v>812</v>
      </c>
      <c r="D65" s="9">
        <f>_xlfn.XLOOKUP(C65,Tab_Def_Flows[Name(EN)],Tab_Def_Flows[Type_Biomass],,0,)</f>
        <v>0</v>
      </c>
      <c r="E65" s="9" t="str">
        <f>_xlfn.XLOOKUP(C65,Tab_Def_Flows[Name(EN)],Tab_Def_Flows[Output_Process],,0,)</f>
        <v>Water Compostation</v>
      </c>
      <c r="F65" s="9" t="str">
        <f>_xlfn.XLOOKUP(C65,Tab_Def_Flows[Name(EN)],Tab_Def_Flows[Process_ID_O],,0,)</f>
        <v>11</v>
      </c>
      <c r="G65" s="9" t="str">
        <f>_xlfn.XLOOKUP(C65,Tab_Def_Flows[Name(EN)],Tab_Def_Flows[Input_Process],,0,)</f>
        <v>Compostation &amp; Incorporation</v>
      </c>
      <c r="H65" s="17" t="str">
        <f>_xlfn.XLOOKUP(C65,Tab_Def_Flows[Name(EN)],Tab_Def_Flows[Process_ID_I],,0,)</f>
        <v>09</v>
      </c>
      <c r="I65" s="17" t="e">
        <f>_xlfn.XLOOKUP(C65,Tab_Def_Flows[Name(EN)],#REF!,,0,)</f>
        <v>#REF!</v>
      </c>
      <c r="J65" s="17" t="str">
        <f>_xlfn.XLOOKUP(C65,Tab_Def_Flows[Name(EN)],Tab_Def_Flows[WC?],,0,)</f>
        <v>Yes</v>
      </c>
      <c r="K65" s="17" t="str">
        <f>_xlfn.XLOOKUP(C65,Tab_Def_Flows[Name(EN)],Tab_Def_Flows[DM?],,0,)</f>
        <v>Yes</v>
      </c>
      <c r="L65" s="17" t="str">
        <f>_xlfn.XLOOKUP(C65,Tab_Def_Flows[Name(EN)],Tab_Def_Flows[CC?],,0,)</f>
        <v>Yes</v>
      </c>
      <c r="M65" s="11">
        <v>2036</v>
      </c>
      <c r="N65" s="11"/>
      <c r="O65" s="48">
        <v>23667.149364040004</v>
      </c>
      <c r="P65" s="11"/>
      <c r="Q65" s="11"/>
      <c r="R65" s="11"/>
      <c r="S65" s="11"/>
      <c r="T65" s="11"/>
      <c r="U65" s="11"/>
      <c r="V65" s="11"/>
      <c r="W65" s="11"/>
      <c r="X65" s="11" t="s">
        <v>8</v>
      </c>
      <c r="Y65" s="41"/>
      <c r="Z65" s="11"/>
      <c r="AA65" s="35">
        <f t="shared" si="1"/>
        <v>23667.149364040004</v>
      </c>
      <c r="AB65" s="11" t="s">
        <v>276</v>
      </c>
      <c r="AC65" s="190">
        <f>INDEX(Tab_Def_Flows[[Flow_ID]:[CC_DM_source]],MATCH(Tab_Data_Flows[[#This Row],[Name(EN)]],Tab_Def_Flows[Name(EN)],0),13)</f>
        <v>1</v>
      </c>
      <c r="AD65" s="9">
        <f>IF(J65="Yes",AA65*Tab_Data_Flows[[#This Row],[WC_'[%']]],"N.A.")</f>
        <v>23667.149364040004</v>
      </c>
      <c r="AE65" s="9" t="str">
        <f>Tab_Data_Flows[[#This Row],[UoM_Flow_Py]]</f>
        <v>Mg</v>
      </c>
      <c r="AF65" s="190">
        <f>INDEX(Tab_Def_Flows[[Flow_ID]:[CC_DM_source]],MATCH(Tab_Data_Flows[[#This Row],[Name(EN)]],Tab_Def_Flows[Name(EN)],0),15)</f>
        <v>0</v>
      </c>
      <c r="AG65" s="9">
        <f>IF(K65="Yes",AF65*Tab_Data_Flows[[#This Row],[Flow_Py]],"N.A.")</f>
        <v>0</v>
      </c>
      <c r="AH65" s="9" t="str">
        <f>Tab_Data_Flows[[#This Row],[UoM_Flow_Py]]</f>
        <v>Mg</v>
      </c>
      <c r="AI65" s="190">
        <f>INDEX(Tab_Def_Flows[[Flow_ID]:[CC_DM_source]],MATCH(Tab_Data_Flows[[#This Row],[Name(EN)]],Tab_Def_Flows[Name(EN)],0),17)</f>
        <v>0</v>
      </c>
      <c r="AJ65" s="9">
        <f>IF(L65="Yes",AI65*Tab_Data_Flows[[#This Row],[Flow_Py]]*Tab_Data_Flows[[#This Row],[DM_'[%']]],"N.A.")</f>
        <v>0</v>
      </c>
      <c r="AK65" s="9" t="str">
        <f>Tab_Data_Flows[[#This Row],[UoM_Flow_Py]]</f>
        <v>Mg</v>
      </c>
    </row>
    <row r="66" spans="1:37" x14ac:dyDescent="0.25">
      <c r="A66" s="16">
        <f t="shared" si="0"/>
        <v>65</v>
      </c>
      <c r="B66" s="9" t="str">
        <f>_xlfn.XLOOKUP(C66,Tab_Def_Flows[Name(EN)],Tab_Def_Flows[Flow_ID],,0,)</f>
        <v>F_11_09</v>
      </c>
      <c r="C66" s="11" t="s">
        <v>812</v>
      </c>
      <c r="D66" s="9">
        <f>_xlfn.XLOOKUP(C66,Tab_Def_Flows[Name(EN)],Tab_Def_Flows[Type_Biomass],,0,)</f>
        <v>0</v>
      </c>
      <c r="E66" s="9" t="str">
        <f>_xlfn.XLOOKUP(C66,Tab_Def_Flows[Name(EN)],Tab_Def_Flows[Output_Process],,0,)</f>
        <v>Water Compostation</v>
      </c>
      <c r="F66" s="9" t="str">
        <f>_xlfn.XLOOKUP(C66,Tab_Def_Flows[Name(EN)],Tab_Def_Flows[Process_ID_O],,0,)</f>
        <v>11</v>
      </c>
      <c r="G66" s="9" t="str">
        <f>_xlfn.XLOOKUP(C66,Tab_Def_Flows[Name(EN)],Tab_Def_Flows[Input_Process],,0,)</f>
        <v>Compostation &amp; Incorporation</v>
      </c>
      <c r="H66" s="17" t="str">
        <f>_xlfn.XLOOKUP(C66,Tab_Def_Flows[Name(EN)],Tab_Def_Flows[Process_ID_I],,0,)</f>
        <v>09</v>
      </c>
      <c r="I66" s="17" t="e">
        <f>_xlfn.XLOOKUP(C66,Tab_Def_Flows[Name(EN)],#REF!,,0,)</f>
        <v>#REF!</v>
      </c>
      <c r="J66" s="17" t="str">
        <f>_xlfn.XLOOKUP(C66,Tab_Def_Flows[Name(EN)],Tab_Def_Flows[WC?],,0,)</f>
        <v>Yes</v>
      </c>
      <c r="K66" s="17" t="str">
        <f>_xlfn.XLOOKUP(C66,Tab_Def_Flows[Name(EN)],Tab_Def_Flows[DM?],,0,)</f>
        <v>Yes</v>
      </c>
      <c r="L66" s="17" t="str">
        <f>_xlfn.XLOOKUP(C66,Tab_Def_Flows[Name(EN)],Tab_Def_Flows[CC?],,0,)</f>
        <v>Yes</v>
      </c>
      <c r="M66" s="11">
        <v>2037</v>
      </c>
      <c r="N66" s="11" t="s">
        <v>105</v>
      </c>
      <c r="O66" s="48">
        <v>28076.82083588</v>
      </c>
      <c r="P66" s="11"/>
      <c r="Q66" s="11"/>
      <c r="R66" s="11"/>
      <c r="S66" s="11"/>
      <c r="T66" s="11"/>
      <c r="U66" s="11"/>
      <c r="V66" s="11"/>
      <c r="W66" s="11"/>
      <c r="X66" s="11" t="s">
        <v>8</v>
      </c>
      <c r="Y66" s="41"/>
      <c r="Z66" s="11"/>
      <c r="AA66" s="35">
        <f t="shared" si="1"/>
        <v>28076.82083588</v>
      </c>
      <c r="AB66" s="11" t="s">
        <v>276</v>
      </c>
      <c r="AC66" s="190">
        <f>INDEX(Tab_Def_Flows[[Flow_ID]:[CC_DM_source]],MATCH(Tab_Data_Flows[[#This Row],[Name(EN)]],Tab_Def_Flows[Name(EN)],0),13)</f>
        <v>1</v>
      </c>
      <c r="AD66" s="9">
        <f>IF(J66="Yes",AA66*Tab_Data_Flows[[#This Row],[WC_'[%']]],"N.A.")</f>
        <v>28076.82083588</v>
      </c>
      <c r="AE66" s="9" t="str">
        <f>Tab_Data_Flows[[#This Row],[UoM_Flow_Py]]</f>
        <v>Mg</v>
      </c>
      <c r="AF66" s="190">
        <f>INDEX(Tab_Def_Flows[[Flow_ID]:[CC_DM_source]],MATCH(Tab_Data_Flows[[#This Row],[Name(EN)]],Tab_Def_Flows[Name(EN)],0),15)</f>
        <v>0</v>
      </c>
      <c r="AG66" s="9">
        <f>IF(K66="Yes",AF66*Tab_Data_Flows[[#This Row],[Flow_Py]],"N.A.")</f>
        <v>0</v>
      </c>
      <c r="AH66" s="9" t="str">
        <f>Tab_Data_Flows[[#This Row],[UoM_Flow_Py]]</f>
        <v>Mg</v>
      </c>
      <c r="AI66" s="190">
        <f>INDEX(Tab_Def_Flows[[Flow_ID]:[CC_DM_source]],MATCH(Tab_Data_Flows[[#This Row],[Name(EN)]],Tab_Def_Flows[Name(EN)],0),17)</f>
        <v>0</v>
      </c>
      <c r="AJ66" s="9">
        <f>IF(L66="Yes",AI66*Tab_Data_Flows[[#This Row],[Flow_Py]]*Tab_Data_Flows[[#This Row],[DM_'[%']]],"N.A.")</f>
        <v>0</v>
      </c>
      <c r="AK66" s="9" t="str">
        <f>Tab_Data_Flows[[#This Row],[UoM_Flow_Py]]</f>
        <v>Mg</v>
      </c>
    </row>
    <row r="67" spans="1:37" x14ac:dyDescent="0.25">
      <c r="A67" s="16">
        <f t="shared" ref="A67:A130" si="2">ROW()-1</f>
        <v>66</v>
      </c>
      <c r="B67" s="9" t="str">
        <f>_xlfn.XLOOKUP(C67,Tab_Def_Flows[Name(EN)],Tab_Def_Flows[Flow_ID],,0,)</f>
        <v>F_11_09</v>
      </c>
      <c r="C67" s="11" t="s">
        <v>812</v>
      </c>
      <c r="D67" s="9"/>
      <c r="E67" s="9" t="str">
        <f>_xlfn.XLOOKUP(C67,Tab_Def_Flows[Name(EN)],Tab_Def_Flows[Output_Process],,0,)</f>
        <v>Water Compostation</v>
      </c>
      <c r="F67" s="9" t="str">
        <f>_xlfn.XLOOKUP(C67,Tab_Def_Flows[Name(EN)],Tab_Def_Flows[Process_ID_O],,0,)</f>
        <v>11</v>
      </c>
      <c r="G67" s="9" t="str">
        <f>_xlfn.XLOOKUP(C67,Tab_Def_Flows[Name(EN)],Tab_Def_Flows[Input_Process],,0,)</f>
        <v>Compostation &amp; Incorporation</v>
      </c>
      <c r="H67" s="17" t="str">
        <f>_xlfn.XLOOKUP(C67,Tab_Def_Flows[Name(EN)],Tab_Def_Flows[Process_ID_I],,0,)</f>
        <v>09</v>
      </c>
      <c r="I67" s="9" t="e">
        <f>_xlfn.XLOOKUP(C67,Tab_Def_Flows[Name(EN)],#REF!,,0,)</f>
        <v>#REF!</v>
      </c>
      <c r="J67" s="9" t="str">
        <f>_xlfn.XLOOKUP(C67,Tab_Def_Flows[Name(EN)],Tab_Def_Flows[WC?],,0,)</f>
        <v>Yes</v>
      </c>
      <c r="K67" s="9" t="str">
        <f>_xlfn.XLOOKUP(C67,Tab_Def_Flows[Name(EN)],Tab_Def_Flows[DM?],,0,)</f>
        <v>Yes</v>
      </c>
      <c r="L67" s="9" t="str">
        <f>_xlfn.XLOOKUP(C67,Tab_Def_Flows[Name(EN)],Tab_Def_Flows[CC?],,0,)</f>
        <v>Yes</v>
      </c>
      <c r="M67" s="11">
        <v>2038</v>
      </c>
      <c r="N67" s="11"/>
      <c r="O67" s="48">
        <v>26992.042388440001</v>
      </c>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26992.042388440001</v>
      </c>
      <c r="AB67" s="11" t="s">
        <v>276</v>
      </c>
      <c r="AC67" s="190">
        <f>INDEX(Tab_Def_Flows[[Flow_ID]:[CC_DM_source]],MATCH(Tab_Data_Flows[[#This Row],[Name(EN)]],Tab_Def_Flows[Name(EN)],0),13)</f>
        <v>1</v>
      </c>
      <c r="AD67" s="9">
        <f>IF(J67="Yes",AA67*Tab_Data_Flows[[#This Row],[WC_'[%']]],"N.A.")</f>
        <v>26992.042388440001</v>
      </c>
      <c r="AE67" s="9" t="str">
        <f>Tab_Data_Flows[[#This Row],[UoM_Flow_Py]]</f>
        <v>Mg</v>
      </c>
      <c r="AF67" s="190">
        <f>INDEX(Tab_Def_Flows[[Flow_ID]:[CC_DM_source]],MATCH(Tab_Data_Flows[[#This Row],[Name(EN)]],Tab_Def_Flows[Name(EN)],0),15)</f>
        <v>0</v>
      </c>
      <c r="AG67" s="9">
        <f>IF(K67="Yes",AF67*Tab_Data_Flows[[#This Row],[Flow_Py]],"N.A.")</f>
        <v>0</v>
      </c>
      <c r="AH67" s="9" t="str">
        <f>Tab_Data_Flows[[#This Row],[UoM_Flow_Py]]</f>
        <v>Mg</v>
      </c>
      <c r="AI67" s="190">
        <f>INDEX(Tab_Def_Flows[[Flow_ID]:[CC_DM_source]],MATCH(Tab_Data_Flows[[#This Row],[Name(EN)]],Tab_Def_Flows[Name(EN)],0),17)</f>
        <v>0</v>
      </c>
      <c r="AJ67" s="9">
        <f>IF(L67="Yes",AI67*Tab_Data_Flows[[#This Row],[Flow_Py]]*Tab_Data_Flows[[#This Row],[DM_'[%']]],"N.A.")</f>
        <v>0</v>
      </c>
      <c r="AK67" s="9" t="str">
        <f>Tab_Data_Flows[[#This Row],[UoM_Flow_Py]]</f>
        <v>Mg</v>
      </c>
    </row>
    <row r="68" spans="1:37" x14ac:dyDescent="0.25">
      <c r="A68" s="16">
        <f t="shared" si="2"/>
        <v>67</v>
      </c>
      <c r="B68" s="9" t="str">
        <f>_xlfn.XLOOKUP(C68,Tab_Def_Flows[Name(EN)],Tab_Def_Flows[Flow_ID],,0,)</f>
        <v>F_11_09</v>
      </c>
      <c r="C68" s="11" t="s">
        <v>812</v>
      </c>
      <c r="D68" s="9"/>
      <c r="E68" s="9" t="str">
        <f>_xlfn.XLOOKUP(C68,Tab_Def_Flows[Name(EN)],Tab_Def_Flows[Output_Process],,0,)</f>
        <v>Water Compostation</v>
      </c>
      <c r="F68" s="9" t="str">
        <f>_xlfn.XLOOKUP(C68,Tab_Def_Flows[Name(EN)],Tab_Def_Flows[Process_ID_O],,0,)</f>
        <v>11</v>
      </c>
      <c r="G68" s="9" t="str">
        <f>_xlfn.XLOOKUP(C68,Tab_Def_Flows[Name(EN)],Tab_Def_Flows[Input_Process],,0,)</f>
        <v>Compostation &amp; Incorporation</v>
      </c>
      <c r="H68" s="17" t="str">
        <f>_xlfn.XLOOKUP(C68,Tab_Def_Flows[Name(EN)],Tab_Def_Flows[Process_ID_I],,0,)</f>
        <v>09</v>
      </c>
      <c r="I68" s="9" t="e">
        <f>_xlfn.XLOOKUP(C68,Tab_Def_Flows[Name(EN)],#REF!,,0,)</f>
        <v>#REF!</v>
      </c>
      <c r="J68" s="9" t="str">
        <f>_xlfn.XLOOKUP(C68,Tab_Def_Flows[Name(EN)],Tab_Def_Flows[WC?],,0,)</f>
        <v>Yes</v>
      </c>
      <c r="K68" s="9" t="str">
        <f>_xlfn.XLOOKUP(C68,Tab_Def_Flows[Name(EN)],Tab_Def_Flows[DM?],,0,)</f>
        <v>Yes</v>
      </c>
      <c r="L68" s="9" t="str">
        <f>_xlfn.XLOOKUP(C68,Tab_Def_Flows[Name(EN)],Tab_Def_Flows[CC?],,0,)</f>
        <v>Yes</v>
      </c>
      <c r="M68" s="11">
        <v>2039</v>
      </c>
      <c r="N68" s="11"/>
      <c r="O68" s="48">
        <v>23489.155014240001</v>
      </c>
      <c r="P68" s="11"/>
      <c r="Q68" s="11"/>
      <c r="R68" s="11" t="e">
        <f>INDEX(#REF!,MATCH(Tab_Data_Flows[[#This Row],[Name(EN)]],#REF!,0),12)</f>
        <v>#REF!</v>
      </c>
      <c r="S68" s="11" t="e">
        <f>MATCH(Tab_Data_Flows[[#This Row],[Name(EN)]],#REF!,0)</f>
        <v>#REF!</v>
      </c>
      <c r="T68" s="11"/>
      <c r="U68" s="11"/>
      <c r="V68" s="11"/>
      <c r="W68" s="11"/>
      <c r="X68" s="11" t="s">
        <v>8</v>
      </c>
      <c r="Y68" s="11"/>
      <c r="Z68" s="11"/>
      <c r="AA68" s="35">
        <f t="shared" si="3"/>
        <v>23489.155014240001</v>
      </c>
      <c r="AB68" s="11" t="s">
        <v>276</v>
      </c>
      <c r="AC68" s="190">
        <f>INDEX(Tab_Def_Flows[[Flow_ID]:[CC_DM_source]],MATCH(Tab_Data_Flows[[#This Row],[Name(EN)]],Tab_Def_Flows[Name(EN)],0),13)</f>
        <v>1</v>
      </c>
      <c r="AD68" s="9">
        <f>IF(J68="Yes",AA68*Tab_Data_Flows[[#This Row],[WC_'[%']]],"N.A.")</f>
        <v>23489.155014240001</v>
      </c>
      <c r="AE68" s="9" t="str">
        <f>Tab_Data_Flows[[#This Row],[UoM_Flow_Py]]</f>
        <v>Mg</v>
      </c>
      <c r="AF68" s="190">
        <f>INDEX(Tab_Def_Flows[[Flow_ID]:[CC_DM_source]],MATCH(Tab_Data_Flows[[#This Row],[Name(EN)]],Tab_Def_Flows[Name(EN)],0),15)</f>
        <v>0</v>
      </c>
      <c r="AG68" s="9">
        <f>IF(K68="Yes",AF68*Tab_Data_Flows[[#This Row],[Flow_Py]],"N.A.")</f>
        <v>0</v>
      </c>
      <c r="AH68" s="9" t="str">
        <f>Tab_Data_Flows[[#This Row],[UoM_Flow_Py]]</f>
        <v>Mg</v>
      </c>
      <c r="AI68" s="190">
        <f>INDEX(Tab_Def_Flows[[Flow_ID]:[CC_DM_source]],MATCH(Tab_Data_Flows[[#This Row],[Name(EN)]],Tab_Def_Flows[Name(EN)],0),17)</f>
        <v>0</v>
      </c>
      <c r="AJ68" s="9">
        <f>IF(L68="Yes",AI68*Tab_Data_Flows[[#This Row],[Flow_Py]]*Tab_Data_Flows[[#This Row],[DM_'[%']]],"N.A.")</f>
        <v>0</v>
      </c>
      <c r="AK68" s="9" t="str">
        <f>Tab_Data_Flows[[#This Row],[UoM_Flow_Py]]</f>
        <v>Mg</v>
      </c>
    </row>
    <row r="69" spans="1:37" x14ac:dyDescent="0.25">
      <c r="A69" s="16">
        <f t="shared" si="2"/>
        <v>68</v>
      </c>
      <c r="B69" s="9" t="str">
        <f>_xlfn.XLOOKUP(C69,Tab_Def_Flows[Name(EN)],Tab_Def_Flows[Flow_ID],,0,)</f>
        <v>F_11_09</v>
      </c>
      <c r="C69" s="11" t="s">
        <v>812</v>
      </c>
      <c r="D69" s="9"/>
      <c r="E69" s="9" t="str">
        <f>_xlfn.XLOOKUP(C69,Tab_Def_Flows[Name(EN)],Tab_Def_Flows[Output_Process],,0,)</f>
        <v>Water Compostation</v>
      </c>
      <c r="F69" s="9" t="str">
        <f>_xlfn.XLOOKUP(C69,Tab_Def_Flows[Name(EN)],Tab_Def_Flows[Process_ID_O],,0,)</f>
        <v>11</v>
      </c>
      <c r="G69" s="9" t="str">
        <f>_xlfn.XLOOKUP(C69,Tab_Def_Flows[Name(EN)],Tab_Def_Flows[Input_Process],,0,)</f>
        <v>Compostation &amp; Incorporation</v>
      </c>
      <c r="H69" s="17" t="str">
        <f>_xlfn.XLOOKUP(C69,Tab_Def_Flows[Name(EN)],Tab_Def_Flows[Process_ID_I],,0,)</f>
        <v>09</v>
      </c>
      <c r="I69" s="9" t="e">
        <f>_xlfn.XLOOKUP(C69,Tab_Def_Flows[Name(EN)],#REF!,,0,)</f>
        <v>#REF!</v>
      </c>
      <c r="J69" s="9" t="str">
        <f>_xlfn.XLOOKUP(C69,Tab_Def_Flows[Name(EN)],Tab_Def_Flows[WC?],,0,)</f>
        <v>Yes</v>
      </c>
      <c r="K69" s="9" t="str">
        <f>_xlfn.XLOOKUP(C69,Tab_Def_Flows[Name(EN)],Tab_Def_Flows[DM?],,0,)</f>
        <v>Yes</v>
      </c>
      <c r="L69" s="9" t="str">
        <f>_xlfn.XLOOKUP(C69,Tab_Def_Flows[Name(EN)],Tab_Def_Flows[CC?],,0,)</f>
        <v>Yes</v>
      </c>
      <c r="M69" s="11">
        <v>2040</v>
      </c>
      <c r="N69" s="11"/>
      <c r="O69" s="48">
        <v>29256.706447919998</v>
      </c>
      <c r="P69" s="11"/>
      <c r="Q69" s="11"/>
      <c r="R69" s="11" t="e">
        <f>INDEX(#REF!,MATCH(Tab_Data_Flows[[#This Row],[Name(EN)]],#REF!,0),12)</f>
        <v>#REF!</v>
      </c>
      <c r="S69" s="11" t="e">
        <f>MATCH(Tab_Data_Flows[[#This Row],[Name(EN)]],#REF!,0)</f>
        <v>#REF!</v>
      </c>
      <c r="T69" s="11"/>
      <c r="U69" s="11"/>
      <c r="V69" s="11"/>
      <c r="W69" s="11"/>
      <c r="X69" s="11" t="s">
        <v>8</v>
      </c>
      <c r="Y69" s="11"/>
      <c r="Z69" s="11"/>
      <c r="AA69" s="35">
        <f t="shared" si="3"/>
        <v>29256.706447919998</v>
      </c>
      <c r="AB69" s="11" t="s">
        <v>276</v>
      </c>
      <c r="AC69" s="190">
        <f>INDEX(Tab_Def_Flows[[Flow_ID]:[CC_DM_source]],MATCH(Tab_Data_Flows[[#This Row],[Name(EN)]],Tab_Def_Flows[Name(EN)],0),13)</f>
        <v>1</v>
      </c>
      <c r="AD69" s="9">
        <f>IF(J69="Yes",AA69*Tab_Data_Flows[[#This Row],[WC_'[%']]],"N.A.")</f>
        <v>29256.706447919998</v>
      </c>
      <c r="AE69" s="9" t="str">
        <f>Tab_Data_Flows[[#This Row],[UoM_Flow_Py]]</f>
        <v>Mg</v>
      </c>
      <c r="AF69" s="190">
        <f>INDEX(Tab_Def_Flows[[Flow_ID]:[CC_DM_source]],MATCH(Tab_Data_Flows[[#This Row],[Name(EN)]],Tab_Def_Flows[Name(EN)],0),15)</f>
        <v>0</v>
      </c>
      <c r="AG69" s="9">
        <f>IF(K69="Yes",AF69*Tab_Data_Flows[[#This Row],[Flow_Py]],"N.A.")</f>
        <v>0</v>
      </c>
      <c r="AH69" s="9" t="str">
        <f>Tab_Data_Flows[[#This Row],[UoM_Flow_Py]]</f>
        <v>Mg</v>
      </c>
      <c r="AI69" s="190">
        <f>INDEX(Tab_Def_Flows[[Flow_ID]:[CC_DM_source]],MATCH(Tab_Data_Flows[[#This Row],[Name(EN)]],Tab_Def_Flows[Name(EN)],0),17)</f>
        <v>0</v>
      </c>
      <c r="AJ69" s="9">
        <f>IF(L69="Yes",AI69*Tab_Data_Flows[[#This Row],[Flow_Py]]*Tab_Data_Flows[[#This Row],[DM_'[%']]],"N.A.")</f>
        <v>0</v>
      </c>
      <c r="AK69" s="9" t="str">
        <f>Tab_Data_Flows[[#This Row],[UoM_Flow_Py]]</f>
        <v>Mg</v>
      </c>
    </row>
    <row r="70" spans="1:37" x14ac:dyDescent="0.25">
      <c r="A70" s="16">
        <f t="shared" si="2"/>
        <v>69</v>
      </c>
      <c r="B70" s="9" t="str">
        <f>_xlfn.XLOOKUP(C70,Tab_Def_Flows[Name(EN)],Tab_Def_Flows[Flow_ID],,0,)</f>
        <v>F_11_09</v>
      </c>
      <c r="C70" s="11" t="s">
        <v>812</v>
      </c>
      <c r="D70" s="9"/>
      <c r="E70" s="9" t="str">
        <f>_xlfn.XLOOKUP(C70,Tab_Def_Flows[Name(EN)],Tab_Def_Flows[Output_Process],,0,)</f>
        <v>Water Compostation</v>
      </c>
      <c r="F70" s="9" t="str">
        <f>_xlfn.XLOOKUP(C70,Tab_Def_Flows[Name(EN)],Tab_Def_Flows[Process_ID_O],,0,)</f>
        <v>11</v>
      </c>
      <c r="G70" s="9" t="str">
        <f>_xlfn.XLOOKUP(C70,Tab_Def_Flows[Name(EN)],Tab_Def_Flows[Input_Process],,0,)</f>
        <v>Compostation &amp; Incorporation</v>
      </c>
      <c r="H70" s="17" t="str">
        <f>_xlfn.XLOOKUP(C70,Tab_Def_Flows[Name(EN)],Tab_Def_Flows[Process_ID_I],,0,)</f>
        <v>09</v>
      </c>
      <c r="I70" s="9" t="e">
        <f>_xlfn.XLOOKUP(C70,Tab_Def_Flows[Name(EN)],#REF!,,0,)</f>
        <v>#REF!</v>
      </c>
      <c r="J70" s="9" t="str">
        <f>_xlfn.XLOOKUP(C70,Tab_Def_Flows[Name(EN)],Tab_Def_Flows[WC?],,0,)</f>
        <v>Yes</v>
      </c>
      <c r="K70" s="9" t="str">
        <f>_xlfn.XLOOKUP(C70,Tab_Def_Flows[Name(EN)],Tab_Def_Flows[DM?],,0,)</f>
        <v>Yes</v>
      </c>
      <c r="L70" s="9" t="str">
        <f>_xlfn.XLOOKUP(C70,Tab_Def_Flows[Name(EN)],Tab_Def_Flows[CC?],,0,)</f>
        <v>Yes</v>
      </c>
      <c r="M70" s="11">
        <v>2041</v>
      </c>
      <c r="N70" s="11"/>
      <c r="O70" s="48">
        <v>23965.815057039999</v>
      </c>
      <c r="P70" s="11"/>
      <c r="Q70" s="11"/>
      <c r="R70" s="11" t="e">
        <f>INDEX(#REF!,MATCH(Tab_Data_Flows[[#This Row],[Name(EN)]],#REF!,0),12)</f>
        <v>#REF!</v>
      </c>
      <c r="S70" s="11" t="e">
        <f>MATCH(Tab_Data_Flows[[#This Row],[Name(EN)]],#REF!,0)</f>
        <v>#REF!</v>
      </c>
      <c r="T70" s="11"/>
      <c r="U70" s="11"/>
      <c r="V70" s="11"/>
      <c r="W70" s="11"/>
      <c r="X70" s="11" t="s">
        <v>8</v>
      </c>
      <c r="Y70" s="11"/>
      <c r="Z70" s="11"/>
      <c r="AA70" s="35">
        <f t="shared" si="3"/>
        <v>23965.815057039999</v>
      </c>
      <c r="AB70" s="11" t="s">
        <v>276</v>
      </c>
      <c r="AC70" s="190">
        <f>INDEX(Tab_Def_Flows[[Flow_ID]:[CC_DM_source]],MATCH(Tab_Data_Flows[[#This Row],[Name(EN)]],Tab_Def_Flows[Name(EN)],0),13)</f>
        <v>1</v>
      </c>
      <c r="AD70" s="9">
        <f>IF(J70="Yes",AA70*Tab_Data_Flows[[#This Row],[WC_'[%']]],"N.A.")</f>
        <v>23965.815057039999</v>
      </c>
      <c r="AE70" s="9" t="str">
        <f>Tab_Data_Flows[[#This Row],[UoM_Flow_Py]]</f>
        <v>Mg</v>
      </c>
      <c r="AF70" s="190">
        <f>INDEX(Tab_Def_Flows[[Flow_ID]:[CC_DM_source]],MATCH(Tab_Data_Flows[[#This Row],[Name(EN)]],Tab_Def_Flows[Name(EN)],0),15)</f>
        <v>0</v>
      </c>
      <c r="AG70" s="9">
        <f>IF(K70="Yes",AF70*Tab_Data_Flows[[#This Row],[Flow_Py]],"N.A.")</f>
        <v>0</v>
      </c>
      <c r="AH70" s="9" t="str">
        <f>Tab_Data_Flows[[#This Row],[UoM_Flow_Py]]</f>
        <v>Mg</v>
      </c>
      <c r="AI70" s="190">
        <f>INDEX(Tab_Def_Flows[[Flow_ID]:[CC_DM_source]],MATCH(Tab_Data_Flows[[#This Row],[Name(EN)]],Tab_Def_Flows[Name(EN)],0),17)</f>
        <v>0</v>
      </c>
      <c r="AJ70" s="9">
        <f>IF(L70="Yes",AI70*Tab_Data_Flows[[#This Row],[Flow_Py]]*Tab_Data_Flows[[#This Row],[DM_'[%']]],"N.A.")</f>
        <v>0</v>
      </c>
      <c r="AK70" s="9" t="str">
        <f>Tab_Data_Flows[[#This Row],[UoM_Flow_Py]]</f>
        <v>Mg</v>
      </c>
    </row>
    <row r="71" spans="1:37" x14ac:dyDescent="0.25">
      <c r="A71" s="16">
        <f t="shared" si="2"/>
        <v>70</v>
      </c>
      <c r="B71" s="9" t="str">
        <f>_xlfn.XLOOKUP(C71,Tab_Def_Flows[Name(EN)],Tab_Def_Flows[Flow_ID],,0,)</f>
        <v>F_11_09</v>
      </c>
      <c r="C71" s="11" t="s">
        <v>812</v>
      </c>
      <c r="D71" s="9"/>
      <c r="E71" s="9" t="str">
        <f>_xlfn.XLOOKUP(C71,Tab_Def_Flows[Name(EN)],Tab_Def_Flows[Output_Process],,0,)</f>
        <v>Water Compostation</v>
      </c>
      <c r="F71" s="9" t="str">
        <f>_xlfn.XLOOKUP(C71,Tab_Def_Flows[Name(EN)],Tab_Def_Flows[Process_ID_O],,0,)</f>
        <v>11</v>
      </c>
      <c r="G71" s="9" t="str">
        <f>_xlfn.XLOOKUP(C71,Tab_Def_Flows[Name(EN)],Tab_Def_Flows[Input_Process],,0,)</f>
        <v>Compostation &amp; Incorporation</v>
      </c>
      <c r="H71" s="17" t="str">
        <f>_xlfn.XLOOKUP(C71,Tab_Def_Flows[Name(EN)],Tab_Def_Flows[Process_ID_I],,0,)</f>
        <v>09</v>
      </c>
      <c r="I71" s="9" t="e">
        <f>_xlfn.XLOOKUP(C71,Tab_Def_Flows[Name(EN)],#REF!,,0,)</f>
        <v>#REF!</v>
      </c>
      <c r="J71" s="9" t="str">
        <f>_xlfn.XLOOKUP(C71,Tab_Def_Flows[Name(EN)],Tab_Def_Flows[WC?],,0,)</f>
        <v>Yes</v>
      </c>
      <c r="K71" s="9" t="str">
        <f>_xlfn.XLOOKUP(C71,Tab_Def_Flows[Name(EN)],Tab_Def_Flows[DM?],,0,)</f>
        <v>Yes</v>
      </c>
      <c r="L71" s="9" t="str">
        <f>_xlfn.XLOOKUP(C71,Tab_Def_Flows[Name(EN)],Tab_Def_Flows[CC?],,0,)</f>
        <v>Yes</v>
      </c>
      <c r="M71" s="11">
        <v>2042</v>
      </c>
      <c r="N71" s="11"/>
      <c r="O71" s="48">
        <v>26310.404279999999</v>
      </c>
      <c r="P71" s="11"/>
      <c r="Q71" s="11"/>
      <c r="R71" s="11" t="e">
        <f>INDEX(#REF!,MATCH(Tab_Data_Flows[[#This Row],[Name(EN)]],#REF!,0),12)</f>
        <v>#REF!</v>
      </c>
      <c r="S71" s="11" t="e">
        <f>MATCH(Tab_Data_Flows[[#This Row],[Name(EN)]],#REF!,0)</f>
        <v>#REF!</v>
      </c>
      <c r="T71" s="11"/>
      <c r="U71" s="11"/>
      <c r="V71" s="11"/>
      <c r="W71" s="11"/>
      <c r="X71" s="11" t="s">
        <v>8</v>
      </c>
      <c r="Y71" s="11"/>
      <c r="Z71" s="11"/>
      <c r="AA71" s="35">
        <f t="shared" si="3"/>
        <v>26310.404279999999</v>
      </c>
      <c r="AB71" s="11" t="s">
        <v>276</v>
      </c>
      <c r="AC71" s="190">
        <f>INDEX(Tab_Def_Flows[[Flow_ID]:[CC_DM_source]],MATCH(Tab_Data_Flows[[#This Row],[Name(EN)]],Tab_Def_Flows[Name(EN)],0),13)</f>
        <v>1</v>
      </c>
      <c r="AD71" s="9">
        <f>IF(J71="Yes",AA71*Tab_Data_Flows[[#This Row],[WC_'[%']]],"N.A.")</f>
        <v>26310.404279999999</v>
      </c>
      <c r="AE71" s="9" t="str">
        <f>Tab_Data_Flows[[#This Row],[UoM_Flow_Py]]</f>
        <v>Mg</v>
      </c>
      <c r="AF71" s="190">
        <f>INDEX(Tab_Def_Flows[[Flow_ID]:[CC_DM_source]],MATCH(Tab_Data_Flows[[#This Row],[Name(EN)]],Tab_Def_Flows[Name(EN)],0),15)</f>
        <v>0</v>
      </c>
      <c r="AG71" s="9">
        <f>IF(K71="Yes",AF71*Tab_Data_Flows[[#This Row],[Flow_Py]],"N.A.")</f>
        <v>0</v>
      </c>
      <c r="AH71" s="9" t="str">
        <f>Tab_Data_Flows[[#This Row],[UoM_Flow_Py]]</f>
        <v>Mg</v>
      </c>
      <c r="AI71" s="190">
        <f>INDEX(Tab_Def_Flows[[Flow_ID]:[CC_DM_source]],MATCH(Tab_Data_Flows[[#This Row],[Name(EN)]],Tab_Def_Flows[Name(EN)],0),17)</f>
        <v>0</v>
      </c>
      <c r="AJ71" s="9">
        <f>IF(L71="Yes",AI71*Tab_Data_Flows[[#This Row],[Flow_Py]]*Tab_Data_Flows[[#This Row],[DM_'[%']]],"N.A.")</f>
        <v>0</v>
      </c>
      <c r="AK71" s="9" t="str">
        <f>Tab_Data_Flows[[#This Row],[UoM_Flow_Py]]</f>
        <v>Mg</v>
      </c>
    </row>
    <row r="72" spans="1:37" x14ac:dyDescent="0.25">
      <c r="A72" s="16">
        <f t="shared" si="2"/>
        <v>71</v>
      </c>
      <c r="B72" s="9" t="str">
        <f>_xlfn.XLOOKUP(C72,Tab_Def_Flows[Name(EN)],Tab_Def_Flows[Flow_ID],,0,)</f>
        <v>F_11_09</v>
      </c>
      <c r="C72" s="11" t="s">
        <v>812</v>
      </c>
      <c r="D72" s="9"/>
      <c r="E72" s="9" t="str">
        <f>_xlfn.XLOOKUP(C72,Tab_Def_Flows[Name(EN)],Tab_Def_Flows[Output_Process],,0,)</f>
        <v>Water Compostation</v>
      </c>
      <c r="F72" s="9" t="str">
        <f>_xlfn.XLOOKUP(C72,Tab_Def_Flows[Name(EN)],Tab_Def_Flows[Process_ID_O],,0,)</f>
        <v>11</v>
      </c>
      <c r="G72" s="9" t="str">
        <f>_xlfn.XLOOKUP(C72,Tab_Def_Flows[Name(EN)],Tab_Def_Flows[Input_Process],,0,)</f>
        <v>Compostation &amp; Incorporation</v>
      </c>
      <c r="H72" s="17" t="str">
        <f>_xlfn.XLOOKUP(C72,Tab_Def_Flows[Name(EN)],Tab_Def_Flows[Process_ID_I],,0,)</f>
        <v>09</v>
      </c>
      <c r="I72" s="9" t="e">
        <f>_xlfn.XLOOKUP(C72,Tab_Def_Flows[Name(EN)],#REF!,,0,)</f>
        <v>#REF!</v>
      </c>
      <c r="J72" s="9" t="str">
        <f>_xlfn.XLOOKUP(C72,Tab_Def_Flows[Name(EN)],Tab_Def_Flows[WC?],,0,)</f>
        <v>Yes</v>
      </c>
      <c r="K72" s="9" t="str">
        <f>_xlfn.XLOOKUP(C72,Tab_Def_Flows[Name(EN)],Tab_Def_Flows[DM?],,0,)</f>
        <v>Yes</v>
      </c>
      <c r="L72" s="9" t="str">
        <f>_xlfn.XLOOKUP(C72,Tab_Def_Flows[Name(EN)],Tab_Def_Flows[CC?],,0,)</f>
        <v>Yes</v>
      </c>
      <c r="M72" s="11">
        <v>2043</v>
      </c>
      <c r="N72" s="11"/>
      <c r="O72" s="48">
        <v>25474.403013479998</v>
      </c>
      <c r="P72" s="11"/>
      <c r="Q72" s="11"/>
      <c r="R72" s="11" t="e">
        <f>INDEX(#REF!,MATCH(Tab_Data_Flows[[#This Row],[Name(EN)]],#REF!,0),12)</f>
        <v>#REF!</v>
      </c>
      <c r="S72" s="11" t="e">
        <f>MATCH(Tab_Data_Flows[[#This Row],[Name(EN)]],#REF!,0)</f>
        <v>#REF!</v>
      </c>
      <c r="T72" s="11"/>
      <c r="U72" s="11"/>
      <c r="V72" s="11"/>
      <c r="W72" s="11"/>
      <c r="X72" s="11" t="s">
        <v>8</v>
      </c>
      <c r="Y72" s="11"/>
      <c r="Z72" s="11"/>
      <c r="AA72" s="35">
        <f t="shared" si="3"/>
        <v>25474.403013479998</v>
      </c>
      <c r="AB72" s="11" t="s">
        <v>276</v>
      </c>
      <c r="AC72" s="190">
        <f>INDEX(Tab_Def_Flows[[Flow_ID]:[CC_DM_source]],MATCH(Tab_Data_Flows[[#This Row],[Name(EN)]],Tab_Def_Flows[Name(EN)],0),13)</f>
        <v>1</v>
      </c>
      <c r="AD72" s="9">
        <f>IF(J72="Yes",AA72*Tab_Data_Flows[[#This Row],[WC_'[%']]],"N.A.")</f>
        <v>25474.403013479998</v>
      </c>
      <c r="AE72" s="9" t="str">
        <f>Tab_Data_Flows[[#This Row],[UoM_Flow_Py]]</f>
        <v>Mg</v>
      </c>
      <c r="AF72" s="190">
        <f>INDEX(Tab_Def_Flows[[Flow_ID]:[CC_DM_source]],MATCH(Tab_Data_Flows[[#This Row],[Name(EN)]],Tab_Def_Flows[Name(EN)],0),15)</f>
        <v>0</v>
      </c>
      <c r="AG72" s="9">
        <f>IF(K72="Yes",AF72*Tab_Data_Flows[[#This Row],[Flow_Py]],"N.A.")</f>
        <v>0</v>
      </c>
      <c r="AH72" s="9" t="str">
        <f>Tab_Data_Flows[[#This Row],[UoM_Flow_Py]]</f>
        <v>Mg</v>
      </c>
      <c r="AI72" s="190">
        <f>INDEX(Tab_Def_Flows[[Flow_ID]:[CC_DM_source]],MATCH(Tab_Data_Flows[[#This Row],[Name(EN)]],Tab_Def_Flows[Name(EN)],0),17)</f>
        <v>0</v>
      </c>
      <c r="AJ72" s="9">
        <f>IF(L72="Yes",AI72*Tab_Data_Flows[[#This Row],[Flow_Py]]*Tab_Data_Flows[[#This Row],[DM_'[%']]],"N.A.")</f>
        <v>0</v>
      </c>
      <c r="AK72" s="9" t="str">
        <f>Tab_Data_Flows[[#This Row],[UoM_Flow_Py]]</f>
        <v>Mg</v>
      </c>
    </row>
    <row r="73" spans="1:37" x14ac:dyDescent="0.25">
      <c r="A73" s="16">
        <f t="shared" si="2"/>
        <v>72</v>
      </c>
      <c r="B73" s="9" t="str">
        <f>_xlfn.XLOOKUP(C73,Tab_Def_Flows[Name(EN)],Tab_Def_Flows[Flow_ID],,0,)</f>
        <v>F_11_09</v>
      </c>
      <c r="C73" s="11" t="s">
        <v>812</v>
      </c>
      <c r="D73" s="9"/>
      <c r="E73" s="9" t="str">
        <f>_xlfn.XLOOKUP(C73,Tab_Def_Flows[Name(EN)],Tab_Def_Flows[Output_Process],,0,)</f>
        <v>Water Compostation</v>
      </c>
      <c r="F73" s="9" t="str">
        <f>_xlfn.XLOOKUP(C73,Tab_Def_Flows[Name(EN)],Tab_Def_Flows[Process_ID_O],,0,)</f>
        <v>11</v>
      </c>
      <c r="G73" s="9" t="str">
        <f>_xlfn.XLOOKUP(C73,Tab_Def_Flows[Name(EN)],Tab_Def_Flows[Input_Process],,0,)</f>
        <v>Compostation &amp; Incorporation</v>
      </c>
      <c r="H73" s="17" t="str">
        <f>_xlfn.XLOOKUP(C73,Tab_Def_Flows[Name(EN)],Tab_Def_Flows[Process_ID_I],,0,)</f>
        <v>09</v>
      </c>
      <c r="I73" s="9" t="e">
        <f>_xlfn.XLOOKUP(C73,Tab_Def_Flows[Name(EN)],#REF!,,0,)</f>
        <v>#REF!</v>
      </c>
      <c r="J73" s="9" t="str">
        <f>_xlfn.XLOOKUP(C73,Tab_Def_Flows[Name(EN)],Tab_Def_Flows[WC?],,0,)</f>
        <v>Yes</v>
      </c>
      <c r="K73" s="9" t="str">
        <f>_xlfn.XLOOKUP(C73,Tab_Def_Flows[Name(EN)],Tab_Def_Flows[DM?],,0,)</f>
        <v>Yes</v>
      </c>
      <c r="L73" s="9" t="str">
        <f>_xlfn.XLOOKUP(C73,Tab_Def_Flows[Name(EN)],Tab_Def_Flows[CC?],,0,)</f>
        <v>Yes</v>
      </c>
      <c r="M73" s="11">
        <v>2044</v>
      </c>
      <c r="N73" s="11"/>
      <c r="O73" s="48">
        <v>22725.220660560004</v>
      </c>
      <c r="P73" s="11"/>
      <c r="Q73" s="11"/>
      <c r="R73" s="11" t="e">
        <f>INDEX(#REF!,MATCH(Tab_Data_Flows[[#This Row],[Name(EN)]],#REF!,0),12)</f>
        <v>#REF!</v>
      </c>
      <c r="S73" s="11" t="e">
        <f>MATCH(Tab_Data_Flows[[#This Row],[Name(EN)]],#REF!,0)</f>
        <v>#REF!</v>
      </c>
      <c r="T73" s="11"/>
      <c r="U73" s="11"/>
      <c r="V73" s="11"/>
      <c r="W73" s="11"/>
      <c r="X73" s="11" t="s">
        <v>8</v>
      </c>
      <c r="Y73" s="11"/>
      <c r="Z73" s="11"/>
      <c r="AA73" s="35">
        <f t="shared" si="3"/>
        <v>22725.220660560004</v>
      </c>
      <c r="AB73" s="11" t="s">
        <v>276</v>
      </c>
      <c r="AC73" s="190">
        <f>INDEX(Tab_Def_Flows[[Flow_ID]:[CC_DM_source]],MATCH(Tab_Data_Flows[[#This Row],[Name(EN)]],Tab_Def_Flows[Name(EN)],0),13)</f>
        <v>1</v>
      </c>
      <c r="AD73" s="9">
        <f>IF(J73="Yes",AA73*Tab_Data_Flows[[#This Row],[WC_'[%']]],"N.A.")</f>
        <v>22725.220660560004</v>
      </c>
      <c r="AE73" s="9" t="str">
        <f>Tab_Data_Flows[[#This Row],[UoM_Flow_Py]]</f>
        <v>Mg</v>
      </c>
      <c r="AF73" s="190">
        <f>INDEX(Tab_Def_Flows[[Flow_ID]:[CC_DM_source]],MATCH(Tab_Data_Flows[[#This Row],[Name(EN)]],Tab_Def_Flows[Name(EN)],0),15)</f>
        <v>0</v>
      </c>
      <c r="AG73" s="9">
        <f>IF(K73="Yes",AF73*Tab_Data_Flows[[#This Row],[Flow_Py]],"N.A.")</f>
        <v>0</v>
      </c>
      <c r="AH73" s="9" t="str">
        <f>Tab_Data_Flows[[#This Row],[UoM_Flow_Py]]</f>
        <v>Mg</v>
      </c>
      <c r="AI73" s="190">
        <f>INDEX(Tab_Def_Flows[[Flow_ID]:[CC_DM_source]],MATCH(Tab_Data_Flows[[#This Row],[Name(EN)]],Tab_Def_Flows[Name(EN)],0),17)</f>
        <v>0</v>
      </c>
      <c r="AJ73" s="9">
        <f>IF(L73="Yes",AI73*Tab_Data_Flows[[#This Row],[Flow_Py]]*Tab_Data_Flows[[#This Row],[DM_'[%']]],"N.A.")</f>
        <v>0</v>
      </c>
      <c r="AK73" s="9" t="str">
        <f>Tab_Data_Flows[[#This Row],[UoM_Flow_Py]]</f>
        <v>Mg</v>
      </c>
    </row>
    <row r="74" spans="1:37" x14ac:dyDescent="0.25">
      <c r="A74" s="16">
        <f t="shared" si="2"/>
        <v>73</v>
      </c>
      <c r="B74" s="9" t="str">
        <f>_xlfn.XLOOKUP(C74,Tab_Def_Flows[Name(EN)],Tab_Def_Flows[Flow_ID],,0,)</f>
        <v>F_11_09</v>
      </c>
      <c r="C74" s="11" t="s">
        <v>812</v>
      </c>
      <c r="D74" s="9"/>
      <c r="E74" s="9" t="str">
        <f>_xlfn.XLOOKUP(C74,Tab_Def_Flows[Name(EN)],Tab_Def_Flows[Output_Process],,0,)</f>
        <v>Water Compostation</v>
      </c>
      <c r="F74" s="9" t="str">
        <f>_xlfn.XLOOKUP(C74,Tab_Def_Flows[Name(EN)],Tab_Def_Flows[Process_ID_O],,0,)</f>
        <v>11</v>
      </c>
      <c r="G74" s="9" t="str">
        <f>_xlfn.XLOOKUP(C74,Tab_Def_Flows[Name(EN)],Tab_Def_Flows[Input_Process],,0,)</f>
        <v>Compostation &amp; Incorporation</v>
      </c>
      <c r="H74" s="17" t="str">
        <f>_xlfn.XLOOKUP(C74,Tab_Def_Flows[Name(EN)],Tab_Def_Flows[Process_ID_I],,0,)</f>
        <v>09</v>
      </c>
      <c r="I74" s="9" t="e">
        <f>_xlfn.XLOOKUP(C74,Tab_Def_Flows[Name(EN)],#REF!,,0,)</f>
        <v>#REF!</v>
      </c>
      <c r="J74" s="9" t="str">
        <f>_xlfn.XLOOKUP(C74,Tab_Def_Flows[Name(EN)],Tab_Def_Flows[WC?],,0,)</f>
        <v>Yes</v>
      </c>
      <c r="K74" s="9" t="str">
        <f>_xlfn.XLOOKUP(C74,Tab_Def_Flows[Name(EN)],Tab_Def_Flows[DM?],,0,)</f>
        <v>Yes</v>
      </c>
      <c r="L74" s="9" t="str">
        <f>_xlfn.XLOOKUP(C74,Tab_Def_Flows[Name(EN)],Tab_Def_Flows[CC?],,0,)</f>
        <v>Yes</v>
      </c>
      <c r="M74" s="11">
        <v>2045</v>
      </c>
      <c r="N74" s="11"/>
      <c r="O74" s="48">
        <v>23395.877719480002</v>
      </c>
      <c r="P74" s="11"/>
      <c r="Q74" s="11"/>
      <c r="R74" s="11" t="e">
        <f>INDEX(#REF!,MATCH(Tab_Data_Flows[[#This Row],[Name(EN)]],#REF!,0),12)</f>
        <v>#REF!</v>
      </c>
      <c r="S74" s="11" t="e">
        <f>MATCH(Tab_Data_Flows[[#This Row],[Name(EN)]],#REF!,0)</f>
        <v>#REF!</v>
      </c>
      <c r="T74" s="11"/>
      <c r="U74" s="11"/>
      <c r="V74" s="11"/>
      <c r="W74" s="11"/>
      <c r="X74" s="11" t="s">
        <v>8</v>
      </c>
      <c r="Y74" s="11"/>
      <c r="Z74" s="11"/>
      <c r="AA74" s="35">
        <f t="shared" si="3"/>
        <v>23395.877719480002</v>
      </c>
      <c r="AB74" s="11" t="s">
        <v>276</v>
      </c>
      <c r="AC74" s="190">
        <f>INDEX(Tab_Def_Flows[[Flow_ID]:[CC_DM_source]],MATCH(Tab_Data_Flows[[#This Row],[Name(EN)]],Tab_Def_Flows[Name(EN)],0),13)</f>
        <v>1</v>
      </c>
      <c r="AD74" s="9">
        <f>IF(J74="Yes",AA74*Tab_Data_Flows[[#This Row],[WC_'[%']]],"N.A.")</f>
        <v>23395.877719480002</v>
      </c>
      <c r="AE74" s="9" t="str">
        <f>Tab_Data_Flows[[#This Row],[UoM_Flow_Py]]</f>
        <v>Mg</v>
      </c>
      <c r="AF74" s="190">
        <f>INDEX(Tab_Def_Flows[[Flow_ID]:[CC_DM_source]],MATCH(Tab_Data_Flows[[#This Row],[Name(EN)]],Tab_Def_Flows[Name(EN)],0),15)</f>
        <v>0</v>
      </c>
      <c r="AG74" s="9">
        <f>IF(K74="Yes",AF74*Tab_Data_Flows[[#This Row],[Flow_Py]],"N.A.")</f>
        <v>0</v>
      </c>
      <c r="AH74" s="9" t="str">
        <f>Tab_Data_Flows[[#This Row],[UoM_Flow_Py]]</f>
        <v>Mg</v>
      </c>
      <c r="AI74" s="190">
        <f>INDEX(Tab_Def_Flows[[Flow_ID]:[CC_DM_source]],MATCH(Tab_Data_Flows[[#This Row],[Name(EN)]],Tab_Def_Flows[Name(EN)],0),17)</f>
        <v>0</v>
      </c>
      <c r="AJ74" s="9">
        <f>IF(L74="Yes",AI74*Tab_Data_Flows[[#This Row],[Flow_Py]]*Tab_Data_Flows[[#This Row],[DM_'[%']]],"N.A.")</f>
        <v>0</v>
      </c>
      <c r="AK74" s="9" t="str">
        <f>Tab_Data_Flows[[#This Row],[UoM_Flow_Py]]</f>
        <v>Mg</v>
      </c>
    </row>
    <row r="75" spans="1:37" x14ac:dyDescent="0.25">
      <c r="A75" s="16">
        <f t="shared" si="2"/>
        <v>74</v>
      </c>
      <c r="B75" s="9" t="str">
        <f>_xlfn.XLOOKUP(C75,Tab_Def_Flows[Name(EN)],Tab_Def_Flows[Flow_ID],,0,)</f>
        <v>F_11_09</v>
      </c>
      <c r="C75" s="11" t="s">
        <v>812</v>
      </c>
      <c r="D75" s="9"/>
      <c r="E75" s="9" t="str">
        <f>_xlfn.XLOOKUP(C75,Tab_Def_Flows[Name(EN)],Tab_Def_Flows[Output_Process],,0,)</f>
        <v>Water Compostation</v>
      </c>
      <c r="F75" s="9" t="str">
        <f>_xlfn.XLOOKUP(C75,Tab_Def_Flows[Name(EN)],Tab_Def_Flows[Process_ID_O],,0,)</f>
        <v>11</v>
      </c>
      <c r="G75" s="9" t="str">
        <f>_xlfn.XLOOKUP(C75,Tab_Def_Flows[Name(EN)],Tab_Def_Flows[Input_Process],,0,)</f>
        <v>Compostation &amp; Incorporation</v>
      </c>
      <c r="H75" s="17" t="str">
        <f>_xlfn.XLOOKUP(C75,Tab_Def_Flows[Name(EN)],Tab_Def_Flows[Process_ID_I],,0,)</f>
        <v>09</v>
      </c>
      <c r="I75" s="9" t="e">
        <f>_xlfn.XLOOKUP(C75,Tab_Def_Flows[Name(EN)],#REF!,,0,)</f>
        <v>#REF!</v>
      </c>
      <c r="J75" s="9" t="str">
        <f>_xlfn.XLOOKUP(C75,Tab_Def_Flows[Name(EN)],Tab_Def_Flows[WC?],,0,)</f>
        <v>Yes</v>
      </c>
      <c r="K75" s="9" t="str">
        <f>_xlfn.XLOOKUP(C75,Tab_Def_Flows[Name(EN)],Tab_Def_Flows[DM?],,0,)</f>
        <v>Yes</v>
      </c>
      <c r="L75" s="9" t="str">
        <f>_xlfn.XLOOKUP(C75,Tab_Def_Flows[Name(EN)],Tab_Def_Flows[CC?],,0,)</f>
        <v>Yes</v>
      </c>
      <c r="M75" s="11">
        <v>2046</v>
      </c>
      <c r="N75" s="11"/>
      <c r="O75" s="48">
        <v>25673.792318599997</v>
      </c>
      <c r="P75" s="11"/>
      <c r="Q75" s="11"/>
      <c r="R75" s="11" t="e">
        <f>INDEX(#REF!,MATCH(Tab_Data_Flows[[#This Row],[Name(EN)]],#REF!,0),12)</f>
        <v>#REF!</v>
      </c>
      <c r="S75" s="11" t="e">
        <f>MATCH(Tab_Data_Flows[[#This Row],[Name(EN)]],#REF!,0)</f>
        <v>#REF!</v>
      </c>
      <c r="T75" s="11"/>
      <c r="U75" s="11"/>
      <c r="V75" s="11"/>
      <c r="W75" s="11"/>
      <c r="X75" s="11" t="s">
        <v>8</v>
      </c>
      <c r="Y75" s="11"/>
      <c r="Z75" s="11"/>
      <c r="AA75" s="35">
        <f t="shared" si="3"/>
        <v>25673.792318599997</v>
      </c>
      <c r="AB75" s="11" t="s">
        <v>276</v>
      </c>
      <c r="AC75" s="190">
        <f>INDEX(Tab_Def_Flows[[Flow_ID]:[CC_DM_source]],MATCH(Tab_Data_Flows[[#This Row],[Name(EN)]],Tab_Def_Flows[Name(EN)],0),13)</f>
        <v>1</v>
      </c>
      <c r="AD75" s="9">
        <f>IF(J75="Yes",AA75*Tab_Data_Flows[[#This Row],[WC_'[%']]],"N.A.")</f>
        <v>25673.792318599997</v>
      </c>
      <c r="AE75" s="9" t="str">
        <f>Tab_Data_Flows[[#This Row],[UoM_Flow_Py]]</f>
        <v>Mg</v>
      </c>
      <c r="AF75" s="190">
        <f>INDEX(Tab_Def_Flows[[Flow_ID]:[CC_DM_source]],MATCH(Tab_Data_Flows[[#This Row],[Name(EN)]],Tab_Def_Flows[Name(EN)],0),15)</f>
        <v>0</v>
      </c>
      <c r="AG75" s="9">
        <f>IF(K75="Yes",AF75*Tab_Data_Flows[[#This Row],[Flow_Py]],"N.A.")</f>
        <v>0</v>
      </c>
      <c r="AH75" s="9" t="str">
        <f>Tab_Data_Flows[[#This Row],[UoM_Flow_Py]]</f>
        <v>Mg</v>
      </c>
      <c r="AI75" s="190">
        <f>INDEX(Tab_Def_Flows[[Flow_ID]:[CC_DM_source]],MATCH(Tab_Data_Flows[[#This Row],[Name(EN)]],Tab_Def_Flows[Name(EN)],0),17)</f>
        <v>0</v>
      </c>
      <c r="AJ75" s="9">
        <f>IF(L75="Yes",AI75*Tab_Data_Flows[[#This Row],[Flow_Py]]*Tab_Data_Flows[[#This Row],[DM_'[%']]],"N.A.")</f>
        <v>0</v>
      </c>
      <c r="AK75" s="9" t="str">
        <f>Tab_Data_Flows[[#This Row],[UoM_Flow_Py]]</f>
        <v>Mg</v>
      </c>
    </row>
    <row r="76" spans="1:37" x14ac:dyDescent="0.25">
      <c r="A76" s="16">
        <f t="shared" si="2"/>
        <v>75</v>
      </c>
      <c r="B76" s="9" t="str">
        <f>_xlfn.XLOOKUP(C76,Tab_Def_Flows[Name(EN)],Tab_Def_Flows[Flow_ID],,0,)</f>
        <v>F_11_09</v>
      </c>
      <c r="C76" s="11" t="s">
        <v>812</v>
      </c>
      <c r="D76" s="9"/>
      <c r="E76" s="9" t="str">
        <f>_xlfn.XLOOKUP(C76,Tab_Def_Flows[Name(EN)],Tab_Def_Flows[Output_Process],,0,)</f>
        <v>Water Compostation</v>
      </c>
      <c r="F76" s="9" t="str">
        <f>_xlfn.XLOOKUP(C76,Tab_Def_Flows[Name(EN)],Tab_Def_Flows[Process_ID_O],,0,)</f>
        <v>11</v>
      </c>
      <c r="G76" s="9" t="str">
        <f>_xlfn.XLOOKUP(C76,Tab_Def_Flows[Name(EN)],Tab_Def_Flows[Input_Process],,0,)</f>
        <v>Compostation &amp; Incorporation</v>
      </c>
      <c r="H76" s="17" t="str">
        <f>_xlfn.XLOOKUP(C76,Tab_Def_Flows[Name(EN)],Tab_Def_Flows[Process_ID_I],,0,)</f>
        <v>09</v>
      </c>
      <c r="I76" s="9" t="e">
        <f>_xlfn.XLOOKUP(C76,Tab_Def_Flows[Name(EN)],#REF!,,0,)</f>
        <v>#REF!</v>
      </c>
      <c r="J76" s="9" t="str">
        <f>_xlfn.XLOOKUP(C76,Tab_Def_Flows[Name(EN)],Tab_Def_Flows[WC?],,0,)</f>
        <v>Yes</v>
      </c>
      <c r="K76" s="9" t="str">
        <f>_xlfn.XLOOKUP(C76,Tab_Def_Flows[Name(EN)],Tab_Def_Flows[DM?],,0,)</f>
        <v>Yes</v>
      </c>
      <c r="L76" s="9" t="str">
        <f>_xlfn.XLOOKUP(C76,Tab_Def_Flows[Name(EN)],Tab_Def_Flows[CC?],,0,)</f>
        <v>Yes</v>
      </c>
      <c r="M76" s="11">
        <v>2047</v>
      </c>
      <c r="N76" s="11"/>
      <c r="O76" s="48">
        <v>26147.553186160003</v>
      </c>
      <c r="P76" s="11"/>
      <c r="Q76" s="11"/>
      <c r="R76" s="11" t="e">
        <f>INDEX(#REF!,MATCH(Tab_Data_Flows[[#This Row],[Name(EN)]],#REF!,0),12)</f>
        <v>#REF!</v>
      </c>
      <c r="S76" s="11" t="e">
        <f>MATCH(Tab_Data_Flows[[#This Row],[Name(EN)]],#REF!,0)</f>
        <v>#REF!</v>
      </c>
      <c r="T76" s="11"/>
      <c r="U76" s="11"/>
      <c r="V76" s="11"/>
      <c r="W76" s="11"/>
      <c r="X76" s="11" t="s">
        <v>8</v>
      </c>
      <c r="Y76" s="11"/>
      <c r="Z76" s="11"/>
      <c r="AA76" s="35">
        <f t="shared" si="3"/>
        <v>26147.553186160003</v>
      </c>
      <c r="AB76" s="11" t="s">
        <v>276</v>
      </c>
      <c r="AC76" s="190">
        <f>INDEX(Tab_Def_Flows[[Flow_ID]:[CC_DM_source]],MATCH(Tab_Data_Flows[[#This Row],[Name(EN)]],Tab_Def_Flows[Name(EN)],0),13)</f>
        <v>1</v>
      </c>
      <c r="AD76" s="9">
        <f>IF(J76="Yes",AA76*Tab_Data_Flows[[#This Row],[WC_'[%']]],"N.A.")</f>
        <v>26147.553186160003</v>
      </c>
      <c r="AE76" s="9" t="str">
        <f>Tab_Data_Flows[[#This Row],[UoM_Flow_Py]]</f>
        <v>Mg</v>
      </c>
      <c r="AF76" s="190">
        <f>INDEX(Tab_Def_Flows[[Flow_ID]:[CC_DM_source]],MATCH(Tab_Data_Flows[[#This Row],[Name(EN)]],Tab_Def_Flows[Name(EN)],0),15)</f>
        <v>0</v>
      </c>
      <c r="AG76" s="9">
        <f>IF(K76="Yes",AF76*Tab_Data_Flows[[#This Row],[Flow_Py]],"N.A.")</f>
        <v>0</v>
      </c>
      <c r="AH76" s="9" t="str">
        <f>Tab_Data_Flows[[#This Row],[UoM_Flow_Py]]</f>
        <v>Mg</v>
      </c>
      <c r="AI76" s="190">
        <f>INDEX(Tab_Def_Flows[[Flow_ID]:[CC_DM_source]],MATCH(Tab_Data_Flows[[#This Row],[Name(EN)]],Tab_Def_Flows[Name(EN)],0),17)</f>
        <v>0</v>
      </c>
      <c r="AJ76" s="9">
        <f>IF(L76="Yes",AI76*Tab_Data_Flows[[#This Row],[Flow_Py]]*Tab_Data_Flows[[#This Row],[DM_'[%']]],"N.A.")</f>
        <v>0</v>
      </c>
      <c r="AK76" s="9" t="str">
        <f>Tab_Data_Flows[[#This Row],[UoM_Flow_Py]]</f>
        <v>Mg</v>
      </c>
    </row>
    <row r="77" spans="1:37" x14ac:dyDescent="0.25">
      <c r="A77" s="16">
        <f t="shared" si="2"/>
        <v>76</v>
      </c>
      <c r="B77" s="9" t="str">
        <f>_xlfn.XLOOKUP(C77,Tab_Def_Flows[Name(EN)],Tab_Def_Flows[Flow_ID],,0,)</f>
        <v>F_11_09</v>
      </c>
      <c r="C77" s="11" t="s">
        <v>812</v>
      </c>
      <c r="D77" s="9"/>
      <c r="E77" s="9" t="str">
        <f>_xlfn.XLOOKUP(C77,Tab_Def_Flows[Name(EN)],Tab_Def_Flows[Output_Process],,0,)</f>
        <v>Water Compostation</v>
      </c>
      <c r="F77" s="9" t="str">
        <f>_xlfn.XLOOKUP(C77,Tab_Def_Flows[Name(EN)],Tab_Def_Flows[Process_ID_O],,0,)</f>
        <v>11</v>
      </c>
      <c r="G77" s="9" t="str">
        <f>_xlfn.XLOOKUP(C77,Tab_Def_Flows[Name(EN)],Tab_Def_Flows[Input_Process],,0,)</f>
        <v>Compostation &amp; Incorporation</v>
      </c>
      <c r="H77" s="17" t="str">
        <f>_xlfn.XLOOKUP(C77,Tab_Def_Flows[Name(EN)],Tab_Def_Flows[Process_ID_I],,0,)</f>
        <v>09</v>
      </c>
      <c r="I77" s="9" t="e">
        <f>_xlfn.XLOOKUP(C77,Tab_Def_Flows[Name(EN)],#REF!,,0,)</f>
        <v>#REF!</v>
      </c>
      <c r="J77" s="9" t="str">
        <f>_xlfn.XLOOKUP(C77,Tab_Def_Flows[Name(EN)],Tab_Def_Flows[WC?],,0,)</f>
        <v>Yes</v>
      </c>
      <c r="K77" s="9" t="str">
        <f>_xlfn.XLOOKUP(C77,Tab_Def_Flows[Name(EN)],Tab_Def_Flows[DM?],,0,)</f>
        <v>Yes</v>
      </c>
      <c r="L77" s="9" t="str">
        <f>_xlfn.XLOOKUP(C77,Tab_Def_Flows[Name(EN)],Tab_Def_Flows[CC?],,0,)</f>
        <v>Yes</v>
      </c>
      <c r="M77" s="11">
        <v>2048</v>
      </c>
      <c r="N77" s="11"/>
      <c r="O77" s="48">
        <v>21396.307434560003</v>
      </c>
      <c r="P77" s="11"/>
      <c r="Q77" s="11"/>
      <c r="R77" s="11" t="e">
        <f>INDEX(#REF!,MATCH(Tab_Data_Flows[[#This Row],[Name(EN)]],#REF!,0),12)</f>
        <v>#REF!</v>
      </c>
      <c r="S77" s="11" t="e">
        <f>MATCH(Tab_Data_Flows[[#This Row],[Name(EN)]],#REF!,0)</f>
        <v>#REF!</v>
      </c>
      <c r="T77" s="11"/>
      <c r="U77" s="11"/>
      <c r="V77" s="11"/>
      <c r="W77" s="11"/>
      <c r="X77" s="11" t="s">
        <v>8</v>
      </c>
      <c r="Y77" s="11"/>
      <c r="Z77" s="11"/>
      <c r="AA77" s="35">
        <f t="shared" si="3"/>
        <v>21396.307434560003</v>
      </c>
      <c r="AB77" s="11" t="s">
        <v>276</v>
      </c>
      <c r="AC77" s="190">
        <f>INDEX(Tab_Def_Flows[[Flow_ID]:[CC_DM_source]],MATCH(Tab_Data_Flows[[#This Row],[Name(EN)]],Tab_Def_Flows[Name(EN)],0),13)</f>
        <v>1</v>
      </c>
      <c r="AD77" s="9">
        <f>IF(J77="Yes",AA77*Tab_Data_Flows[[#This Row],[WC_'[%']]],"N.A.")</f>
        <v>21396.307434560003</v>
      </c>
      <c r="AE77" s="9" t="str">
        <f>Tab_Data_Flows[[#This Row],[UoM_Flow_Py]]</f>
        <v>Mg</v>
      </c>
      <c r="AF77" s="190">
        <f>INDEX(Tab_Def_Flows[[Flow_ID]:[CC_DM_source]],MATCH(Tab_Data_Flows[[#This Row],[Name(EN)]],Tab_Def_Flows[Name(EN)],0),15)</f>
        <v>0</v>
      </c>
      <c r="AG77" s="9">
        <f>IF(K77="Yes",AF77*Tab_Data_Flows[[#This Row],[Flow_Py]],"N.A.")</f>
        <v>0</v>
      </c>
      <c r="AH77" s="9" t="str">
        <f>Tab_Data_Flows[[#This Row],[UoM_Flow_Py]]</f>
        <v>Mg</v>
      </c>
      <c r="AI77" s="190">
        <f>INDEX(Tab_Def_Flows[[Flow_ID]:[CC_DM_source]],MATCH(Tab_Data_Flows[[#This Row],[Name(EN)]],Tab_Def_Flows[Name(EN)],0),17)</f>
        <v>0</v>
      </c>
      <c r="AJ77" s="9">
        <f>IF(L77="Yes",AI77*Tab_Data_Flows[[#This Row],[Flow_Py]]*Tab_Data_Flows[[#This Row],[DM_'[%']]],"N.A.")</f>
        <v>0</v>
      </c>
      <c r="AK77" s="9" t="str">
        <f>Tab_Data_Flows[[#This Row],[UoM_Flow_Py]]</f>
        <v>Mg</v>
      </c>
    </row>
    <row r="78" spans="1:37" x14ac:dyDescent="0.25">
      <c r="A78" s="16">
        <f t="shared" si="2"/>
        <v>77</v>
      </c>
      <c r="B78" s="9" t="str">
        <f>_xlfn.XLOOKUP(C78,Tab_Def_Flows[Name(EN)],Tab_Def_Flows[Flow_ID],,0,)</f>
        <v>F_11_09</v>
      </c>
      <c r="C78" s="11" t="s">
        <v>812</v>
      </c>
      <c r="D78" s="9"/>
      <c r="E78" s="9" t="str">
        <f>_xlfn.XLOOKUP(C78,Tab_Def_Flows[Name(EN)],Tab_Def_Flows[Output_Process],,0,)</f>
        <v>Water Compostation</v>
      </c>
      <c r="F78" s="9" t="str">
        <f>_xlfn.XLOOKUP(C78,Tab_Def_Flows[Name(EN)],Tab_Def_Flows[Process_ID_O],,0,)</f>
        <v>11</v>
      </c>
      <c r="G78" s="9" t="str">
        <f>_xlfn.XLOOKUP(C78,Tab_Def_Flows[Name(EN)],Tab_Def_Flows[Input_Process],,0,)</f>
        <v>Compostation &amp; Incorporation</v>
      </c>
      <c r="H78" s="17" t="str">
        <f>_xlfn.XLOOKUP(C78,Tab_Def_Flows[Name(EN)],Tab_Def_Flows[Process_ID_I],,0,)</f>
        <v>09</v>
      </c>
      <c r="I78" s="9" t="e">
        <f>_xlfn.XLOOKUP(C78,Tab_Def_Flows[Name(EN)],#REF!,,0,)</f>
        <v>#REF!</v>
      </c>
      <c r="J78" s="9" t="str">
        <f>_xlfn.XLOOKUP(C78,Tab_Def_Flows[Name(EN)],Tab_Def_Flows[WC?],,0,)</f>
        <v>Yes</v>
      </c>
      <c r="K78" s="9" t="str">
        <f>_xlfn.XLOOKUP(C78,Tab_Def_Flows[Name(EN)],Tab_Def_Flows[DM?],,0,)</f>
        <v>Yes</v>
      </c>
      <c r="L78" s="9" t="str">
        <f>_xlfn.XLOOKUP(C78,Tab_Def_Flows[Name(EN)],Tab_Def_Flows[CC?],,0,)</f>
        <v>Yes</v>
      </c>
      <c r="M78" s="11">
        <v>2049</v>
      </c>
      <c r="N78" s="11"/>
      <c r="O78" s="48">
        <v>25257.789806799999</v>
      </c>
      <c r="P78" s="11"/>
      <c r="Q78" s="11"/>
      <c r="R78" s="11" t="e">
        <f>INDEX(#REF!,MATCH(Tab_Data_Flows[[#This Row],[Name(EN)]],#REF!,0),12)</f>
        <v>#REF!</v>
      </c>
      <c r="S78" s="11" t="e">
        <f>MATCH(Tab_Data_Flows[[#This Row],[Name(EN)]],#REF!,0)</f>
        <v>#REF!</v>
      </c>
      <c r="T78" s="11"/>
      <c r="U78" s="11"/>
      <c r="V78" s="11"/>
      <c r="W78" s="11"/>
      <c r="X78" s="11" t="s">
        <v>8</v>
      </c>
      <c r="Y78" s="11"/>
      <c r="Z78" s="11"/>
      <c r="AA78" s="35">
        <f t="shared" si="3"/>
        <v>25257.789806799999</v>
      </c>
      <c r="AB78" s="11" t="s">
        <v>276</v>
      </c>
      <c r="AC78" s="190">
        <f>INDEX(Tab_Def_Flows[[Flow_ID]:[CC_DM_source]],MATCH(Tab_Data_Flows[[#This Row],[Name(EN)]],Tab_Def_Flows[Name(EN)],0),13)</f>
        <v>1</v>
      </c>
      <c r="AD78" s="9">
        <f>IF(J78="Yes",AA78*Tab_Data_Flows[[#This Row],[WC_'[%']]],"N.A.")</f>
        <v>25257.789806799999</v>
      </c>
      <c r="AE78" s="9" t="str">
        <f>Tab_Data_Flows[[#This Row],[UoM_Flow_Py]]</f>
        <v>Mg</v>
      </c>
      <c r="AF78" s="190">
        <f>INDEX(Tab_Def_Flows[[Flow_ID]:[CC_DM_source]],MATCH(Tab_Data_Flows[[#This Row],[Name(EN)]],Tab_Def_Flows[Name(EN)],0),15)</f>
        <v>0</v>
      </c>
      <c r="AG78" s="9">
        <f>IF(K78="Yes",AF78*Tab_Data_Flows[[#This Row],[Flow_Py]],"N.A.")</f>
        <v>0</v>
      </c>
      <c r="AH78" s="9" t="str">
        <f>Tab_Data_Flows[[#This Row],[UoM_Flow_Py]]</f>
        <v>Mg</v>
      </c>
      <c r="AI78" s="190">
        <f>INDEX(Tab_Def_Flows[[Flow_ID]:[CC_DM_source]],MATCH(Tab_Data_Flows[[#This Row],[Name(EN)]],Tab_Def_Flows[Name(EN)],0),17)</f>
        <v>0</v>
      </c>
      <c r="AJ78" s="9">
        <f>IF(L78="Yes",AI78*Tab_Data_Flows[[#This Row],[Flow_Py]]*Tab_Data_Flows[[#This Row],[DM_'[%']]],"N.A.")</f>
        <v>0</v>
      </c>
      <c r="AK78" s="9" t="str">
        <f>Tab_Data_Flows[[#This Row],[UoM_Flow_Py]]</f>
        <v>Mg</v>
      </c>
    </row>
    <row r="79" spans="1:37" x14ac:dyDescent="0.25">
      <c r="A79" s="16">
        <f t="shared" si="2"/>
        <v>78</v>
      </c>
      <c r="B79" s="9" t="str">
        <f>_xlfn.XLOOKUP(C79,Tab_Def_Flows[Name(EN)],Tab_Def_Flows[Flow_ID],,0,)</f>
        <v>F_11_09</v>
      </c>
      <c r="C79" s="11" t="s">
        <v>812</v>
      </c>
      <c r="D79" s="9"/>
      <c r="E79" s="9" t="str">
        <f>_xlfn.XLOOKUP(C79,Tab_Def_Flows[Name(EN)],Tab_Def_Flows[Output_Process],,0,)</f>
        <v>Water Compostation</v>
      </c>
      <c r="F79" s="9" t="str">
        <f>_xlfn.XLOOKUP(C79,Tab_Def_Flows[Name(EN)],Tab_Def_Flows[Process_ID_O],,0,)</f>
        <v>11</v>
      </c>
      <c r="G79" s="9" t="str">
        <f>_xlfn.XLOOKUP(C79,Tab_Def_Flows[Name(EN)],Tab_Def_Flows[Input_Process],,0,)</f>
        <v>Compostation &amp; Incorporation</v>
      </c>
      <c r="H79" s="17" t="str">
        <f>_xlfn.XLOOKUP(C79,Tab_Def_Flows[Name(EN)],Tab_Def_Flows[Process_ID_I],,0,)</f>
        <v>09</v>
      </c>
      <c r="I79" s="9" t="e">
        <f>_xlfn.XLOOKUP(C79,Tab_Def_Flows[Name(EN)],#REF!,,0,)</f>
        <v>#REF!</v>
      </c>
      <c r="J79" s="9" t="str">
        <f>_xlfn.XLOOKUP(C79,Tab_Def_Flows[Name(EN)],Tab_Def_Flows[WC?],,0,)</f>
        <v>Yes</v>
      </c>
      <c r="K79" s="9" t="str">
        <f>_xlfn.XLOOKUP(C79,Tab_Def_Flows[Name(EN)],Tab_Def_Flows[DM?],,0,)</f>
        <v>Yes</v>
      </c>
      <c r="L79" s="9" t="str">
        <f>_xlfn.XLOOKUP(C79,Tab_Def_Flows[Name(EN)],Tab_Def_Flows[CC?],,0,)</f>
        <v>Yes</v>
      </c>
      <c r="M79" s="11">
        <v>2050</v>
      </c>
      <c r="N79" s="11"/>
      <c r="O79" s="48">
        <v>24825.834051640002</v>
      </c>
      <c r="P79" s="11"/>
      <c r="Q79" s="11"/>
      <c r="R79" s="11" t="e">
        <f>INDEX(#REF!,MATCH(Tab_Data_Flows[[#This Row],[Name(EN)]],#REF!,0),12)</f>
        <v>#REF!</v>
      </c>
      <c r="S79" s="11" t="e">
        <f>MATCH(Tab_Data_Flows[[#This Row],[Name(EN)]],#REF!,0)</f>
        <v>#REF!</v>
      </c>
      <c r="T79" s="11"/>
      <c r="U79" s="11"/>
      <c r="V79" s="11"/>
      <c r="W79" s="11"/>
      <c r="X79" s="11" t="s">
        <v>8</v>
      </c>
      <c r="Y79" s="11"/>
      <c r="Z79" s="11"/>
      <c r="AA79" s="35">
        <f t="shared" si="3"/>
        <v>24825.834051640002</v>
      </c>
      <c r="AB79" s="11" t="s">
        <v>276</v>
      </c>
      <c r="AC79" s="190">
        <f>INDEX(Tab_Def_Flows[[Flow_ID]:[CC_DM_source]],MATCH(Tab_Data_Flows[[#This Row],[Name(EN)]],Tab_Def_Flows[Name(EN)],0),13)</f>
        <v>1</v>
      </c>
      <c r="AD79" s="9">
        <f>IF(J79="Yes",AA79*Tab_Data_Flows[[#This Row],[WC_'[%']]],"N.A.")</f>
        <v>24825.834051640002</v>
      </c>
      <c r="AE79" s="9" t="str">
        <f>Tab_Data_Flows[[#This Row],[UoM_Flow_Py]]</f>
        <v>Mg</v>
      </c>
      <c r="AF79" s="190">
        <f>INDEX(Tab_Def_Flows[[Flow_ID]:[CC_DM_source]],MATCH(Tab_Data_Flows[[#This Row],[Name(EN)]],Tab_Def_Flows[Name(EN)],0),15)</f>
        <v>0</v>
      </c>
      <c r="AG79" s="9">
        <f>IF(K79="Yes",AF79*Tab_Data_Flows[[#This Row],[Flow_Py]],"N.A.")</f>
        <v>0</v>
      </c>
      <c r="AH79" s="9" t="str">
        <f>Tab_Data_Flows[[#This Row],[UoM_Flow_Py]]</f>
        <v>Mg</v>
      </c>
      <c r="AI79" s="190">
        <f>INDEX(Tab_Def_Flows[[Flow_ID]:[CC_DM_source]],MATCH(Tab_Data_Flows[[#This Row],[Name(EN)]],Tab_Def_Flows[Name(EN)],0),17)</f>
        <v>0</v>
      </c>
      <c r="AJ79" s="9">
        <f>IF(L79="Yes",AI79*Tab_Data_Flows[[#This Row],[Flow_Py]]*Tab_Data_Flows[[#This Row],[DM_'[%']]],"N.A.")</f>
        <v>0</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7" sqref="D17"/>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7</v>
      </c>
      <c r="K3" s="189" t="s">
        <v>8</v>
      </c>
      <c r="L3" s="189" t="s">
        <v>7</v>
      </c>
      <c r="M3" s="189" t="s">
        <v>8</v>
      </c>
      <c r="N3" s="189" t="s">
        <v>8</v>
      </c>
      <c r="O3" s="189" t="s">
        <v>8</v>
      </c>
      <c r="P3" s="184">
        <v>2</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1</v>
      </c>
      <c r="B13" s="43" t="s">
        <v>146</v>
      </c>
      <c r="C13" s="9" t="str">
        <f t="shared" si="0"/>
        <v>11</v>
      </c>
      <c r="D13" s="11" t="s">
        <v>811</v>
      </c>
      <c r="E13" s="11"/>
      <c r="F13" s="11"/>
      <c r="G13" s="11"/>
      <c r="H13" s="37"/>
      <c r="I13" s="189" t="s">
        <v>215</v>
      </c>
      <c r="J13" s="189" t="s">
        <v>8</v>
      </c>
      <c r="K13" s="189" t="s">
        <v>8</v>
      </c>
      <c r="L13" s="189" t="s">
        <v>7</v>
      </c>
      <c r="M13" s="189" t="s">
        <v>8</v>
      </c>
      <c r="N13" s="189" t="s">
        <v>8</v>
      </c>
      <c r="O13" s="189" t="s">
        <v>8</v>
      </c>
      <c r="P13" s="11">
        <v>1</v>
      </c>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F_12_12</v>
      </c>
      <c r="S52" s="11"/>
      <c r="T52" s="9" t="str">
        <f>_xlfn.XLOOKUP(S52,Tab_Def_Flows[Name(EN)],Tab_Def_Flows[Flow_ID],,0,)</f>
        <v>F_12_12</v>
      </c>
      <c r="U52" s="11"/>
      <c r="V52" s="9" t="str">
        <f>_xlfn.XLOOKUP(U52,Tab_Def_Flows[Name(EN)],Tab_Def_Flows[Flow_ID],,0,)</f>
        <v>F_12_12</v>
      </c>
      <c r="W52" s="11"/>
      <c r="X52" s="9" t="str">
        <f>_xlfn.XLOOKUP(W52,Tab_Def_Flows[Name(EN)],Tab_Def_Flows[Flow_ID],,0,)</f>
        <v>F_12_12</v>
      </c>
      <c r="Y52" s="11"/>
      <c r="Z52" s="20" t="str">
        <f>_xlfn.XLOOKUP(Y52,Tab_Def_Flows[Name(EN)],Tab_Def_Flows[Flow_ID],,0,)</f>
        <v>F_12_12</v>
      </c>
      <c r="AA52" s="189"/>
      <c r="AB52" s="9" t="str">
        <f>_xlfn.XLOOKUP(AA52,Tab_Def_Flows[Name(EN)],Tab_Def_Flows[Flow_ID],,0,)</f>
        <v>F_12_12</v>
      </c>
      <c r="AC52" s="189"/>
      <c r="AD52" s="9" t="str">
        <f>_xlfn.XLOOKUP(AC52,Tab_Def_Flows[Name(EN)],Tab_Def_Flows[Flow_ID],,0,)</f>
        <v>F_12_12</v>
      </c>
      <c r="AE52" s="189" t="s">
        <v>35</v>
      </c>
      <c r="AF52" s="9" t="str">
        <f>_xlfn.XLOOKUP(AE52,Tab_Def_Flows[Name(EN)],Tab_Def_Flows[Flow_ID],,0,)</f>
        <v>N.A.</v>
      </c>
      <c r="AG52" s="189"/>
      <c r="AH52" s="9" t="str">
        <f>_xlfn.XLOOKUP(AG52,Tab_Def_Flows[Name(EN)],Tab_Def_Flows[Flow_ID],,0,)</f>
        <v>F_12_12</v>
      </c>
      <c r="AI52" s="189"/>
      <c r="AJ52" s="9" t="str">
        <f>_xlfn.XLOOKUP(AI52,Tab_Def_Flows[Name(EN)],Tab_Def_Flows[Flow_ID],,0,)</f>
        <v>F_12_12</v>
      </c>
      <c r="AK52" s="189"/>
      <c r="AL52" s="13" t="str">
        <f>_xlfn.XLOOKUP(AK52,Tab_Def_Flows[Name(EN)],Tab_Def_Flows[Flow_ID],,0,)</f>
        <v>F_12_12</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F_12_12</v>
      </c>
      <c r="S53" s="11"/>
      <c r="T53" s="9" t="str">
        <f>_xlfn.XLOOKUP(S53,Tab_Def_Flows[Name(EN)],Tab_Def_Flows[Flow_ID],,0,)</f>
        <v>F_12_12</v>
      </c>
      <c r="U53" s="11"/>
      <c r="V53" s="9" t="str">
        <f>_xlfn.XLOOKUP(U53,Tab_Def_Flows[Name(EN)],Tab_Def_Flows[Flow_ID],,0,)</f>
        <v>F_12_12</v>
      </c>
      <c r="W53" s="11"/>
      <c r="X53" s="9" t="str">
        <f>_xlfn.XLOOKUP(W53,Tab_Def_Flows[Name(EN)],Tab_Def_Flows[Flow_ID],,0,)</f>
        <v>F_12_12</v>
      </c>
      <c r="Y53" s="11"/>
      <c r="Z53" s="21" t="str">
        <f>_xlfn.XLOOKUP(Y53,Tab_Def_Flows[Name(EN)],Tab_Def_Flows[Flow_ID],,0,)</f>
        <v>F_12_12</v>
      </c>
      <c r="AA53" s="189"/>
      <c r="AB53" s="9" t="str">
        <f>_xlfn.XLOOKUP(AA53,Tab_Def_Flows[Name(EN)],Tab_Def_Flows[Flow_ID],,0,)</f>
        <v>F_12_12</v>
      </c>
      <c r="AC53" s="189"/>
      <c r="AD53" s="9" t="str">
        <f>_xlfn.XLOOKUP(AC53,Tab_Def_Flows[Name(EN)],Tab_Def_Flows[Flow_ID],,0,)</f>
        <v>F_12_12</v>
      </c>
      <c r="AE53" s="189" t="s">
        <v>35</v>
      </c>
      <c r="AF53" s="9" t="str">
        <f>_xlfn.XLOOKUP(AE53,Tab_Def_Flows[Name(EN)],Tab_Def_Flows[Flow_ID],,0,)</f>
        <v>N.A.</v>
      </c>
      <c r="AG53" s="189"/>
      <c r="AH53" s="9" t="str">
        <f>_xlfn.XLOOKUP(AG53,Tab_Def_Flows[Name(EN)],Tab_Def_Flows[Flow_ID],,0,)</f>
        <v>F_12_12</v>
      </c>
      <c r="AI53" s="189"/>
      <c r="AJ53" s="9" t="str">
        <f>_xlfn.XLOOKUP(AI53,Tab_Def_Flows[Name(EN)],Tab_Def_Flows[Flow_ID],,0,)</f>
        <v>F_12_12</v>
      </c>
      <c r="AK53" s="189"/>
      <c r="AL53" s="13" t="str">
        <f>_xlfn.XLOOKUP(AK53,Tab_Def_Flows[Name(EN)],Tab_Def_Flows[Flow_ID],,0,)</f>
        <v>F_12_12</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tabSelected="1" zoomScale="115" zoomScaleNormal="115" workbookViewId="0">
      <pane xSplit="4" topLeftCell="G1" activePane="topRight" state="frozen"/>
      <selection pane="topRight" activeCell="V18" sqref="V18"/>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0.66666666666666652</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12</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12</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12</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12</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12</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12</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12</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12</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12</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12</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12</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12</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12</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12</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12</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12</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12</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12</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12</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12</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12</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12</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12</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12</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12</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12</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12</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12</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12</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12</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12</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12</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12</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12</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12</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12</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12</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12</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12</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12</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12</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12</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12</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12</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12</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12</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12</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str">
        <f>_xlfn.XLOOKUP(C22,Tab_Def_Flows[Name(EN)],Tab_Def_Flows[Flow_ID],,0,)</f>
        <v>F_11_09</v>
      </c>
      <c r="C22" s="9" t="str">
        <f>Tab_Def_Flows[[#This Row],[Name(EN)]]</f>
        <v>Water Compost</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6: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129</v>
      </c>
      <c r="C53" s="72">
        <f>F22</f>
        <v>86</v>
      </c>
      <c r="D53" s="71">
        <f>J22</f>
        <v>43</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0</v>
      </c>
      <c r="C55" s="163">
        <f>C53-C54</f>
        <v>0</v>
      </c>
      <c r="D55" s="164">
        <f>D53-D54</f>
        <v>0</v>
      </c>
      <c r="E55" s="165">
        <f>E53-E54</f>
        <v>0</v>
      </c>
      <c r="F55" s="231"/>
      <c r="G55" s="231"/>
      <c r="H55" s="231"/>
      <c r="I55" s="231"/>
      <c r="J55" s="231"/>
      <c r="K55" s="231"/>
      <c r="L55" s="231"/>
      <c r="M55" s="244"/>
    </row>
    <row r="56" spans="1:18" ht="16.5" thickBot="1" x14ac:dyDescent="0.3">
      <c r="A56" s="7" t="s">
        <v>212</v>
      </c>
      <c r="B56" s="69">
        <f>B53/B54</f>
        <v>1</v>
      </c>
      <c r="C56" s="67">
        <f>C53/C54</f>
        <v>1</v>
      </c>
      <c r="D56" s="66">
        <f>D53/D54</f>
        <v>1</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c r="Q57" s="291">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0.99999999999999978</v>
      </c>
      <c r="C64" s="159">
        <f>SUM(C58:C63)</f>
        <v>1</v>
      </c>
      <c r="D64" s="160">
        <f>SUM(D58:D63)</f>
        <v>1</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2025-09-12T15:55:55Z</dcterms:modified>
</cp:coreProperties>
</file>