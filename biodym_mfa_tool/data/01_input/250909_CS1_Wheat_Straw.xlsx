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ables/table1.xml" ContentType="application/vnd.openxmlformats-officedocument.spreadsheetml.table+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tables/table3.xml" ContentType="application/vnd.openxmlformats-officedocument.spreadsheetml.table+xml"/>
  <Override PartName="/xl/worksheets/sheet7.xml" ContentType="application/vnd.openxmlformats-officedocument.spreadsheetml.worksheet+xml"/>
  <Override PartName="/xl/tables/table4.xml" ContentType="application/vnd.openxmlformats-officedocument.spreadsheetml.table+xml"/>
  <Override PartName="/xl/worksheets/sheet8.xml" ContentType="application/vnd.openxmlformats-officedocument.spreadsheetml.worksheet+xml"/>
  <Override PartName="/xl/tables/table5.xml" ContentType="application/vnd.openxmlformats-officedocument.spreadsheetml.table+xml"/>
  <Override PartName="/xl/worksheets/sheet9.xml" ContentType="application/vnd.openxmlformats-officedocument.spreadsheetml.worksheet+xml"/>
  <Override PartName="/xl/tables/table6.xml" ContentType="application/vnd.openxmlformats-officedocument.spreadsheetml.table+xml"/>
  <Override PartName="/xl/worksheets/sheet10.xml" ContentType="application/vnd.openxmlformats-officedocument.spreadsheetml.worksheet+xml"/>
  <Override PartName="/xl/tables/table7.xml" ContentType="application/vnd.openxmlformats-officedocument.spreadsheetml.table+xml"/>
  <Override PartName="/xl/worksheets/sheet11.xml" ContentType="application/vnd.openxmlformats-officedocument.spreadsheetml.worksheet+xml"/>
  <Override PartName="/xl/tables/table8.xml" ContentType="application/vnd.openxmlformats-officedocument.spreadsheetml.table+xml"/>
  <Override PartName="/xl/worksheets/sheet12.xml" ContentType="application/vnd.openxmlformats-officedocument.spreadsheetml.worksheet+xml"/>
  <Override PartName="/xl/tables/table9.xml" ContentType="application/vnd.openxmlformats-officedocument.spreadsheetml.table+xml"/>
  <Override PartName="/xl/worksheets/sheet13.xml" ContentType="application/vnd.openxmlformats-officedocument.spreadsheetml.worksheet+xml"/>
  <Override PartName="/xl/tables/table10.xml" ContentType="application/vnd.openxmlformats-officedocument.spreadsheetml.table+xml"/>
  <Override PartName="/xl/worksheets/sheet14.xml" ContentType="application/vnd.openxmlformats-officedocument.spreadsheetml.worksheet+xml"/>
  <Override PartName="/xl/tables/table11.xml" ContentType="application/vnd.openxmlformats-officedocument.spreadsheetml.table+xml"/>
  <Override PartName="/xl/worksheets/sheet15.xml" ContentType="application/vnd.openxmlformats-officedocument.spreadsheetml.worksheet+xml"/>
  <Override PartName="/xl/tables/table12.xml" ContentType="application/vnd.openxmlformats-officedocument.spreadsheetml.table+xml"/>
  <Override PartName="/xl/worksheets/sheet16.xml" ContentType="application/vnd.openxmlformats-officedocument.spreadsheetml.worksheet+xml"/>
  <Override PartName="/xl/tables/table13.xml" ContentType="application/vnd.openxmlformats-officedocument.spreadsheetml.table+xml"/>
  <Override PartName="/xl/worksheets/sheet17.xml" ContentType="application/vnd.openxmlformats-officedocument.spreadsheetml.worksheet+xml"/>
  <Override PartName="/xl/worksheets/sheet18.xml" ContentType="application/vnd.openxmlformats-officedocument.spreadsheetml.worksheet+xml"/>
  <Override PartName="/xl/tables/table14.xml" ContentType="application/vnd.openxmlformats-officedocument.spreadsheetml.table+xml"/>
  <Override PartName="/xl/tables/table15.xml" ContentType="application/vnd.openxmlformats-officedocument.spreadsheetml.table+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worksheets/sheet25.xml" ContentType="application/vnd.openxmlformats-officedocument.spreadsheetml.worksheet+xml"/>
  <Override PartName="/xl/externalLinks/externalLink1.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120" yWindow="-120" windowWidth="38640" windowHeight="21120" tabRatio="840" firstSheet="7" activeTab="16" autoFilterDateGrouping="1"/>
  </bookViews>
  <sheets>
    <sheet xmlns:r="http://schemas.openxmlformats.org/officeDocument/2006/relationships" name="Version_CS2_08.05." sheetId="1" state="visible" r:id="rId1"/>
    <sheet xmlns:r="http://schemas.openxmlformats.org/officeDocument/2006/relationships" name="0_ReadMe" sheetId="2" state="visible" r:id="rId2"/>
    <sheet xmlns:r="http://schemas.openxmlformats.org/officeDocument/2006/relationships" name="Table of Content" sheetId="3" state="visible" r:id="rId3"/>
    <sheet xmlns:r="http://schemas.openxmlformats.org/officeDocument/2006/relationships" name="0_Configuration" sheetId="4" state="visible" r:id="rId4"/>
    <sheet xmlns:r="http://schemas.openxmlformats.org/officeDocument/2006/relationships" name="1_1_Definition_Flows" sheetId="5" state="visible" r:id="rId5"/>
    <sheet xmlns:r="http://schemas.openxmlformats.org/officeDocument/2006/relationships" name="1_2_Data_Flows" sheetId="6" state="visible" r:id="rId6"/>
    <sheet xmlns:r="http://schemas.openxmlformats.org/officeDocument/2006/relationships" name="2_1_Definition_Processes" sheetId="7" state="visible" r:id="rId7"/>
    <sheet xmlns:r="http://schemas.openxmlformats.org/officeDocument/2006/relationships" name="2_3_Process_TCs" sheetId="8" state="visible" r:id="rId8"/>
    <sheet xmlns:r="http://schemas.openxmlformats.org/officeDocument/2006/relationships" name="2_4_Initial_Stock" sheetId="9" state="visible" r:id="rId9"/>
    <sheet xmlns:r="http://schemas.openxmlformats.org/officeDocument/2006/relationships" name="2_5_dynamic_tcs" sheetId="10" state="visible" r:id="rId10"/>
    <sheet xmlns:r="http://schemas.openxmlformats.org/officeDocument/2006/relationships" name="3_1_Definition_DSM" sheetId="11" state="visible" r:id="rId11"/>
    <sheet xmlns:r="http://schemas.openxmlformats.org/officeDocument/2006/relationships" name="3_2_Definition_FOMP" sheetId="12" state="visible" r:id="rId12"/>
    <sheet xmlns:r="http://schemas.openxmlformats.org/officeDocument/2006/relationships" name="4_1_Uncertainty_Parameters" sheetId="13" state="visible" r:id="rId13"/>
    <sheet xmlns:r="http://schemas.openxmlformats.org/officeDocument/2006/relationships" name="5_1_Scenario_Manager" sheetId="14" state="visible" r:id="rId14"/>
    <sheet xmlns:r="http://schemas.openxmlformats.org/officeDocument/2006/relationships" name="6_1_Visualization_Processes" sheetId="15" state="visible" r:id="rId15"/>
    <sheet xmlns:r="http://schemas.openxmlformats.org/officeDocument/2006/relationships" name="6_2_Visualization_Flows" sheetId="16" state="visible" r:id="rId16"/>
    <sheet xmlns:r="http://schemas.openxmlformats.org/officeDocument/2006/relationships" name="6_3_Layout_Configuration" sheetId="17" state="visible" r:id="rId17"/>
    <sheet xmlns:r="http://schemas.openxmlformats.org/officeDocument/2006/relationships" name="6_4_CL_Visualisation" sheetId="18" state="visible" r:id="rId18"/>
    <sheet xmlns:r="http://schemas.openxmlformats.org/officeDocument/2006/relationships" name="3. TC_Data" sheetId="19" state="visible" r:id="rId19"/>
    <sheet xmlns:r="http://schemas.openxmlformats.org/officeDocument/2006/relationships" name="PX - Template" sheetId="20" state="visible" r:id="rId20"/>
    <sheet xmlns:r="http://schemas.openxmlformats.org/officeDocument/2006/relationships" name="4. Calculation_factors&gt;&gt;&gt;&gt;" sheetId="21" state="visible" r:id="rId21"/>
    <sheet xmlns:r="http://schemas.openxmlformats.org/officeDocument/2006/relationships" name="Sheet2" sheetId="22" state="visible" r:id="rId22"/>
    <sheet xmlns:r="http://schemas.openxmlformats.org/officeDocument/2006/relationships" name="4. Codelists&gt;&gt;&gt;&gt;" sheetId="23" state="visible" r:id="rId23"/>
    <sheet xmlns:r="http://schemas.openxmlformats.org/officeDocument/2006/relationships" name="4_1 Codelists" sheetId="24" state="visible" r:id="rId24"/>
    <sheet xmlns:r="http://schemas.openxmlformats.org/officeDocument/2006/relationships" name="5. Wastefiles &gt;&gt;&gt;&gt;" sheetId="25" state="visible" r:id="rId25"/>
  </sheets>
  <externalReferences>
    <externalReference xmlns:r="http://schemas.openxmlformats.org/officeDocument/2006/relationships" r:id="rId26"/>
  </externalReferences>
  <definedNames>
    <definedName name="Inhaltsverzeichnis">"MTRANS(ERSETZEN(Inhalt;1;FINDEN(""]"";Inhalt);""))"</definedName>
    <definedName name="List_DSM_Parameters">CL_DSM_Category_ID348[DSM Parameters]</definedName>
    <definedName name="List_Flow_Parameters">CL_Flow_Parameters[Flow_Parameters]</definedName>
    <definedName name="List_FOMP_Parameters">CL_FOMP_Parameters[FOMP Parameters]</definedName>
    <definedName name="List_Initial_Stock_Parameters">CL_Initial_Stock_Parameters[Initial Stock Parameters]</definedName>
    <definedName name="List_Transfer_Coefficients">CL_Transfer_Coefficients[Transfer Coefficients (TCs)]</definedName>
    <definedName name="List_Uncertainty_Parameters">CL_Uncertainty_Parameters[Uncertainty_Parameters]</definedName>
    <definedName name="Tab_Process_TCs_dyn">#REF!</definedName>
    <definedName name="Tab_Process_TCs_dyn" localSheetId="9">Tab_Process_TCs2527[]</definedName>
  </definedNames>
  <calcPr calcId="191029" fullCalcOnLoad="1"/>
</workbook>
</file>

<file path=xl/styles.xml><?xml version="1.0" encoding="utf-8"?>
<styleSheet xmlns="http://schemas.openxmlformats.org/spreadsheetml/2006/main">
  <numFmts count="3">
    <numFmt numFmtId="164" formatCode="0.0%"/>
    <numFmt numFmtId="165" formatCode="0.0"/>
    <numFmt numFmtId="166" formatCode="0.00000000"/>
  </numFmts>
  <fonts count="16">
    <font>
      <name val="Calibri"/>
      <family val="2"/>
      <color theme="1"/>
      <sz val="11"/>
      <scheme val="minor"/>
    </font>
    <font>
      <name val="Calibri"/>
      <family val="2"/>
      <color theme="1"/>
      <sz val="11"/>
      <scheme val="minor"/>
    </font>
    <font>
      <name val="Calibri"/>
      <family val="2"/>
      <sz val="8"/>
      <scheme val="minor"/>
    </font>
    <font>
      <name val="Calibri"/>
      <family val="2"/>
      <b val="1"/>
      <color theme="1"/>
      <sz val="11"/>
      <scheme val="minor"/>
    </font>
    <font>
      <name val="Calibri"/>
      <family val="2"/>
      <color theme="9" tint="0.7999816888943144"/>
      <sz val="11"/>
      <scheme val="minor"/>
    </font>
    <font>
      <name val="Calibri"/>
      <family val="2"/>
      <b val="1"/>
      <sz val="11"/>
      <scheme val="minor"/>
    </font>
    <font>
      <name val="Calibri"/>
      <family val="2"/>
      <sz val="10"/>
      <scheme val="minor"/>
    </font>
    <font>
      <name val="Arial"/>
      <family val="2"/>
      <color theme="1"/>
      <sz val="11"/>
      <u val="single"/>
    </font>
    <font>
      <name val="Aptos"/>
      <family val="2"/>
      <color rgb="FF000000"/>
      <sz val="12"/>
    </font>
    <font>
      <name val="Aptos"/>
      <family val="2"/>
      <color theme="1"/>
      <sz val="12"/>
    </font>
    <font>
      <name val="Aptos"/>
      <family val="2"/>
      <sz val="12"/>
    </font>
    <font>
      <name val="Calibri"/>
      <family val="2"/>
      <color theme="1"/>
      <sz val="12"/>
      <scheme val="minor"/>
    </font>
    <font>
      <name val="Calibri"/>
      <family val="2"/>
      <b val="1"/>
      <sz val="14"/>
    </font>
    <font>
      <name val="Calibri"/>
      <family val="2"/>
      <b val="1"/>
      <sz val="12"/>
    </font>
    <font>
      <name val="Calibri"/>
      <family val="2"/>
      <b val="1"/>
      <sz val="11"/>
    </font>
    <font>
      <b val="1"/>
    </font>
  </fonts>
  <fills count="37">
    <fill>
      <patternFill/>
    </fill>
    <fill>
      <patternFill patternType="gray125"/>
    </fill>
    <fill>
      <patternFill patternType="solid">
        <fgColor theme="0" tint="-0.1499984740745262"/>
        <bgColor theme="0" tint="-0.1499984740745262"/>
      </patternFill>
    </fill>
    <fill>
      <patternFill patternType="gray0625">
        <bgColor theme="9" tint="0.7999816888943144"/>
      </patternFill>
    </fill>
    <fill>
      <patternFill patternType="gray0625">
        <bgColor theme="7" tint="0.7999816888943144"/>
      </patternFill>
    </fill>
    <fill>
      <patternFill patternType="gray0625">
        <bgColor theme="4" tint="0.7999816888943144"/>
      </patternFill>
    </fill>
    <fill>
      <patternFill patternType="solid">
        <fgColor theme="9" tint="0.7999816888943144"/>
        <bgColor indexed="64"/>
      </patternFill>
    </fill>
    <fill>
      <patternFill patternType="solid">
        <fgColor theme="8" tint="0.7999816888943144"/>
        <bgColor indexed="64"/>
      </patternFill>
    </fill>
    <fill>
      <patternFill patternType="solid">
        <fgColor theme="7" tint="0.7999816888943144"/>
        <bgColor indexed="64"/>
      </patternFill>
    </fill>
    <fill>
      <patternFill patternType="solid">
        <fgColor rgb="FFFFC000"/>
        <bgColor indexed="64"/>
      </patternFill>
    </fill>
    <fill>
      <patternFill patternType="solid">
        <fgColor rgb="FF00B050"/>
        <bgColor indexed="64"/>
      </patternFill>
    </fill>
    <fill>
      <patternFill patternType="solid">
        <fgColor rgb="FFE8E8E8"/>
        <bgColor indexed="64"/>
      </patternFill>
    </fill>
    <fill>
      <patternFill patternType="solid">
        <fgColor theme="9" tint="0.3999755851924192"/>
        <bgColor indexed="64"/>
      </patternFill>
    </fill>
    <fill>
      <patternFill patternType="solid">
        <fgColor theme="7" tint="0.3999755851924192"/>
        <bgColor indexed="64"/>
      </patternFill>
    </fill>
    <fill>
      <patternFill patternType="solid">
        <fgColor theme="8" tint="0.3999755851924192"/>
        <bgColor indexed="64"/>
      </patternFill>
    </fill>
    <fill>
      <patternFill patternType="solid">
        <fgColor rgb="FFFFCC99"/>
        <bgColor indexed="64"/>
      </patternFill>
    </fill>
    <fill>
      <patternFill patternType="solid">
        <fgColor theme="0" tint="-0.3499862666707358"/>
        <bgColor indexed="64"/>
      </patternFill>
    </fill>
    <fill>
      <patternFill patternType="solid">
        <fgColor theme="9" tint="-0.249977111117893"/>
        <bgColor indexed="64"/>
      </patternFill>
    </fill>
    <fill>
      <patternFill patternType="solid">
        <fgColor theme="7" tint="-0.249977111117893"/>
        <bgColor indexed="64"/>
      </patternFill>
    </fill>
    <fill>
      <patternFill patternType="solid">
        <fgColor theme="8" tint="-0.249977111117893"/>
        <bgColor indexed="64"/>
      </patternFill>
    </fill>
    <fill>
      <patternFill patternType="solid">
        <fgColor rgb="FFFFCC66"/>
        <bgColor indexed="64"/>
      </patternFill>
    </fill>
    <fill>
      <patternFill patternType="solid">
        <fgColor theme="5" tint="0.3999755851924192"/>
        <bgColor indexed="64"/>
      </patternFill>
    </fill>
    <fill>
      <patternFill patternType="gray125">
        <bgColor theme="9" tint="0.3999450666829432"/>
      </patternFill>
    </fill>
    <fill>
      <patternFill patternType="solid">
        <fgColor theme="9" tint="0.3999145481734672"/>
        <bgColor indexed="64"/>
      </patternFill>
    </fill>
    <fill>
      <patternFill patternType="solid">
        <fgColor theme="0" tint="-0.0499893185216834"/>
        <bgColor indexed="64"/>
      </patternFill>
    </fill>
    <fill>
      <patternFill patternType="solid">
        <fgColor theme="5" tint="-0.249977111117893"/>
        <bgColor indexed="64"/>
      </patternFill>
    </fill>
    <fill>
      <patternFill patternType="solid">
        <fgColor theme="5" tint="-0.499984740745262"/>
        <bgColor indexed="64"/>
      </patternFill>
    </fill>
    <fill>
      <patternFill patternType="solid">
        <fgColor theme="9" tint="-0.499984740745262"/>
        <bgColor indexed="64"/>
      </patternFill>
    </fill>
    <fill>
      <patternFill patternType="gray125">
        <bgColor theme="7" tint="0.3999450666829432"/>
      </patternFill>
    </fill>
    <fill>
      <patternFill patternType="gray125">
        <bgColor theme="8" tint="0.3999450666829432"/>
      </patternFill>
    </fill>
    <fill>
      <patternFill patternType="gray125">
        <bgColor rgb="FFFFCC99"/>
      </patternFill>
    </fill>
    <fill>
      <patternFill patternType="solid">
        <fgColor theme="7" tint="-0.499984740745262"/>
        <bgColor indexed="64"/>
      </patternFill>
    </fill>
    <fill>
      <patternFill patternType="solid">
        <fgColor theme="8" tint="-0.499984740745262"/>
        <bgColor indexed="64"/>
      </patternFill>
    </fill>
    <fill>
      <patternFill patternType="solid">
        <fgColor rgb="FFFFCC00"/>
        <bgColor indexed="64"/>
      </patternFill>
    </fill>
    <fill>
      <patternFill patternType="gray0625">
        <bgColor theme="7" tint="0.3999450666829432"/>
      </patternFill>
    </fill>
    <fill>
      <patternFill patternType="solid">
        <fgColor theme="0" tint="-0.1499984740745262"/>
        <bgColor indexed="64"/>
      </patternFill>
    </fill>
    <fill>
      <patternFill patternType="gray0625">
        <bgColor theme="5" tint="0.7999816888943144"/>
      </patternFill>
    </fill>
  </fills>
  <borders count="54">
    <border>
      <left/>
      <right/>
      <top/>
      <bottom/>
      <diagonal/>
    </border>
    <border>
      <left/>
      <right/>
      <top style="thin">
        <color theme="1"/>
      </top>
      <bottom style="thin">
        <color theme="1"/>
      </bottom>
      <diagonal/>
    </border>
    <border>
      <left/>
      <right/>
      <top/>
      <bottom style="thin">
        <color theme="1"/>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style="medium">
        <color indexed="64"/>
      </top>
      <bottom style="thin">
        <color theme="1"/>
      </bottom>
      <diagonal/>
    </border>
    <border>
      <left/>
      <right/>
      <top style="dotted">
        <color auto="1"/>
      </top>
      <bottom style="dotted">
        <color auto="1"/>
      </bottom>
      <diagonal/>
    </border>
    <border>
      <left style="medium">
        <color indexed="64"/>
      </left>
      <right/>
      <top style="dotted">
        <color auto="1"/>
      </top>
      <bottom style="dotted">
        <color auto="1"/>
      </bottom>
      <diagonal/>
    </border>
    <border>
      <left/>
      <right style="medium">
        <color indexed="64"/>
      </right>
      <top style="dotted">
        <color auto="1"/>
      </top>
      <bottom style="dotted">
        <color auto="1"/>
      </bottom>
      <diagonal/>
    </border>
    <border>
      <left style="medium">
        <color indexed="64"/>
      </left>
      <right/>
      <top style="dotted">
        <color auto="1"/>
      </top>
      <bottom style="medium">
        <color indexed="64"/>
      </bottom>
      <diagonal/>
    </border>
    <border>
      <left/>
      <right/>
      <top style="dotted">
        <color auto="1"/>
      </top>
      <bottom style="medium">
        <color indexed="64"/>
      </bottom>
      <diagonal/>
    </border>
    <border>
      <left/>
      <right style="medium">
        <color indexed="64"/>
      </right>
      <top style="dotted">
        <color auto="1"/>
      </top>
      <bottom style="medium">
        <color indexed="64"/>
      </bottom>
      <diagonal/>
    </border>
    <border>
      <left/>
      <right style="medium">
        <color indexed="64"/>
      </right>
      <top/>
      <bottom style="dotted">
        <color auto="1"/>
      </bottom>
      <diagonal/>
    </border>
    <border>
      <left/>
      <right style="medium">
        <color indexed="64"/>
      </right>
      <top style="dotted">
        <color auto="1"/>
      </top>
      <bottom/>
      <diagonal/>
    </border>
    <border>
      <left/>
      <right/>
      <top style="medium">
        <color indexed="64"/>
      </top>
      <bottom style="thin">
        <color rgb="FF000000"/>
      </bottom>
      <diagonal/>
    </border>
    <border>
      <left/>
      <right style="medium">
        <color indexed="64"/>
      </right>
      <top style="medium">
        <color indexed="64"/>
      </top>
      <bottom style="thin">
        <color rgb="FF000000"/>
      </bottom>
      <diagonal/>
    </border>
    <border>
      <left/>
      <right style="thin">
        <color indexed="64"/>
      </right>
      <top style="medium">
        <color indexed="64"/>
      </top>
      <bottom style="thin">
        <color rgb="FF000000"/>
      </bottom>
      <diagonal/>
    </border>
    <border>
      <left style="thin">
        <color indexed="64"/>
      </left>
      <right/>
      <top style="medium">
        <color indexed="64"/>
      </top>
      <bottom style="thin">
        <color rgb="FF000000"/>
      </bottom>
      <diagonal/>
    </border>
    <border>
      <left style="thin">
        <color indexed="64"/>
      </left>
      <right/>
      <top style="dotted">
        <color auto="1"/>
      </top>
      <bottom style="dotted">
        <color auto="1"/>
      </bottom>
      <diagonal/>
    </border>
    <border>
      <left style="thin">
        <color indexed="64"/>
      </left>
      <right/>
      <top style="dotted">
        <color auto="1"/>
      </top>
      <bottom style="medium">
        <color indexed="64"/>
      </bottom>
      <diagonal/>
    </border>
    <border>
      <left style="medium">
        <color indexed="64"/>
      </left>
      <right/>
      <top/>
      <bottom style="dotted">
        <color auto="1"/>
      </bottom>
      <diagonal/>
    </border>
    <border>
      <left/>
      <right/>
      <top/>
      <bottom style="dotted">
        <color auto="1"/>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medium">
        <color indexed="64"/>
      </left>
      <right/>
      <top style="medium">
        <color indexed="64"/>
      </top>
      <bottom style="medium">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style="medium">
        <color indexed="64"/>
      </right>
      <top style="medium">
        <color indexed="64"/>
      </top>
      <bottom style="thin">
        <color indexed="64"/>
      </bottom>
      <diagonal/>
    </border>
    <border>
      <left/>
      <right/>
      <top style="medium">
        <color indexed="64"/>
      </top>
      <bottom style="thin">
        <color indexed="64"/>
      </bottom>
      <diagonal/>
    </border>
    <border>
      <left style="medium">
        <color indexed="64"/>
      </left>
      <right/>
      <top style="medium">
        <color indexed="64"/>
      </top>
      <bottom style="thin">
        <color indexed="64"/>
      </bottom>
      <diagonal/>
    </border>
    <border>
      <left style="medium">
        <color indexed="64"/>
      </left>
      <right style="medium">
        <color indexed="64"/>
      </right>
      <top style="medium">
        <color indexed="64"/>
      </top>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style="dotted">
        <color auto="1"/>
      </top>
      <bottom style="thin">
        <color rgb="FF000000"/>
      </bottom>
      <diagonal/>
    </border>
    <border>
      <left/>
      <right/>
      <top style="dotted">
        <color auto="1"/>
      </top>
      <bottom/>
      <diagonal/>
    </border>
    <border>
      <left/>
      <right/>
      <top style="medium">
        <color rgb="FF000000"/>
      </top>
      <bottom style="dotted">
        <color auto="1"/>
      </bottom>
      <diagonal/>
    </border>
    <border>
      <left/>
      <right/>
      <top style="dotted">
        <color auto="1"/>
      </top>
      <bottom style="medium">
        <color rgb="FF000000"/>
      </bottom>
      <diagonal/>
    </border>
    <border>
      <left style="medium">
        <color indexed="64"/>
      </left>
      <right/>
      <top style="medium">
        <color indexed="64"/>
      </top>
      <bottom style="dotted">
        <color auto="1"/>
      </bottom>
      <diagonal/>
    </border>
    <border>
      <left/>
      <right/>
      <top style="medium">
        <color indexed="64"/>
      </top>
      <bottom style="dotted">
        <color auto="1"/>
      </bottom>
      <diagonal/>
    </border>
    <border>
      <left style="medium">
        <color indexed="64"/>
      </left>
      <right/>
      <top style="dotted">
        <color auto="1"/>
      </top>
      <bottom/>
      <diagonal/>
    </border>
    <border>
      <left/>
      <right style="medium">
        <color indexed="64"/>
      </right>
      <top style="medium">
        <color indexed="64"/>
      </top>
      <bottom style="dotted">
        <color auto="1"/>
      </bottom>
      <diagonal/>
    </border>
    <border>
      <left style="thin">
        <color indexed="64"/>
      </left>
      <right style="thin">
        <color indexed="64"/>
      </right>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right style="thin"/>
      <top style="thin"/>
      <bottom style="thin"/>
    </border>
  </borders>
  <cellStyleXfs count="11">
    <xf numFmtId="0" fontId="1" fillId="0" borderId="0"/>
    <xf numFmtId="9" fontId="1" fillId="0" borderId="0"/>
    <xf numFmtId="0" fontId="4" fillId="3" borderId="0"/>
    <xf numFmtId="0" fontId="5" fillId="36" borderId="12"/>
    <xf numFmtId="0" fontId="5" fillId="6" borderId="12" applyProtection="1">
      <protection locked="0" hidden="0"/>
    </xf>
    <xf numFmtId="0" fontId="6" fillId="8" borderId="12" applyProtection="1">
      <protection locked="0" hidden="0"/>
    </xf>
    <xf numFmtId="4" fontId="7" fillId="10" borderId="0"/>
    <xf numFmtId="0" fontId="5" fillId="7" borderId="12" applyProtection="1">
      <protection locked="0" hidden="0"/>
    </xf>
    <xf numFmtId="0" fontId="5" fillId="5" borderId="12"/>
    <xf numFmtId="9" fontId="5" fillId="6" borderId="12" applyProtection="1">
      <protection locked="0" hidden="0"/>
    </xf>
    <xf numFmtId="0" fontId="5" fillId="24" borderId="12" applyAlignment="1">
      <alignment horizontal="left"/>
    </xf>
  </cellStyleXfs>
  <cellXfs count="330">
    <xf numFmtId="0" fontId="0" fillId="0" borderId="0" pivotButton="0" quotePrefix="0" xfId="0"/>
    <xf numFmtId="0" fontId="0" fillId="0" borderId="0" applyAlignment="1" pivotButton="0" quotePrefix="0" xfId="0">
      <alignment wrapText="1"/>
    </xf>
    <xf numFmtId="0" fontId="3" fillId="0" borderId="1" pivotButton="0" quotePrefix="0" xfId="0"/>
    <xf numFmtId="0" fontId="0" fillId="2" borderId="0" pivotButton="0" quotePrefix="0" xfId="0"/>
    <xf numFmtId="0" fontId="0" fillId="0" borderId="3" pivotButton="0" quotePrefix="0" xfId="0"/>
    <xf numFmtId="0" fontId="0" fillId="0" borderId="6" pivotButton="0" quotePrefix="0" xfId="0"/>
    <xf numFmtId="0" fontId="0" fillId="0" borderId="7" pivotButton="0" quotePrefix="0" xfId="0"/>
    <xf numFmtId="0" fontId="0" fillId="0" borderId="8" pivotButton="0" quotePrefix="0" xfId="0"/>
    <xf numFmtId="0" fontId="3" fillId="0" borderId="4" pivotButton="0" quotePrefix="0" xfId="0"/>
    <xf numFmtId="0" fontId="5" fillId="36" borderId="12" pivotButton="0" quotePrefix="0" xfId="3"/>
    <xf numFmtId="0" fontId="5" fillId="36" borderId="4" pivotButton="0" quotePrefix="0" xfId="3"/>
    <xf numFmtId="0" fontId="5" fillId="6" borderId="12" applyProtection="1" pivotButton="0" quotePrefix="0" xfId="4">
      <protection locked="0" hidden="0"/>
    </xf>
    <xf numFmtId="0" fontId="5" fillId="36" borderId="0" pivotButton="0" quotePrefix="0" xfId="3"/>
    <xf numFmtId="0" fontId="5" fillId="36" borderId="7" pivotButton="0" quotePrefix="0" xfId="3"/>
    <xf numFmtId="0" fontId="0" fillId="8" borderId="4" pivotButton="0" quotePrefix="0" xfId="0"/>
    <xf numFmtId="0" fontId="5" fillId="36" borderId="5" pivotButton="0" quotePrefix="0" xfId="3"/>
    <xf numFmtId="0" fontId="5" fillId="36" borderId="13" pivotButton="0" quotePrefix="0" xfId="3"/>
    <xf numFmtId="0" fontId="5" fillId="36" borderId="14" pivotButton="0" quotePrefix="0" xfId="3"/>
    <xf numFmtId="0" fontId="5" fillId="36" borderId="15" pivotButton="0" quotePrefix="0" xfId="3"/>
    <xf numFmtId="0" fontId="5" fillId="36" borderId="16" pivotButton="0" quotePrefix="0" xfId="3"/>
    <xf numFmtId="0" fontId="5" fillId="36" borderId="18" pivotButton="0" quotePrefix="0" xfId="3"/>
    <xf numFmtId="0" fontId="5" fillId="36" borderId="19" pivotButton="0" quotePrefix="0" xfId="3"/>
    <xf numFmtId="0" fontId="3" fillId="0" borderId="2" pivotButton="0" quotePrefix="0" xfId="0"/>
    <xf numFmtId="0" fontId="5" fillId="6" borderId="12" applyAlignment="1" applyProtection="1" pivotButton="0" quotePrefix="0" xfId="4">
      <alignment wrapText="1"/>
      <protection locked="0" hidden="0"/>
    </xf>
    <xf numFmtId="0" fontId="3" fillId="8" borderId="20" pivotButton="0" quotePrefix="0" xfId="0"/>
    <xf numFmtId="0" fontId="3" fillId="4" borderId="20" pivotButton="0" quotePrefix="0" xfId="3"/>
    <xf numFmtId="0" fontId="3" fillId="7" borderId="20" pivotButton="0" quotePrefix="0" xfId="0"/>
    <xf numFmtId="0" fontId="3" fillId="8" borderId="22" pivotButton="0" quotePrefix="0" xfId="0"/>
    <xf numFmtId="0" fontId="3" fillId="8" borderId="23" pivotButton="0" quotePrefix="0" xfId="0"/>
    <xf numFmtId="0" fontId="5" fillId="36" borderId="24" pivotButton="0" quotePrefix="0" xfId="3"/>
    <xf numFmtId="0" fontId="5" fillId="36" borderId="25" pivotButton="0" quotePrefix="0" xfId="3"/>
    <xf numFmtId="0" fontId="3" fillId="4" borderId="22" pivotButton="0" quotePrefix="0" xfId="3"/>
    <xf numFmtId="9" fontId="5" fillId="5" borderId="14" pivotButton="0" quotePrefix="0" xfId="1"/>
    <xf numFmtId="9" fontId="5" fillId="6" borderId="12" pivotButton="0" quotePrefix="0" xfId="1"/>
    <xf numFmtId="9" fontId="0" fillId="0" borderId="0" pivotButton="0" quotePrefix="0" xfId="1"/>
    <xf numFmtId="4" fontId="5" fillId="36" borderId="12" pivotButton="0" quotePrefix="0" xfId="3"/>
    <xf numFmtId="0" fontId="3" fillId="9" borderId="11" pivotButton="0" quotePrefix="0" xfId="0"/>
    <xf numFmtId="0" fontId="6" fillId="8" borderId="12" applyProtection="1" pivotButton="0" quotePrefix="0" xfId="5">
      <protection locked="0" hidden="0"/>
    </xf>
    <xf numFmtId="0" fontId="6" fillId="8" borderId="12" applyAlignment="1" applyProtection="1" pivotButton="0" quotePrefix="0" xfId="5">
      <alignment wrapText="1"/>
      <protection locked="0" hidden="0"/>
    </xf>
    <xf numFmtId="9" fontId="0" fillId="0" borderId="14" pivotButton="0" quotePrefix="0" xfId="1"/>
    <xf numFmtId="0" fontId="5" fillId="6" borderId="14" applyProtection="1" pivotButton="0" quotePrefix="0" xfId="4">
      <protection locked="0" hidden="0"/>
    </xf>
    <xf numFmtId="0" fontId="5" fillId="6" borderId="12" pivotButton="0" quotePrefix="0" xfId="1"/>
    <xf numFmtId="0" fontId="5" fillId="36" borderId="27" pivotButton="0" quotePrefix="0" xfId="3"/>
    <xf numFmtId="49" fontId="5" fillId="36" borderId="12" applyAlignment="1" pivotButton="0" quotePrefix="0" xfId="3">
      <alignment horizontal="right"/>
    </xf>
    <xf numFmtId="9" fontId="5" fillId="5" borderId="27" pivotButton="0" quotePrefix="0" xfId="1"/>
    <xf numFmtId="9" fontId="5" fillId="5" borderId="12" pivotButton="0" quotePrefix="0" xfId="1"/>
    <xf numFmtId="0" fontId="0" fillId="0" borderId="0" applyAlignment="1" pivotButton="0" quotePrefix="0" xfId="0">
      <alignment horizontal="right"/>
    </xf>
    <xf numFmtId="0" fontId="5" fillId="36" borderId="12" applyAlignment="1" pivotButton="0" quotePrefix="0" xfId="3">
      <alignment horizontal="right"/>
    </xf>
    <xf numFmtId="4" fontId="5" fillId="6" borderId="12" applyProtection="1" pivotButton="0" quotePrefix="0" xfId="4">
      <protection locked="0" hidden="0"/>
    </xf>
    <xf numFmtId="164" fontId="5" fillId="6" borderId="12" pivotButton="0" quotePrefix="0" xfId="1"/>
    <xf numFmtId="164" fontId="3" fillId="7" borderId="20" pivotButton="0" quotePrefix="0" xfId="0"/>
    <xf numFmtId="164" fontId="3" fillId="7" borderId="21" pivotButton="0" quotePrefix="0" xfId="0"/>
    <xf numFmtId="164" fontId="5" fillId="5" borderId="14" pivotButton="0" quotePrefix="0" xfId="1"/>
    <xf numFmtId="164" fontId="5" fillId="36" borderId="12" pivotButton="0" quotePrefix="0" xfId="3"/>
    <xf numFmtId="164" fontId="0" fillId="0" borderId="0" pivotButton="0" quotePrefix="0" xfId="0"/>
    <xf numFmtId="10" fontId="5" fillId="6" borderId="14" pivotButton="0" quotePrefix="0" xfId="1"/>
    <xf numFmtId="10" fontId="5" fillId="6" borderId="12" pivotButton="0" quotePrefix="0" xfId="1"/>
    <xf numFmtId="0" fontId="0" fillId="0" borderId="10" applyAlignment="1" pivotButton="0" quotePrefix="0" xfId="0">
      <alignment wrapText="1"/>
    </xf>
    <xf numFmtId="0" fontId="0" fillId="0" borderId="9" applyAlignment="1" pivotButton="0" quotePrefix="0" xfId="0">
      <alignment wrapText="1"/>
    </xf>
    <xf numFmtId="0" fontId="0" fillId="0" borderId="7" applyAlignment="1" pivotButton="0" quotePrefix="0" xfId="0">
      <alignment wrapText="1"/>
    </xf>
    <xf numFmtId="9" fontId="9" fillId="12" borderId="28" applyAlignment="1" pivotButton="0" quotePrefix="0" xfId="1">
      <alignment vertical="center" wrapText="1"/>
    </xf>
    <xf numFmtId="9" fontId="9" fillId="13" borderId="29" applyAlignment="1" pivotButton="0" quotePrefix="0" xfId="1">
      <alignment vertical="center" wrapText="1"/>
    </xf>
    <xf numFmtId="9" fontId="9" fillId="14" borderId="29" applyAlignment="1" pivotButton="0" quotePrefix="0" xfId="1">
      <alignment vertical="center" wrapText="1"/>
    </xf>
    <xf numFmtId="9" fontId="9" fillId="15" borderId="29" applyAlignment="1" pivotButton="0" quotePrefix="0" xfId="1">
      <alignment vertical="center" wrapText="1"/>
    </xf>
    <xf numFmtId="0" fontId="0" fillId="0" borderId="30" pivotButton="0" quotePrefix="0" xfId="0"/>
    <xf numFmtId="9" fontId="9" fillId="12" borderId="10" applyAlignment="1" pivotButton="0" quotePrefix="0" xfId="1">
      <alignment vertical="center" wrapText="1"/>
    </xf>
    <xf numFmtId="9" fontId="9" fillId="13" borderId="9" applyAlignment="1" pivotButton="0" quotePrefix="0" xfId="1">
      <alignment vertical="center" wrapText="1"/>
    </xf>
    <xf numFmtId="9" fontId="9" fillId="14" borderId="9" applyAlignment="1" pivotButton="0" quotePrefix="0" xfId="1">
      <alignment vertical="center" wrapText="1"/>
    </xf>
    <xf numFmtId="9" fontId="9" fillId="15" borderId="9" applyAlignment="1" pivotButton="0" quotePrefix="0" xfId="1">
      <alignment vertical="center" wrapText="1"/>
    </xf>
    <xf numFmtId="9" fontId="9" fillId="15" borderId="8" applyAlignment="1" pivotButton="0" quotePrefix="0" xfId="1">
      <alignment vertical="center" wrapText="1"/>
    </xf>
    <xf numFmtId="0" fontId="9" fillId="12" borderId="7" applyAlignment="1" pivotButton="0" quotePrefix="0" xfId="0">
      <alignment vertical="center" wrapText="1"/>
    </xf>
    <xf numFmtId="0" fontId="9" fillId="13" borderId="0" applyAlignment="1" pivotButton="0" quotePrefix="0" xfId="0">
      <alignment vertical="center" wrapText="1"/>
    </xf>
    <xf numFmtId="0" fontId="9" fillId="14" borderId="0" applyAlignment="1" pivotButton="0" quotePrefix="0" xfId="0">
      <alignment vertical="center" wrapText="1"/>
    </xf>
    <xf numFmtId="0" fontId="9" fillId="15" borderId="6" applyAlignment="1" pivotButton="0" quotePrefix="0" xfId="0">
      <alignment vertical="center" wrapText="1"/>
    </xf>
    <xf numFmtId="0" fontId="9" fillId="17" borderId="5" applyAlignment="1" pivotButton="0" quotePrefix="0" xfId="0">
      <alignment vertical="center" wrapText="1"/>
    </xf>
    <xf numFmtId="9" fontId="9" fillId="18" borderId="29" applyAlignment="1" pivotButton="0" quotePrefix="0" xfId="0">
      <alignment vertical="center" wrapText="1"/>
    </xf>
    <xf numFmtId="0" fontId="9" fillId="19" borderId="29" applyAlignment="1" pivotButton="0" quotePrefix="0" xfId="0">
      <alignment vertical="center" wrapText="1"/>
    </xf>
    <xf numFmtId="0" fontId="9" fillId="20" borderId="30" applyAlignment="1" pivotButton="0" quotePrefix="0" xfId="0">
      <alignment vertical="center" wrapText="1"/>
    </xf>
    <xf numFmtId="165" fontId="0" fillId="21" borderId="28" applyAlignment="1" pivotButton="0" quotePrefix="0" xfId="0">
      <alignment wrapText="1"/>
    </xf>
    <xf numFmtId="165" fontId="0" fillId="21" borderId="29" applyAlignment="1" pivotButton="0" quotePrefix="0" xfId="0">
      <alignment wrapText="1"/>
    </xf>
    <xf numFmtId="165" fontId="0" fillId="21" borderId="30" applyAlignment="1" pivotButton="0" quotePrefix="0" xfId="0">
      <alignment wrapText="1"/>
    </xf>
    <xf numFmtId="9" fontId="9" fillId="22" borderId="28" applyAlignment="1" pivotButton="0" quotePrefix="0" xfId="1">
      <alignment vertical="center" wrapText="1"/>
    </xf>
    <xf numFmtId="165" fontId="9" fillId="23" borderId="29" applyAlignment="1" pivotButton="0" quotePrefix="0" xfId="0">
      <alignment vertical="center" wrapText="1"/>
    </xf>
    <xf numFmtId="164" fontId="0" fillId="12" borderId="30" applyAlignment="1" pivotButton="0" quotePrefix="0" xfId="1">
      <alignment wrapText="1"/>
    </xf>
    <xf numFmtId="0" fontId="9" fillId="12" borderId="29" applyAlignment="1" pivotButton="0" quotePrefix="0" xfId="0">
      <alignment vertical="center" wrapText="1"/>
    </xf>
    <xf numFmtId="9" fontId="9" fillId="22" borderId="29" applyAlignment="1" pivotButton="0" quotePrefix="0" xfId="1">
      <alignment vertical="center" wrapText="1"/>
    </xf>
    <xf numFmtId="9" fontId="9" fillId="12" borderId="30" applyAlignment="1" pivotButton="0" quotePrefix="0" xfId="1">
      <alignment vertical="center" wrapText="1"/>
    </xf>
    <xf numFmtId="0" fontId="9" fillId="24" borderId="30" applyAlignment="1" pivotButton="0" quotePrefix="0" xfId="0">
      <alignment vertical="center" wrapText="1"/>
    </xf>
    <xf numFmtId="165" fontId="9" fillId="21" borderId="7" applyAlignment="1" pivotButton="0" quotePrefix="0" xfId="0">
      <alignment vertical="center" wrapText="1"/>
    </xf>
    <xf numFmtId="165" fontId="0" fillId="21" borderId="0" applyAlignment="1" pivotButton="0" quotePrefix="0" xfId="0">
      <alignment wrapText="1"/>
    </xf>
    <xf numFmtId="165" fontId="0" fillId="21" borderId="6" applyAlignment="1" pivotButton="0" quotePrefix="0" xfId="0">
      <alignment wrapText="1"/>
    </xf>
    <xf numFmtId="9" fontId="9" fillId="22" borderId="7" applyAlignment="1" pivotButton="0" quotePrefix="0" xfId="1">
      <alignment vertical="center" wrapText="1"/>
    </xf>
    <xf numFmtId="165" fontId="9" fillId="23" borderId="0" applyAlignment="1" pivotButton="0" quotePrefix="0" xfId="0">
      <alignment vertical="center" wrapText="1"/>
    </xf>
    <xf numFmtId="10" fontId="0" fillId="12" borderId="6" applyAlignment="1" pivotButton="0" quotePrefix="0" xfId="0">
      <alignment wrapText="1"/>
    </xf>
    <xf numFmtId="0" fontId="9" fillId="12" borderId="0" applyAlignment="1" pivotButton="0" quotePrefix="0" xfId="0">
      <alignment vertical="center" wrapText="1"/>
    </xf>
    <xf numFmtId="9" fontId="9" fillId="22" borderId="0" applyAlignment="1" pivotButton="0" quotePrefix="0" xfId="0">
      <alignment vertical="center" wrapText="1"/>
    </xf>
    <xf numFmtId="10" fontId="9" fillId="12" borderId="6" applyAlignment="1" pivotButton="0" quotePrefix="0" xfId="0">
      <alignment vertical="center" wrapText="1"/>
    </xf>
    <xf numFmtId="0" fontId="9" fillId="0" borderId="6" applyAlignment="1" pivotButton="0" quotePrefix="0" xfId="0">
      <alignment vertical="center" wrapText="1"/>
    </xf>
    <xf numFmtId="0" fontId="9" fillId="25" borderId="7" applyAlignment="1" pivotButton="0" quotePrefix="0" xfId="0">
      <alignment vertical="top" wrapText="1"/>
    </xf>
    <xf numFmtId="0" fontId="0" fillId="25" borderId="0" applyAlignment="1" pivotButton="0" quotePrefix="0" xfId="0">
      <alignment vertical="top" wrapText="1"/>
    </xf>
    <xf numFmtId="0" fontId="0" fillId="25" borderId="6" applyAlignment="1" pivotButton="0" quotePrefix="0" xfId="0">
      <alignment vertical="top" wrapText="1"/>
    </xf>
    <xf numFmtId="0" fontId="9" fillId="17" borderId="0" applyAlignment="1" pivotButton="0" quotePrefix="0" xfId="0">
      <alignment vertical="center" wrapText="1"/>
    </xf>
    <xf numFmtId="0" fontId="9" fillId="17" borderId="6" applyAlignment="1" pivotButton="0" quotePrefix="0" xfId="0">
      <alignment vertical="center" wrapText="1"/>
    </xf>
    <xf numFmtId="0" fontId="9" fillId="16" borderId="6" applyAlignment="1" pivotButton="0" quotePrefix="0" xfId="0">
      <alignment vertical="center" wrapText="1"/>
    </xf>
    <xf numFmtId="0" fontId="9" fillId="13" borderId="28" applyAlignment="1" pivotButton="0" quotePrefix="0" xfId="0">
      <alignment vertical="center" wrapText="1"/>
    </xf>
    <xf numFmtId="9" fontId="9" fillId="13" borderId="29" applyAlignment="1" pivotButton="0" quotePrefix="0" xfId="0">
      <alignment vertical="center" wrapText="1"/>
    </xf>
    <xf numFmtId="9" fontId="9" fillId="28" borderId="29" applyAlignment="1" pivotButton="0" quotePrefix="0" xfId="0">
      <alignment vertical="center" wrapText="1"/>
    </xf>
    <xf numFmtId="0" fontId="9" fillId="13" borderId="29" applyAlignment="1" pivotButton="0" quotePrefix="0" xfId="0">
      <alignment vertical="center" wrapText="1"/>
    </xf>
    <xf numFmtId="9" fontId="9" fillId="13" borderId="30" applyAlignment="1" pivotButton="0" quotePrefix="0" xfId="1">
      <alignment vertical="center" wrapText="1"/>
    </xf>
    <xf numFmtId="0" fontId="9" fillId="14" borderId="28" applyAlignment="1" pivotButton="0" quotePrefix="0" xfId="0">
      <alignment vertical="center" wrapText="1"/>
    </xf>
    <xf numFmtId="9" fontId="9" fillId="29" borderId="29" applyAlignment="1" pivotButton="0" quotePrefix="0" xfId="1">
      <alignment vertical="center" wrapText="1"/>
    </xf>
    <xf numFmtId="0" fontId="9" fillId="14" borderId="29" applyAlignment="1" pivotButton="0" quotePrefix="0" xfId="0">
      <alignment vertical="center" wrapText="1"/>
    </xf>
    <xf numFmtId="9" fontId="9" fillId="14" borderId="30" applyAlignment="1" pivotButton="0" quotePrefix="0" xfId="1">
      <alignment vertical="center" wrapText="1"/>
    </xf>
    <xf numFmtId="0" fontId="9" fillId="15" borderId="28" applyAlignment="1" pivotButton="0" quotePrefix="0" xfId="0">
      <alignment vertical="center" wrapText="1"/>
    </xf>
    <xf numFmtId="9" fontId="9" fillId="30" borderId="29" applyAlignment="1" pivotButton="0" quotePrefix="0" xfId="0">
      <alignment vertical="center" wrapText="1"/>
    </xf>
    <xf numFmtId="0" fontId="9" fillId="15" borderId="30" applyAlignment="1" pivotButton="0" quotePrefix="0" xfId="0">
      <alignment vertical="center" wrapText="1"/>
    </xf>
    <xf numFmtId="0" fontId="9" fillId="13" borderId="7" applyAlignment="1" pivotButton="0" quotePrefix="0" xfId="0">
      <alignment vertical="center" wrapText="1"/>
    </xf>
    <xf numFmtId="9" fontId="9" fillId="13" borderId="0" applyAlignment="1" pivotButton="0" quotePrefix="0" xfId="0">
      <alignment vertical="center" wrapText="1"/>
    </xf>
    <xf numFmtId="9" fontId="9" fillId="28" borderId="0" applyAlignment="1" pivotButton="0" quotePrefix="0" xfId="0">
      <alignment vertical="center" wrapText="1"/>
    </xf>
    <xf numFmtId="9" fontId="9" fillId="13" borderId="6" applyAlignment="1" pivotButton="0" quotePrefix="0" xfId="0">
      <alignment vertical="center" wrapText="1"/>
    </xf>
    <xf numFmtId="9" fontId="9" fillId="14" borderId="7" applyAlignment="1" pivotButton="0" quotePrefix="0" xfId="0">
      <alignment vertical="center" wrapText="1"/>
    </xf>
    <xf numFmtId="9" fontId="9" fillId="29" borderId="0" applyAlignment="1" pivotButton="0" quotePrefix="0" xfId="0">
      <alignment vertical="center" wrapText="1"/>
    </xf>
    <xf numFmtId="9" fontId="9" fillId="14" borderId="6" applyAlignment="1" pivotButton="0" quotePrefix="0" xfId="0">
      <alignment vertical="center" wrapText="1"/>
    </xf>
    <xf numFmtId="9" fontId="9" fillId="15" borderId="7" applyAlignment="1" pivotButton="0" quotePrefix="0" xfId="1">
      <alignment vertical="center" wrapText="1"/>
    </xf>
    <xf numFmtId="9" fontId="9" fillId="30" borderId="0" applyAlignment="1" pivotButton="0" quotePrefix="0" xfId="1">
      <alignment vertical="center" wrapText="1"/>
    </xf>
    <xf numFmtId="9" fontId="9" fillId="18" borderId="28" applyAlignment="1" pivotButton="0" quotePrefix="0" xfId="0">
      <alignment vertical="center" wrapText="1"/>
    </xf>
    <xf numFmtId="9" fontId="9" fillId="18" borderId="30" applyAlignment="1" pivotButton="0" quotePrefix="0" xfId="0">
      <alignment vertical="center" wrapText="1"/>
    </xf>
    <xf numFmtId="0" fontId="9" fillId="19" borderId="28" applyAlignment="1" pivotButton="0" quotePrefix="0" xfId="0">
      <alignment vertical="center" wrapText="1"/>
    </xf>
    <xf numFmtId="0" fontId="9" fillId="19" borderId="30" applyAlignment="1" pivotButton="0" quotePrefix="0" xfId="0">
      <alignment vertical="center" wrapText="1"/>
    </xf>
    <xf numFmtId="0" fontId="9" fillId="20" borderId="28" applyAlignment="1" pivotButton="0" quotePrefix="0" xfId="0">
      <alignment vertical="center" wrapText="1"/>
    </xf>
    <xf numFmtId="0" fontId="9" fillId="20" borderId="29" applyAlignment="1" pivotButton="0" quotePrefix="0" xfId="0">
      <alignment vertical="center" wrapText="1"/>
    </xf>
    <xf numFmtId="9" fontId="0" fillId="12" borderId="30" applyAlignment="1" pivotButton="0" quotePrefix="0" xfId="1">
      <alignment wrapText="1"/>
    </xf>
    <xf numFmtId="0" fontId="9" fillId="22" borderId="29" applyAlignment="1" pivotButton="0" quotePrefix="0" xfId="0">
      <alignment vertical="center" wrapText="1"/>
    </xf>
    <xf numFmtId="165" fontId="9" fillId="21" borderId="7" applyAlignment="1" pivotButton="0" quotePrefix="0" xfId="0">
      <alignment horizontal="center" vertical="center" wrapText="1"/>
    </xf>
    <xf numFmtId="165" fontId="0" fillId="21" borderId="0" applyAlignment="1" pivotButton="0" quotePrefix="0" xfId="0">
      <alignment horizontal="center" vertical="center" wrapText="1"/>
    </xf>
    <xf numFmtId="165" fontId="0" fillId="21" borderId="6" applyAlignment="1" pivotButton="0" quotePrefix="0" xfId="0">
      <alignment horizontal="center" vertical="center" wrapText="1"/>
    </xf>
    <xf numFmtId="9" fontId="9" fillId="34" borderId="29" applyAlignment="1" pivotButton="0" quotePrefix="0" xfId="0">
      <alignment vertical="center" wrapText="1"/>
    </xf>
    <xf numFmtId="0" fontId="9" fillId="29" borderId="29" applyAlignment="1" pivotButton="0" quotePrefix="0" xfId="0">
      <alignment vertical="center" wrapText="1"/>
    </xf>
    <xf numFmtId="0" fontId="9" fillId="15" borderId="29" applyAlignment="1" pivotButton="0" quotePrefix="0" xfId="0">
      <alignment vertical="center" wrapText="1"/>
    </xf>
    <xf numFmtId="9" fontId="9" fillId="34" borderId="0" applyAlignment="1" pivotButton="0" quotePrefix="0" xfId="0">
      <alignment vertical="center" wrapText="1"/>
    </xf>
    <xf numFmtId="0" fontId="9" fillId="13" borderId="6" applyAlignment="1" pivotButton="0" quotePrefix="0" xfId="0">
      <alignment vertical="center" wrapText="1"/>
    </xf>
    <xf numFmtId="0" fontId="0" fillId="14" borderId="7" applyAlignment="1" pivotButton="0" quotePrefix="0" xfId="0">
      <alignment wrapText="1"/>
    </xf>
    <xf numFmtId="0" fontId="9" fillId="35" borderId="5" applyAlignment="1" pivotButton="0" quotePrefix="0" xfId="0">
      <alignment horizontal="center" vertical="center" wrapText="1"/>
    </xf>
    <xf numFmtId="0" fontId="9" fillId="35" borderId="4" applyAlignment="1" pivotButton="0" quotePrefix="0" xfId="0">
      <alignment horizontal="center" vertical="center" wrapText="1"/>
    </xf>
    <xf numFmtId="0" fontId="9" fillId="35" borderId="28" applyAlignment="1" pivotButton="0" quotePrefix="0" xfId="0">
      <alignment horizontal="center" vertical="center" wrapText="1"/>
    </xf>
    <xf numFmtId="0" fontId="9" fillId="35" borderId="30" applyAlignment="1" pivotButton="0" quotePrefix="0" xfId="0">
      <alignment horizontal="center" vertical="center" wrapText="1"/>
    </xf>
    <xf numFmtId="0" fontId="9" fillId="0" borderId="31" applyAlignment="1" pivotButton="0" quotePrefix="0" xfId="0">
      <alignment horizontal="left" vertical="center" wrapText="1"/>
    </xf>
    <xf numFmtId="0" fontId="9" fillId="0" borderId="32" applyAlignment="1" pivotButton="0" quotePrefix="0" xfId="0">
      <alignment horizontal="left" vertical="center" wrapText="1"/>
    </xf>
    <xf numFmtId="0" fontId="9" fillId="0" borderId="33" applyAlignment="1" pivotButton="0" quotePrefix="0" xfId="0">
      <alignment horizontal="left" vertical="center" wrapText="1"/>
    </xf>
    <xf numFmtId="0" fontId="0" fillId="0" borderId="32" applyAlignment="1" pivotButton="0" quotePrefix="0" xfId="0">
      <alignment horizontal="left" wrapText="1"/>
    </xf>
    <xf numFmtId="0" fontId="9" fillId="11" borderId="7" applyAlignment="1" pivotButton="0" quotePrefix="0" xfId="0">
      <alignment vertical="center" wrapText="1"/>
    </xf>
    <xf numFmtId="0" fontId="8" fillId="11" borderId="37" applyAlignment="1" pivotButton="0" quotePrefix="0" xfId="0">
      <alignment vertical="center" wrapText="1"/>
    </xf>
    <xf numFmtId="0" fontId="9" fillId="0" borderId="38" applyAlignment="1" pivotButton="0" quotePrefix="0" xfId="0">
      <alignment vertical="center" wrapText="1"/>
    </xf>
    <xf numFmtId="0" fontId="11" fillId="0" borderId="33" applyAlignment="1" pivotButton="0" quotePrefix="0" xfId="0">
      <alignment horizontal="left"/>
    </xf>
    <xf numFmtId="0" fontId="0" fillId="0" borderId="39" applyAlignment="1" pivotButton="0" quotePrefix="0" xfId="0">
      <alignment horizontal="left" wrapText="1"/>
    </xf>
    <xf numFmtId="0" fontId="9" fillId="0" borderId="39" applyAlignment="1" pivotButton="0" quotePrefix="0" xfId="0">
      <alignment horizontal="left" vertical="center" wrapText="1"/>
    </xf>
    <xf numFmtId="0" fontId="8" fillId="11" borderId="5" applyAlignment="1" pivotButton="0" quotePrefix="0" xfId="0">
      <alignment vertical="center" wrapText="1"/>
    </xf>
    <xf numFmtId="0" fontId="9" fillId="0" borderId="40" applyAlignment="1" pivotButton="0" quotePrefix="0" xfId="0">
      <alignment horizontal="left" vertical="center" wrapText="1"/>
    </xf>
    <xf numFmtId="9" fontId="9" fillId="15" borderId="4" applyAlignment="1" pivotButton="0" quotePrefix="0" xfId="1">
      <alignment vertical="center" wrapText="1"/>
    </xf>
    <xf numFmtId="9" fontId="9" fillId="14" borderId="4" applyAlignment="1" pivotButton="0" quotePrefix="0" xfId="1">
      <alignment vertical="center" wrapText="1"/>
    </xf>
    <xf numFmtId="9" fontId="9" fillId="13" borderId="4" applyAlignment="1" pivotButton="0" quotePrefix="0" xfId="1">
      <alignment vertical="center" wrapText="1"/>
    </xf>
    <xf numFmtId="9" fontId="9" fillId="12" borderId="5" applyAlignment="1" pivotButton="0" quotePrefix="0" xfId="1">
      <alignment vertical="center" wrapText="1"/>
    </xf>
    <xf numFmtId="0" fontId="9" fillId="15" borderId="3" applyAlignment="1" pivotButton="0" quotePrefix="0" xfId="0">
      <alignment vertical="center" wrapText="1"/>
    </xf>
    <xf numFmtId="0" fontId="9" fillId="14" borderId="4" applyAlignment="1" pivotButton="0" quotePrefix="0" xfId="0">
      <alignment vertical="center" wrapText="1"/>
    </xf>
    <xf numFmtId="0" fontId="9" fillId="13" borderId="4" applyAlignment="1" pivotButton="0" quotePrefix="0" xfId="0">
      <alignment vertical="center" wrapText="1"/>
    </xf>
    <xf numFmtId="0" fontId="9" fillId="12" borderId="5" applyAlignment="1" pivotButton="0" quotePrefix="0" xfId="0">
      <alignment vertical="center" wrapText="1"/>
    </xf>
    <xf numFmtId="0" fontId="0" fillId="17" borderId="7" applyAlignment="1" pivotButton="0" quotePrefix="0" xfId="0">
      <alignment wrapText="1"/>
    </xf>
    <xf numFmtId="0" fontId="9" fillId="16" borderId="30" applyAlignment="1" pivotButton="0" quotePrefix="0" xfId="0">
      <alignment vertical="center" wrapText="1"/>
    </xf>
    <xf numFmtId="164" fontId="5" fillId="6" borderId="14" pivotButton="0" quotePrefix="0" xfId="1"/>
    <xf numFmtId="164" fontId="5" fillId="36" borderId="13" pivotButton="0" quotePrefix="0" xfId="3"/>
    <xf numFmtId="164" fontId="5" fillId="6" borderId="0" pivotButton="0" quotePrefix="0" xfId="1"/>
    <xf numFmtId="0" fontId="3" fillId="9" borderId="20" pivotButton="0" quotePrefix="0" xfId="0"/>
    <xf numFmtId="0" fontId="3" fillId="9" borderId="41" applyProtection="1" pivotButton="0" quotePrefix="0" xfId="4">
      <protection locked="0" hidden="0"/>
    </xf>
    <xf numFmtId="164" fontId="5" fillId="6" borderId="9" pivotButton="0" quotePrefix="0" xfId="1"/>
    <xf numFmtId="164" fontId="5" fillId="6" borderId="17" pivotButton="0" quotePrefix="0" xfId="1"/>
    <xf numFmtId="0" fontId="5" fillId="36" borderId="26" pivotButton="0" quotePrefix="0" xfId="3"/>
    <xf numFmtId="164" fontId="5" fillId="6" borderId="18" pivotButton="0" quotePrefix="0" xfId="1"/>
    <xf numFmtId="0" fontId="3" fillId="7" borderId="0" pivotButton="0" quotePrefix="0" xfId="0"/>
    <xf numFmtId="164" fontId="3" fillId="7" borderId="0" pivotButton="0" quotePrefix="0" xfId="1"/>
    <xf numFmtId="164" fontId="3" fillId="7" borderId="0" pivotButton="0" quotePrefix="0" xfId="0"/>
    <xf numFmtId="9" fontId="0" fillId="0" borderId="12" pivotButton="0" quotePrefix="0" xfId="1"/>
    <xf numFmtId="9" fontId="5" fillId="6" borderId="0" pivotButton="0" quotePrefix="0" xfId="1"/>
    <xf numFmtId="9" fontId="0" fillId="0" borderId="17" pivotButton="0" quotePrefix="0" xfId="1"/>
    <xf numFmtId="10" fontId="5" fillId="6" borderId="12" applyProtection="1" pivotButton="0" quotePrefix="0" xfId="4">
      <protection locked="0" hidden="0"/>
    </xf>
    <xf numFmtId="0" fontId="5" fillId="6" borderId="27" applyProtection="1" pivotButton="0" quotePrefix="0" xfId="4">
      <protection locked="0" hidden="0"/>
    </xf>
    <xf numFmtId="0" fontId="5" fillId="36" borderId="42" pivotButton="0" quotePrefix="0" xfId="3"/>
    <xf numFmtId="0" fontId="5" fillId="6" borderId="42" applyProtection="1" pivotButton="0" quotePrefix="0" xfId="4">
      <protection locked="0" hidden="0"/>
    </xf>
    <xf numFmtId="2" fontId="5" fillId="6" borderId="12" applyProtection="1" pivotButton="0" quotePrefix="0" xfId="4">
      <protection locked="0" hidden="0"/>
    </xf>
    <xf numFmtId="2" fontId="5" fillId="6" borderId="12" applyAlignment="1" applyProtection="1" pivotButton="0" quotePrefix="0" xfId="4">
      <alignment wrapText="1"/>
      <protection locked="0" hidden="0"/>
    </xf>
    <xf numFmtId="0" fontId="5" fillId="7" borderId="12" applyProtection="1" pivotButton="0" quotePrefix="0" xfId="7">
      <protection locked="0" hidden="0"/>
    </xf>
    <xf numFmtId="9" fontId="5" fillId="36" borderId="12" pivotButton="0" quotePrefix="0" xfId="1"/>
    <xf numFmtId="16" fontId="0" fillId="0" borderId="0" pivotButton="0" quotePrefix="0" xfId="0"/>
    <xf numFmtId="9" fontId="5" fillId="6" borderId="12" applyProtection="1" pivotButton="0" quotePrefix="0" xfId="9">
      <protection locked="0" hidden="0"/>
    </xf>
    <xf numFmtId="0" fontId="5" fillId="24" borderId="12" applyAlignment="1" pivotButton="0" quotePrefix="0" xfId="10">
      <alignment horizontal="left"/>
    </xf>
    <xf numFmtId="0" fontId="6" fillId="8" borderId="12" applyProtection="1" pivotButton="0" quotePrefix="0" xfId="5">
      <protection locked="0" hidden="0"/>
    </xf>
    <xf numFmtId="0" fontId="12" fillId="0" borderId="0" pivotButton="0" quotePrefix="0" xfId="0"/>
    <xf numFmtId="0" fontId="13" fillId="0" borderId="0" pivotButton="0" quotePrefix="0" xfId="0"/>
    <xf numFmtId="0" fontId="5" fillId="6" borderId="16" applyProtection="1" pivotButton="0" quotePrefix="0" xfId="4">
      <protection locked="0" hidden="0"/>
    </xf>
    <xf numFmtId="9" fontId="5" fillId="6" borderId="12" applyProtection="1" pivotButton="0" quotePrefix="0" xfId="1">
      <protection locked="0" hidden="0"/>
    </xf>
    <xf numFmtId="164" fontId="5" fillId="5" borderId="13" pivotButton="0" quotePrefix="0" xfId="8"/>
    <xf numFmtId="164" fontId="0" fillId="0" borderId="0" pivotButton="0" quotePrefix="0" xfId="1"/>
    <xf numFmtId="9" fontId="0" fillId="0" borderId="0" pivotButton="0" quotePrefix="0" xfId="0"/>
    <xf numFmtId="0" fontId="0" fillId="0" borderId="0" applyAlignment="1" pivotButton="0" quotePrefix="0" xfId="0">
      <alignment horizontal="center"/>
    </xf>
    <xf numFmtId="10" fontId="0" fillId="0" borderId="0" pivotButton="0" quotePrefix="0" xfId="0"/>
    <xf numFmtId="10" fontId="5" fillId="6" borderId="12" pivotButton="0" quotePrefix="0" xfId="4"/>
    <xf numFmtId="0" fontId="5" fillId="6" borderId="12" pivotButton="0" quotePrefix="0" xfId="4"/>
    <xf numFmtId="166" fontId="0" fillId="0" borderId="0" pivotButton="0" quotePrefix="0" xfId="0"/>
    <xf numFmtId="0" fontId="0" fillId="0" borderId="0" applyAlignment="1" pivotButton="0" quotePrefix="0" xfId="0">
      <alignment horizontal="left" wrapText="1"/>
    </xf>
    <xf numFmtId="0" fontId="0" fillId="0" borderId="0" applyAlignment="1" pivotButton="0" quotePrefix="0" xfId="0">
      <alignment horizontal="center" wrapText="1"/>
    </xf>
    <xf numFmtId="0" fontId="9" fillId="27" borderId="30" applyAlignment="1" pivotButton="0" quotePrefix="0" xfId="0">
      <alignment horizontal="center" vertical="top" wrapText="1"/>
    </xf>
    <xf numFmtId="0" fontId="9" fillId="27" borderId="29" applyAlignment="1" pivotButton="0" quotePrefix="0" xfId="0">
      <alignment horizontal="center" vertical="top" wrapText="1"/>
    </xf>
    <xf numFmtId="0" fontId="9" fillId="27" borderId="28" applyAlignment="1" pivotButton="0" quotePrefix="0" xfId="0">
      <alignment horizontal="center" vertical="top" wrapText="1"/>
    </xf>
    <xf numFmtId="0" fontId="9" fillId="26" borderId="30" applyAlignment="1" pivotButton="0" quotePrefix="0" xfId="0">
      <alignment horizontal="center" vertical="top" wrapText="1"/>
    </xf>
    <xf numFmtId="0" fontId="9" fillId="26" borderId="29" applyAlignment="1" pivotButton="0" quotePrefix="0" xfId="0">
      <alignment horizontal="center" vertical="top" wrapText="1"/>
    </xf>
    <xf numFmtId="0" fontId="9" fillId="26" borderId="28" applyAlignment="1" pivotButton="0" quotePrefix="0" xfId="0">
      <alignment horizontal="center" vertical="top" wrapText="1"/>
    </xf>
    <xf numFmtId="0" fontId="0" fillId="16" borderId="30" applyAlignment="1" pivotButton="0" quotePrefix="0" xfId="0">
      <alignment horizontal="center"/>
    </xf>
    <xf numFmtId="0" fontId="0" fillId="16" borderId="29" applyAlignment="1" pivotButton="0" quotePrefix="0" xfId="0">
      <alignment horizontal="center"/>
    </xf>
    <xf numFmtId="0" fontId="0" fillId="16" borderId="28" applyAlignment="1" pivotButton="0" quotePrefix="0" xfId="0">
      <alignment horizontal="center"/>
    </xf>
    <xf numFmtId="0" fontId="0" fillId="16" borderId="3" applyAlignment="1" pivotButton="0" quotePrefix="0" xfId="0">
      <alignment horizontal="center"/>
    </xf>
    <xf numFmtId="0" fontId="0" fillId="16" borderId="4" applyAlignment="1" pivotButton="0" quotePrefix="0" xfId="0">
      <alignment horizontal="center"/>
    </xf>
    <xf numFmtId="0" fontId="0" fillId="16" borderId="5" applyAlignment="1" pivotButton="0" quotePrefix="0" xfId="0">
      <alignment horizontal="center"/>
    </xf>
    <xf numFmtId="0" fontId="0" fillId="0" borderId="7" applyAlignment="1" pivotButton="0" quotePrefix="0" xfId="0">
      <alignment horizontal="center" wrapText="1"/>
    </xf>
    <xf numFmtId="0" fontId="8" fillId="11" borderId="30" applyAlignment="1" pivotButton="0" quotePrefix="0" xfId="0">
      <alignment horizontal="center" vertical="center" wrapText="1"/>
    </xf>
    <xf numFmtId="0" fontId="8" fillId="11" borderId="29" applyAlignment="1" pivotButton="0" quotePrefix="0" xfId="0">
      <alignment horizontal="center" vertical="center" wrapText="1"/>
    </xf>
    <xf numFmtId="0" fontId="8" fillId="11" borderId="28" applyAlignment="1" pivotButton="0" quotePrefix="0" xfId="0">
      <alignment horizontal="center" vertical="center" wrapText="1"/>
    </xf>
    <xf numFmtId="0" fontId="0" fillId="0" borderId="4" applyAlignment="1" pivotButton="0" quotePrefix="0" xfId="0">
      <alignment horizontal="center" wrapText="1"/>
    </xf>
    <xf numFmtId="0" fontId="9" fillId="33" borderId="6" applyAlignment="1" pivotButton="0" quotePrefix="0" xfId="0">
      <alignment horizontal="center" vertical="center" wrapText="1"/>
    </xf>
    <xf numFmtId="0" fontId="9" fillId="33" borderId="0" applyAlignment="1" pivotButton="0" quotePrefix="0" xfId="0">
      <alignment horizontal="center" vertical="center" wrapText="1"/>
    </xf>
    <xf numFmtId="0" fontId="9" fillId="33" borderId="7" applyAlignment="1" pivotButton="0" quotePrefix="0" xfId="0">
      <alignment horizontal="center" vertical="center" wrapText="1"/>
    </xf>
    <xf numFmtId="0" fontId="9" fillId="32" borderId="6" applyAlignment="1" pivotButton="0" quotePrefix="0" xfId="0">
      <alignment horizontal="center" vertical="top" wrapText="1"/>
    </xf>
    <xf numFmtId="0" fontId="9" fillId="32" borderId="0" applyAlignment="1" pivotButton="0" quotePrefix="0" xfId="0">
      <alignment horizontal="center" vertical="top" wrapText="1"/>
    </xf>
    <xf numFmtId="0" fontId="9" fillId="32" borderId="7" applyAlignment="1" pivotButton="0" quotePrefix="0" xfId="0">
      <alignment horizontal="center" vertical="top" wrapText="1"/>
    </xf>
    <xf numFmtId="0" fontId="10" fillId="31" borderId="6" applyAlignment="1" pivotButton="0" quotePrefix="0" xfId="0">
      <alignment horizontal="center" vertical="center" wrapText="1"/>
    </xf>
    <xf numFmtId="0" fontId="10" fillId="31" borderId="0" applyAlignment="1" pivotButton="0" quotePrefix="0" xfId="0">
      <alignment horizontal="center" vertical="center" wrapText="1"/>
    </xf>
    <xf numFmtId="0" fontId="10" fillId="31" borderId="7" applyAlignment="1" pivotButton="0" quotePrefix="0" xfId="0">
      <alignment horizontal="center" vertical="center" wrapText="1"/>
    </xf>
    <xf numFmtId="0" fontId="8" fillId="11" borderId="8" applyAlignment="1" pivotButton="0" quotePrefix="0" xfId="0">
      <alignment horizontal="center" vertical="center" wrapText="1"/>
    </xf>
    <xf numFmtId="0" fontId="8" fillId="11" borderId="9" applyAlignment="1" pivotButton="0" quotePrefix="0" xfId="0">
      <alignment horizontal="center" vertical="center" wrapText="1"/>
    </xf>
    <xf numFmtId="0" fontId="8" fillId="11" borderId="10" applyAlignment="1" pivotButton="0" quotePrefix="0" xfId="0">
      <alignment horizontal="center" vertical="center" wrapText="1"/>
    </xf>
    <xf numFmtId="0" fontId="9" fillId="33" borderId="3" applyAlignment="1" pivotButton="0" quotePrefix="0" xfId="0">
      <alignment horizontal="center" vertical="center" wrapText="1"/>
    </xf>
    <xf numFmtId="0" fontId="9" fillId="33" borderId="4" applyAlignment="1" pivotButton="0" quotePrefix="0" xfId="0">
      <alignment horizontal="center" vertical="center" wrapText="1"/>
    </xf>
    <xf numFmtId="0" fontId="9" fillId="33" borderId="5" applyAlignment="1" pivotButton="0" quotePrefix="0" xfId="0">
      <alignment horizontal="center" vertical="center" wrapText="1"/>
    </xf>
    <xf numFmtId="0" fontId="9" fillId="32" borderId="3" applyAlignment="1" pivotButton="0" quotePrefix="0" xfId="0">
      <alignment horizontal="center" vertical="top" wrapText="1"/>
    </xf>
    <xf numFmtId="0" fontId="9" fillId="32" borderId="4" applyAlignment="1" pivotButton="0" quotePrefix="0" xfId="0">
      <alignment horizontal="center" vertical="top" wrapText="1"/>
    </xf>
    <xf numFmtId="0" fontId="9" fillId="32" borderId="5" applyAlignment="1" pivotButton="0" quotePrefix="0" xfId="0">
      <alignment horizontal="center" vertical="top" wrapText="1"/>
    </xf>
    <xf numFmtId="0" fontId="10" fillId="31" borderId="3" applyAlignment="1" pivotButton="0" quotePrefix="0" xfId="0">
      <alignment horizontal="center" vertical="center" wrapText="1"/>
    </xf>
    <xf numFmtId="0" fontId="10" fillId="31" borderId="4" applyAlignment="1" pivotButton="0" quotePrefix="0" xfId="0">
      <alignment horizontal="center" vertical="center" wrapText="1"/>
    </xf>
    <xf numFmtId="0" fontId="10" fillId="31" borderId="5" applyAlignment="1" pivotButton="0" quotePrefix="0" xfId="0">
      <alignment horizontal="center" vertical="center" wrapText="1"/>
    </xf>
    <xf numFmtId="0" fontId="9" fillId="35" borderId="30" applyAlignment="1" pivotButton="0" quotePrefix="0" xfId="0">
      <alignment horizontal="center" vertical="center" wrapText="1"/>
    </xf>
    <xf numFmtId="0" fontId="9" fillId="35" borderId="29" applyAlignment="1" pivotButton="0" quotePrefix="0" xfId="0">
      <alignment horizontal="center" vertical="center" wrapText="1"/>
    </xf>
    <xf numFmtId="0" fontId="9" fillId="35" borderId="28" applyAlignment="1" pivotButton="0" quotePrefix="0" xfId="0">
      <alignment horizontal="center" vertical="center" wrapText="1"/>
    </xf>
    <xf numFmtId="0" fontId="5" fillId="36" borderId="12" applyAlignment="1" pivotButton="0" quotePrefix="0" xfId="3">
      <alignment horizontal="left"/>
    </xf>
    <xf numFmtId="0" fontId="5" fillId="36" borderId="14" applyAlignment="1" pivotButton="0" quotePrefix="0" xfId="3">
      <alignment horizontal="left"/>
    </xf>
    <xf numFmtId="0" fontId="5" fillId="36" borderId="12" applyAlignment="1" pivotButton="0" quotePrefix="0" xfId="3">
      <alignment horizontal="left" vertical="center" wrapText="1"/>
    </xf>
    <xf numFmtId="0" fontId="5" fillId="36" borderId="14" applyAlignment="1" pivotButton="0" quotePrefix="0" xfId="3">
      <alignment horizontal="left" vertical="center" wrapText="1"/>
    </xf>
    <xf numFmtId="0" fontId="5" fillId="36" borderId="16" applyAlignment="1" pivotButton="0" quotePrefix="0" xfId="3">
      <alignment horizontal="left" vertical="center" wrapText="1"/>
    </xf>
    <xf numFmtId="0" fontId="5" fillId="36" borderId="17" applyAlignment="1" pivotButton="0" quotePrefix="0" xfId="3">
      <alignment horizontal="left" vertical="center" wrapText="1"/>
    </xf>
    <xf numFmtId="0" fontId="5" fillId="36" borderId="12" applyAlignment="1" pivotButton="0" quotePrefix="0" xfId="3">
      <alignment horizontal="center" vertical="center" wrapText="1"/>
    </xf>
    <xf numFmtId="0" fontId="5" fillId="6" borderId="12" applyAlignment="1" applyProtection="1" pivotButton="0" quotePrefix="0" xfId="4">
      <alignment horizontal="center" vertical="center" wrapText="1"/>
      <protection locked="0" hidden="0"/>
    </xf>
    <xf numFmtId="0" fontId="9" fillId="35" borderId="30" applyAlignment="1" pivotButton="0" quotePrefix="0" xfId="0">
      <alignment horizontal="left" vertical="center" wrapText="1"/>
    </xf>
    <xf numFmtId="0" fontId="9" fillId="35" borderId="29" applyAlignment="1" pivotButton="0" quotePrefix="0" xfId="0">
      <alignment horizontal="left" vertical="center" wrapText="1"/>
    </xf>
    <xf numFmtId="0" fontId="9" fillId="35" borderId="28" applyAlignment="1" pivotButton="0" quotePrefix="0" xfId="0">
      <alignment horizontal="left" vertical="center" wrapText="1"/>
    </xf>
    <xf numFmtId="0" fontId="8" fillId="11" borderId="36" applyAlignment="1" pivotButton="0" quotePrefix="0" xfId="0">
      <alignment horizontal="center" vertical="center" wrapText="1"/>
    </xf>
    <xf numFmtId="0" fontId="8" fillId="11" borderId="35" applyAlignment="1" pivotButton="0" quotePrefix="0" xfId="0">
      <alignment horizontal="center" vertical="center" wrapText="1"/>
    </xf>
    <xf numFmtId="0" fontId="8" fillId="11" borderId="34" applyAlignment="1" pivotButton="0" quotePrefix="0" xfId="0">
      <alignment horizontal="center" vertical="center" wrapText="1"/>
    </xf>
    <xf numFmtId="0" fontId="8" fillId="11" borderId="3" applyAlignment="1" pivotButton="0" quotePrefix="0" xfId="0">
      <alignment horizontal="center" vertical="center" wrapText="1"/>
    </xf>
    <xf numFmtId="0" fontId="8" fillId="11" borderId="5" applyAlignment="1" pivotButton="0" quotePrefix="0" xfId="0">
      <alignment horizontal="center" vertical="center" wrapText="1"/>
    </xf>
    <xf numFmtId="0" fontId="0" fillId="0" borderId="0" applyAlignment="1" pivotButton="0" quotePrefix="0" xfId="0">
      <alignment horizontal="center"/>
    </xf>
    <xf numFmtId="0" fontId="0" fillId="0" borderId="2" applyAlignment="1" pivotButton="0" quotePrefix="0" xfId="0">
      <alignment horizontal="center"/>
    </xf>
    <xf numFmtId="0" fontId="5" fillId="36" borderId="12" pivotButton="0" quotePrefix="0" xfId="3"/>
    <xf numFmtId="0" fontId="5" fillId="36" borderId="45" pivotButton="0" quotePrefix="0" xfId="3"/>
    <xf numFmtId="0" fontId="5" fillId="36" borderId="46" pivotButton="0" quotePrefix="0" xfId="3"/>
    <xf numFmtId="0" fontId="5" fillId="6" borderId="46" applyProtection="1" pivotButton="0" quotePrefix="0" xfId="4">
      <protection locked="0" hidden="0"/>
    </xf>
    <xf numFmtId="0" fontId="5" fillId="36" borderId="12" pivotButton="0" quotePrefix="0" xfId="3"/>
    <xf numFmtId="0" fontId="5" fillId="6" borderId="12" applyProtection="1" pivotButton="0" quotePrefix="0" xfId="4">
      <protection locked="0" hidden="0"/>
    </xf>
    <xf numFmtId="0" fontId="5" fillId="36" borderId="13" applyAlignment="1" pivotButton="0" quotePrefix="0" xfId="3">
      <alignment textRotation="90" wrapText="1"/>
    </xf>
    <xf numFmtId="0" fontId="5" fillId="36" borderId="15" applyAlignment="1" pivotButton="0" quotePrefix="0" xfId="3">
      <alignment textRotation="90" wrapText="1"/>
    </xf>
    <xf numFmtId="0" fontId="5" fillId="36" borderId="47" pivotButton="0" quotePrefix="0" xfId="3"/>
    <xf numFmtId="0" fontId="6" fillId="8" borderId="42" applyProtection="1" pivotButton="0" quotePrefix="0" xfId="5">
      <protection locked="0" hidden="0"/>
    </xf>
    <xf numFmtId="0" fontId="6" fillId="8" borderId="46" applyProtection="1" pivotButton="0" quotePrefix="0" xfId="5">
      <protection locked="0" hidden="0"/>
    </xf>
    <xf numFmtId="0" fontId="6" fillId="8" borderId="48" applyProtection="1" pivotButton="0" quotePrefix="0" xfId="5">
      <protection locked="0" hidden="0"/>
    </xf>
    <xf numFmtId="0" fontId="6" fillId="8" borderId="12" applyProtection="1" pivotButton="0" quotePrefix="0" xfId="5">
      <protection locked="0" hidden="0"/>
    </xf>
    <xf numFmtId="0" fontId="6" fillId="8" borderId="14" applyProtection="1" pivotButton="0" quotePrefix="0" xfId="5">
      <protection locked="0" hidden="0"/>
    </xf>
    <xf numFmtId="0" fontId="6" fillId="8" borderId="16" applyProtection="1" pivotButton="0" quotePrefix="0" xfId="5">
      <protection locked="0" hidden="0"/>
    </xf>
    <xf numFmtId="0" fontId="6" fillId="8" borderId="17" applyProtection="1" pivotButton="0" quotePrefix="0" xfId="5">
      <protection locked="0" hidden="0"/>
    </xf>
    <xf numFmtId="0" fontId="6" fillId="8" borderId="19" applyProtection="1" pivotButton="0" quotePrefix="0" xfId="5">
      <protection locked="0" hidden="0"/>
    </xf>
    <xf numFmtId="0" fontId="5" fillId="24" borderId="43" applyAlignment="1" pivotButton="0" quotePrefix="0" xfId="10">
      <alignment horizontal="left"/>
    </xf>
    <xf numFmtId="0" fontId="5" fillId="36" borderId="12" applyAlignment="1" pivotButton="0" quotePrefix="0" xfId="3">
      <alignment horizontal="right"/>
    </xf>
    <xf numFmtId="0" fontId="5" fillId="7" borderId="12" pivotButton="0" quotePrefix="0" xfId="7"/>
    <xf numFmtId="0" fontId="5" fillId="36" borderId="44" pivotButton="0" quotePrefix="0" xfId="3"/>
    <xf numFmtId="0" fontId="5" fillId="36" borderId="44" applyAlignment="1" pivotButton="0" quotePrefix="0" xfId="3">
      <alignment horizontal="right"/>
    </xf>
    <xf numFmtId="0" fontId="5" fillId="7" borderId="44" pivotButton="0" quotePrefix="0" xfId="7"/>
    <xf numFmtId="0" fontId="5" fillId="24" borderId="0" applyAlignment="1" pivotButton="0" quotePrefix="0" xfId="10">
      <alignment horizontal="left"/>
    </xf>
    <xf numFmtId="0" fontId="6" fillId="8" borderId="12" pivotButton="0" quotePrefix="0" xfId="5"/>
    <xf numFmtId="0" fontId="6" fillId="8" borderId="44" pivotButton="0" quotePrefix="0" xfId="5"/>
    <xf numFmtId="0" fontId="5" fillId="7" borderId="0" pivotButton="0" quotePrefix="0" xfId="7"/>
    <xf numFmtId="0" fontId="5" fillId="24" borderId="12" applyAlignment="1" pivotButton="0" quotePrefix="0" xfId="10">
      <alignment horizontal="left"/>
    </xf>
    <xf numFmtId="0" fontId="5" fillId="36" borderId="13" pivotButton="0" quotePrefix="0" xfId="3"/>
    <xf numFmtId="0" fontId="14" fillId="0" borderId="32" applyAlignment="1" pivotButton="0" quotePrefix="0" xfId="0">
      <alignment horizontal="center" vertical="top"/>
    </xf>
    <xf numFmtId="0" fontId="14" fillId="0" borderId="49" applyAlignment="1" pivotButton="0" quotePrefix="0" xfId="0">
      <alignment horizontal="center" vertical="top"/>
    </xf>
    <xf numFmtId="0" fontId="15" fillId="0" borderId="53" applyAlignment="1" pivotButton="0" quotePrefix="0" xfId="0">
      <alignment horizontal="center" vertical="top"/>
    </xf>
    <xf numFmtId="0" fontId="0" fillId="0" borderId="12" pivotButton="0" quotePrefix="0" xfId="0"/>
    <xf numFmtId="0" fontId="0" fillId="0" borderId="12" applyProtection="1" pivotButton="0" quotePrefix="0" xfId="0">
      <protection locked="0" hidden="0"/>
    </xf>
    <xf numFmtId="0" fontId="9" fillId="35" borderId="38" applyAlignment="1" pivotButton="0" quotePrefix="0" xfId="0">
      <alignment horizontal="center" vertical="center" wrapText="1"/>
    </xf>
    <xf numFmtId="0" fontId="0" fillId="0" borderId="29" pivotButton="0" quotePrefix="0" xfId="0"/>
    <xf numFmtId="0" fontId="0" fillId="0" borderId="28" pivotButton="0" quotePrefix="0" xfId="0"/>
    <xf numFmtId="0" fontId="9" fillId="35" borderId="38" applyAlignment="1" pivotButton="0" quotePrefix="0" xfId="0">
      <alignment horizontal="left" vertical="center" wrapText="1"/>
    </xf>
    <xf numFmtId="0" fontId="8" fillId="11" borderId="50" applyAlignment="1" pivotButton="0" quotePrefix="0" xfId="0">
      <alignment horizontal="center" vertical="center" wrapText="1"/>
    </xf>
    <xf numFmtId="0" fontId="0" fillId="0" borderId="35" pivotButton="0" quotePrefix="0" xfId="0"/>
    <xf numFmtId="0" fontId="0" fillId="0" borderId="34" pivotButton="0" quotePrefix="0" xfId="0"/>
    <xf numFmtId="0" fontId="8" fillId="11" borderId="37" applyAlignment="1" pivotButton="0" quotePrefix="0" xfId="0">
      <alignment horizontal="center" vertical="center" wrapText="1"/>
    </xf>
    <xf numFmtId="0" fontId="0" fillId="0" borderId="5" pivotButton="0" quotePrefix="0" xfId="0"/>
    <xf numFmtId="0" fontId="0" fillId="0" borderId="14" pivotButton="0" quotePrefix="0" xfId="0"/>
    <xf numFmtId="0" fontId="0" fillId="0" borderId="16" pivotButton="0" quotePrefix="0" xfId="0"/>
    <xf numFmtId="0" fontId="0" fillId="0" borderId="17" pivotButton="0" quotePrefix="0" xfId="0"/>
    <xf numFmtId="0" fontId="8" fillId="11" borderId="38" applyAlignment="1" pivotButton="0" quotePrefix="0" xfId="0">
      <alignment horizontal="center" vertical="center" wrapText="1"/>
    </xf>
    <xf numFmtId="0" fontId="9" fillId="33" borderId="51" applyAlignment="1" pivotButton="0" quotePrefix="0" xfId="0">
      <alignment horizontal="center" vertical="center" wrapText="1"/>
    </xf>
    <xf numFmtId="0" fontId="9" fillId="32" borderId="51" applyAlignment="1" pivotButton="0" quotePrefix="0" xfId="0">
      <alignment horizontal="center" vertical="top" wrapText="1"/>
    </xf>
    <xf numFmtId="0" fontId="10" fillId="31" borderId="51" applyAlignment="1" pivotButton="0" quotePrefix="0" xfId="0">
      <alignment horizontal="center" vertical="center" wrapText="1"/>
    </xf>
    <xf numFmtId="0" fontId="9" fillId="27" borderId="38" applyAlignment="1" pivotButton="0" quotePrefix="0" xfId="0">
      <alignment horizontal="center" vertical="top" wrapText="1"/>
    </xf>
    <xf numFmtId="0" fontId="9" fillId="26" borderId="38" applyAlignment="1" pivotButton="0" quotePrefix="0" xfId="0">
      <alignment horizontal="center" vertical="top" wrapText="1"/>
    </xf>
    <xf numFmtId="0" fontId="8" fillId="11" borderId="52" applyAlignment="1" pivotButton="0" quotePrefix="0" xfId="0">
      <alignment horizontal="center" vertical="center" wrapText="1"/>
    </xf>
    <xf numFmtId="0" fontId="0" fillId="0" borderId="9" pivotButton="0" quotePrefix="0" xfId="0"/>
    <xf numFmtId="0" fontId="0" fillId="0" borderId="10" pivotButton="0" quotePrefix="0" xfId="0"/>
    <xf numFmtId="0" fontId="9" fillId="33" borderId="37" applyAlignment="1" pivotButton="0" quotePrefix="0" xfId="0">
      <alignment horizontal="center" vertical="center" wrapText="1"/>
    </xf>
    <xf numFmtId="0" fontId="0" fillId="0" borderId="4" pivotButton="0" quotePrefix="0" xfId="0"/>
    <xf numFmtId="0" fontId="9" fillId="32" borderId="37" applyAlignment="1" pivotButton="0" quotePrefix="0" xfId="0">
      <alignment horizontal="center" vertical="top" wrapText="1"/>
    </xf>
    <xf numFmtId="0" fontId="10" fillId="31" borderId="37" applyAlignment="1" pivotButton="0" quotePrefix="0" xfId="0">
      <alignment horizontal="center" vertical="center" wrapText="1"/>
    </xf>
    <xf numFmtId="0" fontId="0" fillId="16" borderId="38" applyAlignment="1" pivotButton="0" quotePrefix="0" xfId="0">
      <alignment horizontal="center"/>
    </xf>
    <xf numFmtId="0" fontId="0" fillId="16" borderId="37" applyAlignment="1" pivotButton="0" quotePrefix="0" xfId="0">
      <alignment horizontal="center"/>
    </xf>
    <xf numFmtId="0" fontId="0" fillId="0" borderId="2" pivotButton="0" quotePrefix="0" xfId="0"/>
  </cellXfs>
  <cellStyles count="11">
    <cellStyle name="Normal" xfId="0" builtinId="0"/>
    <cellStyle name="Percent" xfId="1" builtinId="5"/>
    <cellStyle name="Neutral" xfId="2" builtinId="28"/>
    <cellStyle name="03_Auto_Calcaulation" xfId="3"/>
    <cellStyle name="01_Data_Input" xfId="4"/>
    <cellStyle name="04_Comments" xfId="5"/>
    <cellStyle name="Result" xfId="6"/>
    <cellStyle name="02_Data_Input (DD)" xfId="7"/>
    <cellStyle name="Automatisch" xfId="8"/>
    <cellStyle name="01_Data_Input [%]" xfId="9"/>
    <cellStyle name="05_Header" xfId="10"/>
  </cellStyles>
  <dxfs count="133">
    <dxf>
      <font>
        <name val="Calibri"/>
        <family val="2"/>
        <b val="1"/>
        <strike val="0"/>
        <outline val="0"/>
        <shadow val="0"/>
        <condense val="0"/>
        <color auto="1"/>
        <extend val="0"/>
        <sz val="11"/>
        <vertAlign val="baseline"/>
      </font>
      <alignment horizontal="center" vertical="top"/>
      <border outline="0">
        <left style="thin">
          <color indexed="64"/>
        </left>
        <right style="thin">
          <color indexed="64"/>
        </right>
        <top/>
        <bottom/>
      </border>
    </dxf>
    <dxf>
      <border outline="0">
        <bottom style="thin">
          <color indexed="64"/>
        </bottom>
      </border>
    </dxf>
    <dxf>
      <border outline="0">
        <top style="thin">
          <color indexed="64"/>
        </top>
      </border>
    </dxf>
    <dxf>
      <font>
        <name val="Calibri"/>
        <family val="2"/>
        <b val="1"/>
        <strike val="0"/>
        <outline val="0"/>
        <shadow val="0"/>
        <condense val="0"/>
        <color auto="1"/>
        <extend val="0"/>
        <sz val="11"/>
        <vertAlign val="baseline"/>
        <scheme val="minor"/>
      </font>
      <numFmt numFmtId="0" formatCode="General"/>
      <fill>
        <patternFill patternType="solid">
          <fgColor indexed="64"/>
          <bgColor theme="8" tint="0.7999816888943144"/>
        </patternFill>
      </fill>
      <protection locked="1" hidden="0"/>
    </dxf>
    <dxf>
      <font>
        <name val="Calibri"/>
        <family val="2"/>
        <b val="1"/>
        <strike val="0"/>
        <outline val="0"/>
        <shadow val="0"/>
        <condense val="0"/>
        <color auto="1"/>
        <extend val="0"/>
        <sz val="11"/>
        <vertAlign val="baseline"/>
      </font>
      <alignment horizontal="center" vertical="top"/>
      <border outline="0">
        <left style="thin">
          <color indexed="64"/>
        </left>
        <right style="thin">
          <color indexed="64"/>
        </right>
        <top/>
        <bottom/>
      </border>
    </dxf>
    <dxf>
      <border outline="0">
        <bottom style="thin">
          <color indexed="64"/>
        </bottom>
      </border>
    </dxf>
    <dxf>
      <border outline="0">
        <top style="thin">
          <color indexed="64"/>
        </top>
      </border>
    </dxf>
    <dxf>
      <font>
        <name val="Calibri"/>
        <family val="2"/>
        <b val="1"/>
        <strike val="0"/>
        <outline val="0"/>
        <shadow val="0"/>
        <condense val="0"/>
        <color auto="1"/>
        <extend val="0"/>
        <sz val="11"/>
        <vertAlign val="baseline"/>
      </font>
      <alignment horizontal="center" vertical="top"/>
      <border outline="0">
        <left style="thin">
          <color indexed="64"/>
        </left>
        <right style="thin">
          <color indexed="64"/>
        </right>
        <top/>
        <bottom/>
      </border>
    </dxf>
    <dxf>
      <font>
        <name val="Calibri"/>
        <family val="2"/>
        <b val="1"/>
        <strike val="0"/>
        <outline val="0"/>
        <shadow val="0"/>
        <condense val="0"/>
        <color auto="1"/>
        <extend val="0"/>
        <sz val="11"/>
        <vertAlign val="baseline"/>
        <scheme val="minor"/>
      </font>
      <numFmt numFmtId="0" formatCode="General"/>
      <fill>
        <patternFill patternType="gray0625">
          <fgColor indexed="64"/>
          <bgColor theme="5" tint="0.7999816888943144"/>
        </patternFill>
      </fill>
      <border>
        <left/>
        <right/>
        <top style="dotted">
          <color auto="1"/>
        </top>
        <bottom style="dotted">
          <color auto="1"/>
        </bottom>
        <vertical/>
        <horizontal/>
      </border>
    </dxf>
    <dxf>
      <font>
        <name val="Calibri"/>
        <family val="2"/>
        <b val="1"/>
        <strike val="0"/>
        <outline val="0"/>
        <shadow val="0"/>
        <condense val="0"/>
        <color auto="1"/>
        <extend val="0"/>
        <sz val="11"/>
        <vertAlign val="baseline"/>
        <scheme val="minor"/>
      </font>
      <numFmt numFmtId="0" formatCode="General"/>
      <fill>
        <patternFill patternType="gray0625">
          <fgColor indexed="64"/>
          <bgColor theme="5" tint="0.7999816888943144"/>
        </patternFill>
      </fill>
      <border>
        <left style="medium">
          <color indexed="64"/>
        </left>
        <right/>
        <top style="dotted">
          <color auto="1"/>
        </top>
        <bottom style="dotted">
          <color auto="1"/>
        </bottom>
        <vertical/>
        <horizontal/>
      </border>
    </dxf>
    <dxf>
      <font>
        <name val="Calibri"/>
        <family val="2"/>
        <b val="1"/>
        <strike val="0"/>
        <outline val="0"/>
        <shadow val="0"/>
        <condense val="0"/>
        <color auto="1"/>
        <extend val="0"/>
        <sz val="11"/>
        <vertAlign val="baseline"/>
        <scheme val="minor"/>
      </font>
      <numFmt numFmtId="0" formatCode="General"/>
      <fill>
        <patternFill patternType="solid">
          <fgColor indexed="64"/>
          <bgColor theme="8" tint="0.7999816888943144"/>
        </patternFill>
      </fill>
      <protection locked="1" hidden="0"/>
    </dxf>
    <dxf>
      <font>
        <name val="Calibri"/>
        <family val="2"/>
        <b val="1"/>
        <strike val="0"/>
        <outline val="0"/>
        <shadow val="0"/>
        <condense val="0"/>
        <color auto="1"/>
        <extend val="0"/>
        <sz val="11"/>
        <vertAlign val="baseline"/>
        <scheme val="minor"/>
      </font>
      <numFmt numFmtId="0" formatCode="General"/>
      <fill>
        <patternFill patternType="solid">
          <fgColor indexed="64"/>
          <bgColor theme="8" tint="0.7999816888943144"/>
        </patternFill>
      </fill>
      <border>
        <left/>
        <right/>
        <top style="dotted">
          <color auto="1"/>
        </top>
        <bottom style="dotted">
          <color auto="1"/>
        </bottom>
        <vertical/>
        <horizontal/>
      </border>
      <protection locked="1" hidden="0"/>
    </dxf>
    <dxf>
      <font>
        <name val="Calibri"/>
        <family val="2"/>
        <b val="1"/>
        <strike val="0"/>
        <outline val="0"/>
        <shadow val="0"/>
        <condense val="0"/>
        <color auto="1"/>
        <extend val="0"/>
        <sz val="11"/>
        <vertAlign val="baseline"/>
        <scheme val="minor"/>
      </font>
      <numFmt numFmtId="0" formatCode="General"/>
      <fill>
        <patternFill patternType="gray0625">
          <fgColor indexed="64"/>
          <bgColor theme="5" tint="0.7999816888943144"/>
        </patternFill>
      </fill>
      <alignment horizontal="right" vertical="bottom"/>
      <border>
        <left/>
        <right/>
        <top style="dotted">
          <color auto="1"/>
        </top>
        <bottom style="dotted">
          <color auto="1"/>
        </bottom>
        <vertical/>
        <horizontal/>
      </border>
    </dxf>
    <dxf>
      <font>
        <name val="Calibri"/>
        <family val="2"/>
        <b val="1"/>
        <strike val="0"/>
        <outline val="0"/>
        <shadow val="0"/>
        <condense val="0"/>
        <color auto="1"/>
        <extend val="0"/>
        <sz val="11"/>
        <vertAlign val="baseline"/>
        <scheme val="minor"/>
      </font>
      <numFmt numFmtId="0" formatCode="General"/>
      <fill>
        <patternFill patternType="gray0625">
          <fgColor indexed="64"/>
          <bgColor theme="5" tint="0.7999816888943144"/>
        </patternFill>
      </fill>
      <border>
        <left/>
        <right/>
        <top style="dotted">
          <color auto="1"/>
        </top>
        <bottom style="dotted">
          <color auto="1"/>
        </bottom>
        <vertical/>
        <horizontal/>
      </border>
    </dxf>
    <dxf>
      <font>
        <name val="Calibri"/>
        <family val="2"/>
        <strike val="0"/>
        <outline val="0"/>
        <shadow val="0"/>
        <condense val="0"/>
        <color auto="1"/>
        <extend val="0"/>
        <sz val="10"/>
        <vertAlign val="baseline"/>
        <scheme val="minor"/>
      </font>
      <numFmt numFmtId="0" formatCode="General"/>
      <fill>
        <patternFill patternType="solid">
          <fgColor indexed="64"/>
          <bgColor theme="7" tint="0.7999816888943144"/>
        </patternFill>
      </fill>
      <border>
        <left/>
        <right/>
        <top style="dotted">
          <color auto="1"/>
        </top>
        <bottom style="dotted">
          <color auto="1"/>
        </bottom>
        <vertical/>
        <horizontal/>
      </border>
      <protection locked="1" hidden="0"/>
    </dxf>
    <dxf>
      <border outline="0">
        <left style="medium">
          <color rgb="FF000000"/>
        </left>
      </border>
    </dxf>
    <dxf>
      <border outline="0">
        <top style="thin">
          <color theme="1"/>
        </top>
      </border>
    </dxf>
    <dxf>
      <border outline="0">
        <bottom style="thin">
          <color theme="1"/>
        </bottom>
      </border>
    </dxf>
    <dxf>
      <font>
        <name val="Calibri"/>
        <family val="2"/>
        <b val="1"/>
        <strike val="0"/>
        <outline val="0"/>
        <shadow val="0"/>
        <condense val="0"/>
        <color theme="1"/>
        <extend val="0"/>
        <sz val="11"/>
        <vertAlign val="baseline"/>
        <scheme val="minor"/>
      </font>
    </dxf>
    <dxf>
      <border outline="0">
        <top style="thin">
          <color theme="1"/>
        </top>
      </border>
    </dxf>
    <dxf>
      <border outline="0">
        <bottom style="thin">
          <color theme="1"/>
        </bottom>
      </border>
    </dxf>
    <dxf>
      <font>
        <name val="Calibri"/>
        <family val="2"/>
        <b val="1"/>
        <strike val="0"/>
        <outline val="0"/>
        <shadow val="0"/>
        <condense val="0"/>
        <color theme="1"/>
        <extend val="0"/>
        <sz val="11"/>
        <vertAlign val="baseline"/>
        <scheme val="minor"/>
      </font>
    </dxf>
    <dxf>
      <font>
        <name val="Calibri"/>
        <family val="2"/>
        <b val="1"/>
        <strike val="0"/>
        <outline val="0"/>
        <shadow val="0"/>
        <condense val="0"/>
        <color auto="1"/>
        <extend val="0"/>
        <sz val="11"/>
        <vertAlign val="baseline"/>
        <scheme val="minor"/>
      </font>
      <numFmt numFmtId="0" formatCode="General"/>
      <fill>
        <patternFill patternType="gray0625">
          <fgColor indexed="64"/>
          <bgColor theme="4" tint="0.7999816888943144"/>
        </patternFill>
      </fill>
      <border>
        <left/>
        <right/>
        <top style="dotted">
          <color auto="1"/>
        </top>
        <bottom style="dotted">
          <color auto="1"/>
        </bottom>
        <vertical/>
        <horizontal/>
      </border>
    </dxf>
    <dxf>
      <font>
        <name val="Calibri"/>
        <family val="2"/>
        <b val="1"/>
        <strike val="0"/>
        <outline val="0"/>
        <shadow val="0"/>
        <condense val="0"/>
        <color auto="1"/>
        <extend val="0"/>
        <sz val="11"/>
        <vertAlign val="baseline"/>
        <scheme val="minor"/>
      </font>
      <numFmt numFmtId="0" formatCode="General"/>
      <fill>
        <patternFill patternType="gray0625">
          <fgColor indexed="64"/>
          <bgColor theme="4" tint="0.7999816888943144"/>
        </patternFill>
      </fill>
      <border>
        <left/>
        <right/>
        <top style="dotted">
          <color auto="1"/>
        </top>
        <bottom style="dotted">
          <color auto="1"/>
        </bottom>
        <vertical/>
        <horizontal/>
      </border>
    </dxf>
    <dxf>
      <font>
        <name val="Calibri"/>
        <family val="2"/>
        <b val="1"/>
        <strike val="0"/>
        <outline val="0"/>
        <shadow val="0"/>
        <condense val="0"/>
        <color auto="1"/>
        <extend val="0"/>
        <sz val="11"/>
        <vertAlign val="baseline"/>
        <scheme val="minor"/>
      </font>
      <numFmt numFmtId="0" formatCode="General"/>
      <fill>
        <patternFill patternType="gray0625">
          <fgColor indexed="64"/>
          <bgColor theme="4" tint="0.7999816888943144"/>
        </patternFill>
      </fill>
      <border>
        <left/>
        <right/>
        <top style="dotted">
          <color auto="1"/>
        </top>
        <bottom style="dotted">
          <color auto="1"/>
        </bottom>
        <vertical/>
        <horizontal/>
      </border>
    </dxf>
    <dxf>
      <font>
        <name val="Calibri"/>
        <family val="2"/>
        <b val="1"/>
        <strike val="0"/>
        <outline val="0"/>
        <shadow val="0"/>
        <condense val="0"/>
        <color auto="1"/>
        <extend val="0"/>
        <sz val="11"/>
        <vertAlign val="baseline"/>
        <scheme val="minor"/>
      </font>
      <numFmt numFmtId="0" formatCode="General"/>
      <fill>
        <patternFill patternType="gray0625">
          <fgColor indexed="64"/>
          <bgColor theme="4" tint="0.7999816888943144"/>
        </patternFill>
      </fill>
      <border>
        <left/>
        <right/>
        <top style="dotted">
          <color auto="1"/>
        </top>
        <bottom style="dotted">
          <color auto="1"/>
        </bottom>
        <vertical/>
        <horizontal/>
      </border>
    </dxf>
    <dxf>
      <font>
        <name val="Calibri"/>
        <family val="2"/>
        <b val="1"/>
        <strike val="0"/>
        <outline val="0"/>
        <shadow val="0"/>
        <condense val="0"/>
        <color auto="1"/>
        <extend val="0"/>
        <sz val="11"/>
        <vertAlign val="baseline"/>
        <scheme val="minor"/>
      </font>
      <numFmt numFmtId="0" formatCode="General"/>
      <fill>
        <patternFill patternType="gray0625">
          <fgColor indexed="64"/>
          <bgColor theme="4" tint="0.7999816888943144"/>
        </patternFill>
      </fill>
      <border>
        <left/>
        <right/>
        <top style="dotted">
          <color auto="1"/>
        </top>
        <bottom style="dotted">
          <color auto="1"/>
        </bottom>
        <vertical/>
        <horizontal/>
      </border>
    </dxf>
    <dxf>
      <font>
        <name val="Calibri"/>
        <family val="2"/>
        <b val="1"/>
        <strike val="0"/>
        <outline val="0"/>
        <shadow val="0"/>
        <condense val="0"/>
        <color auto="1"/>
        <extend val="0"/>
        <sz val="11"/>
        <vertAlign val="baseline"/>
        <scheme val="minor"/>
      </font>
      <numFmt numFmtId="0" formatCode="General"/>
      <fill>
        <patternFill patternType="gray0625">
          <fgColor indexed="64"/>
          <bgColor theme="4" tint="0.7999816888943144"/>
        </patternFill>
      </fill>
      <border>
        <left/>
        <right/>
        <top style="dotted">
          <color auto="1"/>
        </top>
        <bottom style="dotted">
          <color auto="1"/>
        </bottom>
        <vertical/>
        <horizontal/>
      </border>
    </dxf>
    <dxf>
      <font>
        <name val="Calibri"/>
        <family val="2"/>
        <b val="1"/>
        <strike val="0"/>
        <outline val="0"/>
        <shadow val="0"/>
        <condense val="0"/>
        <color auto="1"/>
        <extend val="0"/>
        <sz val="11"/>
        <vertAlign val="baseline"/>
        <scheme val="minor"/>
      </font>
      <numFmt numFmtId="0" formatCode="General"/>
      <fill>
        <patternFill patternType="gray0625">
          <fgColor indexed="64"/>
          <bgColor theme="4" tint="0.7999816888943144"/>
        </patternFill>
      </fill>
      <border>
        <left/>
        <right/>
        <top style="dotted">
          <color auto="1"/>
        </top>
        <bottom style="dotted">
          <color auto="1"/>
        </bottom>
        <vertical/>
        <horizontal/>
      </border>
    </dxf>
    <dxf>
      <font>
        <name val="Calibri"/>
        <family val="2"/>
        <b val="1"/>
        <strike val="0"/>
        <outline val="0"/>
        <shadow val="0"/>
        <condense val="0"/>
        <color auto="1"/>
        <extend val="0"/>
        <sz val="11"/>
        <vertAlign val="baseline"/>
        <scheme val="minor"/>
      </font>
      <numFmt numFmtId="0" formatCode="General"/>
      <fill>
        <patternFill patternType="solid">
          <fgColor indexed="64"/>
          <bgColor theme="9" tint="0.7999816888943144"/>
        </patternFill>
      </fill>
      <border>
        <left/>
        <right/>
        <top style="dotted">
          <color auto="1"/>
        </top>
        <bottom style="dotted">
          <color auto="1"/>
        </bottom>
        <vertical/>
        <horizontal/>
      </border>
    </dxf>
    <dxf>
      <font>
        <name val="Calibri"/>
        <family val="2"/>
        <b val="1"/>
        <strike val="0"/>
        <outline val="0"/>
        <shadow val="0"/>
        <condense val="0"/>
        <color auto="1"/>
        <extend val="0"/>
        <sz val="11"/>
        <vertAlign val="baseline"/>
        <scheme val="minor"/>
      </font>
      <numFmt numFmtId="0" formatCode="General"/>
      <fill>
        <patternFill patternType="gray0625">
          <fgColor indexed="64"/>
          <bgColor theme="4" tint="0.7999816888943144"/>
        </patternFill>
      </fill>
      <border>
        <left/>
        <right/>
        <top style="dotted">
          <color auto="1"/>
        </top>
        <bottom style="dotted">
          <color auto="1"/>
        </bottom>
        <vertical/>
        <horizontal/>
      </border>
    </dxf>
    <dxf>
      <font>
        <name val="Calibri"/>
        <family val="2"/>
        <b val="1"/>
        <strike val="0"/>
        <outline val="0"/>
        <shadow val="0"/>
        <condense val="0"/>
        <color auto="1"/>
        <extend val="0"/>
        <sz val="11"/>
        <vertAlign val="baseline"/>
        <scheme val="minor"/>
      </font>
      <numFmt numFmtId="0" formatCode="General"/>
      <fill>
        <patternFill patternType="gray0625">
          <fgColor indexed="64"/>
          <bgColor theme="4" tint="0.7999816888943144"/>
        </patternFill>
      </fill>
      <border>
        <left/>
        <right/>
        <top style="dotted">
          <color auto="1"/>
        </top>
        <bottom style="dotted">
          <color auto="1"/>
        </bottom>
        <vertical/>
        <horizontal/>
      </border>
    </dxf>
    <dxf>
      <border outline="0">
        <left style="medium">
          <color rgb="FF000000"/>
        </left>
        <top style="medium">
          <color rgb="FF000000"/>
        </top>
        <bottom style="dotted">
          <color auto="1"/>
        </bottom>
      </border>
    </dxf>
    <dxf>
      <font>
        <name val="Calibri"/>
        <family val="2"/>
        <b val="1"/>
        <strike val="0"/>
        <outline val="0"/>
        <shadow val="0"/>
        <condense val="0"/>
        <color auto="1"/>
        <extend val="0"/>
        <sz val="11"/>
        <vertAlign val="baseline"/>
      </font>
      <fill>
        <patternFill patternType="gray0625">
          <fgColor rgb="FF000000"/>
          <bgColor rgb="FFDDEBF7"/>
        </patternFill>
      </fill>
    </dxf>
    <dxf>
      <font>
        <name val="Calibri"/>
        <family val="2"/>
        <b val="1"/>
        <strike val="0"/>
        <outline val="0"/>
        <shadow val="0"/>
        <condense val="0"/>
        <color auto="1"/>
        <extend val="0"/>
        <sz val="11"/>
        <vertAlign val="baseline"/>
        <scheme val="minor"/>
      </font>
      <numFmt numFmtId="0" formatCode="General"/>
      <fill>
        <patternFill patternType="gray0625">
          <fgColor indexed="64"/>
          <bgColor theme="4" tint="0.7999816888943144"/>
        </patternFill>
      </fill>
      <border>
        <left/>
        <right/>
        <top style="dotted">
          <color auto="1"/>
        </top>
        <bottom style="dotted">
          <color auto="1"/>
        </bottom>
        <vertical/>
        <horizontal/>
      </border>
    </dxf>
    <dxf>
      <font>
        <name val="Calibri"/>
        <family val="2"/>
        <b val="1"/>
        <strike val="0"/>
        <outline val="0"/>
        <shadow val="0"/>
        <condense val="0"/>
        <color auto="1"/>
        <extend val="0"/>
        <sz val="11"/>
        <vertAlign val="baseline"/>
        <scheme val="minor"/>
      </font>
      <numFmt numFmtId="0" formatCode="General"/>
      <fill>
        <patternFill patternType="gray0625">
          <fgColor indexed="64"/>
          <bgColor theme="4" tint="0.7999816888943144"/>
        </patternFill>
      </fill>
      <border>
        <left/>
        <right/>
        <top style="dotted">
          <color auto="1"/>
        </top>
        <bottom style="dotted">
          <color auto="1"/>
        </bottom>
        <vertical/>
        <horizontal/>
      </border>
    </dxf>
    <dxf>
      <font>
        <name val="Calibri"/>
        <family val="2"/>
        <b val="1"/>
        <strike val="0"/>
        <outline val="0"/>
        <shadow val="0"/>
        <condense val="0"/>
        <color auto="1"/>
        <extend val="0"/>
        <sz val="11"/>
        <vertAlign val="baseline"/>
        <scheme val="minor"/>
      </font>
      <numFmt numFmtId="0" formatCode="General"/>
      <fill>
        <patternFill patternType="gray0625">
          <fgColor indexed="64"/>
          <bgColor theme="4" tint="0.7999816888943144"/>
        </patternFill>
      </fill>
      <border>
        <left/>
        <right/>
        <top style="dotted">
          <color auto="1"/>
        </top>
        <bottom style="dotted">
          <color auto="1"/>
        </bottom>
        <vertical/>
        <horizontal/>
      </border>
    </dxf>
    <dxf>
      <font>
        <name val="Calibri"/>
        <family val="2"/>
        <b val="1"/>
        <strike val="0"/>
        <outline val="0"/>
        <shadow val="0"/>
        <condense val="0"/>
        <color auto="1"/>
        <extend val="0"/>
        <sz val="11"/>
        <vertAlign val="baseline"/>
        <scheme val="minor"/>
      </font>
      <numFmt numFmtId="0" formatCode="General"/>
      <fill>
        <patternFill patternType="gray0625">
          <fgColor indexed="64"/>
          <bgColor theme="4" tint="0.7999816888943144"/>
        </patternFill>
      </fill>
      <border>
        <left/>
        <right/>
        <top style="dotted">
          <color auto="1"/>
        </top>
        <bottom style="dotted">
          <color auto="1"/>
        </bottom>
        <vertical/>
        <horizontal/>
      </border>
    </dxf>
    <dxf>
      <font>
        <name val="Calibri"/>
        <family val="2"/>
        <b val="1"/>
        <strike val="0"/>
        <outline val="0"/>
        <shadow val="0"/>
        <condense val="0"/>
        <color auto="1"/>
        <extend val="0"/>
        <sz val="11"/>
        <vertAlign val="baseline"/>
        <scheme val="minor"/>
      </font>
      <numFmt numFmtId="0" formatCode="General"/>
      <fill>
        <patternFill patternType="gray0625">
          <fgColor indexed="64"/>
          <bgColor theme="4" tint="0.7999816888943144"/>
        </patternFill>
      </fill>
      <border>
        <left/>
        <right/>
        <top style="dotted">
          <color auto="1"/>
        </top>
        <bottom style="dotted">
          <color auto="1"/>
        </bottom>
        <vertical/>
        <horizontal/>
      </border>
    </dxf>
    <dxf>
      <font>
        <name val="Calibri"/>
        <family val="2"/>
        <b val="1"/>
        <strike val="0"/>
        <outline val="0"/>
        <shadow val="0"/>
        <condense val="0"/>
        <color auto="1"/>
        <extend val="0"/>
        <sz val="11"/>
        <vertAlign val="baseline"/>
        <scheme val="minor"/>
      </font>
      <numFmt numFmtId="0" formatCode="General"/>
      <fill>
        <patternFill patternType="gray0625">
          <fgColor indexed="64"/>
          <bgColor theme="4" tint="0.7999816888943144"/>
        </patternFill>
      </fill>
      <border>
        <left/>
        <right/>
        <top style="dotted">
          <color auto="1"/>
        </top>
        <bottom style="dotted">
          <color auto="1"/>
        </bottom>
        <vertical/>
        <horizontal/>
      </border>
    </dxf>
    <dxf>
      <font>
        <name val="Calibri"/>
        <family val="2"/>
        <b val="1"/>
        <strike val="0"/>
        <outline val="0"/>
        <shadow val="0"/>
        <condense val="0"/>
        <color auto="1"/>
        <extend val="0"/>
        <sz val="11"/>
        <vertAlign val="baseline"/>
        <scheme val="minor"/>
      </font>
      <numFmt numFmtId="0" formatCode="General"/>
      <fill>
        <patternFill patternType="gray0625">
          <fgColor indexed="64"/>
          <bgColor theme="4" tint="0.7999816888943144"/>
        </patternFill>
      </fill>
      <border>
        <left/>
        <right/>
        <top style="dotted">
          <color auto="1"/>
        </top>
        <bottom style="dotted">
          <color auto="1"/>
        </bottom>
        <vertical/>
        <horizontal/>
      </border>
    </dxf>
    <dxf>
      <font>
        <name val="Calibri"/>
        <family val="2"/>
        <b val="1"/>
        <strike val="0"/>
        <outline val="0"/>
        <shadow val="0"/>
        <condense val="0"/>
        <color auto="1"/>
        <extend val="0"/>
        <sz val="11"/>
        <vertAlign val="baseline"/>
        <scheme val="minor"/>
      </font>
      <numFmt numFmtId="0" formatCode="General"/>
      <fill>
        <patternFill patternType="solid">
          <fgColor indexed="64"/>
          <bgColor theme="9" tint="0.7999816888943144"/>
        </patternFill>
      </fill>
      <border>
        <left/>
        <right/>
        <top style="dotted">
          <color auto="1"/>
        </top>
        <bottom style="dotted">
          <color auto="1"/>
        </bottom>
        <vertical/>
        <horizontal/>
      </border>
    </dxf>
    <dxf>
      <font>
        <name val="Calibri"/>
        <family val="2"/>
        <b val="1"/>
        <strike val="0"/>
        <outline val="0"/>
        <shadow val="0"/>
        <condense val="0"/>
        <color auto="1"/>
        <extend val="0"/>
        <sz val="11"/>
        <vertAlign val="baseline"/>
        <scheme val="minor"/>
      </font>
      <numFmt numFmtId="0" formatCode="General"/>
      <fill>
        <patternFill patternType="gray0625">
          <fgColor indexed="64"/>
          <bgColor theme="4" tint="0.7999816888943144"/>
        </patternFill>
      </fill>
      <border>
        <left/>
        <right/>
        <top style="dotted">
          <color auto="1"/>
        </top>
        <bottom style="dotted">
          <color auto="1"/>
        </bottom>
        <vertical/>
        <horizontal/>
      </border>
    </dxf>
    <dxf>
      <font>
        <name val="Calibri"/>
        <family val="2"/>
        <b val="1"/>
        <strike val="0"/>
        <outline val="0"/>
        <shadow val="0"/>
        <condense val="0"/>
        <color auto="1"/>
        <extend val="0"/>
        <sz val="11"/>
        <vertAlign val="baseline"/>
        <scheme val="minor"/>
      </font>
      <numFmt numFmtId="0" formatCode="General"/>
      <fill>
        <patternFill patternType="gray0625">
          <fgColor indexed="64"/>
          <bgColor theme="4" tint="0.7999816888943144"/>
        </patternFill>
      </fill>
      <border>
        <left/>
        <right/>
        <top style="dotted">
          <color auto="1"/>
        </top>
        <bottom style="dotted">
          <color auto="1"/>
        </bottom>
        <vertical/>
        <horizontal/>
      </border>
    </dxf>
    <dxf>
      <border outline="0">
        <left style="medium">
          <color rgb="FF000000"/>
        </left>
        <top style="medium">
          <color rgb="FF000000"/>
        </top>
        <bottom style="dotted">
          <color auto="1"/>
        </bottom>
      </border>
    </dxf>
    <dxf>
      <font>
        <name val="Calibri"/>
        <family val="2"/>
        <b val="1"/>
        <strike val="0"/>
        <outline val="0"/>
        <shadow val="0"/>
        <condense val="0"/>
        <color auto="1"/>
        <extend val="0"/>
        <sz val="11"/>
        <vertAlign val="baseline"/>
        <scheme val="minor"/>
      </font>
      <fill>
        <patternFill patternType="gray0625">
          <fgColor indexed="64"/>
          <bgColor theme="4" tint="0.7999816888943144"/>
        </patternFill>
      </fill>
    </dxf>
    <dxf>
      <font>
        <name val="Calibri"/>
        <family val="2"/>
        <b val="1"/>
        <strike val="0"/>
        <outline val="0"/>
        <shadow val="0"/>
        <condense val="0"/>
        <color theme="1"/>
        <extend val="0"/>
        <sz val="11"/>
        <vertAlign val="baseline"/>
        <scheme val="minor"/>
      </font>
    </dxf>
    <dxf>
      <font>
        <name val="Calibri"/>
        <family val="2"/>
        <b val="1"/>
        <strike val="0"/>
        <outline val="0"/>
        <shadow val="0"/>
        <condense val="0"/>
        <color auto="1"/>
        <extend val="0"/>
        <sz val="11"/>
        <vertAlign val="baseline"/>
        <scheme val="minor"/>
      </font>
      <numFmt numFmtId="164" formatCode="0.0%"/>
      <fill>
        <patternFill patternType="gray0625">
          <fgColor indexed="64"/>
          <bgColor theme="4" tint="0.7999816888943144"/>
        </patternFill>
      </fill>
      <border>
        <left/>
        <right style="medium">
          <color indexed="64"/>
        </right>
        <top style="dotted">
          <color auto="1"/>
        </top>
        <bottom style="dotted">
          <color auto="1"/>
        </bottom>
        <vertical/>
        <horizontal/>
      </border>
    </dxf>
    <dxf>
      <font>
        <name val="Calibri"/>
        <family val="2"/>
        <b val="1"/>
        <strike val="0"/>
        <outline val="0"/>
        <shadow val="0"/>
        <condense val="0"/>
        <color auto="1"/>
        <extend val="0"/>
        <sz val="11"/>
        <vertAlign val="baseline"/>
        <scheme val="minor"/>
      </font>
      <numFmt numFmtId="164" formatCode="0.0%"/>
      <fill>
        <patternFill patternType="solid">
          <fgColor indexed="64"/>
          <bgColor theme="9" tint="0.7999816888943144"/>
        </patternFill>
      </fill>
      <border>
        <left/>
        <right/>
        <top style="dotted">
          <color auto="1"/>
        </top>
        <bottom style="dotted">
          <color auto="1"/>
        </bottom>
        <vertical/>
        <horizontal/>
      </border>
    </dxf>
    <dxf>
      <numFmt numFmtId="164" formatCode="0.0%"/>
    </dxf>
    <dxf>
      <numFmt numFmtId="164" formatCode="0.0%"/>
    </dxf>
    <dxf>
      <numFmt numFmtId="164" formatCode="0.0%"/>
      <border outline="0">
        <left/>
        <right style="medium">
          <color indexed="64"/>
        </right>
      </border>
    </dxf>
    <dxf>
      <font>
        <b val="1"/>
        <color auto="1"/>
      </font>
      <numFmt numFmtId="164" formatCode="0.0%"/>
      <fill>
        <patternFill patternType="solid">
          <fgColor indexed="64"/>
          <bgColor theme="9" tint="0.7999816888943144"/>
        </patternFill>
      </fill>
      <border>
        <left/>
        <right style="medium">
          <color indexed="64"/>
        </right>
        <top style="dotted">
          <color auto="1"/>
        </top>
        <bottom style="dotted">
          <color auto="1"/>
        </bottom>
        <vertical/>
        <horizontal style="dotted">
          <color auto="1"/>
        </horizontal>
      </border>
    </dxf>
    <dxf>
      <numFmt numFmtId="164" formatCode="0.0%"/>
      <border>
        <left/>
        <right/>
        <top style="dotted">
          <color auto="1"/>
        </top>
        <bottom style="dotted">
          <color auto="1"/>
        </bottom>
        <vertical/>
        <horizontal style="dotted">
          <color auto="1"/>
        </horizontal>
      </border>
    </dxf>
    <dxf>
      <border>
        <left/>
        <right/>
        <top/>
        <bottom style="dotted">
          <color auto="1"/>
        </bottom>
        <vertical/>
        <horizontal/>
      </border>
    </dxf>
    <dxf>
      <numFmt numFmtId="164" formatCode="0.0%"/>
      <border>
        <left/>
        <right/>
        <top style="dotted">
          <color auto="1"/>
        </top>
        <bottom style="dotted">
          <color auto="1"/>
        </bottom>
        <vertical/>
        <horizontal style="dotted">
          <color auto="1"/>
        </horizontal>
      </border>
    </dxf>
    <dxf>
      <numFmt numFmtId="164" formatCode="0.0%"/>
      <border>
        <left style="medium">
          <color indexed="64"/>
        </left>
        <right/>
        <top style="dotted">
          <color auto="1"/>
        </top>
        <bottom style="dotted">
          <color auto="1"/>
        </bottom>
        <vertical/>
        <horizontal style="dotted">
          <color auto="1"/>
        </horizontal>
      </border>
    </dxf>
    <dxf>
      <font>
        <b val="1"/>
        <color auto="1"/>
      </font>
      <numFmt numFmtId="164" formatCode="0.0%"/>
      <fill>
        <patternFill patternType="solid">
          <fgColor indexed="64"/>
          <bgColor theme="9" tint="0.7999816888943144"/>
        </patternFill>
      </fill>
      <border>
        <left/>
        <right style="medium">
          <color indexed="64"/>
        </right>
        <top style="dotted">
          <color auto="1"/>
        </top>
        <bottom style="dotted">
          <color auto="1"/>
        </bottom>
        <vertical/>
        <horizontal style="dotted">
          <color auto="1"/>
        </horizontal>
      </border>
    </dxf>
    <dxf>
      <numFmt numFmtId="164" formatCode="0.0%"/>
      <border>
        <left/>
        <right/>
        <top style="dotted">
          <color auto="1"/>
        </top>
        <bottom style="dotted">
          <color auto="1"/>
        </bottom>
        <vertical/>
        <horizontal style="dotted">
          <color auto="1"/>
        </horizontal>
      </border>
    </dxf>
    <dxf>
      <border>
        <left/>
        <right/>
        <top/>
        <bottom style="dotted">
          <color auto="1"/>
        </bottom>
        <vertical/>
        <horizontal/>
      </border>
    </dxf>
    <dxf>
      <numFmt numFmtId="164" formatCode="0.0%"/>
      <border>
        <left/>
        <right/>
        <top style="dotted">
          <color auto="1"/>
        </top>
        <bottom style="dotted">
          <color auto="1"/>
        </bottom>
        <vertical/>
        <horizontal style="dotted">
          <color auto="1"/>
        </horizontal>
      </border>
    </dxf>
    <dxf>
      <numFmt numFmtId="164" formatCode="0.0%"/>
      <border>
        <left style="medium">
          <color indexed="64"/>
        </left>
        <right/>
        <top style="dotted">
          <color auto="1"/>
        </top>
        <bottom style="dotted">
          <color auto="1"/>
        </bottom>
        <vertical/>
        <horizontal style="dotted">
          <color auto="1"/>
        </horizontal>
      </border>
    </dxf>
    <dxf>
      <font>
        <b val="1"/>
        <color auto="1"/>
      </font>
      <numFmt numFmtId="164" formatCode="0.0%"/>
      <fill>
        <patternFill patternType="solid">
          <fgColor indexed="64"/>
          <bgColor theme="9" tint="0.7999816888943144"/>
        </patternFill>
      </fill>
      <border>
        <left/>
        <right style="medium">
          <color indexed="64"/>
        </right>
        <top style="dotted">
          <color auto="1"/>
        </top>
        <bottom style="dotted">
          <color auto="1"/>
        </bottom>
        <vertical/>
        <horizontal style="dotted">
          <color auto="1"/>
        </horizontal>
      </border>
    </dxf>
    <dxf>
      <numFmt numFmtId="164" formatCode="0.0%"/>
      <border>
        <left/>
        <right/>
        <top style="dotted">
          <color auto="1"/>
        </top>
        <bottom style="dotted">
          <color auto="1"/>
        </bottom>
        <vertical/>
        <horizontal style="dotted">
          <color auto="1"/>
        </horizontal>
      </border>
    </dxf>
    <dxf>
      <border>
        <left/>
        <right/>
        <top style="dotted">
          <color auto="1"/>
        </top>
        <bottom style="dotted">
          <color auto="1"/>
        </bottom>
        <vertical/>
        <horizontal/>
      </border>
    </dxf>
    <dxf>
      <numFmt numFmtId="164" formatCode="0.0%"/>
      <border>
        <left/>
        <right/>
        <top style="dotted">
          <color auto="1"/>
        </top>
        <bottom style="dotted">
          <color auto="1"/>
        </bottom>
        <vertical/>
        <horizontal style="dotted">
          <color auto="1"/>
        </horizontal>
      </border>
    </dxf>
    <dxf>
      <numFmt numFmtId="164" formatCode="0.0%"/>
      <border>
        <left style="medium">
          <color indexed="64"/>
        </left>
        <right/>
        <top style="dotted">
          <color auto="1"/>
        </top>
        <bottom style="dotted">
          <color auto="1"/>
        </bottom>
        <vertical/>
        <horizontal style="dotted">
          <color auto="1"/>
        </horizontal>
      </border>
    </dxf>
    <dxf>
      <font>
        <b val="1"/>
        <color auto="1"/>
      </font>
      <numFmt numFmtId="164" formatCode="0.0%"/>
      <fill>
        <patternFill patternType="solid">
          <fgColor indexed="64"/>
          <bgColor theme="9" tint="0.7999816888943144"/>
        </patternFill>
      </fill>
      <border>
        <left/>
        <right style="medium">
          <color indexed="64"/>
        </right>
        <top style="dotted">
          <color auto="1"/>
        </top>
        <bottom style="dotted">
          <color auto="1"/>
        </bottom>
        <vertical/>
        <horizontal style="dotted">
          <color auto="1"/>
        </horizontal>
      </border>
    </dxf>
    <dxf>
      <numFmt numFmtId="164" formatCode="0.0%"/>
      <border>
        <left/>
        <right/>
        <top style="dotted">
          <color auto="1"/>
        </top>
        <bottom style="dotted">
          <color auto="1"/>
        </bottom>
        <vertical/>
        <horizontal style="dotted">
          <color auto="1"/>
        </horizontal>
      </border>
    </dxf>
    <dxf>
      <numFmt numFmtId="164" formatCode="0.0%"/>
      <border>
        <left/>
        <right/>
        <top style="dotted">
          <color auto="1"/>
        </top>
        <bottom style="dotted">
          <color auto="1"/>
        </bottom>
        <vertical/>
        <horizontal/>
      </border>
    </dxf>
    <dxf>
      <numFmt numFmtId="164" formatCode="0.0%"/>
      <border>
        <left/>
        <right/>
        <top style="dotted">
          <color auto="1"/>
        </top>
        <bottom style="dotted">
          <color auto="1"/>
        </bottom>
        <vertical/>
        <horizontal style="dotted">
          <color auto="1"/>
        </horizontal>
      </border>
    </dxf>
    <dxf>
      <numFmt numFmtId="164" formatCode="0.0%"/>
      <border>
        <left style="medium">
          <color indexed="64"/>
        </left>
        <right/>
        <top style="dotted">
          <color auto="1"/>
        </top>
        <bottom style="dotted">
          <color auto="1"/>
        </bottom>
        <vertical/>
        <horizontal style="dotted">
          <color auto="1"/>
        </horizontal>
      </border>
    </dxf>
    <dxf>
      <numFmt numFmtId="164" formatCode="0.0%"/>
      <border>
        <left/>
        <right style="medium">
          <color indexed="64"/>
        </right>
        <vertical/>
      </border>
    </dxf>
    <dxf>
      <numFmt numFmtId="0" formatCode="General"/>
      <border>
        <left/>
        <right/>
        <top style="dotted">
          <color auto="1"/>
        </top>
        <bottom style="dotted">
          <color auto="1"/>
        </bottom>
        <vertical/>
        <horizontal/>
      </border>
    </dxf>
    <dxf>
      <numFmt numFmtId="0" formatCode="General"/>
    </dxf>
    <dxf>
      <numFmt numFmtId="0" formatCode="General"/>
      <border>
        <left style="medium">
          <color indexed="64"/>
        </left>
        <right/>
        <vertical/>
      </border>
    </dxf>
    <dxf>
      <border>
        <left/>
        <right style="medium">
          <color indexed="64"/>
        </right>
        <top style="dotted">
          <color auto="1"/>
        </top>
        <bottom style="dotted">
          <color auto="1"/>
        </bottom>
        <vertical/>
        <horizontal/>
      </border>
    </dxf>
    <dxf>
      <numFmt numFmtId="0" formatCode="General"/>
    </dxf>
    <dxf>
      <numFmt numFmtId="0" formatCode="General"/>
      <border>
        <left style="thin">
          <color indexed="64"/>
        </left>
      </border>
    </dxf>
    <dxf>
      <numFmt numFmtId="0" formatCode="General"/>
    </dxf>
    <dxf>
      <numFmt numFmtId="0" formatCode="General"/>
      <border>
        <left style="thin">
          <color indexed="64"/>
        </left>
      </border>
    </dxf>
    <dxf>
      <numFmt numFmtId="0" formatCode="General"/>
    </dxf>
    <dxf>
      <numFmt numFmtId="0" formatCode="General"/>
      <border>
        <left style="thin">
          <color indexed="64"/>
        </left>
        <right/>
        <vertical/>
      </border>
    </dxf>
    <dxf>
      <numFmt numFmtId="0" formatCode="General"/>
    </dxf>
    <dxf>
      <numFmt numFmtId="0" formatCode="General"/>
      <border>
        <left style="thin">
          <color indexed="64"/>
        </left>
      </border>
    </dxf>
    <dxf>
      <numFmt numFmtId="0" formatCode="General"/>
    </dxf>
    <dxf>
      <numFmt numFmtId="0" formatCode="General"/>
      <border>
        <left style="medium">
          <color indexed="64"/>
        </left>
        <right/>
        <vertical/>
      </border>
    </dxf>
    <dxf>
      <numFmt numFmtId="14" formatCode="0.00%"/>
    </dxf>
    <dxf>
      <alignment horizontal="right" vertical="bottom"/>
    </dxf>
    <dxf>
      <numFmt numFmtId="0" formatCode="General"/>
    </dxf>
    <dxf/>
    <dxf>
      <border>
        <left style="medium">
          <color rgb="FF000000"/>
        </left>
        <right style="medium">
          <color rgb="FF000000"/>
        </right>
        <top style="medium">
          <color rgb="FF000000"/>
        </top>
        <bottom style="medium">
          <color rgb="FF000000"/>
        </bottom>
      </border>
    </dxf>
    <dxf>
      <border outline="0">
        <bottom style="thin">
          <color rgb="FF000000"/>
        </bottom>
      </border>
    </dxf>
    <dxf>
      <font>
        <name val="Calibri"/>
        <family val="2"/>
        <b val="1"/>
        <strike val="0"/>
        <outline val="0"/>
        <shadow val="0"/>
        <condense val="0"/>
        <color theme="1"/>
        <extend val="0"/>
        <sz val="11"/>
        <vertAlign val="baseline"/>
        <scheme val="minor"/>
      </font>
    </dxf>
    <dxf>
      <numFmt numFmtId="2" formatCode="0.00"/>
    </dxf>
    <dxf>
      <numFmt numFmtId="0" formatCode="General"/>
    </dxf>
    <dxf>
      <numFmt numFmtId="0" formatCode="General"/>
    </dxf>
    <dxf/>
    <dxf>
      <border>
        <left style="medium">
          <color rgb="FF000000"/>
        </left>
        <right style="medium">
          <color rgb="FF000000"/>
        </right>
        <top style="medium">
          <color rgb="FF000000"/>
        </top>
        <bottom style="medium">
          <color rgb="FF000000"/>
        </bottom>
      </border>
    </dxf>
    <dxf>
      <numFmt numFmtId="0" formatCode="General"/>
    </dxf>
    <dxf>
      <numFmt numFmtId="0" formatCode="General"/>
      <border>
        <left style="medium">
          <color indexed="64"/>
        </left>
        <right/>
        <vertical/>
      </border>
    </dxf>
    <dxf>
      <numFmt numFmtId="0" formatCode="General"/>
      <alignment horizontal="right" vertical="bottom"/>
    </dxf>
    <dxf>
      <numFmt numFmtId="0" formatCode="General"/>
    </dxf>
    <dxf/>
    <dxf>
      <border>
        <left style="medium">
          <color rgb="FF000000"/>
        </left>
        <right style="medium">
          <color rgb="FF000000"/>
        </right>
        <top style="medium">
          <color rgb="FF000000"/>
        </top>
        <bottom style="medium">
          <color rgb="FF000000"/>
        </bottom>
      </border>
    </dxf>
    <dxf>
      <border>
        <left/>
        <right style="medium">
          <color indexed="64"/>
        </right>
        <top/>
        <bottom/>
        <vertical/>
        <horizontal/>
      </border>
    </dxf>
    <dxf>
      <border>
        <left/>
        <right style="medium">
          <color indexed="64"/>
        </right>
        <top/>
        <bottom/>
        <vertical/>
        <horizontal/>
      </border>
    </dxf>
    <dxf>
      <border>
        <left style="medium">
          <color indexed="64"/>
        </left>
        <right/>
        <vertical/>
      </border>
    </dxf>
    <dxf>
      <border>
        <left/>
        <right/>
        <top style="dotted">
          <color auto="1"/>
        </top>
        <bottom style="dotted">
          <color auto="1"/>
        </bottom>
        <vertical/>
        <horizontal/>
      </border>
    </dxf>
    <dxf>
      <numFmt numFmtId="0" formatCode="General"/>
    </dxf>
    <dxf>
      <numFmt numFmtId="30" formatCode="@"/>
    </dxf>
    <dxf/>
    <dxf>
      <numFmt numFmtId="4" formatCode="#,##0.00"/>
    </dxf>
    <dxf>
      <numFmt numFmtId="0" formatCode="General"/>
    </dxf>
    <dxf>
      <numFmt numFmtId="0" formatCode="General"/>
    </dxf>
    <dxf>
      <numFmt numFmtId="0" formatCode="General"/>
    </dxf>
    <dxf>
      <numFmt numFmtId="0" formatCode="General"/>
    </dxf>
    <dxf>
      <numFmt numFmtId="3" formatCode="#,##0"/>
    </dxf>
    <dxf>
      <numFmt numFmtId="0" formatCode="General"/>
      <border>
        <left/>
        <right/>
        <top style="dotted">
          <color auto="1"/>
        </top>
        <bottom style="dotted">
          <color auto="1"/>
        </bottom>
        <vertical/>
        <horizontal/>
      </border>
    </dxf>
    <dxf>
      <numFmt numFmtId="0" formatCode="General"/>
      <border>
        <left/>
        <right/>
        <top style="dotted">
          <color auto="1"/>
        </top>
        <bottom style="dotted">
          <color auto="1"/>
        </bottom>
        <vertical/>
        <horizontal/>
      </border>
    </dxf>
    <dxf>
      <numFmt numFmtId="0" formatCode="General"/>
      <border>
        <left/>
        <right/>
        <top style="dotted">
          <color auto="1"/>
        </top>
        <bottom style="dotted">
          <color auto="1"/>
        </bottom>
        <vertical/>
        <horizontal/>
      </border>
    </dxf>
    <dxf>
      <numFmt numFmtId="0" formatCode="General"/>
      <border>
        <left/>
        <right/>
        <top style="dotted">
          <color auto="1"/>
        </top>
        <bottom style="dotted">
          <color auto="1"/>
        </bottom>
        <vertical/>
        <horizontal/>
      </border>
    </dxf>
    <dxf>
      <border>
        <left/>
        <right style="medium">
          <color indexed="64"/>
        </right>
        <vertical/>
      </border>
    </dxf>
    <dxf>
      <border>
        <left style="medium">
          <color indexed="64"/>
        </left>
        <right/>
        <vertical/>
      </border>
    </dxf>
    <dxf>
      <numFmt numFmtId="14" formatCode="0.00%"/>
    </dxf>
    <dxf>
      <numFmt numFmtId="14" formatCode="0.00%"/>
    </dxf>
    <dxf>
      <border outline="0">
        <left/>
        <right/>
        <top style="dotted">
          <color auto="1"/>
        </top>
        <bottom style="dotted">
          <color auto="1"/>
        </bottom>
      </border>
    </dxf>
    <dxf>
      <numFmt numFmtId="14" formatCode="0.00%"/>
    </dxf>
    <dxf>
      <border>
        <left/>
        <right style="medium">
          <color indexed="64"/>
        </right>
        <vertical/>
      </border>
    </dxf>
    <dxf>
      <numFmt numFmtId="0" formatCode="General"/>
    </dxf>
    <dxf>
      <numFmt numFmtId="0" formatCode="General"/>
    </dxf>
    <dxf>
      <numFmt numFmtId="30" formatCode="@"/>
      <alignment horizontal="right" vertical="bottom"/>
    </dxf>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externalLink" Target="/xl/externalLinks/externalLink1.xml" Id="rId26"/><Relationship Type="http://schemas.openxmlformats.org/officeDocument/2006/relationships/styles" Target="styles.xml" Id="rId27"/><Relationship Type="http://schemas.openxmlformats.org/officeDocument/2006/relationships/theme" Target="theme/theme1.xml" Id="rId28"/></Relationships>
</file>

<file path=xl/externalLinks/_rels/externalLink1.xml.rels><Relationships xmlns="http://schemas.openxmlformats.org/package/2006/relationships"><Relationship Type="http://schemas.openxmlformats.org/officeDocument/2006/relationships/externalLinkPath" Target="file:///C:\Users\Johannes\Nextcloud\Shared\2024_Carbonflow_B-BB_Research\02_data\05_Python%20files\250428_bioDYM-Paper\bioDYM-CERT-edit-main\studies\rye_straw_cascading_treatment_system\250530_Scenario4_Data_04.xlsx" TargetMode="External" Id="rId2"/></Relationships>
</file>

<file path=xl/externalLinks/externalLink1.xml><?xml version="1.0" encoding="utf-8"?>
<externalLink xmlns="http://schemas.openxmlformats.org/spreadsheetml/2006/main">
  <externalBook xmlns:r="http://schemas.openxmlformats.org/officeDocument/2006/relationships" r:id="rId1">
    <sheetNames>
      <sheetName val="Intro"/>
      <sheetName val="Version_02.05."/>
      <sheetName val="1_Flows&gt;&gt;&gt;&gt;"/>
      <sheetName val="1_1_Definition_Flows"/>
      <sheetName val="1_2_Data_Flows"/>
      <sheetName val="2. Processes&gt;&gt;&gt;&gt;"/>
      <sheetName val="2_1_Definition_Processes"/>
      <sheetName val="2_3_Process_TCs"/>
      <sheetName val="2_4_Process_Stock_"/>
      <sheetName val="3. Calculation_factors&gt;&gt;&gt;&gt;"/>
      <sheetName val="3_1_Calculation_factors (Waste)"/>
      <sheetName val="3_1_Calculation_factors (Wood)"/>
      <sheetName val="4. Codelists&gt;&gt;&gt;&gt;"/>
      <sheetName val="4_1 Codelists"/>
      <sheetName val="5. Wastefiles &gt;&gt;&gt;&gt;"/>
      <sheetName val="2_2_Process_Data"/>
      <sheetName val="Data_Processes"/>
      <sheetName val="1_2_WC_DM_CC_Flows"/>
      <sheetName val="Data_Processes_TCs"/>
      <sheetName val="2_3_Process_TC"/>
      <sheetName val="Tabelle2"/>
      <sheetName val="Tabelle3"/>
      <sheetName val="Data_Processes_Stocks"/>
      <sheetName val="250530_Scenario4_Data_04"/>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efreshError="1"/>
    </sheetDataSet>
  </externalBook>
</externalLink>
</file>

<file path=xl/tables/table1.xml><?xml version="1.0" encoding="utf-8"?>
<table xmlns="http://schemas.openxmlformats.org/spreadsheetml/2006/main" id="1" name="Table17" displayName="Table17" ref="A1:F43" headerRowCount="1" totalsRowShown="0">
  <autoFilter ref="A1:F43"/>
  <tableColumns count="6">
    <tableColumn id="6" name="Category_Settings" dataCellStyle="03_Auto_Calcaulation"/>
    <tableColumn id="1" name="Setting Name" dataCellStyle="03_Auto_Calcaulation"/>
    <tableColumn id="2" name="Value" dataCellStyle="01_Data_Input"/>
    <tableColumn id="3" name="Description" dataCellStyle="04_Comments"/>
    <tableColumn id="4" name="Category" dataCellStyle="04_Comments"/>
    <tableColumn id="5" name="Status" dataCellStyle="04_Comments"/>
  </tableColumns>
  <tableStyleInfo name="TableStyleLight1" showFirstColumn="0" showLastColumn="0" showRowStripes="1" showColumnStripes="0"/>
</table>
</file>

<file path=xl/tables/table2.xml><?xml version="1.0" encoding="utf-8"?>
<table xmlns="http://schemas.openxmlformats.org/spreadsheetml/2006/main" id="2" name="Tab_Def_Flows" displayName="Tab_Def_Flows" ref="A1:V79" headerRowCount="1" totalsRowShown="0" headerRowCellStyle="05_Header">
  <autoFilter ref="A1:V79"/>
  <tableColumns count="22">
    <tableColumn id="13" name="Complete?" dataDxfId="132" dataCellStyle="04_Comments"/>
    <tableColumn id="1" name="ID" dataDxfId="131">
      <calculatedColumnFormula>ROW()-1</calculatedColumnFormula>
    </tableColumn>
    <tableColumn id="2" name="Flow_ID" dataDxfId="130">
      <calculatedColumnFormula>"F_"&amp;LEFT(I2,2)&amp;"_"&amp;LEFT(K2,2)</calculatedColumnFormula>
    </tableColumn>
    <tableColumn id="3" name="Name(EN)" dataDxfId="129"/>
    <tableColumn id="12" name="Region"/>
    <tableColumn id="4" name="Type_Biomass"/>
    <tableColumn id="10" name="Comment"/>
    <tableColumn id="5" name="Output_Process" dataCellStyle="02_Data_Input (DD)"/>
    <tableColumn id="6" name="Process_ID_O">
      <calculatedColumnFormula>_xlfn.XLOOKUP(H2,Tab_Def_Processes[Name(EN)],Tab_Def_Processes[Process_ID],,0,)</calculatedColumnFormula>
    </tableColumn>
    <tableColumn id="7" name="Input_Process" dataCellStyle="02_Data_Input (DD)"/>
    <tableColumn id="8" name="Process_ID_I" dataDxfId="128">
      <calculatedColumnFormula>_xlfn.XLOOKUP(J2,Tab_Def_Processes[Name(EN)],Tab_Def_Processes[Process_ID],,0,)</calculatedColumnFormula>
    </tableColumn>
    <tableColumn id="9" name="WC?" dataCellStyle="02_Data_Input (DD)"/>
    <tableColumn id="15" name="DM?" dataCellStyle="02_Data_Input (DD)"/>
    <tableColumn id="16" name="CC?" dataCellStyle="02_Data_Input (DD)"/>
    <tableColumn id="18" name="WC" dataDxfId="127"/>
    <tableColumn id="22" name="WC_source" dataDxfId="126"/>
    <tableColumn id="23" name="DM" dataDxfId="125"/>
    <tableColumn id="19" name="DM_source"/>
    <tableColumn id="20" name="CC_DM[%]" dataDxfId="124"/>
    <tableColumn id="21" name="CC_DM_source"/>
    <tableColumn id="24" name="CC" dataCellStyle="Percent"/>
    <tableColumn id="25" name="CC_FM_source"/>
  </tableColumns>
  <tableStyleInfo name="TableStyleLight1" showFirstColumn="0" showLastColumn="0" showRowStripes="1" showColumnStripes="0"/>
</table>
</file>

<file path=xl/tables/table3.xml><?xml version="1.0" encoding="utf-8"?>
<table xmlns="http://schemas.openxmlformats.org/spreadsheetml/2006/main" id="3" name="Tab_Data_Flows" displayName="Tab_Data_Flows" ref="A1:AK350" headerRowCount="1" totalsRowShown="0" headerRowCellStyle="05_Header">
  <autoFilter ref="A1:AK350"/>
  <tableColumns count="37">
    <tableColumn id="1" name="ID" dataDxfId="123"/>
    <tableColumn id="21" name="Flow_ID">
      <calculatedColumnFormula>_xlfn.XLOOKUP(C2,Tab_Def_Flows[Name(EN)],Tab_Def_Flows[Flow_ID],,0,)</calculatedColumnFormula>
    </tableColumn>
    <tableColumn id="2" name="Name(EN)"/>
    <tableColumn id="3" name="Type_Biomass"/>
    <tableColumn id="4" name="Output_Process"/>
    <tableColumn id="5" name="Process_ID_O">
      <calculatedColumnFormula>_xlfn.XLOOKUP(C2,Tab_Def_Flows[Name(EN)],Tab_Def_Flows[Process_ID_O],,0,)</calculatedColumnFormula>
    </tableColumn>
    <tableColumn id="6" name="Input_Process"/>
    <tableColumn id="7" name="Process_ID_I" dataDxfId="122">
      <calculatedColumnFormula>_xlfn.XLOOKUP(C2,Tab_Def_Flows[Name(EN)],Tab_Def_Flows[Process_ID_I],,0,)</calculatedColumnFormula>
    </tableColumn>
    <tableColumn id="34" name="TC?" dataDxfId="121">
      <calculatedColumnFormula>_xlfn.XLOOKUP(C2,Tab_Def_Flows[Name(EN)],#REF!,,0,)</calculatedColumnFormula>
    </tableColumn>
    <tableColumn id="30" name="WC?" dataDxfId="120">
      <calculatedColumnFormula>_xlfn.XLOOKUP(C2,Tab_Def_Flows[Name(EN)],Tab_Def_Flows[WC?],,0,)</calculatedColumnFormula>
    </tableColumn>
    <tableColumn id="31" name="DM?" dataDxfId="119">
      <calculatedColumnFormula>_xlfn.XLOOKUP(C2,Tab_Def_Flows[Name(EN)],Tab_Def_Flows[DM?],,0,)</calculatedColumnFormula>
    </tableColumn>
    <tableColumn id="32" name="CC?" dataDxfId="118">
      <calculatedColumnFormula>_xlfn.XLOOKUP(C2,Tab_Def_Flows[Name(EN)],Tab_Def_Flows[CC?],,0,)</calculatedColumnFormula>
    </tableColumn>
    <tableColumn id="8" name="Year_Flow"/>
    <tableColumn id="22" name="Region_Flow"/>
    <tableColumn id="9" name="Flow_Source" dataDxfId="117"/>
    <tableColumn id="10" name="UoM_Source"/>
    <tableColumn id="11" name="Name_Source"/>
    <tableColumn id="26" name="AVV" dataDxfId="116">
      <calculatedColumnFormula>INDEX(#REF!,MATCH(Tab_Data_Flows[[#This Row],[Name(EN)]],#REF!,0),12)</calculatedColumnFormula>
    </tableColumn>
    <tableColumn id="27" name="Titel_Source" dataDxfId="115">
      <calculatedColumnFormula>MATCH(Tab_Data_Flows[[#This Row],[Name(EN)]],#REF!,0)</calculatedColumnFormula>
    </tableColumn>
    <tableColumn id="12" name="Year_Source"/>
    <tableColumn id="13" name="Author_Source"/>
    <tableColumn id="14" name="Type_Source"/>
    <tableColumn id="15" name="URL"/>
    <tableColumn id="23" name="CF_required?"/>
    <tableColumn id="24" name="CF" dataDxfId="114"/>
    <tableColumn id="25" name="Name_CF" dataDxfId="113">
      <calculatedColumnFormula>#REF!</calculatedColumnFormula>
    </tableColumn>
    <tableColumn id="17" name="Flow_Py" dataDxfId="112"/>
    <tableColumn id="18" name="UoM_Flow_Py"/>
    <tableColumn id="35" name="WC_[%]" dataCellStyle="Percent">
      <calculatedColumnFormula>INDEX(Tab_Def_Flows[[Flow_ID]:[CC_DM_source]],MATCH(Tab_Data_Flows[[#This Row],[Name(EN)]],Tab_Def_Flows[Name(EN)],0),13)</calculatedColumnFormula>
    </tableColumn>
    <tableColumn id="19" name="WC_Flow_Py" dataCellStyle="03_Auto_Calcaulation">
      <calculatedColumnFormula>IF(J2="Yes",AA2*Tab_Data_Flows[[#This Row],[WC_'[%']]],"N.A.")</calculatedColumnFormula>
    </tableColumn>
    <tableColumn id="20" name="UoM_WC_Flow_Py" dataCellStyle="03_Auto_Calcaulation">
      <calculatedColumnFormula>Tab_Data_Flows[[#This Row],[UoM_Flow_Py]]</calculatedColumnFormula>
    </tableColumn>
    <tableColumn id="36" name="DM_[%]" dataCellStyle="Percent">
      <calculatedColumnFormula>INDEX(Tab_Def_Flows[[Flow_ID]:[CC_DM_source]],MATCH(Tab_Data_Flows[[#This Row],[Name(EN)]],Tab_Def_Flows[Name(EN)],0),15)</calculatedColumnFormula>
    </tableColumn>
    <tableColumn id="16" name="DM_Flow_Py2" dataCellStyle="03_Auto_Calcaulation">
      <calculatedColumnFormula>IF(K2="Yes",AF2*Tab_Data_Flows[[#This Row],[Flow_Py]],"N.A.")</calculatedColumnFormula>
    </tableColumn>
    <tableColumn id="28" name="UoM_DM_Flow_Py" dataCellStyle="03_Auto_Calcaulation">
      <calculatedColumnFormula>Tab_Data_Flows[[#This Row],[UoM_Flow_Py]]</calculatedColumnFormula>
    </tableColumn>
    <tableColumn id="37" name="CC_[%]" dataCellStyle="Percent">
      <calculatedColumnFormula>INDEX(Tab_Def_Flows[[Flow_ID]:[CC_DM_source]],MATCH(Tab_Data_Flows[[#This Row],[Name(EN)]],Tab_Def_Flows[Name(EN)],0),17)</calculatedColumnFormula>
    </tableColumn>
    <tableColumn id="33" name="CC_Flow_Py" dataCellStyle="03_Auto_Calcaulation">
      <calculatedColumnFormula>IF(L2="Yes",AI2*Tab_Data_Flows[[#This Row],[Flow_Py]]*Tab_Data_Flows[[#This Row],[DM_'[%']]],"N.A.")</calculatedColumnFormula>
    </tableColumn>
    <tableColumn id="29" name="UoM_CC_Flow_Py" dataCellStyle="03_Auto_Calcaulation">
      <calculatedColumnFormula>Tab_Data_Flows[[#This Row],[UoM_Flow_Py]]</calculatedColumnFormula>
    </tableColumn>
  </tableColumns>
  <tableStyleInfo name="TableStyleLight1" showFirstColumn="0" showLastColumn="0" showRowStripes="1" showColumnStripes="0"/>
</table>
</file>

<file path=xl/tables/table4.xml><?xml version="1.0" encoding="utf-8"?>
<table xmlns="http://schemas.openxmlformats.org/spreadsheetml/2006/main" id="4" name="Tab_Def_Processes" displayName="Tab_Def_Processes" ref="A1:AL54" headerRowCount="1" totalsRowShown="0" headerRowCellStyle="05_Header">
  <autoFilter ref="A1:AL54"/>
  <tableColumns count="38">
    <tableColumn id="39" name="Complete?" dataDxfId="111" dataCellStyle="04_Comments"/>
    <tableColumn id="1" name="ID" dataDxfId="110">
      <calculatedColumnFormula>ROW()-1</calculatedColumnFormula>
    </tableColumn>
    <tableColumn id="2" name="Process_ID" dataDxfId="109">
      <calculatedColumnFormula>LEFT(B2,2)</calculatedColumnFormula>
    </tableColumn>
    <tableColumn id="3" name="Name(EN)"/>
    <tableColumn id="40" name="Region"/>
    <tableColumn id="11" name="Carbon_Stock"/>
    <tableColumn id="10" name="Life_Phase"/>
    <tableColumn id="5" name="Description"/>
    <tableColumn id="35" name="Process_Type" dataCellStyle="02_Data_Input (DD)"/>
    <tableColumn id="36" name="TC?" dataCellStyle="02_Data_Input (DD)"/>
    <tableColumn id="4" name="Dyn_TC?" dataCellStyle="02_Data_Input (DD)"/>
    <tableColumn id="37" name="Stock?" dataCellStyle="02_Data_Input (DD)"/>
    <tableColumn id="6" name="Initial_Stock?" dataCellStyle="02_Data_Input (DD)"/>
    <tableColumn id="7" name="DSM?" dataCellStyle="02_Data_Input (DD)"/>
    <tableColumn id="8" name="FOMP?" dataCellStyle="02_Data_Input (DD)"/>
    <tableColumn id="9" name="Nr. Outflows" dataDxfId="108"/>
    <tableColumn id="14" name="Input_Flow_I_1" dataDxfId="107"/>
    <tableColumn id="15" name="Flow_ID_I_1">
      <calculatedColumnFormula>_xlfn.XLOOKUP(Q2,Tab_Def_Flows[Name(EN)],Tab_Def_Flows[Flow_ID],,0,)</calculatedColumnFormula>
    </tableColumn>
    <tableColumn id="16" name="Input_Flow_I_2"/>
    <tableColumn id="17" name="Flow_ID_I_2">
      <calculatedColumnFormula>_xlfn.XLOOKUP(S2,Tab_Def_Flows[Name(EN)],Tab_Def_Flows[Flow_ID],,0,)</calculatedColumnFormula>
    </tableColumn>
    <tableColumn id="18" name="Input_Flow_I_3"/>
    <tableColumn id="19" name="Flow_ID_I_3">
      <calculatedColumnFormula>_xlfn.XLOOKUP(U2,Tab_Def_Flows[Name(EN)],Tab_Def_Flows[Flow_ID],,0,)</calculatedColumnFormula>
    </tableColumn>
    <tableColumn id="20" name="Input_Flow_I_4"/>
    <tableColumn id="21" name="Flow_ID_I_4">
      <calculatedColumnFormula>_xlfn.XLOOKUP(W2,Tab_Def_Flows[Name(EN)],Tab_Def_Flows[Flow_ID],,0,)</calculatedColumnFormula>
    </tableColumn>
    <tableColumn id="22" name="Input_Flow_I_5"/>
    <tableColumn id="23" name="Flow_ID_I_5" dataDxfId="106">
      <calculatedColumnFormula>_xlfn.XLOOKUP(Y2,Tab_Def_Flows[Name(EN)],Tab_Def_Flows[Flow_ID],,0,)</calculatedColumnFormula>
    </tableColumn>
    <tableColumn id="24" name="Output_Flow_O_1" dataCellStyle="02_Data_Input (DD)"/>
    <tableColumn id="25" name="Flow_ID_O_1">
      <calculatedColumnFormula>_xlfn.XLOOKUP(AA2,Tab_Def_Flows[Name(EN)],Tab_Def_Flows[Flow_ID],,0,)</calculatedColumnFormula>
    </tableColumn>
    <tableColumn id="26" name="Output_Flow_O_2" dataCellStyle="02_Data_Input (DD)"/>
    <tableColumn id="27" name="Flow_ID_O_2">
      <calculatedColumnFormula>_xlfn.XLOOKUP(AC2,Tab_Def_Flows[Name(EN)],Tab_Def_Flows[Flow_ID],,0,)</calculatedColumnFormula>
    </tableColumn>
    <tableColumn id="28" name="Output_Flow_O_3" dataCellStyle="02_Data_Input (DD)"/>
    <tableColumn id="13" name="Flow_ID_O_3">
      <calculatedColumnFormula>_xlfn.XLOOKUP(AE2,Tab_Def_Flows[Name(EN)],Tab_Def_Flows[Flow_ID],,0,)</calculatedColumnFormula>
    </tableColumn>
    <tableColumn id="29" name="Output_Flow_O_4" dataCellStyle="02_Data_Input (DD)"/>
    <tableColumn id="30" name="Flow_ID_O_4">
      <calculatedColumnFormula>_xlfn.XLOOKUP(AG2,Tab_Def_Flows[Name(EN)],Tab_Def_Flows[Flow_ID],,0,)</calculatedColumnFormula>
    </tableColumn>
    <tableColumn id="31" name="Output_Flow_O_5" dataCellStyle="02_Data_Input (DD)"/>
    <tableColumn id="32" name="Flow_ID_O_5">
      <calculatedColumnFormula>_xlfn.XLOOKUP(AI2,Tab_Def_Flows[Name(EN)],Tab_Def_Flows[Flow_ID],,0,)</calculatedColumnFormula>
    </tableColumn>
    <tableColumn id="33" name="Output_Flow_O_6" dataCellStyle="02_Data_Input (DD)"/>
    <tableColumn id="34" name="Flow_ID_O_6" dataDxfId="105">
      <calculatedColumnFormula>_xlfn.XLOOKUP(AK2,Tab_Def_Flows[Name(EN)],Tab_Def_Flows[Flow_ID],,0,)</calculatedColumnFormula>
    </tableColumn>
  </tableColumns>
  <tableStyleInfo name="TableStyleLight1" showFirstColumn="0" showLastColumn="0" showRowStripes="1" showColumnStripes="0"/>
</table>
</file>

<file path=xl/tables/table5.xml><?xml version="1.0" encoding="utf-8"?>
<table xmlns="http://schemas.openxmlformats.org/spreadsheetml/2006/main" id="5" name="Tab_Process_TCs" displayName="Tab_Process_TCs" ref="A1:U59" headerRowCount="1" totalsRowShown="0" tableBorderDxfId="104" headerRowCellStyle="05_Header">
  <autoFilter ref="A1:U59"/>
  <tableColumns count="21">
    <tableColumn id="33" name="Complete?" dataDxfId="103" dataCellStyle="04_Comments"/>
    <tableColumn id="1" name="ID" dataDxfId="102">
      <calculatedColumnFormula>ROW()-1</calculatedColumnFormula>
    </tableColumn>
    <tableColumn id="2" name="Process_ID" dataDxfId="101">
      <calculatedColumnFormula>_xlfn.XLOOKUP($D2,Tab_Def_Processes[Name(EN)],Tab_Def_Processes[ID],,0,)</calculatedColumnFormula>
    </tableColumn>
    <tableColumn id="4" name="Name(EN)" dataCellStyle="02_Data_Input (DD)"/>
    <tableColumn id="8" name="Process_Type">
      <calculatedColumnFormula>_xlfn.XLOOKUP($D2,Tab_Def_Processes[Name(EN)],Tab_Def_Processes[Process_Type],,0,)</calculatedColumnFormula>
    </tableColumn>
    <tableColumn id="9" name="TC?">
      <calculatedColumnFormula>_xlfn.XLOOKUP($D2,Tab_Def_Processes[Name(EN)],Tab_Def_Processes[TC?],,0,)</calculatedColumnFormula>
    </tableColumn>
    <tableColumn id="55" name="Dyn_TC?">
      <calculatedColumnFormula>_xlfn.XLOOKUP($D2,Tab_Def_Processes[Name(EN)],Tab_Def_Processes[Dyn_TC?],,0,)</calculatedColumnFormula>
    </tableColumn>
    <tableColumn id="10" name="Stock?">
      <calculatedColumnFormula>_xlfn.XLOOKUP($D2,Tab_Def_Processes[Name(EN)],Tab_Def_Processes[Stock?],,0,)</calculatedColumnFormula>
    </tableColumn>
    <tableColumn id="11" name="Initial_Stock?" dataDxfId="100">
      <calculatedColumnFormula>_xlfn.XLOOKUP($D2,Tab_Def_Processes[Name(EN)],Tab_Def_Processes[Initial_Stock?],,0,)</calculatedColumnFormula>
    </tableColumn>
    <tableColumn id="12" name="DSM?" dataDxfId="99">
      <calculatedColumnFormula>_xlfn.XLOOKUP($D2,Tab_Def_Processes[Name(EN)],Tab_Def_Processes[DSM?],,0,)</calculatedColumnFormula>
    </tableColumn>
    <tableColumn id="35" name="FOMP?">
      <calculatedColumnFormula>_xlfn.XLOOKUP($D2,Tab_Def_Processes[Name(EN)],Tab_Def_Processes[FOMP?],,0,)</calculatedColumnFormula>
    </tableColumn>
    <tableColumn id="63" name="Nr. Outflows?">
      <calculatedColumnFormula>_xlfn.XLOOKUP($D2,Tab_Def_Processes[Name(EN)],Tab_Def_Processes[Nr. Outflows],,0,)</calculatedColumnFormula>
    </tableColumn>
    <tableColumn id="60" name="Output_Flow" dataCellStyle="02_Data_Input (DD)"/>
    <tableColumn id="61" name="Flow_ID"/>
    <tableColumn id="62" name="TC_ID">
      <calculatedColumnFormula>"TC"&amp;"_"&amp;RIGHT(N2,5)</calculatedColumnFormula>
    </tableColumn>
    <tableColumn id="13" name="TC_Value" dataCellStyle="01_Data_Input [%]">
      <calculatedColumnFormula>_xlfn.XLOOKUP($D2,Tab_Def_Processes[Name(EN)],Tab_Def_Processes[Input_Flow_I_2],,0,)</calculatedColumnFormula>
    </tableColumn>
    <tableColumn id="48" name="Titel" dataCellStyle="04_Comments"/>
    <tableColumn id="49" name="Year publication" dataCellStyle="04_Comments"/>
    <tableColumn id="50" name="Author" dataCellStyle="04_Comments"/>
    <tableColumn id="51" name="Type of the Study" dataCellStyle="04_Comments"/>
    <tableColumn id="52" name="URL" dataCellStyle="04_Comments"/>
  </tableColumns>
  <tableStyleInfo name="TableStyleLight1" showFirstColumn="0" showLastColumn="0" showRowStripes="1" showColumnStripes="0"/>
</table>
</file>

<file path=xl/tables/table6.xml><?xml version="1.0" encoding="utf-8"?>
<table xmlns="http://schemas.openxmlformats.org/spreadsheetml/2006/main" id="6" name="Tab_Process_Stock" displayName="Tab_Process_Stock" ref="A1:U63" headerRowCount="1" totalsRowShown="0" tableBorderDxfId="98" headerRowCellStyle="05_Header">
  <autoFilter ref="A1:U63"/>
  <tableColumns count="21">
    <tableColumn id="24" name="Complete?" dataDxfId="97" dataCellStyle="04_Comments"/>
    <tableColumn id="1" name="ID" dataDxfId="96">
      <calculatedColumnFormula>ROW()-1</calculatedColumnFormula>
    </tableColumn>
    <tableColumn id="22" name="Stock_ID" dataDxfId="95">
      <calculatedColumnFormula>"S"&amp;"_"&amp;LEFT(D2,2)</calculatedColumnFormula>
    </tableColumn>
    <tableColumn id="2" name="Process_ID">
      <calculatedColumnFormula>_xlfn.XLOOKUP($E2,Tab_Def_Processes[Name(EN)],Tab_Def_Processes[Process_ID],,0,)</calculatedColumnFormula>
    </tableColumn>
    <tableColumn id="4" name="Name(EN)"/>
    <tableColumn id="8" name="Process_Type">
      <calculatedColumnFormula>_xlfn.XLOOKUP($E2,Tab_Def_Processes[Name(EN)],Tab_Def_Processes[Process_Type],,0,)</calculatedColumnFormula>
    </tableColumn>
    <tableColumn id="9" name="TC?">
      <calculatedColumnFormula>_xlfn.XLOOKUP($E2,Tab_Def_Processes[Name(EN)],Tab_Def_Processes[TC?],,0,)</calculatedColumnFormula>
    </tableColumn>
    <tableColumn id="10" name="Dyn_TC?">
      <calculatedColumnFormula>_xlfn.XLOOKUP($E2,Tab_Def_Processes[Name(EN)],Tab_Def_Processes[Dyn_TC?],,0,)</calculatedColumnFormula>
    </tableColumn>
    <tableColumn id="11" name="Stock?">
      <calculatedColumnFormula>_xlfn.XLOOKUP($E2,Tab_Def_Processes[Name(EN)],Tab_Def_Processes[Stock?],,0,)</calculatedColumnFormula>
    </tableColumn>
    <tableColumn id="23" name="Initial_Stock?">
      <calculatedColumnFormula>_xlfn.XLOOKUP($E2,Tab_Def_Processes[Name(EN)],Tab_Def_Processes[Initial_Stock?],,0,)</calculatedColumnFormula>
    </tableColumn>
    <tableColumn id="12" name="Initial_Stock_material" dataDxfId="94"/>
    <tableColumn id="13" name="UoM"/>
    <tableColumn id="29" name="Initial_Stock_WC[%]"/>
    <tableColumn id="30" name="Initial_Stock_DM[%]"/>
    <tableColumn id="31" name="Initial_Stock_CC[%]"/>
    <tableColumn id="7" name="Destination_Process_Name" dataCellStyle="01_Data_Input"/>
    <tableColumn id="3" name="Destination_Process" dataCellStyle="03_Auto_Calcaulation"/>
    <tableColumn id="15" name="Destination_Flow" dataCellStyle="01_Data_Input"/>
    <tableColumn id="14" name="Flow_ID" dataCellStyle="03_Auto_Calcaulation"/>
    <tableColumn id="5" name="Stock_Outflow_TC" dataCellStyle="01_Data_Input"/>
    <tableColumn id="6" name="Annual_Consumption_Rate" dataCellStyle="Percent"/>
  </tableColumns>
  <tableStyleInfo name="TableStyleLight1" showFirstColumn="0" showLastColumn="0" showRowStripes="1" showColumnStripes="0"/>
</table>
</file>

<file path=xl/tables/table7.xml><?xml version="1.0" encoding="utf-8"?>
<table xmlns="http://schemas.openxmlformats.org/spreadsheetml/2006/main" id="7" name="Tab_Process_TCs2527" displayName="Tab_Process_TCs2527" ref="A1:BL149" headerRowCount="1" totalsRowShown="0" headerRowDxfId="93" headerRowBorderDxfId="92" tableBorderDxfId="91">
  <autoFilter ref="A1:BL149"/>
  <sortState ref="A2:BL149">
    <sortCondition ref="D1:D149"/>
  </sortState>
  <tableColumns count="64">
    <tableColumn id="33" name="Complete?" dataDxfId="90" dataCellStyle="04_Comments"/>
    <tableColumn id="1" name="ID" dataDxfId="89">
      <calculatedColumnFormula>ROW()-1</calculatedColumnFormula>
    </tableColumn>
    <tableColumn id="2" name="Process_ID" dataDxfId="88" dataCellStyle="03_Auto_Calcaulation">
      <calculatedColumnFormula>_xlfn.XLOOKUP($D2,Tab_Process_TCs[Name(EN)],Tab_Process_TCs[Process_ID],,0,)</calculatedColumnFormula>
    </tableColumn>
    <tableColumn id="4" name="Name(EN)" dataCellStyle="02_Data_Input (DD)"/>
    <tableColumn id="53" name="Output_Flow" dataCellStyle="02_Data_Input (DD)">
      <calculatedColumnFormula>"TC"&amp;LEFT(B2,2)&amp;"_"&amp;LEFT(C2,3)&amp;"_"&amp;LEFT(D2,3)&amp;"_"&amp;LEFT(I2,3)&amp;"_"&amp;LEFT(#REF!,3)</calculatedColumnFormula>
    </tableColumn>
    <tableColumn id="70" name="TC?" dataCellStyle="03_Auto_Calcaulation">
      <calculatedColumnFormula>_xlfn.XLOOKUP($D2,Tab_Process_TCs[Name(EN)],Tab_Process_TCs[TC?],,0,)</calculatedColumnFormula>
    </tableColumn>
    <tableColumn id="71" name="DynTC?" dataCellStyle="03_Auto_Calcaulation">
      <calculatedColumnFormula>_xlfn.XLOOKUP($D2,Tab_Process_TCs[Name(EN)],Tab_Process_TCs[Dyn_TC?],,0,)</calculatedColumnFormula>
    </tableColumn>
    <tableColumn id="58" name="Flow_ID"/>
    <tableColumn id="47" name="TC_ID">
      <calculatedColumnFormula>IF(Tab_Process_TCs2527[[#This Row],[Name(EN)]]="N.A.","N.A.","TC"&amp;"_"&amp;RIGHT(H2,5))</calculatedColumnFormula>
    </tableColumn>
    <tableColumn id="69" name="Year"/>
    <tableColumn id="55" name="Value" dataDxfId="87"/>
    <tableColumn id="57" name="Column1"/>
    <tableColumn id="11" name="Input_Flow_I_1" dataDxfId="86">
      <calculatedColumnFormula>_xlfn.XLOOKUP($D2,Tab_Def_Processes[Name(EN)],Tab_Def_Processes[Input_Flow_I_1],,0,)</calculatedColumnFormula>
    </tableColumn>
    <tableColumn id="12" name="Flow_ID_I_1" dataDxfId="85">
      <calculatedColumnFormula>_xlfn.XLOOKUP($D2,Tab_Def_Processes[Name(EN)],Tab_Def_Processes[Flow_ID_I_1],,0,)</calculatedColumnFormula>
    </tableColumn>
    <tableColumn id="35" name="Flow_TC_I_1_[%]"/>
    <tableColumn id="13" name="Input_Flow_I_2" dataDxfId="84">
      <calculatedColumnFormula>_xlfn.XLOOKUP($D2,Tab_Def_Processes[Name(EN)],Tab_Def_Processes[Input_Flow_I_2],,0,)</calculatedColumnFormula>
    </tableColumn>
    <tableColumn id="14" name="Flow_ID_I_3" dataDxfId="83">
      <calculatedColumnFormula>_xlfn.XLOOKUP($D2,Tab_Def_Processes[Name(EN)],Tab_Def_Processes[Flow_ID_I_2],,0,)</calculatedColumnFormula>
    </tableColumn>
    <tableColumn id="36" name="Flow_TC_I_2_[%]"/>
    <tableColumn id="15" name="Input_Flow_I_3" dataDxfId="82">
      <calculatedColumnFormula>_xlfn.XLOOKUP($D2,Tab_Def_Processes[Name(EN)],Tab_Def_Processes[Input_Flow_I_3],,0,)</calculatedColumnFormula>
    </tableColumn>
    <tableColumn id="16" name="Flow ID I_3" dataDxfId="81">
      <calculatedColumnFormula>_xlfn.XLOOKUP($D2,Tab_Def_Processes[Name(EN)],Tab_Def_Processes[Flow_ID_I_3],,0,)</calculatedColumnFormula>
    </tableColumn>
    <tableColumn id="37" name="Flow_TC_I_3_[%]"/>
    <tableColumn id="17" name="Input_Flow_I_4" dataDxfId="80">
      <calculatedColumnFormula>_xlfn.XLOOKUP($D2,Tab_Def_Processes[Name(EN)],Tab_Def_Processes[Input_Flow_I_4],,0,)</calculatedColumnFormula>
    </tableColumn>
    <tableColumn id="18" name="Flow ID I_4" dataDxfId="79">
      <calculatedColumnFormula>_xlfn.XLOOKUP($D2,Tab_Def_Processes[Name(EN)],Tab_Def_Processes[Flow_ID_I_4],,0,)</calculatedColumnFormula>
    </tableColumn>
    <tableColumn id="38" name="Flow_TC_I_4_[%]"/>
    <tableColumn id="19" name="Input_Flow_I_5" dataDxfId="78">
      <calculatedColumnFormula>_xlfn.XLOOKUP($D2,Tab_Def_Processes[Name(EN)],Tab_Def_Processes[Input_Flow_I_5],,0,)</calculatedColumnFormula>
    </tableColumn>
    <tableColumn id="20" name="Flow ID I_5" dataDxfId="77">
      <calculatedColumnFormula>_xlfn.XLOOKUP($D2,Tab_Def_Processes[Name(EN)],Tab_Def_Processes[Flow_ID_I_5],,0,)</calculatedColumnFormula>
    </tableColumn>
    <tableColumn id="39" name="Flow_TC_I_5_[%]"/>
    <tableColumn id="34" name="Sum_TC_I" dataDxfId="76">
      <calculatedColumnFormula>Tab_Process_TCs2527[[#This Row],[Flow_TC_I_1_'[%']]]+Tab_Process_TCs2527[[#This Row],[Flow_TC_I_2_'[%']]]+Tab_Process_TCs2527[[#This Row],[Flow_TC_I_3_'[%']]]+Tab_Process_TCs2527[[#This Row],[Flow_TC_I_4_'[%']]]+Tab_Process_TCs2527[[#This Row],[Flow_TC_I_5_'[%']]]</calculatedColumnFormula>
    </tableColumn>
    <tableColumn id="21" name="Output_Flow_O_1" dataDxfId="75">
      <calculatedColumnFormula>_xlfn.XLOOKUP($D2,#REF!,#REF!,,0,)</calculatedColumnFormula>
    </tableColumn>
    <tableColumn id="22" name="Flow_ID_O_1" dataDxfId="74">
      <calculatedColumnFormula>_xlfn.XLOOKUP($D2,#REF!,#REF!,,0,)</calculatedColumnFormula>
    </tableColumn>
    <tableColumn id="63" name="TC_ID_O_1_Year" dataDxfId="73">
      <calculatedColumnFormula>Tab_Process_TCs2527[[#This Row],[Flow_ID]]</calculatedColumnFormula>
    </tableColumn>
    <tableColumn id="3" name="TC_ID_O_1">
      <calculatedColumnFormula>"TC"&amp;"_"&amp;RIGHT(AD2,5)</calculatedColumnFormula>
    </tableColumn>
    <tableColumn id="40" name="TC_O_1_[%]" dataDxfId="72"/>
    <tableColumn id="23" name="Output_Flow_O_2" dataDxfId="71">
      <calculatedColumnFormula>_xlfn.XLOOKUP($D2,#REF!,#REF!,,0,)</calculatedColumnFormula>
    </tableColumn>
    <tableColumn id="24" name="Flow_ID_O_2" dataDxfId="70">
      <calculatedColumnFormula>_xlfn.XLOOKUP($D2,#REF!,#REF!,,0,)</calculatedColumnFormula>
    </tableColumn>
    <tableColumn id="64" name="TC_ID_O_2_Year" dataDxfId="69">
      <calculatedColumnFormula>Tab_Process_TCs2527[[#This Row],[Flow_ID]]</calculatedColumnFormula>
    </tableColumn>
    <tableColumn id="54" name="TC_ID_O_2" dataDxfId="68">
      <calculatedColumnFormula>"TC"&amp;"_"&amp;RIGHT(AI2,5)</calculatedColumnFormula>
    </tableColumn>
    <tableColumn id="41" name="TC_O_2_[%]" dataDxfId="67" dataCellStyle="Percent"/>
    <tableColumn id="25" name="Output_Flow_O_3" dataDxfId="66">
      <calculatedColumnFormula>_xlfn.XLOOKUP($D2,#REF!,#REF!,,0,)</calculatedColumnFormula>
    </tableColumn>
    <tableColumn id="26" name="Flow_ID_O_3" dataDxfId="65">
      <calculatedColumnFormula>_xlfn.XLOOKUP($D2,#REF!,#REF!,,0,)</calculatedColumnFormula>
    </tableColumn>
    <tableColumn id="65" name="TC_ID_O_3_Year" dataDxfId="64">
      <calculatedColumnFormula>Tab_Process_TCs2527[[#This Row],[Flow_ID]]</calculatedColumnFormula>
    </tableColumn>
    <tableColumn id="42" name="TC_ID_O_3" dataDxfId="63">
      <calculatedColumnFormula>"TC"&amp;"_"&amp;RIGHT(AN2,5)</calculatedColumnFormula>
    </tableColumn>
    <tableColumn id="27" name="TC_O_3_[%]" dataDxfId="62" dataCellStyle="Percent"/>
    <tableColumn id="28" name="Output_Flow_O_4" dataDxfId="61">
      <calculatedColumnFormula>_xlfn.XLOOKUP($D2,#REF!,#REF!,,0,)</calculatedColumnFormula>
    </tableColumn>
    <tableColumn id="43" name="Flow_ID_O_4" dataDxfId="60">
      <calculatedColumnFormula>_xlfn.XLOOKUP($D2,#REF!,#REF!,,0,)</calculatedColumnFormula>
    </tableColumn>
    <tableColumn id="66" name="TC_ID_O_4_Year" dataDxfId="59">
      <calculatedColumnFormula>Tab_Process_TCs2527[[#This Row],[Flow_ID]]</calculatedColumnFormula>
    </tableColumn>
    <tableColumn id="29" name="TC_ID_O_4" dataDxfId="58">
      <calculatedColumnFormula>"TC"&amp;"_"&amp;RIGHT(AN2,5)</calculatedColumnFormula>
    </tableColumn>
    <tableColumn id="30" name="TC_O_4_[%]" dataDxfId="57" dataCellStyle="Percent"/>
    <tableColumn id="44" name="Output_Flow_O_5" dataDxfId="56">
      <calculatedColumnFormula>_xlfn.XLOOKUP($D2,#REF!,#REF!,,0,)</calculatedColumnFormula>
    </tableColumn>
    <tableColumn id="31" name="Flow_ID_O_5" dataDxfId="55">
      <calculatedColumnFormula>_xlfn.XLOOKUP($D2,#REF!,#REF!,,0,)</calculatedColumnFormula>
    </tableColumn>
    <tableColumn id="67" name="TC_ID_O_5_Year" dataDxfId="54">
      <calculatedColumnFormula>Tab_Process_TCs2527[[#This Row],[Flow_ID]]</calculatedColumnFormula>
    </tableColumn>
    <tableColumn id="46" name="TC_ID_O_5" dataDxfId="53">
      <calculatedColumnFormula>"TC"&amp;"_"&amp;RIGHT(AX2,5)</calculatedColumnFormula>
    </tableColumn>
    <tableColumn id="45" name="TC O_5_[%]" dataDxfId="52" dataCellStyle="Percent"/>
    <tableColumn id="32" name="Output_Flow_O_6" dataDxfId="51">
      <calculatedColumnFormula>_xlfn.XLOOKUP($D2,#REF!,#REF!,,0,)</calculatedColumnFormula>
    </tableColumn>
    <tableColumn id="48" name="Flow_ID_O_6" dataDxfId="50">
      <calculatedColumnFormula>_xlfn.XLOOKUP($D2,#REF!,#REF!,,0,)</calculatedColumnFormula>
    </tableColumn>
    <tableColumn id="68" name="TC_ID_O_6_Year">
      <calculatedColumnFormula>Tab_Process_TCs2527[[#This Row],[Flow_ID]]</calculatedColumnFormula>
    </tableColumn>
    <tableColumn id="49" name="TC_ID_O_6" dataDxfId="49">
      <calculatedColumnFormula>"TC"&amp;"_"&amp;RIGHT(BC2,5)</calculatedColumnFormula>
    </tableColumn>
    <tableColumn id="50" name="TC O_6_[%]" dataDxfId="48" dataCellStyle="Percent"/>
    <tableColumn id="51" name="Sum_TC_O" dataDxfId="47" dataCellStyle="Percent">
      <calculatedColumnFormula>Tab_Process_TCs2527[[#This Row],[TC O_6_'[%']]]+Tab_Process_TCs2527[[#This Row],[TC O_5_'[%']]]+Tab_Process_TCs2527[[#This Row],[TC_O_4_'[%']]]+Tab_Process_TCs2527[[#This Row],[TC_O_3_'[%']]]+Tab_Process_TCs2527[[#This Row],[TC_O_2_'[%']]]+Tab_Process_TCs2527[[#This Row],[TC_O_1_'[%']]]</calculatedColumnFormula>
    </tableColumn>
    <tableColumn id="52" name="Titel"/>
    <tableColumn id="56" name="Year publication"/>
    <tableColumn id="59" name="Author"/>
    <tableColumn id="60" name="Type of the Study"/>
    <tableColumn id="61" name="URL"/>
  </tableColumns>
  <tableStyleInfo name="TableStyleLight1" showFirstColumn="0" showLastColumn="0" showRowStripes="1" showColumnStripes="0"/>
</table>
</file>

<file path=xl/tables/table8.xml><?xml version="1.0" encoding="utf-8"?>
<table xmlns="http://schemas.openxmlformats.org/spreadsheetml/2006/main" id="8" name="Tab_DSM" displayName="Tab_DSM" ref="A1:R51" headerRowCount="1" totalsRowShown="0" headerRowDxfId="46" dataDxfId="45" tableBorderDxfId="44">
  <autoFilter ref="A1:R51"/>
  <tableColumns count="18">
    <tableColumn id="1" name="Complete?" dataCellStyle="04_Comments"/>
    <tableColumn id="2" name="ID" dataDxfId="43">
      <calculatedColumnFormula>ROW()-1</calculatedColumnFormula>
    </tableColumn>
    <tableColumn id="4" name="Process_ID" dataDxfId="42">
      <calculatedColumnFormula>_xlfn.XLOOKUP($D2,Tab_Def_Processes[Name(EN)],Tab_Def_Processes[Process_ID],,0,)</calculatedColumnFormula>
    </tableColumn>
    <tableColumn id="5" name="Name(EN)" dataDxfId="41"/>
    <tableColumn id="6" name="Process_Type" dataDxfId="40">
      <calculatedColumnFormula>_xlfn.XLOOKUP($D2,Tab_Def_Processes[Name(EN)],Tab_Def_Processes[Process_Type],,0,)</calculatedColumnFormula>
    </tableColumn>
    <tableColumn id="11" name="TC?" dataDxfId="39">
      <calculatedColumnFormula>_xlfn.XLOOKUP($D2,Tab_Def_Processes[Name(EN)],Tab_Def_Processes[TC?],,0,)</calculatedColumnFormula>
    </tableColumn>
    <tableColumn id="12" name="Dyn_TC?" dataDxfId="38">
      <calculatedColumnFormula>_xlfn.XLOOKUP($D2,Tab_Def_Processes[Name(EN)],Tab_Def_Processes[Dyn_TC?],,0,)</calculatedColumnFormula>
    </tableColumn>
    <tableColumn id="13" name="Stock?" dataDxfId="37">
      <calculatedColumnFormula>_xlfn.XLOOKUP($D2,Tab_Def_Processes[Name(EN)],Tab_Def_Processes[Stock?],,0,)</calculatedColumnFormula>
    </tableColumn>
    <tableColumn id="14" name="Initial_Stock?" dataDxfId="36">
      <calculatedColumnFormula>_xlfn.XLOOKUP($D2,Tab_Def_Processes[Name(EN)],Tab_Def_Processes[Initial_Stock?],,0,)</calculatedColumnFormula>
    </tableColumn>
    <tableColumn id="7" name="DSM?" dataDxfId="35"/>
    <tableColumn id="8" name="FOMP?" dataDxfId="34"/>
    <tableColumn id="9" name="Category_ID"/>
    <tableColumn id="27" name="Category_ID[long]">
      <calculatedColumnFormula>_xlfn.XLOOKUP($L2,Tab_DSM_Category_ID[Category ID],Tab_DSM_Category_ID[DSM Material],,0,)</calculatedColumnFormula>
    </tableColumn>
    <tableColumn id="15" name="Category_Name"/>
    <tableColumn id="16" name="Inflow_Split_[%]" dataCellStyle="Percent"/>
    <tableColumn id="17" name="Lifetime_Type"/>
    <tableColumn id="18" name="Lifetime_Mean"/>
    <tableColumn id="19" name="Lifetime_StdDev"/>
  </tableColumns>
  <tableStyleInfo name="TableStyleLight8" showFirstColumn="0" showLastColumn="0" showRowStripes="1" showColumnStripes="0"/>
</table>
</file>

<file path=xl/tables/table9.xml><?xml version="1.0" encoding="utf-8"?>
<table xmlns="http://schemas.openxmlformats.org/spreadsheetml/2006/main" id="9" name="Tab_FOMP" displayName="Tab_FOMP" ref="A1:Q41" headerRowCount="1" totalsRowShown="0" dataDxfId="33" tableBorderDxfId="32" headerRowCellStyle="05_Header">
  <autoFilter ref="A1:Q41"/>
  <tableColumns count="17">
    <tableColumn id="1" name="Complete?" dataCellStyle="04_Comments"/>
    <tableColumn id="2" name="ID" dataDxfId="31">
      <calculatedColumnFormula>ROW()-1</calculatedColumnFormula>
    </tableColumn>
    <tableColumn id="4" name="Process_ID" dataDxfId="30">
      <calculatedColumnFormula>_xlfn.XLOOKUP($D2,Tab_Def_Processes[Name(EN)],Tab_Def_Processes[Process_ID],,0,)</calculatedColumnFormula>
    </tableColumn>
    <tableColumn id="5" name="Name(EN)" dataDxfId="29"/>
    <tableColumn id="6" name="Process_Type" dataDxfId="28">
      <calculatedColumnFormula>_xlfn.XLOOKUP($D2,Tab_Def_Processes[Name(EN)],Tab_Def_Processes[Process_Type],,0,)</calculatedColumnFormula>
    </tableColumn>
    <tableColumn id="11" name="TC?" dataDxfId="27">
      <calculatedColumnFormula>_xlfn.XLOOKUP($D2,Tab_Def_Processes[Name(EN)],Tab_Def_Processes[TC?],,0,)</calculatedColumnFormula>
    </tableColumn>
    <tableColumn id="12" name="Dyn_TC?" dataDxfId="26">
      <calculatedColumnFormula>_xlfn.XLOOKUP($D2,Tab_Def_Processes[Name(EN)],Tab_Def_Processes[Dyn_TC?],,0,)</calculatedColumnFormula>
    </tableColumn>
    <tableColumn id="13" name="Stock?" dataDxfId="25">
      <calculatedColumnFormula>_xlfn.XLOOKUP($D2,Tab_Def_Processes[Name(EN)],Tab_Def_Processes[Stock?],,0,)</calculatedColumnFormula>
    </tableColumn>
    <tableColumn id="14" name="Initial_Stock?" dataDxfId="24">
      <calculatedColumnFormula>_xlfn.XLOOKUP($D2,Tab_Def_Processes[Name(EN)],Tab_Def_Processes[Initial_Stock?],,0,)</calculatedColumnFormula>
    </tableColumn>
    <tableColumn id="7" name="DSM?" dataDxfId="23">
      <calculatedColumnFormula>_xlfn.XLOOKUP($D2,Tab_Def_Processes[Name(EN)],Tab_Def_Processes[DSM?],,0,)</calculatedColumnFormula>
    </tableColumn>
    <tableColumn id="8" name="FOMP?" dataDxfId="22">
      <calculatedColumnFormula>_xlfn.XLOOKUP($D2,Tab_Def_Processes[Name(EN)],Tab_Def_Processes[FOMP?],,0,)</calculatedColumnFormula>
    </tableColumn>
    <tableColumn id="3" name="Nr. Outflows" dataCellStyle="03_Auto_Calcaulation">
      <calculatedColumnFormula>_xlfn.XLOOKUP(Tab_FOMP[[#This Row],[Name(EN)]],Tab_Def_Processes[Name(EN)],Tab_Def_Processes[Nr. Outflows],,0,)</calculatedColumnFormula>
    </tableColumn>
    <tableColumn id="10" name="Nr._Decay_Pools" dataCellStyle="01_Data_Input"/>
    <tableColumn id="19" name="Pool" dataCellStyle="01_Data_Input"/>
    <tableColumn id="20" name="Pool_ID" dataCellStyle="01_Data_Input">
      <calculatedColumnFormula>_xlfn.XLOOKUP($N2,CL_3.1_FOMP_Parameters[Category ID],CL_3.1_FOMP_Parameters[Pool_ID],,0,)</calculatedColumnFormula>
    </tableColumn>
    <tableColumn id="9" name="Parameter_Name"/>
    <tableColumn id="15" name="Value"/>
  </tableColumns>
  <tableStyleInfo name="TableStyleLight8" showFirstColumn="0" showLastColumn="0" showRowStripes="1" showColumnStripes="0"/>
</table>
</file>

<file path=xl/tables/table10.xml><?xml version="1.0" encoding="utf-8"?>
<table xmlns="http://schemas.openxmlformats.org/spreadsheetml/2006/main" id="10" name="Table1" displayName="Table1" ref="A1:J13" headerRowCount="1" totalsRowShown="0" headerRowCellStyle="05_Header">
  <autoFilter ref="A1:J13"/>
  <tableColumns count="10">
    <tableColumn id="9" name="ID" dataCellStyle="03_Auto_Calcaulation">
      <calculatedColumnFormula>ROW()-1</calculatedColumnFormula>
    </tableColumn>
    <tableColumn id="8" name="Parameter" dataCellStyle="02_Data_Input (DD)"/>
    <tableColumn id="10" name="Parameter_Selection" dataCellStyle="02_Data_Input (DD)"/>
    <tableColumn id="1" name="Parameter_Name" dataCellStyle="02_Data_Input (DD)"/>
    <tableColumn id="2" name="Distribution" dataCellStyle="02_Data_Input (DD)"/>
    <tableColumn id="3" name="Mean" dataCellStyle="01_Data_Input"/>
    <tableColumn id="4" name="StdDev" dataCellStyle="01_Data_Input"/>
    <tableColumn id="5" name="Min" dataCellStyle="01_Data_Input"/>
    <tableColumn id="6" name="Max" dataCellStyle="01_Data_Input"/>
    <tableColumn id="7" name="Mode" dataCellStyle="01_Data_Input"/>
  </tableColumns>
  <tableStyleInfo name="TableStyleLight1" showFirstColumn="0" showLastColumn="0" showRowStripes="1" showColumnStripes="0"/>
</table>
</file>

<file path=xl/tables/table11.xml><?xml version="1.0" encoding="utf-8"?>
<table xmlns="http://schemas.openxmlformats.org/spreadsheetml/2006/main" id="11" name="Table16" displayName="Table16" ref="A1:H10" headerRowCount="1" totalsRowShown="0" headerRowCellStyle="05_Header">
  <autoFilter ref="A1:H10"/>
  <tableColumns count="8">
    <tableColumn id="9" name="ID" dataCellStyle="03_Auto_Calcaulation">
      <calculatedColumnFormula>ROW()-1</calculatedColumnFormula>
    </tableColumn>
    <tableColumn id="11" name="Scenario_Name" dataCellStyle="02_Data_Input (DD)"/>
    <tableColumn id="8" name="Parameter" dataCellStyle="02_Data_Input (DD)"/>
    <tableColumn id="10" name="Parameter_Selection" dataCellStyle="02_Data_Input (DD)"/>
    <tableColumn id="1" name="Parameter_Name" dataCellStyle="02_Data_Input (DD)"/>
    <tableColumn id="2" name="Operation" dataCellStyle="02_Data_Input (DD)"/>
    <tableColumn id="3" name="New_Value" dataCellStyle="01_Data_Input"/>
    <tableColumn id="4" name="Comment" dataCellStyle="04_Comments"/>
  </tableColumns>
  <tableStyleInfo name="TableStyleLight1" showFirstColumn="0" showLastColumn="0" showRowStripes="1" showColumnStripes="0"/>
</table>
</file>

<file path=xl/tables/table12.xml><?xml version="1.0" encoding="utf-8"?>
<table xmlns="http://schemas.openxmlformats.org/spreadsheetml/2006/main" id="12" name="Table19" displayName="Table19" ref="A1:L59" headerRowCount="1" totalsRowShown="0" tableBorderDxfId="15">
  <autoFilter ref="A1:L59"/>
  <tableColumns count="12">
    <tableColumn id="1" name="Complete?" dataDxfId="14" dataCellStyle="04_Comments"/>
    <tableColumn id="2" name="ID" dataDxfId="13" dataCellStyle="03_Auto_Calcaulation">
      <calculatedColumnFormula>ROW()-1</calculatedColumnFormula>
    </tableColumn>
    <tableColumn id="3" name="Process_ID" dataDxfId="12" dataCellStyle="03_Auto_Calcaulation">
      <calculatedColumnFormula>_xlfn.XLOOKUP($D2,Tab_Def_Processes[Name(EN)],Tab_Def_Processes[ID],,0,)</calculatedColumnFormula>
    </tableColumn>
    <tableColumn id="4" name="Name(EN)" dataDxfId="11" dataCellStyle="02_Data_Input (DD)"/>
    <tableColumn id="12" name="Color_Category" dataDxfId="3" dataCellStyle="02_Data_Input (DD)"/>
    <tableColumn id="11" name="Node_Color" dataDxfId="10" dataCellStyle="02_Data_Input (DD)"/>
    <tableColumn id="5" name="Node_Color_#" dataCellStyle="03_Auto_Calcaulation">
      <calculatedColumnFormula>_xlfn.XLOOKUP($F2,Table32[Color_Name],Table32[Hex_Code],,0,)</calculatedColumnFormula>
    </tableColumn>
    <tableColumn id="6" name="Node_Size"/>
    <tableColumn id="7" name="X_Position"/>
    <tableColumn id="8" name="Y_Position"/>
    <tableColumn id="9" name="Layout_Type"/>
    <tableColumn id="10" name="Description"/>
  </tableColumns>
  <tableStyleInfo name="TableStyleLight1" showFirstColumn="0" showLastColumn="0" showRowStripes="1" showColumnStripes="0"/>
</table>
</file>

<file path=xl/tables/table13.xml><?xml version="1.0" encoding="utf-8"?>
<table xmlns="http://schemas.openxmlformats.org/spreadsheetml/2006/main" id="13" name="Table21" displayName="Table21" ref="A1:I51" headerRowCount="1" totalsRowShown="0" headerRowDxfId="7">
  <autoFilter ref="A1:I51"/>
  <tableColumns count="9">
    <tableColumn id="1" name="ID" dataDxfId="9" dataCellStyle="03_Auto_Calcaulation">
      <calculatedColumnFormula>ROW()-1</calculatedColumnFormula>
    </tableColumn>
    <tableColumn id="2" name="Flow_ID" dataDxfId="8" dataCellStyle="03_Auto_Calcaulation">
      <calculatedColumnFormula>_xlfn.XLOOKUP(C2,Tab_Def_Flows[Name(EN)],Tab_Def_Flows[Flow_ID],,0,)</calculatedColumnFormula>
    </tableColumn>
    <tableColumn id="3" name="Name(EN)" dataCellStyle="03_Auto_Calcaulation">
      <calculatedColumnFormula>Tab_Def_Flows[[#This Row],[Name(EN)]]</calculatedColumnFormula>
    </tableColumn>
    <tableColumn id="4" name="Flow_Color" dataCellStyle="02_Data_Input (DD)"/>
    <tableColumn id="9" name="Flow_Color_#" dataCellStyle="03_Auto_Calcaulation">
      <calculatedColumnFormula>_xlfn.XLOOKUP($D2,Table32[Color_Name],Table32[Hex_Code],,0,)</calculatedColumnFormula>
    </tableColumn>
    <tableColumn id="5" name="Flow_Opacity" dataCellStyle="02_Data_Input (DD)"/>
    <tableColumn id="6" name="Flow_Width_Multiplier" dataCellStyle="02_Data_Input (DD)"/>
    <tableColumn id="7" name="Flow_Style" dataCellStyle="02_Data_Input (DD)"/>
    <tableColumn id="8" name="Description" dataCellStyle="04_Comments"/>
  </tableColumns>
  <tableStyleInfo name="TableStyleLight1" showFirstColumn="0" showLastColumn="0" showRowStripes="1" showColumnStripes="0"/>
</table>
</file>

<file path=xl/tables/table14.xml><?xml version="1.0" encoding="utf-8"?>
<table xmlns="http://schemas.openxmlformats.org/spreadsheetml/2006/main" id="14" name="Table20" displayName="Table20" ref="B2:P14" headerRowCount="1" totalsRowShown="0">
  <autoFilter ref="B2:P14"/>
  <tableColumns count="15">
    <tableColumn id="1" name="Node_Color"/>
    <tableColumn id="2" name="Node_Size"/>
    <tableColumn id="3" name="Layout_Type"/>
    <tableColumn id="4" name="Flow_Style"/>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s>
  <tableStyleInfo name="TableStyleLight1" showFirstColumn="0" showLastColumn="0" showRowStripes="1" showColumnStripes="0"/>
</table>
</file>

<file path=xl/tables/table15.xml><?xml version="1.0" encoding="utf-8"?>
<table xmlns="http://schemas.openxmlformats.org/spreadsheetml/2006/main" id="15" name="Table32" displayName="Table32" ref="B21:F42" headerRowCount="1" totalsRowShown="0" headerRowDxfId="0" headerRowBorderDxfId="1" tableBorderDxfId="2">
  <autoFilter ref="B21:F42"/>
  <tableColumns count="5">
    <tableColumn id="1" name="Category"/>
    <tableColumn id="2" name="Color_Name"/>
    <tableColumn id="3" name="Hex_Code"/>
    <tableColumn id="4" name="RGB_Values"/>
    <tableColumn id="5" name="Usage"/>
  </tableColumns>
  <tableStyleInfo name="TableStyleLight1" showFirstColumn="0" showLastColumn="0" showRowStripes="1" showColumnStripes="0"/>
</table>
</file>

<file path=xl/tables/table16.xml><?xml version="1.0" encoding="utf-8"?>
<table xmlns="http://schemas.openxmlformats.org/spreadsheetml/2006/main" id="16" name="Tabelle14" displayName="Tabelle14" ref="F41:H49" headerRowCount="1" totalsRowShown="0">
  <autoFilter ref="F41:H49"/>
  <tableColumns count="3">
    <tableColumn id="1" name="ID"/>
    <tableColumn id="2" name="Short"/>
    <tableColumn id="3" name="Description"/>
  </tableColumns>
  <tableStyleInfo name="TableStyleLight1" showFirstColumn="0" showLastColumn="0" showRowStripes="1" showColumnStripes="0"/>
</table>
</file>

<file path=xl/tables/table17.xml><?xml version="1.0" encoding="utf-8"?>
<table xmlns="http://schemas.openxmlformats.org/spreadsheetml/2006/main" id="17" name="CL_6_logic" displayName="CL_6_logic" ref="A52:B54" headerRowCount="1" totalsRowShown="0">
  <autoFilter ref="A52:B54"/>
  <tableColumns count="2">
    <tableColumn id="1" name="ID"/>
    <tableColumn id="2" name="Logisch"/>
  </tableColumns>
  <tableStyleInfo name="TableStyleLight1" showFirstColumn="0" showLastColumn="0" showRowStripes="1" showColumnStripes="0"/>
</table>
</file>

<file path=xl/tables/table18.xml><?xml version="1.0" encoding="utf-8"?>
<table xmlns="http://schemas.openxmlformats.org/spreadsheetml/2006/main" id="18" name="CL_1_ProcessType" displayName="CL_1_ProcessType" ref="A2:C5" headerRowCount="1" totalsRowShown="0" headerRowDxfId="21" headerRowBorderDxfId="20" tableBorderDxfId="19">
  <autoFilter ref="A2:C5"/>
  <tableColumns count="3">
    <tableColumn id="1" name="ID"/>
    <tableColumn id="2" name="Short"/>
    <tableColumn id="3" name="Description"/>
  </tableColumns>
  <tableStyleInfo name="TableStyleLight1" showFirstColumn="0" showLastColumn="0" showRowStripes="1" showColumnStripes="0"/>
</table>
</file>

<file path=xl/tables/table19.xml><?xml version="1.0" encoding="utf-8"?>
<table xmlns="http://schemas.openxmlformats.org/spreadsheetml/2006/main" id="19" name="CL_2_ValueSource" displayName="CL_2_ValueSource" ref="E2:G6" headerRowCount="1" totalsRowShown="0" headerRowDxfId="18" headerRowBorderDxfId="17" tableBorderDxfId="16">
  <autoFilter ref="E2:G6"/>
  <tableColumns count="3">
    <tableColumn id="1" name="ID"/>
    <tableColumn id="2" name="Short"/>
    <tableColumn id="3" name="Description"/>
  </tableColumns>
  <tableStyleInfo name="TableStyleLight1" showFirstColumn="0" showLastColumn="0" showRowStripes="1" showColumnStripes="0"/>
</table>
</file>

<file path=xl/tables/table20.xml><?xml version="1.0" encoding="utf-8"?>
<table xmlns="http://schemas.openxmlformats.org/spreadsheetml/2006/main" id="20" name="Tab_DSM_Category_ID" displayName="Tab_DSM_Category_ID" ref="A39:C48" headerRowCount="1" totalsRowShown="0">
  <autoFilter ref="A39:C48"/>
  <tableColumns count="3">
    <tableColumn id="1" name="Category ID"/>
    <tableColumn id="2" name="DSM Material"/>
    <tableColumn id="3" name="Description"/>
  </tableColumns>
  <tableStyleInfo name="TableStyleLight1" showFirstColumn="0" showLastColumn="0" showRowStripes="1" showColumnStripes="0"/>
</table>
</file>

<file path=xl/tables/table21.xml><?xml version="1.0" encoding="utf-8"?>
<table xmlns="http://schemas.openxmlformats.org/spreadsheetml/2006/main" id="21" name="CL_4_DSM_Lifetime_Types" displayName="CL_4_DSM_Lifetime_Types" ref="A32:C36" headerRowCount="1" totalsRowShown="0">
  <autoFilter ref="A32:C36"/>
  <tableColumns count="3">
    <tableColumn id="1" name="ID"/>
    <tableColumn id="2" name="Lifetime_Types"/>
    <tableColumn id="3" name="Description"/>
  </tableColumns>
  <tableStyleInfo name="TableStyleLight1" showFirstColumn="0" showLastColumn="0" showRowStripes="1" showColumnStripes="0"/>
</table>
</file>

<file path=xl/tables/table22.xml><?xml version="1.0" encoding="utf-8"?>
<table xmlns="http://schemas.openxmlformats.org/spreadsheetml/2006/main" id="22" name="CL_3_FOMP_Parameters" displayName="CL_3_FOMP_Parameters" ref="A10:C18" headerRowCount="1" totalsRowShown="0">
  <autoFilter ref="A10:C18"/>
  <tableColumns count="3">
    <tableColumn id="1" name="ID"/>
    <tableColumn id="2" name="Parameter"/>
    <tableColumn id="3" name="Description"/>
  </tableColumns>
  <tableStyleInfo name="TableStyleLight1" showFirstColumn="0" showLastColumn="0" showRowStripes="1" showColumnStripes="0"/>
</table>
</file>

<file path=xl/tables/table23.xml><?xml version="1.0" encoding="utf-8"?>
<table xmlns="http://schemas.openxmlformats.org/spreadsheetml/2006/main" id="23" name="Tab_DSM_Category_ID3" displayName="Tab_DSM_Category_ID3" ref="A56:C65" headerRowCount="1" totalsRowShown="0">
  <autoFilter ref="A56:C65"/>
  <tableColumns count="3">
    <tableColumn id="1" name="Category ID"/>
    <tableColumn id="2" name="DSM Material"/>
    <tableColumn id="3" name="Description"/>
  </tableColumns>
  <tableStyleInfo name="TableStyleLight1" showFirstColumn="0" showLastColumn="0" showRowStripes="1" showColumnStripes="0"/>
</table>
</file>

<file path=xl/tables/table24.xml><?xml version="1.0" encoding="utf-8"?>
<table xmlns="http://schemas.openxmlformats.org/spreadsheetml/2006/main" id="24" name="CL_Transfer_Coefficients" displayName="CL_Transfer_Coefficients" ref="E68:G84" headerRowCount="1" totalsRowShown="0">
  <autoFilter ref="E68:G84"/>
  <tableColumns count="3">
    <tableColumn id="1" name="Category ID"/>
    <tableColumn id="2" name="Transfer Coefficients (TCs)"/>
    <tableColumn id="3" name="Description"/>
  </tableColumns>
  <tableStyleInfo name="TableStyleLight1" showFirstColumn="0" showLastColumn="0" showRowStripes="1" showColumnStripes="0"/>
</table>
</file>

<file path=xl/tables/table25.xml><?xml version="1.0" encoding="utf-8"?>
<table xmlns="http://schemas.openxmlformats.org/spreadsheetml/2006/main" id="25" name="CL_Uncertainty_Parameters" displayName="CL_Uncertainty_Parameters" ref="A68:C84" headerRowCount="1" totalsRowShown="0">
  <autoFilter ref="A68:C84"/>
  <tableColumns count="3">
    <tableColumn id="1" name="Category ID"/>
    <tableColumn id="2" name="Uncertainty_Parameters"/>
    <tableColumn id="3" name="Description"/>
  </tableColumns>
  <tableStyleInfo name="TableStyleLight1" showFirstColumn="0" showLastColumn="0" showRowStripes="1" showColumnStripes="0"/>
</table>
</file>

<file path=xl/tables/table26.xml><?xml version="1.0" encoding="utf-8"?>
<table xmlns="http://schemas.openxmlformats.org/spreadsheetml/2006/main" id="26" name="CL_DSM_Category_ID348" displayName="CL_DSM_Category_ID348" ref="I68:K84" headerRowCount="1" totalsRowShown="0">
  <autoFilter ref="I68:K84"/>
  <tableColumns count="3">
    <tableColumn id="1" name="Category ID"/>
    <tableColumn id="2" name="DSM Parameters"/>
    <tableColumn id="3" name="Description"/>
  </tableColumns>
  <tableStyleInfo name="TableStyleLight1" showFirstColumn="0" showLastColumn="0" showRowStripes="1" showColumnStripes="0"/>
</table>
</file>

<file path=xl/tables/table27.xml><?xml version="1.0" encoding="utf-8"?>
<table xmlns="http://schemas.openxmlformats.org/spreadsheetml/2006/main" id="27" name="CL_FOMP_Parameters" displayName="CL_FOMP_Parameters" ref="M68:O84" headerRowCount="1" totalsRowShown="0">
  <autoFilter ref="M68:O84"/>
  <tableColumns count="3">
    <tableColumn id="1" name="Category ID"/>
    <tableColumn id="2" name="FOMP Parameters"/>
    <tableColumn id="3" name="Description"/>
  </tableColumns>
  <tableStyleInfo name="TableStyleLight1" showFirstColumn="0" showLastColumn="0" showRowStripes="1" showColumnStripes="0"/>
</table>
</file>

<file path=xl/tables/table28.xml><?xml version="1.0" encoding="utf-8"?>
<table xmlns="http://schemas.openxmlformats.org/spreadsheetml/2006/main" id="28" name="CL_Initial_Stock_Parameters" displayName="CL_Initial_Stock_Parameters" ref="Q68:S84" headerRowCount="1" totalsRowShown="0">
  <autoFilter ref="Q68:S84"/>
  <tableColumns count="3">
    <tableColumn id="1" name="Category ID"/>
    <tableColumn id="2" name="Initial Stock Parameters"/>
    <tableColumn id="3" name="Description"/>
  </tableColumns>
  <tableStyleInfo name="TableStyleLight1" showFirstColumn="0" showLastColumn="0" showRowStripes="1" showColumnStripes="0"/>
</table>
</file>

<file path=xl/tables/table29.xml><?xml version="1.0" encoding="utf-8"?>
<table xmlns="http://schemas.openxmlformats.org/spreadsheetml/2006/main" id="29" name="CL_Flow_Parameters" displayName="CL_Flow_Parameters" ref="U68:W84" headerRowCount="1" totalsRowShown="0">
  <autoFilter ref="U68:W84"/>
  <tableColumns count="3">
    <tableColumn id="1" name="Category ID"/>
    <tableColumn id="2" name="Flow_Parameters"/>
    <tableColumn id="3" name="Description"/>
  </tableColumns>
  <tableStyleInfo name="TableStyleLight1" showFirstColumn="0" showLastColumn="0" showRowStripes="1" showColumnStripes="0"/>
</table>
</file>

<file path=xl/tables/table30.xml><?xml version="1.0" encoding="utf-8"?>
<table xmlns="http://schemas.openxmlformats.org/spreadsheetml/2006/main" id="30" name="CL_3.1_FOMP_Parameters" displayName="CL_3.1_FOMP_Parameters" ref="A21:C27" headerRowCount="1" totalsRowShown="0">
  <autoFilter ref="A21:C27"/>
  <tableColumns count="3">
    <tableColumn id="1" name="Category ID"/>
    <tableColumn id="2" name="Pool_ID"/>
    <tableColumn id="3" name="Description"/>
  </tableColumns>
  <tableStyleInfo name="TableStyleLight1" showFirstColumn="0" showLastColumn="0" showRowStripes="1" showColumnStripes="0"/>
</table>
</file>

<file path=xl/tables/table31.xml><?xml version="1.0" encoding="utf-8"?>
<table xmlns="http://schemas.openxmlformats.org/spreadsheetml/2006/main" id="31" name="CL_Uncertainty_Parameters14" displayName="CL_Uncertainty_Parameters14" ref="A88:C96" headerRowCount="1" totalsRowShown="0">
  <autoFilter ref="A88:C96"/>
  <tableColumns count="3">
    <tableColumn id="1" name="Category ID"/>
    <tableColumn id="2" name="Scenario_Operators"/>
    <tableColumn id="3" name="Description"/>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table" Target="/xl/tables/table1.xml" Id="rId1"/></Relationships>
</file>

<file path=xl/worksheets/_rels/sheet5.xml.rels><Relationships xmlns="http://schemas.openxmlformats.org/package/2006/relationships"><Relationship Type="http://schemas.openxmlformats.org/officeDocument/2006/relationships/table" Target="/xl/tables/table2.xml" Id="rId1"/></Relationships>
</file>

<file path=xl/worksheets/_rels/sheet6.xml.rels><Relationships xmlns="http://schemas.openxmlformats.org/package/2006/relationships"><Relationship Type="http://schemas.openxmlformats.org/officeDocument/2006/relationships/table" Target="/xl/tables/table3.xml" Id="rId1"/></Relationships>
</file>

<file path=xl/worksheets/_rels/sheet7.xml.rels><Relationships xmlns="http://schemas.openxmlformats.org/package/2006/relationships"><Relationship Type="http://schemas.openxmlformats.org/officeDocument/2006/relationships/table" Target="/xl/tables/table4.xml" Id="rId1"/></Relationships>
</file>

<file path=xl/worksheets/_rels/sheet8.xml.rels><Relationships xmlns="http://schemas.openxmlformats.org/package/2006/relationships"><Relationship Type="http://schemas.openxmlformats.org/officeDocument/2006/relationships/table" Target="/xl/tables/table5.xml" Id="rId1"/></Relationships>
</file>

<file path=xl/worksheets/_rels/sheet9.xml.rels><Relationships xmlns="http://schemas.openxmlformats.org/package/2006/relationships"><Relationship Type="http://schemas.openxmlformats.org/officeDocument/2006/relationships/table" Target="/xl/tables/table6.xml" Id="rId1"/></Relationships>
</file>

<file path=xl/worksheets/_rels/sheet10.xml.rels><Relationships xmlns="http://schemas.openxmlformats.org/package/2006/relationships"><Relationship Type="http://schemas.openxmlformats.org/officeDocument/2006/relationships/table" Target="/xl/tables/table7.xml" Id="rId1"/></Relationships>
</file>

<file path=xl/worksheets/_rels/sheet11.xml.rels><Relationships xmlns="http://schemas.openxmlformats.org/package/2006/relationships"><Relationship Type="http://schemas.openxmlformats.org/officeDocument/2006/relationships/table" Target="/xl/tables/table8.xml" Id="rId1"/></Relationships>
</file>

<file path=xl/worksheets/_rels/sheet12.xml.rels><Relationships xmlns="http://schemas.openxmlformats.org/package/2006/relationships"><Relationship Type="http://schemas.openxmlformats.org/officeDocument/2006/relationships/table" Target="/xl/tables/table9.xml" Id="rId1"/></Relationships>
</file>

<file path=xl/worksheets/_rels/sheet13.xml.rels><Relationships xmlns="http://schemas.openxmlformats.org/package/2006/relationships"><Relationship Type="http://schemas.openxmlformats.org/officeDocument/2006/relationships/table" Target="/xl/tables/table10.xml" Id="rId1"/></Relationships>
</file>

<file path=xl/worksheets/_rels/sheet14.xml.rels><Relationships xmlns="http://schemas.openxmlformats.org/package/2006/relationships"><Relationship Type="http://schemas.openxmlformats.org/officeDocument/2006/relationships/table" Target="/xl/tables/table11.xml" Id="rId1"/></Relationships>
</file>

<file path=xl/worksheets/_rels/sheet15.xml.rels><Relationships xmlns="http://schemas.openxmlformats.org/package/2006/relationships"><Relationship Type="http://schemas.openxmlformats.org/officeDocument/2006/relationships/table" Target="/xl/tables/table12.xml" Id="rId1"/></Relationships>
</file>

<file path=xl/worksheets/_rels/sheet16.xml.rels><Relationships xmlns="http://schemas.openxmlformats.org/package/2006/relationships"><Relationship Type="http://schemas.openxmlformats.org/officeDocument/2006/relationships/table" Target="/xl/tables/table13.xml" Id="rId1"/></Relationships>
</file>

<file path=xl/worksheets/_rels/sheet18.xml.rels><Relationships xmlns="http://schemas.openxmlformats.org/package/2006/relationships"><Relationship Type="http://schemas.openxmlformats.org/officeDocument/2006/relationships/table" Target="/xl/tables/table14.xml" Id="rId1"/><Relationship Type="http://schemas.openxmlformats.org/officeDocument/2006/relationships/table" Target="/xl/tables/table15.xml" Id="rId2"/></Relationships>
</file>

<file path=xl/worksheets/_rels/sheet24.xml.rels><Relationships xmlns="http://schemas.openxmlformats.org/package/2006/relationships"><Relationship Type="http://schemas.openxmlformats.org/officeDocument/2006/relationships/table" Target="/xl/tables/table16.xml" Id="rId1"/><Relationship Type="http://schemas.openxmlformats.org/officeDocument/2006/relationships/table" Target="/xl/tables/table17.xml" Id="rId2"/><Relationship Type="http://schemas.openxmlformats.org/officeDocument/2006/relationships/table" Target="/xl/tables/table18.xml" Id="rId3"/><Relationship Type="http://schemas.openxmlformats.org/officeDocument/2006/relationships/table" Target="/xl/tables/table19.xml" Id="rId4"/><Relationship Type="http://schemas.openxmlformats.org/officeDocument/2006/relationships/table" Target="/xl/tables/table20.xml" Id="rId5"/><Relationship Type="http://schemas.openxmlformats.org/officeDocument/2006/relationships/table" Target="/xl/tables/table21.xml" Id="rId6"/><Relationship Type="http://schemas.openxmlformats.org/officeDocument/2006/relationships/table" Target="/xl/tables/table22.xml" Id="rId7"/><Relationship Type="http://schemas.openxmlformats.org/officeDocument/2006/relationships/table" Target="/xl/tables/table23.xml" Id="rId8"/><Relationship Type="http://schemas.openxmlformats.org/officeDocument/2006/relationships/table" Target="/xl/tables/table24.xml" Id="rId9"/><Relationship Type="http://schemas.openxmlformats.org/officeDocument/2006/relationships/table" Target="/xl/tables/table25.xml" Id="rId10"/><Relationship Type="http://schemas.openxmlformats.org/officeDocument/2006/relationships/table" Target="/xl/tables/table26.xml" Id="rId11"/><Relationship Type="http://schemas.openxmlformats.org/officeDocument/2006/relationships/table" Target="/xl/tables/table27.xml" Id="rId12"/><Relationship Type="http://schemas.openxmlformats.org/officeDocument/2006/relationships/table" Target="/xl/tables/table28.xml" Id="rId13"/><Relationship Type="http://schemas.openxmlformats.org/officeDocument/2006/relationships/table" Target="/xl/tables/table29.xml" Id="rId14"/><Relationship Type="http://schemas.openxmlformats.org/officeDocument/2006/relationships/table" Target="/xl/tables/table30.xml" Id="rId15"/><Relationship Type="http://schemas.openxmlformats.org/officeDocument/2006/relationships/table" Target="/xl/tables/table31.xml" Id="rId16"/></Relationships>
</file>

<file path=xl/worksheets/sheet1.xml><?xml version="1.0" encoding="utf-8"?>
<worksheet xmlns="http://schemas.openxmlformats.org/spreadsheetml/2006/main">
  <sheetPr codeName="Sheet2">
    <tabColor rgb="FFFF0000"/>
    <outlinePr summaryBelow="1" summaryRight="1"/>
    <pageSetUpPr/>
  </sheetPr>
  <dimension ref="A1:A1"/>
  <sheetViews>
    <sheetView workbookViewId="0">
      <selection activeCell="E42" sqref="E42"/>
    </sheetView>
  </sheetViews>
  <sheetFormatPr baseColWidth="8" defaultColWidth="10.85546875" defaultRowHeight="15"/>
  <sheetData/>
  <pageMargins left="0.7" right="0.7" top="0.787401575" bottom="0.787401575" header="0.3" footer="0.3"/>
</worksheet>
</file>

<file path=xl/worksheets/sheet2.xml><?xml version="1.0" encoding="utf-8"?>
<worksheet xmlns="http://schemas.openxmlformats.org/spreadsheetml/2006/main">
  <sheetPr codeName="Sheet1">
    <outlinePr summaryBelow="1" summaryRight="1"/>
    <pageSetUpPr/>
  </sheetPr>
  <dimension ref="A2:T74"/>
  <sheetViews>
    <sheetView topLeftCell="A22" zoomScaleNormal="130" zoomScalePageLayoutView="130" workbookViewId="0">
      <selection activeCell="J68" sqref="J68"/>
    </sheetView>
  </sheetViews>
  <sheetFormatPr baseColWidth="8" defaultColWidth="9.140625" defaultRowHeight="15"/>
  <sheetData>
    <row r="2">
      <c r="B2" t="inlineStr">
        <is>
          <t>Title:</t>
        </is>
      </c>
    </row>
    <row r="4">
      <c r="B4" t="inlineStr">
        <is>
          <t xml:space="preserve">Der angehängte Datensatz beinhalten Informationen über Materialflüsse, Prozesse sowie Lager in der Region Brandenburg. Der Datensatz bezieht sich dabei auf verschiedene Quellen und Dokumente. </t>
        </is>
      </c>
    </row>
    <row r="6">
      <c r="B6" t="inlineStr">
        <is>
          <t xml:space="preserve">Definition der Systemgrenzen: </t>
        </is>
      </c>
      <c r="T6">
        <f t="array" ref="T6:T31">_xlfn.SEQUENCE(I7-H7+1,1,H7,1)</f>
        <v/>
      </c>
    </row>
    <row r="7">
      <c r="C7" t="inlineStr">
        <is>
          <t xml:space="preserve">Beobachtungszeitraum: </t>
        </is>
      </c>
      <c r="F7" t="inlineStr">
        <is>
          <t>2010 - 2020</t>
        </is>
      </c>
      <c r="H7" t="n">
        <v>2025</v>
      </c>
      <c r="I7" t="n">
        <v>2050</v>
      </c>
      <c r="O7" t="inlineStr">
        <is>
          <t>Legend:</t>
        </is>
      </c>
      <c r="T7" t="n">
        <v>2026</v>
      </c>
    </row>
    <row r="8">
      <c r="C8" t="inlineStr">
        <is>
          <t xml:space="preserve">Beobachtungsgebiet: </t>
        </is>
      </c>
      <c r="F8" t="inlineStr">
        <is>
          <t>Berlin</t>
        </is>
      </c>
      <c r="N8" s="273" t="inlineStr">
        <is>
          <t>01_Data Input</t>
        </is>
      </c>
      <c r="O8" s="273" t="n"/>
      <c r="T8" t="n">
        <v>2027</v>
      </c>
    </row>
    <row r="9">
      <c r="F9" t="inlineStr">
        <is>
          <t>Brandenburg</t>
        </is>
      </c>
      <c r="N9" s="189" t="inlineStr">
        <is>
          <t>02_Drop_Down</t>
        </is>
      </c>
      <c r="O9" s="189" t="n"/>
      <c r="T9" t="n">
        <v>2028</v>
      </c>
    </row>
    <row r="10">
      <c r="N10" s="272" t="inlineStr">
        <is>
          <t>03_Auto_Calculation</t>
        </is>
      </c>
      <c r="O10" s="272" t="n"/>
      <c r="T10" t="n">
        <v>2029</v>
      </c>
    </row>
    <row r="11">
      <c r="N11" s="280" t="inlineStr">
        <is>
          <t>04_Comments</t>
        </is>
      </c>
      <c r="O11" s="280" t="n"/>
      <c r="T11" t="n">
        <v>2030</v>
      </c>
    </row>
    <row r="12">
      <c r="B12" s="207" t="inlineStr">
        <is>
          <t xml:space="preserve">Für die Anfertigung der Materialflussanalyse werden die folgenden Daten benötigt. Die Daten werden in seperaten Tabellenblättern dargestellt. Für jeden Datensatz werden spezifische Anforderungen definiert. Diese lassen sich einem Systemübergreifenden Fließbild zuordnen. Dieses Fließbild beinhaltet die relevanten Flüsse, Prozesse und Lager.  </t>
        </is>
      </c>
      <c r="T12" t="n">
        <v>2031</v>
      </c>
    </row>
    <row r="13">
      <c r="T13" t="n">
        <v>2032</v>
      </c>
    </row>
    <row r="14">
      <c r="T14" t="n">
        <v>2033</v>
      </c>
    </row>
    <row r="15">
      <c r="B15" s="208" t="inlineStr">
        <is>
          <t xml:space="preserve">Prozesse bilden die Grundlage für das System. Prozesse können Transferkoefizienten und Lager beinhalten. Prozesse haben einen oder mehrere Flüsse als Input sowie einen oder mehrere Flüsse als Output. </t>
        </is>
      </c>
      <c r="T15" t="n">
        <v>2034</v>
      </c>
    </row>
    <row r="16">
      <c r="T16" t="n">
        <v>2035</v>
      </c>
    </row>
    <row r="17">
      <c r="T17" t="n">
        <v>2036</v>
      </c>
    </row>
    <row r="18">
      <c r="T18" t="n">
        <v>2037</v>
      </c>
    </row>
    <row r="19">
      <c r="T19" t="n">
        <v>2038</v>
      </c>
    </row>
    <row r="20">
      <c r="T20" t="n">
        <v>2039</v>
      </c>
    </row>
    <row r="21">
      <c r="T21" t="n">
        <v>2040</v>
      </c>
    </row>
    <row r="22">
      <c r="B22" t="inlineStr">
        <is>
          <t>Flüsse:</t>
        </is>
      </c>
      <c r="T22" t="n">
        <v>2041</v>
      </c>
    </row>
    <row r="23">
      <c r="T23" t="n">
        <v>2042</v>
      </c>
    </row>
    <row r="24">
      <c r="C24" t="inlineStr">
        <is>
          <t>Flüsse müssen in Mg umgerechnet werden</t>
        </is>
      </c>
      <c r="T24" t="n">
        <v>2043</v>
      </c>
    </row>
    <row r="25">
      <c r="T25" t="n">
        <v>2044</v>
      </c>
    </row>
    <row r="26">
      <c r="T26" t="n">
        <v>2045</v>
      </c>
    </row>
    <row r="27">
      <c r="T27" t="n">
        <v>2046</v>
      </c>
    </row>
    <row r="28">
      <c r="T28" t="n">
        <v>2047</v>
      </c>
    </row>
    <row r="29">
      <c r="T29" t="n">
        <v>2048</v>
      </c>
    </row>
    <row r="30">
      <c r="T30" t="n">
        <v>2049</v>
      </c>
    </row>
    <row r="31">
      <c r="T31" t="n">
        <v>2050</v>
      </c>
    </row>
    <row r="33">
      <c r="B33" t="inlineStr">
        <is>
          <t>Prozesse:</t>
        </is>
      </c>
    </row>
    <row r="34">
      <c r="B34" t="inlineStr">
        <is>
          <t>Lager</t>
        </is>
      </c>
    </row>
    <row r="35">
      <c r="B35" t="inlineStr">
        <is>
          <t>Transferkoeffizienten</t>
        </is>
      </c>
    </row>
    <row r="36">
      <c r="B36" t="inlineStr">
        <is>
          <t>Umrechnungsfaktoren:</t>
        </is>
      </c>
    </row>
    <row r="37">
      <c r="B37" t="inlineStr">
        <is>
          <t>Codelisten:</t>
        </is>
      </c>
    </row>
    <row r="40">
      <c r="B40" t="inlineStr">
        <is>
          <t xml:space="preserve">Autoren: </t>
        </is>
      </c>
      <c r="C40" t="inlineStr">
        <is>
          <t>Johannes Roland Scholz</t>
        </is>
      </c>
    </row>
    <row r="41">
      <c r="C41" t="inlineStr">
        <is>
          <t>Lukas Hoppe</t>
        </is>
      </c>
    </row>
    <row r="45" ht="18.75" customHeight="1">
      <c r="A45" s="195" t="inlineStr">
        <is>
          <t>BioDYM MFA Tool - Excel Input Template</t>
        </is>
      </c>
    </row>
    <row r="47" ht="15.75" customHeight="1">
      <c r="A47" s="196" t="inlineStr">
        <is>
          <t>📋 SHEET OVERVIEW:</t>
        </is>
      </c>
    </row>
    <row r="48">
      <c r="A48" t="inlineStr">
        <is>
          <t xml:space="preserve">   Configuration: Model settings and parameters</t>
        </is>
      </c>
    </row>
    <row r="49">
      <c r="A49" t="inlineStr">
        <is>
          <t xml:space="preserve">   1_1_Definition_Flows: Define all material flows</t>
        </is>
      </c>
    </row>
    <row r="50">
      <c r="A50" t="inlineStr">
        <is>
          <t xml:space="preserve">   1_2_Data_Flows: Time series data for flows</t>
        </is>
      </c>
    </row>
    <row r="51">
      <c r="A51" t="inlineStr">
        <is>
          <t xml:space="preserve">   2_1_Definition_Processes: Define all processes</t>
        </is>
      </c>
    </row>
    <row r="52">
      <c r="A52" t="inlineStr">
        <is>
          <t xml:space="preserve">   2_3_Process_TCs: Transfer coefficients for processes</t>
        </is>
      </c>
    </row>
    <row r="53">
      <c r="A53" t="inlineStr">
        <is>
          <t xml:space="preserve">   2_4_Initial_Stock: Initial stock values</t>
        </is>
      </c>
    </row>
    <row r="54">
      <c r="A54" t="inlineStr">
        <is>
          <t xml:space="preserve">   2_5_dynamic_tcs: Dynamic transfer coefficients</t>
        </is>
      </c>
    </row>
    <row r="55">
      <c r="A55" t="inlineStr">
        <is>
          <t xml:space="preserve">   3_1_Definition_DSM: Dynamic Stock Model parameters</t>
        </is>
      </c>
    </row>
    <row r="56">
      <c r="A56" t="inlineStr">
        <is>
          <t xml:space="preserve">   3_2_Definition_FOMP: First-Order Mineralization Process parameters</t>
        </is>
      </c>
    </row>
    <row r="57">
      <c r="A57" t="inlineStr">
        <is>
          <t xml:space="preserve">   4_1_Uncertainty_Parameters: Monte Carlo uncertainty definitions</t>
        </is>
      </c>
    </row>
    <row r="59" ht="15.75" customHeight="1">
      <c r="A59" s="196" t="inlineStr">
        <is>
          <t>🎯 INSTRUCTIONS:</t>
        </is>
      </c>
    </row>
    <row r="60">
      <c r="A60" t="inlineStr">
        <is>
          <t>1. Start with the Configuration sheet to set up your model</t>
        </is>
      </c>
    </row>
    <row r="61">
      <c r="A61" t="inlineStr">
        <is>
          <t>2. Define your processes in 2_1_Definition_Processes</t>
        </is>
      </c>
    </row>
    <row r="62">
      <c r="A62" t="inlineStr">
        <is>
          <t>3. Define your flows in 1_1_Definition_Flows</t>
        </is>
      </c>
    </row>
    <row r="63">
      <c r="A63" t="inlineStr">
        <is>
          <t>4. Add time series data in 1_2_Data_Flows</t>
        </is>
      </c>
    </row>
    <row r="64">
      <c r="A64" t="inlineStr">
        <is>
          <t>5. Configure DSM/FOMP parameters if needed</t>
        </is>
      </c>
    </row>
    <row r="65">
      <c r="A65" t="inlineStr">
        <is>
          <t>6. Set up uncertainty parameters for Monte Carlo analysis</t>
        </is>
      </c>
    </row>
    <row r="66" ht="15.75" customHeight="1">
      <c r="A66" s="196" t="n"/>
    </row>
    <row r="67">
      <c r="A67" t="inlineStr">
        <is>
          <t>⚠️  IMPORTANT NOTES:</t>
        </is>
      </c>
    </row>
    <row r="68">
      <c r="A68" t="inlineStr">
        <is>
          <t>- All sheets with green headers are required</t>
        </is>
      </c>
    </row>
    <row r="69">
      <c r="A69" t="inlineStr">
        <is>
          <t>- Yellow cells are editable, gray cells are calculated</t>
        </is>
      </c>
    </row>
    <row r="70">
      <c r="A70" t="inlineStr">
        <is>
          <t>- Use the data validation dropdowns where available</t>
        </is>
      </c>
    </row>
    <row r="71" ht="15.75" customHeight="1">
      <c r="A71" s="196" t="inlineStr">
        <is>
          <t>- Save your work frequently</t>
        </is>
      </c>
    </row>
    <row r="73">
      <c r="A73" t="inlineStr">
        <is>
          <t>📞 SUPPORT:</t>
        </is>
      </c>
    </row>
    <row r="74">
      <c r="A74" t="inlineStr">
        <is>
          <t>For questions or issues, refer to the BioDYM documentation.</t>
        </is>
      </c>
    </row>
  </sheetData>
  <mergeCells count="2">
    <mergeCell ref="B12:M14"/>
    <mergeCell ref="B15:L18"/>
  </mergeCells>
  <pageMargins left="0.7" right="0.7" top="0.75" bottom="0.75" header="0.3" footer="0.3"/>
  <pageSetup orientation="portrait"/>
</worksheet>
</file>

<file path=xl/worksheets/sheet3.xml><?xml version="1.0" encoding="utf-8"?>
<worksheet xmlns="http://schemas.openxmlformats.org/spreadsheetml/2006/main">
  <sheetPr codeName="Sheet3">
    <tabColor theme="7"/>
    <outlinePr summaryBelow="1" summaryRight="1"/>
    <pageSetUpPr/>
  </sheetPr>
  <dimension ref="A1:B27"/>
  <sheetViews>
    <sheetView workbookViewId="0">
      <selection activeCell="E37" sqref="E37"/>
    </sheetView>
  </sheetViews>
  <sheetFormatPr baseColWidth="8" defaultColWidth="10.85546875" defaultRowHeight="15"/>
  <sheetData>
    <row r="1">
      <c r="A1" t="n">
        <v>1</v>
      </c>
      <c r="B1" t="inlineStr">
        <is>
          <t>Definition of Flows</t>
        </is>
      </c>
    </row>
    <row r="2">
      <c r="A2" s="191" t="inlineStr">
        <is>
          <t>1_1</t>
        </is>
      </c>
      <c r="B2" t="inlineStr">
        <is>
          <t>Definition_Flows</t>
        </is>
      </c>
    </row>
    <row r="3">
      <c r="A3" t="inlineStr">
        <is>
          <t>1_2</t>
        </is>
      </c>
      <c r="B3" t="inlineStr">
        <is>
          <t>Data_Flows</t>
        </is>
      </c>
    </row>
    <row r="4">
      <c r="A4" t="n">
        <v>2</v>
      </c>
      <c r="B4" t="inlineStr">
        <is>
          <t>Processes</t>
        </is>
      </c>
    </row>
    <row r="5">
      <c r="A5" t="inlineStr">
        <is>
          <t>2_1</t>
        </is>
      </c>
      <c r="B5" t="inlineStr">
        <is>
          <t>Definition_Processes</t>
        </is>
      </c>
    </row>
    <row r="6">
      <c r="A6" t="inlineStr">
        <is>
          <t>2_2</t>
        </is>
      </c>
      <c r="B6" t="inlineStr">
        <is>
          <t>Processes_TCs</t>
        </is>
      </c>
    </row>
    <row r="7">
      <c r="A7" t="inlineStr">
        <is>
          <t>2_3</t>
        </is>
      </c>
    </row>
    <row r="8">
      <c r="A8" t="inlineStr">
        <is>
          <t>2_4</t>
        </is>
      </c>
      <c r="B8" t="inlineStr">
        <is>
          <t>Initial_Stock</t>
        </is>
      </c>
    </row>
    <row r="9">
      <c r="A9" t="inlineStr">
        <is>
          <t>2_5</t>
        </is>
      </c>
      <c r="B9" t="inlineStr">
        <is>
          <t>Dyn_TCs</t>
        </is>
      </c>
    </row>
    <row r="10">
      <c r="A10" t="n">
        <v>3</v>
      </c>
      <c r="B10" t="inlineStr">
        <is>
          <t>Special_Processes</t>
        </is>
      </c>
    </row>
    <row r="11">
      <c r="A11" t="inlineStr">
        <is>
          <t>3_1</t>
        </is>
      </c>
      <c r="B11" t="inlineStr">
        <is>
          <t>Definition_DSM</t>
        </is>
      </c>
    </row>
    <row r="12">
      <c r="A12" t="inlineStr">
        <is>
          <t>3_2</t>
        </is>
      </c>
      <c r="B12" t="inlineStr">
        <is>
          <t>Definition FOMP</t>
        </is>
      </c>
    </row>
    <row r="13">
      <c r="A13" t="n">
        <v>4</v>
      </c>
      <c r="B13" t="inlineStr">
        <is>
          <t>Code_Lists</t>
        </is>
      </c>
    </row>
    <row r="14">
      <c r="A14" t="inlineStr">
        <is>
          <t>4_1</t>
        </is>
      </c>
      <c r="B14" t="inlineStr">
        <is>
          <t>Code_Lists</t>
        </is>
      </c>
    </row>
    <row r="17" ht="15.75" customHeight="1">
      <c r="A17" s="196" t="inlineStr">
        <is>
          <t>📋 SHEET OVERVIEW:</t>
        </is>
      </c>
    </row>
    <row r="18">
      <c r="A18" t="inlineStr">
        <is>
          <t xml:space="preserve">   Configuration: Model settings and parameters</t>
        </is>
      </c>
    </row>
    <row r="19">
      <c r="A19" t="inlineStr">
        <is>
          <t xml:space="preserve">   1_1_Definition_Flows: Define all material flows</t>
        </is>
      </c>
    </row>
    <row r="20">
      <c r="A20" t="inlineStr">
        <is>
          <t xml:space="preserve">   1_2_Data_Flows: Time series data for flows</t>
        </is>
      </c>
    </row>
    <row r="21">
      <c r="A21" t="inlineStr">
        <is>
          <t xml:space="preserve">   2_1_Definition_Processes: Define all processes</t>
        </is>
      </c>
    </row>
    <row r="22">
      <c r="A22" t="inlineStr">
        <is>
          <t xml:space="preserve">   2_3_Process_TCs: Transfer coefficients for processes</t>
        </is>
      </c>
    </row>
    <row r="23">
      <c r="A23" t="inlineStr">
        <is>
          <t xml:space="preserve">   2_4_Initial_Stock: Initial stock values</t>
        </is>
      </c>
    </row>
    <row r="24">
      <c r="A24" t="inlineStr">
        <is>
          <t xml:space="preserve">   2_5_dynamic_tcs: Dynamic transfer coefficients</t>
        </is>
      </c>
    </row>
    <row r="25">
      <c r="A25" t="inlineStr">
        <is>
          <t xml:space="preserve">   3_1_Definition_DSM: Dynamic Stock Model parameters</t>
        </is>
      </c>
    </row>
    <row r="26">
      <c r="A26" t="inlineStr">
        <is>
          <t xml:space="preserve">   3_2_Definition_FOMP: First-Order Mineralization Process parameters</t>
        </is>
      </c>
    </row>
    <row r="27">
      <c r="A27" t="inlineStr">
        <is>
          <t xml:space="preserve">   4_1_Uncertainty_Parameters: Monte Carlo uncertainty definitions</t>
        </is>
      </c>
    </row>
  </sheetData>
  <pageMargins left="0.7" right="0.7" top="0.787401575" bottom="0.787401575" header="0.3" footer="0.3"/>
</worksheet>
</file>

<file path=xl/worksheets/sheet4.xml><?xml version="1.0" encoding="utf-8"?>
<worksheet xmlns="http://schemas.openxmlformats.org/spreadsheetml/2006/main">
  <sheetPr>
    <tabColor theme="7" tint="0.7999816888943144"/>
    <outlinePr summaryBelow="1" summaryRight="1"/>
    <pageSetUpPr/>
  </sheetPr>
  <dimension ref="A1:F43"/>
  <sheetViews>
    <sheetView zoomScale="115" zoomScaleNormal="115" workbookViewId="0">
      <selection activeCell="N17" sqref="N17"/>
    </sheetView>
  </sheetViews>
  <sheetFormatPr baseColWidth="8" defaultRowHeight="15"/>
  <cols>
    <col width="27.85546875" customWidth="1" min="1" max="1"/>
    <col width="30.42578125" customWidth="1" min="2" max="2"/>
    <col width="31.28515625" customWidth="1" min="3" max="3"/>
    <col width="43.42578125" customWidth="1" min="4" max="4"/>
    <col width="17" customWidth="1" min="5" max="5"/>
    <col width="20.5703125" customWidth="1" min="6" max="6"/>
  </cols>
  <sheetData>
    <row r="1" ht="15.75" customHeight="1" thickBot="1">
      <c r="A1" t="inlineStr">
        <is>
          <t>Category_Settings</t>
        </is>
      </c>
      <c r="B1" t="inlineStr">
        <is>
          <t>Setting Name</t>
        </is>
      </c>
      <c r="C1" t="inlineStr">
        <is>
          <t>Value</t>
        </is>
      </c>
      <c r="D1" t="inlineStr">
        <is>
          <t>Description</t>
        </is>
      </c>
      <c r="E1" t="inlineStr">
        <is>
          <t>Category</t>
        </is>
      </c>
      <c r="F1" t="inlineStr">
        <is>
          <t>Status</t>
        </is>
      </c>
    </row>
    <row r="2">
      <c r="A2" s="269" t="inlineStr">
        <is>
          <t>CORE SETTINGS</t>
        </is>
      </c>
      <c r="B2" s="270" t="inlineStr">
        <is>
          <t>Start_Year</t>
        </is>
      </c>
      <c r="C2" s="271" t="n">
        <v>2025</v>
      </c>
      <c r="D2" s="278" t="inlineStr">
        <is>
          <t>Analysis start year</t>
        </is>
      </c>
      <c r="E2" s="278" t="inlineStr">
        <is>
          <t>Core</t>
        </is>
      </c>
      <c r="F2" s="279" t="inlineStr">
        <is>
          <t>Required</t>
        </is>
      </c>
    </row>
    <row r="3" ht="15" customHeight="1">
      <c r="A3" s="274" t="n"/>
      <c r="B3" s="272" t="inlineStr">
        <is>
          <t>End_Year</t>
        </is>
      </c>
      <c r="C3" s="273" t="n">
        <v>2050</v>
      </c>
      <c r="D3" s="280" t="inlineStr">
        <is>
          <t>Analysis end year</t>
        </is>
      </c>
      <c r="E3" s="280" t="inlineStr">
        <is>
          <t>Core</t>
        </is>
      </c>
      <c r="F3" s="281" t="inlineStr">
        <is>
          <t>Required</t>
        </is>
      </c>
    </row>
    <row r="4">
      <c r="A4" s="274" t="n"/>
      <c r="B4" s="272" t="inlineStr">
        <is>
          <t>Elements</t>
        </is>
      </c>
      <c r="C4" s="273" t="inlineStr">
        <is>
          <t>material,WC,DM,CC</t>
        </is>
      </c>
      <c r="D4" s="280" t="inlineStr">
        <is>
          <t>Elements to track (comma-separated)</t>
        </is>
      </c>
      <c r="E4" s="280" t="inlineStr">
        <is>
          <t>Core</t>
        </is>
      </c>
      <c r="F4" s="281" t="inlineStr">
        <is>
          <t>Required</t>
        </is>
      </c>
    </row>
    <row r="5">
      <c r="A5" s="274" t="n"/>
      <c r="B5" s="272" t="inlineStr">
        <is>
          <t>Input_File</t>
        </is>
      </c>
      <c r="C5" s="273" t="inlineStr">
        <is>
          <t>data/01_input/250902_CS1_Wheat_Straw.xlsx</t>
        </is>
      </c>
      <c r="D5" s="280" t="inlineStr">
        <is>
          <t>Path to Excel input file</t>
        </is>
      </c>
      <c r="E5" s="280" t="inlineStr">
        <is>
          <t>Core</t>
        </is>
      </c>
      <c r="F5" s="281" t="inlineStr">
        <is>
          <t>Required</t>
        </is>
      </c>
    </row>
    <row r="6" ht="15.75" customHeight="1" thickBot="1">
      <c r="A6" s="275" t="n"/>
      <c r="B6" s="19" t="inlineStr">
        <is>
          <t>Output_File</t>
        </is>
      </c>
      <c r="C6" s="197" t="inlineStr">
        <is>
          <t>data/02_output/results.xlsx</t>
        </is>
      </c>
      <c r="D6" s="282" t="inlineStr">
        <is>
          <t>Path for results output</t>
        </is>
      </c>
      <c r="E6" s="282" t="inlineStr">
        <is>
          <t>Core</t>
        </is>
      </c>
      <c r="F6" s="283" t="inlineStr">
        <is>
          <t>Required</t>
        </is>
      </c>
    </row>
    <row r="7">
      <c r="A7" s="269" t="inlineStr">
        <is>
          <t>CALCULATION SETTINGS</t>
        </is>
      </c>
      <c r="B7" s="270" t="inlineStr">
        <is>
          <t>Run_DSM_Calculation</t>
        </is>
      </c>
      <c r="C7" s="271" t="b">
        <v>0</v>
      </c>
      <c r="D7" s="278" t="inlineStr">
        <is>
          <t>Enable Dynamic Stock Model calculation</t>
        </is>
      </c>
      <c r="E7" s="278" t="inlineStr">
        <is>
          <t>Calculation</t>
        </is>
      </c>
      <c r="F7" s="279" t="inlineStr">
        <is>
          <t>Required</t>
        </is>
      </c>
    </row>
    <row r="8" ht="15" customHeight="1">
      <c r="A8" s="296" t="n"/>
      <c r="B8" s="272" t="inlineStr">
        <is>
          <t>Run_FOMP_Calculation</t>
        </is>
      </c>
      <c r="C8" s="273" t="b">
        <v>1</v>
      </c>
      <c r="D8" s="280" t="inlineStr">
        <is>
          <t>Enable First-Order Material Process calculation</t>
        </is>
      </c>
      <c r="E8" s="280" t="inlineStr">
        <is>
          <t>Calculation</t>
        </is>
      </c>
      <c r="F8" s="281" t="inlineStr">
        <is>
          <t>Required</t>
        </is>
      </c>
    </row>
    <row r="9">
      <c r="A9" s="296" t="n"/>
      <c r="B9" s="272" t="inlineStr">
        <is>
          <t>RUN_MONTE_CARLO</t>
        </is>
      </c>
      <c r="C9" s="273" t="b">
        <v>1</v>
      </c>
      <c r="D9" s="280" t="inlineStr">
        <is>
          <t>Enable Monte Carlo uncertainty analysis</t>
        </is>
      </c>
      <c r="E9" s="280" t="inlineStr">
        <is>
          <t>Calculation</t>
        </is>
      </c>
      <c r="F9" s="281" t="inlineStr">
        <is>
          <t>Optional</t>
        </is>
      </c>
    </row>
    <row r="10" ht="15.75" customHeight="1" thickBot="1">
      <c r="A10" s="18" t="n"/>
      <c r="B10" s="19" t="inlineStr">
        <is>
          <t>MC_Iterations</t>
        </is>
      </c>
      <c r="C10" s="197" t="n">
        <v>25</v>
      </c>
      <c r="D10" s="282" t="inlineStr">
        <is>
          <t>Number of Monte Carlo iterations</t>
        </is>
      </c>
      <c r="E10" s="282" t="inlineStr">
        <is>
          <t>Calculation</t>
        </is>
      </c>
      <c r="F10" s="283" t="inlineStr">
        <is>
          <t>Optional</t>
        </is>
      </c>
    </row>
    <row r="11" ht="15" customHeight="1">
      <c r="A11" s="269" t="inlineStr">
        <is>
          <t>SCENARIO ANALYSIS SETTINGS</t>
        </is>
      </c>
      <c r="B11" s="270" t="inlineStr">
        <is>
          <t>Run_Scenario_Analysis</t>
        </is>
      </c>
      <c r="C11" s="271" t="b">
        <v>0</v>
      </c>
      <c r="D11" s="278" t="inlineStr">
        <is>
          <t>Enable scenario comparison analysis</t>
        </is>
      </c>
      <c r="E11" s="278" t="inlineStr">
        <is>
          <t>Scenario</t>
        </is>
      </c>
      <c r="F11" s="279" t="inlineStr">
        <is>
          <t>Optional</t>
        </is>
      </c>
    </row>
    <row r="12">
      <c r="A12" s="296" t="n"/>
      <c r="B12" s="272" t="inlineStr">
        <is>
          <t>Selected_Scenario_1</t>
        </is>
      </c>
      <c r="C12" s="273" t="inlineStr">
        <is>
          <t>High_Recycling</t>
        </is>
      </c>
      <c r="D12" s="280" t="inlineStr">
        <is>
          <t>First scenario name to analyze</t>
        </is>
      </c>
      <c r="E12" s="280" t="inlineStr">
        <is>
          <t>Scenario</t>
        </is>
      </c>
      <c r="F12" s="281" t="inlineStr">
        <is>
          <t>Optional</t>
        </is>
      </c>
    </row>
    <row r="13">
      <c r="A13" s="296" t="n"/>
      <c r="B13" s="272" t="inlineStr">
        <is>
          <t>Selected_Scenario_2</t>
        </is>
      </c>
      <c r="C13" s="273" t="inlineStr">
        <is>
          <t>No_incineration</t>
        </is>
      </c>
      <c r="D13" s="280" t="inlineStr">
        <is>
          <t>Second scenario name to analyze</t>
        </is>
      </c>
      <c r="E13" s="280" t="inlineStr">
        <is>
          <t>Scenario</t>
        </is>
      </c>
      <c r="F13" s="281" t="inlineStr">
        <is>
          <t>Optional</t>
        </is>
      </c>
    </row>
    <row r="14">
      <c r="A14" s="296" t="n"/>
      <c r="B14" s="272" t="inlineStr">
        <is>
          <t>Selected_Scenario_3</t>
        </is>
      </c>
      <c r="C14" s="273" t="inlineStr">
        <is>
          <t>N/A</t>
        </is>
      </c>
      <c r="D14" s="280" t="inlineStr">
        <is>
          <t>Third scenario name to analyze</t>
        </is>
      </c>
      <c r="E14" s="280" t="inlineStr">
        <is>
          <t>Scenario</t>
        </is>
      </c>
      <c r="F14" s="281" t="inlineStr">
        <is>
          <t>Optional</t>
        </is>
      </c>
    </row>
    <row r="15" ht="15.75" customHeight="1" thickBot="1">
      <c r="A15" s="18" t="n"/>
      <c r="B15" s="19" t="inlineStr">
        <is>
          <t>Scenario_Comparison_Metrics</t>
        </is>
      </c>
      <c r="C15" s="197" t="inlineStr">
        <is>
          <t>All</t>
        </is>
      </c>
      <c r="D15" s="282" t="inlineStr">
        <is>
          <t>Metrics to compare (All, Stocks, Flows, Efficiency)</t>
        </is>
      </c>
      <c r="E15" s="282" t="inlineStr">
        <is>
          <t>Scenario</t>
        </is>
      </c>
      <c r="F15" s="283" t="inlineStr">
        <is>
          <t>Optional</t>
        </is>
      </c>
    </row>
    <row r="16">
      <c r="A16" s="269" t="inlineStr">
        <is>
          <t>FOMP PROCESS SETTINGS</t>
        </is>
      </c>
      <c r="B16" s="270" t="inlineStr">
        <is>
          <t>FOMP_Water_Bypass</t>
        </is>
      </c>
      <c r="C16" s="271" t="b">
        <v>1</v>
      </c>
      <c r="D16" s="278" t="inlineStr">
        <is>
          <t>Enable water content bypass in FOMP processes</t>
        </is>
      </c>
      <c r="E16" s="278" t="inlineStr">
        <is>
          <t>FOMP</t>
        </is>
      </c>
      <c r="F16" s="279" t="inlineStr">
        <is>
          <t>Required</t>
        </is>
      </c>
    </row>
    <row r="17">
      <c r="A17" s="296" t="n"/>
      <c r="B17" s="272" t="inlineStr">
        <is>
          <t>FOMP_Multiple_Processes</t>
        </is>
      </c>
      <c r="C17" s="273" t="b">
        <v>1</v>
      </c>
      <c r="D17" s="280" t="inlineStr">
        <is>
          <t>Support multiple FOMP processes</t>
        </is>
      </c>
      <c r="E17" s="280" t="inlineStr">
        <is>
          <t>FOMP</t>
        </is>
      </c>
      <c r="F17" s="281" t="inlineStr">
        <is>
          <t>Required</t>
        </is>
      </c>
    </row>
    <row r="18">
      <c r="A18" s="296" t="n"/>
      <c r="B18" s="272" t="inlineStr">
        <is>
          <t>FOMP_Stock_Zero_Initial</t>
        </is>
      </c>
      <c r="C18" s="273" t="b">
        <v>1</v>
      </c>
      <c r="D18" s="280" t="inlineStr">
        <is>
          <t>FOMP processes start with zero initial stock</t>
        </is>
      </c>
      <c r="E18" s="280" t="inlineStr">
        <is>
          <t>FOMP</t>
        </is>
      </c>
      <c r="F18" s="281" t="inlineStr">
        <is>
          <t>Required</t>
        </is>
      </c>
    </row>
    <row r="19" ht="15.75" customHeight="1" thickBot="1">
      <c r="A19" s="18" t="n"/>
      <c r="B19" s="19" t="inlineStr">
        <is>
          <t>FOMP_Convergence_Tolerance</t>
        </is>
      </c>
      <c r="C19" s="197" t="n">
        <v>0.001</v>
      </c>
      <c r="D19" s="282" t="inlineStr">
        <is>
          <t>Convergence tolerance for FOMP calculations</t>
        </is>
      </c>
      <c r="E19" s="282" t="inlineStr">
        <is>
          <t>FOMP</t>
        </is>
      </c>
      <c r="F19" s="283" t="inlineStr">
        <is>
          <t>Optional</t>
        </is>
      </c>
    </row>
    <row r="20">
      <c r="A20" s="269" t="inlineStr">
        <is>
          <t>VISUALIZATION SETTINGS</t>
        </is>
      </c>
      <c r="B20" s="270" t="inlineStr">
        <is>
          <t>Min_Flow_Threshold</t>
        </is>
      </c>
      <c r="C20" s="271" t="n">
        <v>0.1</v>
      </c>
      <c r="D20" s="278" t="inlineStr">
        <is>
          <t>Minimum flow value to display (Mg)</t>
        </is>
      </c>
      <c r="E20" s="278" t="inlineStr">
        <is>
          <t>Visualization</t>
        </is>
      </c>
      <c r="F20" s="279" t="inlineStr">
        <is>
          <t>Required</t>
        </is>
      </c>
    </row>
    <row r="21">
      <c r="A21" s="296" t="n"/>
      <c r="B21" s="272" t="inlineStr">
        <is>
          <t>Show_Zero_Flows</t>
        </is>
      </c>
      <c r="C21" s="273" t="b">
        <v>0</v>
      </c>
      <c r="D21" s="280" t="inlineStr">
        <is>
          <t>Show flows with zero values in plots</t>
        </is>
      </c>
      <c r="E21" s="280" t="inlineStr">
        <is>
          <t>Visualization</t>
        </is>
      </c>
      <c r="F21" s="281" t="inlineStr">
        <is>
          <t>Optional</t>
        </is>
      </c>
    </row>
    <row r="22">
      <c r="A22" s="296" t="n"/>
      <c r="B22" s="272" t="inlineStr">
        <is>
          <t>Plot_Interactivity</t>
        </is>
      </c>
      <c r="C22" s="273" t="inlineStr">
        <is>
          <t>High</t>
        </is>
      </c>
      <c r="D22" s="280" t="inlineStr">
        <is>
          <t>Plot interactivity level (Low, Medium, High)</t>
        </is>
      </c>
      <c r="E22" s="280" t="inlineStr">
        <is>
          <t>Visualization</t>
        </is>
      </c>
      <c r="F22" s="281" t="inlineStr">
        <is>
          <t>Optional</t>
        </is>
      </c>
    </row>
    <row r="23">
      <c r="A23" s="296" t="n"/>
      <c r="B23" s="272" t="inlineStr">
        <is>
          <t>Color_Scheme</t>
        </is>
      </c>
      <c r="C23" s="273" t="inlineStr">
        <is>
          <t>BioDYM</t>
        </is>
      </c>
      <c r="D23" s="280" t="inlineStr">
        <is>
          <t>Color scheme (BioDYM, Scientific, Custom)</t>
        </is>
      </c>
      <c r="E23" s="280" t="inlineStr">
        <is>
          <t>Visualization</t>
        </is>
      </c>
      <c r="F23" s="281" t="inlineStr">
        <is>
          <t>Optional</t>
        </is>
      </c>
    </row>
    <row r="24">
      <c r="A24" s="296" t="n"/>
      <c r="B24" s="272" t="inlineStr">
        <is>
          <t>Export_Plots</t>
        </is>
      </c>
      <c r="C24" s="273" t="b">
        <v>1</v>
      </c>
      <c r="D24" s="280" t="inlineStr">
        <is>
          <t>Automatically export plots as images</t>
        </is>
      </c>
      <c r="E24" s="280" t="inlineStr">
        <is>
          <t>Visualization</t>
        </is>
      </c>
      <c r="F24" s="281" t="inlineStr">
        <is>
          <t>Optional</t>
        </is>
      </c>
    </row>
    <row r="25" ht="15.75" customHeight="1" thickBot="1">
      <c r="A25" s="18" t="n"/>
      <c r="B25" s="19" t="inlineStr">
        <is>
          <t>Plot_Resolution</t>
        </is>
      </c>
      <c r="C25" s="197" t="inlineStr">
        <is>
          <t>High</t>
        </is>
      </c>
      <c r="D25" s="282" t="inlineStr">
        <is>
          <t>Plot resolution (Low, Medium, High)</t>
        </is>
      </c>
      <c r="E25" s="282" t="inlineStr">
        <is>
          <t>Visualization</t>
        </is>
      </c>
      <c r="F25" s="283" t="inlineStr">
        <is>
          <t>Optional</t>
        </is>
      </c>
    </row>
    <row r="26">
      <c r="A26" s="269" t="inlineStr">
        <is>
          <t>EXPORT SETTINGS</t>
        </is>
      </c>
      <c r="B26" s="270" t="inlineStr">
        <is>
          <t>Export_Format</t>
        </is>
      </c>
      <c r="C26" s="271" t="inlineStr">
        <is>
          <t>Excel</t>
        </is>
      </c>
      <c r="D26" s="278" t="inlineStr">
        <is>
          <t>Export file format (Excel, CSV, JSON)</t>
        </is>
      </c>
      <c r="E26" s="278" t="inlineStr">
        <is>
          <t>Export</t>
        </is>
      </c>
      <c r="F26" s="279" t="inlineStr">
        <is>
          <t>Required</t>
        </is>
      </c>
    </row>
    <row r="27">
      <c r="A27" s="296" t="n"/>
      <c r="B27" s="272" t="inlineStr">
        <is>
          <t>Auto_Save_Results</t>
        </is>
      </c>
      <c r="C27" s="273" t="b">
        <v>1</v>
      </c>
      <c r="D27" s="280" t="inlineStr">
        <is>
          <t>Automatically save results after calculation</t>
        </is>
      </c>
      <c r="E27" s="280" t="inlineStr">
        <is>
          <t>Export</t>
        </is>
      </c>
      <c r="F27" s="281" t="inlineStr">
        <is>
          <t>Optional</t>
        </is>
      </c>
    </row>
    <row r="28">
      <c r="A28" s="296" t="n"/>
      <c r="B28" s="272" t="inlineStr">
        <is>
          <t>Export_Detail_Level</t>
        </is>
      </c>
      <c r="C28" s="273" t="inlineStr">
        <is>
          <t>Full</t>
        </is>
      </c>
      <c r="D28" s="280" t="inlineStr">
        <is>
          <t>Export detail level (Summary, Full, Debug)</t>
        </is>
      </c>
      <c r="E28" s="280" t="inlineStr">
        <is>
          <t>Export</t>
        </is>
      </c>
      <c r="F28" s="281" t="inlineStr">
        <is>
          <t>Optional</t>
        </is>
      </c>
    </row>
    <row r="29">
      <c r="A29" s="296" t="n"/>
      <c r="B29" s="272" t="inlineStr">
        <is>
          <t>Export_Plots_As_Images</t>
        </is>
      </c>
      <c r="C29" s="273" t="b">
        <v>1</v>
      </c>
      <c r="D29" s="280" t="inlineStr">
        <is>
          <t>Export plots as PNG images</t>
        </is>
      </c>
      <c r="E29" s="280" t="inlineStr">
        <is>
          <t>Export</t>
        </is>
      </c>
      <c r="F29" s="281" t="inlineStr">
        <is>
          <t>Optional</t>
        </is>
      </c>
    </row>
    <row r="30" ht="15.75" customHeight="1" thickBot="1">
      <c r="A30" s="276" t="n"/>
      <c r="B30" s="185" t="inlineStr">
        <is>
          <t>Export_Directory</t>
        </is>
      </c>
      <c r="C30" s="186" t="inlineStr">
        <is>
          <t>exports</t>
        </is>
      </c>
      <c r="D30" s="277" t="inlineStr">
        <is>
          <t>Directory for exported files</t>
        </is>
      </c>
      <c r="E30" s="277" t="inlineStr">
        <is>
          <t>Export</t>
        </is>
      </c>
      <c r="F30" s="284" t="inlineStr">
        <is>
          <t>Optional</t>
        </is>
      </c>
    </row>
    <row r="31">
      <c r="A31" s="269" t="inlineStr">
        <is>
          <t>NICE TO HAVE SETTINGS (Advanced)</t>
        </is>
      </c>
      <c r="B31" s="270" t="inlineStr">
        <is>
          <t>Mass_Balance_Tolerance</t>
        </is>
      </c>
      <c r="C31" s="271" t="n">
        <v>0.001</v>
      </c>
      <c r="D31" s="278" t="inlineStr">
        <is>
          <t>Tolerance for mass balance validation</t>
        </is>
      </c>
      <c r="E31" s="278" t="inlineStr">
        <is>
          <t>Advanced</t>
        </is>
      </c>
      <c r="F31" s="279" t="inlineStr">
        <is>
          <t>Nice to Have</t>
        </is>
      </c>
    </row>
    <row r="32">
      <c r="A32" s="296" t="n"/>
      <c r="B32" s="272" t="inlineStr">
        <is>
          <t>Data_Validation_Level</t>
        </is>
      </c>
      <c r="C32" s="273" t="inlineStr">
        <is>
          <t>Strict</t>
        </is>
      </c>
      <c r="D32" s="280" t="inlineStr">
        <is>
          <t>Data validation strictness (Loose, Normal, Strict)</t>
        </is>
      </c>
      <c r="E32" s="280" t="inlineStr">
        <is>
          <t>Advanced</t>
        </is>
      </c>
      <c r="F32" s="281" t="inlineStr">
        <is>
          <t>Nice to Have</t>
        </is>
      </c>
    </row>
    <row r="33">
      <c r="A33" s="296" t="n"/>
      <c r="B33" s="272" t="inlineStr">
        <is>
          <t>Error_Handling_Mode</t>
        </is>
      </c>
      <c r="C33" s="273" t="inlineStr">
        <is>
          <t>Verbose</t>
        </is>
      </c>
      <c r="D33" s="280" t="inlineStr">
        <is>
          <t>Error message level (Quiet, Normal, Verbose)</t>
        </is>
      </c>
      <c r="E33" s="280" t="inlineStr">
        <is>
          <t>Advanced</t>
        </is>
      </c>
      <c r="F33" s="281" t="inlineStr">
        <is>
          <t>Nice to Have</t>
        </is>
      </c>
    </row>
    <row r="34">
      <c r="A34" s="296" t="n"/>
      <c r="B34" s="272" t="inlineStr">
        <is>
          <t>Debug_Mode</t>
        </is>
      </c>
      <c r="C34" s="273" t="b">
        <v>0</v>
      </c>
      <c r="D34" s="280" t="inlineStr">
        <is>
          <t>Enable debug output and logging</t>
        </is>
      </c>
      <c r="E34" s="280" t="inlineStr">
        <is>
          <t>Advanced</t>
        </is>
      </c>
      <c r="F34" s="281" t="inlineStr">
        <is>
          <t>Nice to Have</t>
        </is>
      </c>
    </row>
    <row r="35">
      <c r="A35" s="296" t="n"/>
      <c r="B35" s="272" t="inlineStr">
        <is>
          <t>Performance_Monitoring</t>
        </is>
      </c>
      <c r="C35" s="273" t="b">
        <v>0</v>
      </c>
      <c r="D35" s="280" t="inlineStr">
        <is>
          <t>Enable performance monitoring</t>
        </is>
      </c>
      <c r="E35" s="280" t="inlineStr">
        <is>
          <t>Advanced</t>
        </is>
      </c>
      <c r="F35" s="281" t="inlineStr">
        <is>
          <t>Nice to Have</t>
        </is>
      </c>
    </row>
    <row r="36">
      <c r="A36" s="296" t="n"/>
      <c r="B36" s="272" t="inlineStr">
        <is>
          <t>Memory_Optimization</t>
        </is>
      </c>
      <c r="C36" s="273" t="b">
        <v>1</v>
      </c>
      <c r="D36" s="280" t="inlineStr">
        <is>
          <t>Enable memory optimization for large datasets</t>
        </is>
      </c>
      <c r="E36" s="280" t="inlineStr">
        <is>
          <t>Advanced</t>
        </is>
      </c>
      <c r="F36" s="281" t="inlineStr">
        <is>
          <t>Nice to Have</t>
        </is>
      </c>
    </row>
    <row r="37">
      <c r="A37" s="296" t="n"/>
      <c r="B37" s="272" t="inlineStr">
        <is>
          <t>Parallel_Processing</t>
        </is>
      </c>
      <c r="C37" s="273" t="b">
        <v>0</v>
      </c>
      <c r="D37" s="280" t="inlineStr">
        <is>
          <t>Enable parallel processing for calculations</t>
        </is>
      </c>
      <c r="E37" s="280" t="inlineStr">
        <is>
          <t>Advanced</t>
        </is>
      </c>
      <c r="F37" s="281" t="inlineStr">
        <is>
          <t>Nice to Have</t>
        </is>
      </c>
    </row>
    <row r="38" ht="15.75" customHeight="1" thickBot="1">
      <c r="A38" s="18" t="n"/>
      <c r="B38" s="19" t="inlineStr">
        <is>
          <t>Cache_Results</t>
        </is>
      </c>
      <c r="C38" s="197" t="b">
        <v>1</v>
      </c>
      <c r="D38" s="282" t="inlineStr">
        <is>
          <t>Cache intermediate results for faster reruns</t>
        </is>
      </c>
      <c r="E38" s="282" t="inlineStr">
        <is>
          <t>Advanced</t>
        </is>
      </c>
      <c r="F38" s="283" t="inlineStr">
        <is>
          <t>Nice to Have</t>
        </is>
      </c>
    </row>
    <row r="39">
      <c r="A39" s="269" t="inlineStr">
        <is>
          <t>SYSTEM SETTINGS</t>
        </is>
      </c>
      <c r="B39" s="270" t="inlineStr">
        <is>
          <t>Max_Iterations</t>
        </is>
      </c>
      <c r="C39" s="271" t="n">
        <v>15</v>
      </c>
      <c r="D39" s="278" t="inlineStr">
        <is>
          <t>Maximum solver iterations</t>
        </is>
      </c>
      <c r="E39" s="278" t="inlineStr">
        <is>
          <t>System</t>
        </is>
      </c>
      <c r="F39" s="279" t="inlineStr">
        <is>
          <t>Required</t>
        </is>
      </c>
    </row>
    <row r="40">
      <c r="A40" s="296" t="n"/>
      <c r="B40" s="272" t="inlineStr">
        <is>
          <t>Convergence_Threshold</t>
        </is>
      </c>
      <c r="C40" s="273" t="n">
        <v>0.0001</v>
      </c>
      <c r="D40" s="280" t="inlineStr">
        <is>
          <t>Convergence threshold for solver</t>
        </is>
      </c>
      <c r="E40" s="280" t="inlineStr">
        <is>
          <t>System</t>
        </is>
      </c>
      <c r="F40" s="281" t="inlineStr">
        <is>
          <t>Required</t>
        </is>
      </c>
    </row>
    <row r="41">
      <c r="A41" s="296" t="n"/>
      <c r="B41" s="272" t="inlineStr">
        <is>
          <t>Log_Level</t>
        </is>
      </c>
      <c r="C41" s="273" t="inlineStr">
        <is>
          <t>INFO</t>
        </is>
      </c>
      <c r="D41" s="280" t="inlineStr">
        <is>
          <t>Logging level (DEBUG, INFO, WARNING, ERROR)</t>
        </is>
      </c>
      <c r="E41" s="280" t="inlineStr">
        <is>
          <t>System</t>
        </is>
      </c>
      <c r="F41" s="281" t="inlineStr">
        <is>
          <t>Optional</t>
        </is>
      </c>
    </row>
    <row r="42">
      <c r="A42" s="296" t="n"/>
      <c r="B42" s="272" t="inlineStr">
        <is>
          <t>Temp_Directory</t>
        </is>
      </c>
      <c r="C42" s="273" t="inlineStr">
        <is>
          <t>temp</t>
        </is>
      </c>
      <c r="D42" s="280" t="inlineStr">
        <is>
          <t>Temporary files directory</t>
        </is>
      </c>
      <c r="E42" s="280" t="inlineStr">
        <is>
          <t>System</t>
        </is>
      </c>
      <c r="F42" s="281" t="inlineStr">
        <is>
          <t>Optional</t>
        </is>
      </c>
    </row>
    <row r="43" ht="15.75" customHeight="1" thickBot="1">
      <c r="A43" s="18" t="n"/>
      <c r="B43" s="19" t="inlineStr">
        <is>
          <t>Backup_Results</t>
        </is>
      </c>
      <c r="C43" s="197" t="b">
        <v>1</v>
      </c>
      <c r="D43" s="282" t="inlineStr">
        <is>
          <t>Create backup of previous results</t>
        </is>
      </c>
      <c r="E43" s="282" t="inlineStr">
        <is>
          <t>System</t>
        </is>
      </c>
      <c r="F43" s="283" t="inlineStr">
        <is>
          <t>Optional</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codeName="Sheet4">
    <tabColor theme="7" tint="0.7999816888943144"/>
    <outlinePr summaryBelow="1" summaryRight="1"/>
    <pageSetUpPr/>
  </sheetPr>
  <dimension ref="A1:X79"/>
  <sheetViews>
    <sheetView zoomScale="115" zoomScaleNormal="115" workbookViewId="0">
      <pane xSplit="4" ySplit="16" topLeftCell="H17" activePane="bottomRight" state="frozen"/>
      <selection pane="topRight" activeCell="E1" sqref="E1"/>
      <selection pane="bottomLeft" activeCell="A14" sqref="A14"/>
      <selection pane="bottomRight" activeCell="H31" sqref="H31"/>
    </sheetView>
  </sheetViews>
  <sheetFormatPr baseColWidth="8" defaultColWidth="10.85546875" defaultRowHeight="15"/>
  <cols>
    <col width="14.42578125" customWidth="1" min="1" max="1"/>
    <col width="10.28515625" customWidth="1" style="46" min="2" max="2"/>
    <col width="10.7109375" customWidth="1" min="3" max="3"/>
    <col width="38.7109375" customWidth="1" min="4" max="4"/>
    <col hidden="1" width="16.42578125" customWidth="1" min="5" max="6"/>
    <col hidden="1" width="40.140625" customWidth="1" min="7" max="7"/>
    <col width="30.42578125" customWidth="1" min="8" max="8"/>
    <col width="16.5703125" customWidth="1" min="9" max="9"/>
    <col width="23.140625" customWidth="1" min="10" max="10"/>
    <col width="16" customWidth="1" min="11" max="11"/>
    <col width="10.85546875" customWidth="1" style="183" min="17" max="17"/>
    <col width="15.28515625" customWidth="1" min="19" max="19"/>
    <col width="15.42578125" customWidth="1" min="20" max="20"/>
    <col width="13" customWidth="1" min="21" max="21"/>
    <col width="15.7109375" customWidth="1" min="22" max="22"/>
  </cols>
  <sheetData>
    <row r="1">
      <c r="A1" s="295" t="inlineStr">
        <is>
          <t>Complete?</t>
        </is>
      </c>
      <c r="B1" s="295" t="inlineStr">
        <is>
          <t>ID</t>
        </is>
      </c>
      <c r="C1" s="295" t="inlineStr">
        <is>
          <t>Flow_ID</t>
        </is>
      </c>
      <c r="D1" s="295" t="inlineStr">
        <is>
          <t>Name(EN)</t>
        </is>
      </c>
      <c r="E1" s="295" t="inlineStr">
        <is>
          <t>Region</t>
        </is>
      </c>
      <c r="F1" s="295" t="inlineStr">
        <is>
          <t>Type_Biomass</t>
        </is>
      </c>
      <c r="G1" s="295" t="inlineStr">
        <is>
          <t>Comment</t>
        </is>
      </c>
      <c r="H1" s="295" t="inlineStr">
        <is>
          <t>Output_Process</t>
        </is>
      </c>
      <c r="I1" s="295" t="inlineStr">
        <is>
          <t>Process_ID_O</t>
        </is>
      </c>
      <c r="J1" s="295" t="inlineStr">
        <is>
          <t>Input_Process</t>
        </is>
      </c>
      <c r="K1" s="295" t="inlineStr">
        <is>
          <t>Process_ID_I</t>
        </is>
      </c>
      <c r="L1" s="295" t="inlineStr">
        <is>
          <t>WC?</t>
        </is>
      </c>
      <c r="M1" s="295" t="inlineStr">
        <is>
          <t>DM?</t>
        </is>
      </c>
      <c r="N1" s="295" t="inlineStr">
        <is>
          <t>CC?</t>
        </is>
      </c>
      <c r="O1" s="295" t="inlineStr">
        <is>
          <t>WC</t>
        </is>
      </c>
      <c r="P1" s="295" t="inlineStr">
        <is>
          <t>WC_source</t>
        </is>
      </c>
      <c r="Q1" s="295" t="inlineStr">
        <is>
          <t>DM</t>
        </is>
      </c>
      <c r="R1" s="295" t="inlineStr">
        <is>
          <t>DM_source</t>
        </is>
      </c>
      <c r="S1" s="295" t="inlineStr">
        <is>
          <t>CC_DM[%]</t>
        </is>
      </c>
      <c r="T1" s="295" t="inlineStr">
        <is>
          <t>CC_DM_source</t>
        </is>
      </c>
      <c r="U1" s="295" t="inlineStr">
        <is>
          <t>CC</t>
        </is>
      </c>
      <c r="V1" s="295" t="inlineStr">
        <is>
          <t>CC_FM_source</t>
        </is>
      </c>
    </row>
    <row r="2">
      <c r="A2" s="280" t="b">
        <v>1</v>
      </c>
      <c r="B2" s="43">
        <f>ROW()-1</f>
        <v/>
      </c>
      <c r="C2" s="272">
        <f>"F_"&amp;LEFT(I2,2)&amp;"_"&amp;LEFT(K2,2)</f>
        <v/>
      </c>
      <c r="D2" s="273" t="inlineStr">
        <is>
          <t>Atmossphere_Input_C</t>
        </is>
      </c>
      <c r="E2" s="280" t="n"/>
      <c r="F2" s="280" t="n"/>
      <c r="G2" s="280" t="n"/>
      <c r="H2" s="189" t="inlineStr">
        <is>
          <t>Atmosphere</t>
        </is>
      </c>
      <c r="I2" s="272">
        <f>_xlfn.XLOOKUP(H2,Tab_Def_Processes[Name(EN)],Tab_Def_Processes[Process_ID],,0,)</f>
        <v/>
      </c>
      <c r="J2" s="189" t="inlineStr">
        <is>
          <t>Cultivation</t>
        </is>
      </c>
      <c r="K2" s="17">
        <f>_xlfn.XLOOKUP(J2,Tab_Def_Processes[Name(EN)],Tab_Def_Processes[Process_ID],,0,)</f>
        <v/>
      </c>
      <c r="L2" s="189" t="inlineStr">
        <is>
          <t>Yes</t>
        </is>
      </c>
      <c r="M2" s="189" t="inlineStr">
        <is>
          <t>Yes</t>
        </is>
      </c>
      <c r="N2" s="189" t="inlineStr">
        <is>
          <t>Yes</t>
        </is>
      </c>
      <c r="O2" s="183" t="n">
        <v>0</v>
      </c>
      <c r="P2" s="55" t="inlineStr">
        <is>
          <t>Assumption</t>
        </is>
      </c>
      <c r="Q2" s="183" t="n">
        <v>1</v>
      </c>
      <c r="R2" s="55" t="inlineStr">
        <is>
          <t>Assumption</t>
        </is>
      </c>
      <c r="S2" s="183" t="n">
        <v>1</v>
      </c>
      <c r="T2" s="55" t="inlineStr">
        <is>
          <t>Assumption</t>
        </is>
      </c>
      <c r="U2" s="190">
        <f>Tab_Def_Flows[[#This Row],[CC_DM'[%']]]*Tab_Def_Flows[[#This Row],[DM]]</f>
        <v/>
      </c>
      <c r="V2" s="273" t="inlineStr">
        <is>
          <t>Caclualtion</t>
        </is>
      </c>
    </row>
    <row r="3">
      <c r="A3" s="280" t="b">
        <v>1</v>
      </c>
      <c r="B3" s="43">
        <f>ROW()-1</f>
        <v/>
      </c>
      <c r="C3" s="272">
        <f>"F_"&amp;LEFT(I3,2)&amp;"_"&amp;LEFT(K3,2)</f>
        <v/>
      </c>
      <c r="D3" s="273" t="inlineStr">
        <is>
          <t>Environment_Input_E</t>
        </is>
      </c>
      <c r="E3" s="280" t="n"/>
      <c r="F3" s="280" t="n"/>
      <c r="G3" s="280" t="n"/>
      <c r="H3" s="189" t="inlineStr">
        <is>
          <t>Environment</t>
        </is>
      </c>
      <c r="I3" s="272">
        <f>_xlfn.XLOOKUP(H3,Tab_Def_Processes[Name(EN)],Tab_Def_Processes[Process_ID],,0,)</f>
        <v/>
      </c>
      <c r="J3" s="189" t="inlineStr">
        <is>
          <t>Cultivation</t>
        </is>
      </c>
      <c r="K3" s="17">
        <f>_xlfn.XLOOKUP(J3,Tab_Def_Processes[Name(EN)],Tab_Def_Processes[Process_ID],,0,)</f>
        <v/>
      </c>
      <c r="L3" s="189" t="inlineStr">
        <is>
          <t>Yes</t>
        </is>
      </c>
      <c r="M3" s="189" t="inlineStr">
        <is>
          <t>Yes</t>
        </is>
      </c>
      <c r="N3" s="189" t="inlineStr">
        <is>
          <t>Yes</t>
        </is>
      </c>
      <c r="O3" s="183" t="n">
        <v>0.2384196179434812</v>
      </c>
      <c r="P3" s="55" t="inlineStr">
        <is>
          <t>Assumption</t>
        </is>
      </c>
      <c r="Q3" s="183" t="n">
        <v>0.7615803820565188</v>
      </c>
      <c r="R3" s="55" t="inlineStr">
        <is>
          <t>Assumption</t>
        </is>
      </c>
      <c r="S3" s="183" t="n">
        <v>0</v>
      </c>
      <c r="T3" s="55" t="inlineStr">
        <is>
          <t>Assumption</t>
        </is>
      </c>
      <c r="U3" s="190">
        <f>Tab_Def_Flows[[#This Row],[CC_DM'[%']]]*Tab_Def_Flows[[#This Row],[DM]]</f>
        <v/>
      </c>
      <c r="V3" s="273" t="inlineStr">
        <is>
          <t>Caclualtion</t>
        </is>
      </c>
    </row>
    <row r="4">
      <c r="A4" s="280" t="b">
        <v>1</v>
      </c>
      <c r="B4" s="43">
        <f>ROW()-1</f>
        <v/>
      </c>
      <c r="C4" s="272">
        <f>"F_"&amp;LEFT(I4,2)&amp;"_"&amp;LEFT(K4,2)</f>
        <v/>
      </c>
      <c r="D4" s="273" t="inlineStr">
        <is>
          <t>Wheat Plant</t>
        </is>
      </c>
      <c r="E4" s="280" t="n"/>
      <c r="F4" s="280" t="n"/>
      <c r="G4" s="280" t="n"/>
      <c r="H4" s="189" t="inlineStr">
        <is>
          <t>Cultivation</t>
        </is>
      </c>
      <c r="I4" s="272">
        <f>_xlfn.XLOOKUP(H4,Tab_Def_Processes[Name(EN)],Tab_Def_Processes[Process_ID],,0,)</f>
        <v/>
      </c>
      <c r="J4" s="189" t="inlineStr">
        <is>
          <t>Harvest</t>
        </is>
      </c>
      <c r="K4" s="17">
        <f>_xlfn.XLOOKUP(J4,Tab_Def_Processes[Name(EN)],Tab_Def_Processes[Process_ID],,0,)</f>
        <v/>
      </c>
      <c r="L4" s="189" t="inlineStr">
        <is>
          <t>Yes</t>
        </is>
      </c>
      <c r="M4" s="189" t="inlineStr">
        <is>
          <t>Yes</t>
        </is>
      </c>
      <c r="N4" s="189" t="inlineStr">
        <is>
          <t>Yes</t>
        </is>
      </c>
      <c r="O4" s="183" t="n">
        <v>0.14</v>
      </c>
      <c r="P4" s="55" t="inlineStr">
        <is>
          <t>Assumption</t>
        </is>
      </c>
      <c r="Q4" s="183" t="n">
        <v>0.86</v>
      </c>
      <c r="R4" s="55" t="inlineStr">
        <is>
          <t>Assumption</t>
        </is>
      </c>
      <c r="S4" s="183" t="n">
        <v>0.48</v>
      </c>
      <c r="T4" s="55" t="inlineStr">
        <is>
          <t>Assumption</t>
        </is>
      </c>
      <c r="U4" s="190">
        <f>Tab_Def_Flows[[#This Row],[CC_DM'[%']]]*Tab_Def_Flows[[#This Row],[DM]]</f>
        <v/>
      </c>
      <c r="V4" s="273" t="inlineStr">
        <is>
          <t>Caclualtion</t>
        </is>
      </c>
      <c r="X4" s="203" t="n"/>
    </row>
    <row r="5">
      <c r="A5" s="280" t="b">
        <v>1</v>
      </c>
      <c r="B5" s="43">
        <f>ROW()-1</f>
        <v/>
      </c>
      <c r="C5" s="272">
        <f>"F_"&amp;LEFT(I5,2)&amp;"_"&amp;LEFT(K5,2)</f>
        <v/>
      </c>
      <c r="D5" s="273" t="inlineStr">
        <is>
          <t>Grain</t>
        </is>
      </c>
      <c r="E5" s="280" t="n"/>
      <c r="F5" s="280" t="n"/>
      <c r="G5" s="280" t="n"/>
      <c r="H5" s="189" t="inlineStr">
        <is>
          <t>Harvest</t>
        </is>
      </c>
      <c r="I5" s="272">
        <f>_xlfn.XLOOKUP(H5,Tab_Def_Processes[Name(EN)],Tab_Def_Processes[Process_ID],,0,)</f>
        <v/>
      </c>
      <c r="J5" s="189" t="inlineStr">
        <is>
          <t>Grain Processing &amp; Consumption</t>
        </is>
      </c>
      <c r="K5" s="17">
        <f>_xlfn.XLOOKUP(J5,Tab_Def_Processes[Name(EN)],Tab_Def_Processes[Process_ID],,0,)</f>
        <v/>
      </c>
      <c r="L5" s="189" t="inlineStr">
        <is>
          <t>Yes</t>
        </is>
      </c>
      <c r="M5" s="189" t="inlineStr">
        <is>
          <t>Yes</t>
        </is>
      </c>
      <c r="N5" s="189" t="inlineStr">
        <is>
          <t>Yes</t>
        </is>
      </c>
      <c r="O5" s="183" t="n">
        <v>0.14</v>
      </c>
      <c r="P5" s="55" t="inlineStr">
        <is>
          <t>Assumption</t>
        </is>
      </c>
      <c r="Q5" s="183" t="n">
        <v>0.86</v>
      </c>
      <c r="R5" s="55" t="inlineStr">
        <is>
          <t>Assumption</t>
        </is>
      </c>
      <c r="S5" s="183" t="n">
        <v>0.48</v>
      </c>
      <c r="T5" s="55" t="inlineStr">
        <is>
          <t>Assumption</t>
        </is>
      </c>
      <c r="U5" s="190">
        <f>Tab_Def_Flows[[#This Row],[CC_DM'[%']]]*Tab_Def_Flows[[#This Row],[DM]]</f>
        <v/>
      </c>
      <c r="V5" s="273" t="inlineStr">
        <is>
          <t>Caclualtion</t>
        </is>
      </c>
    </row>
    <row r="6">
      <c r="A6" s="280" t="b">
        <v>1</v>
      </c>
      <c r="B6" s="43">
        <f>ROW()-1</f>
        <v/>
      </c>
      <c r="C6" s="272">
        <f>"F_"&amp;LEFT(I6,2)&amp;"_"&amp;LEFT(K6,2)</f>
        <v/>
      </c>
      <c r="D6" s="273" t="inlineStr">
        <is>
          <t>Straw</t>
        </is>
      </c>
      <c r="E6" s="280" t="n"/>
      <c r="F6" s="280" t="n"/>
      <c r="G6" s="280" t="n"/>
      <c r="H6" s="189" t="inlineStr">
        <is>
          <t>Harvest</t>
        </is>
      </c>
      <c r="I6" s="272">
        <f>_xlfn.XLOOKUP(H6,Tab_Def_Processes[Name(EN)],Tab_Def_Processes[Process_ID],,0,)</f>
        <v/>
      </c>
      <c r="J6" s="189" t="inlineStr">
        <is>
          <t>Straw C&amp;D</t>
        </is>
      </c>
      <c r="K6" s="17">
        <f>_xlfn.XLOOKUP(J6,Tab_Def_Processes[Name(EN)],Tab_Def_Processes[Process_ID],,0,)</f>
        <v/>
      </c>
      <c r="L6" s="189" t="inlineStr">
        <is>
          <t>Yes</t>
        </is>
      </c>
      <c r="M6" s="189" t="inlineStr">
        <is>
          <t>Yes</t>
        </is>
      </c>
      <c r="N6" s="189" t="inlineStr">
        <is>
          <t>Yes</t>
        </is>
      </c>
      <c r="O6" s="183" t="n">
        <v>0.14</v>
      </c>
      <c r="P6" s="55" t="inlineStr">
        <is>
          <t>Assumption</t>
        </is>
      </c>
      <c r="Q6" s="183" t="n">
        <v>0.86</v>
      </c>
      <c r="R6" s="55" t="inlineStr">
        <is>
          <t>Assumption</t>
        </is>
      </c>
      <c r="S6" s="183" t="n">
        <v>0.48</v>
      </c>
      <c r="T6" s="55" t="inlineStr">
        <is>
          <t>Assumption</t>
        </is>
      </c>
      <c r="U6" s="190">
        <f>Tab_Def_Flows[[#This Row],[CC_DM'[%']]]*Tab_Def_Flows[[#This Row],[DM]]</f>
        <v/>
      </c>
      <c r="V6" s="273" t="inlineStr">
        <is>
          <t>Caclualtion</t>
        </is>
      </c>
    </row>
    <row r="7">
      <c r="A7" s="280" t="b">
        <v>1</v>
      </c>
      <c r="B7" s="43">
        <f>ROW()-1</f>
        <v/>
      </c>
      <c r="C7" s="272">
        <f>"F_"&amp;LEFT(I7,2)&amp;"_"&amp;LEFT(K7,2)</f>
        <v/>
      </c>
      <c r="D7" s="273" t="inlineStr">
        <is>
          <t>Food_Emissions_C</t>
        </is>
      </c>
      <c r="E7" s="280" t="n"/>
      <c r="F7" s="280" t="n"/>
      <c r="G7" s="280" t="n"/>
      <c r="H7" s="189" t="inlineStr">
        <is>
          <t>Grain Processing &amp; Consumption</t>
        </is>
      </c>
      <c r="I7" s="272">
        <f>_xlfn.XLOOKUP(H7,Tab_Def_Processes[Name(EN)],Tab_Def_Processes[Process_ID],,0,)</f>
        <v/>
      </c>
      <c r="J7" s="189" t="inlineStr">
        <is>
          <t>Atmosphere</t>
        </is>
      </c>
      <c r="K7" s="17">
        <f>_xlfn.XLOOKUP(J7,Tab_Def_Processes[Name(EN)],Tab_Def_Processes[Process_ID],,0,)</f>
        <v/>
      </c>
      <c r="L7" s="189" t="inlineStr">
        <is>
          <t>Yes</t>
        </is>
      </c>
      <c r="M7" s="189" t="inlineStr">
        <is>
          <t>Yes</t>
        </is>
      </c>
      <c r="N7" s="189" t="inlineStr">
        <is>
          <t>Yes</t>
        </is>
      </c>
      <c r="O7" s="183" t="n">
        <v>0</v>
      </c>
      <c r="P7" s="55" t="inlineStr">
        <is>
          <t>Assumption</t>
        </is>
      </c>
      <c r="Q7" s="183" t="n">
        <v>1</v>
      </c>
      <c r="R7" s="55" t="inlineStr">
        <is>
          <t>Assumption</t>
        </is>
      </c>
      <c r="S7" s="183" t="n">
        <v>1</v>
      </c>
      <c r="T7" s="55" t="inlineStr">
        <is>
          <t>Assumption</t>
        </is>
      </c>
      <c r="U7" s="190">
        <f>Tab_Def_Flows[[#This Row],[CC_DM'[%']]]*Tab_Def_Flows[[#This Row],[DM]]</f>
        <v/>
      </c>
      <c r="V7" s="273" t="inlineStr">
        <is>
          <t>Caclualtion</t>
        </is>
      </c>
    </row>
    <row r="8">
      <c r="A8" s="280" t="b">
        <v>1</v>
      </c>
      <c r="B8" s="43">
        <f>ROW()-1</f>
        <v/>
      </c>
      <c r="C8" s="272">
        <f>"F_"&amp;LEFT(I8,2)&amp;"_"&amp;LEFT(K8,2)</f>
        <v/>
      </c>
      <c r="D8" s="273" t="inlineStr">
        <is>
          <t>Food_Emissions_E</t>
        </is>
      </c>
      <c r="E8" s="280" t="n"/>
      <c r="F8" s="280" t="n"/>
      <c r="G8" s="280" t="n"/>
      <c r="H8" s="189" t="inlineStr">
        <is>
          <t>Grain Processing &amp; Consumption</t>
        </is>
      </c>
      <c r="I8" s="272">
        <f>_xlfn.XLOOKUP(H8,Tab_Def_Processes[Name(EN)],Tab_Def_Processes[Process_ID],,0,)</f>
        <v/>
      </c>
      <c r="J8" s="189" t="inlineStr">
        <is>
          <t>Environment</t>
        </is>
      </c>
      <c r="K8" s="17">
        <f>_xlfn.XLOOKUP(J8,Tab_Def_Processes[Name(EN)],Tab_Def_Processes[Process_ID],,0,)</f>
        <v/>
      </c>
      <c r="L8" s="189" t="inlineStr">
        <is>
          <t>Yes</t>
        </is>
      </c>
      <c r="M8" s="189" t="inlineStr">
        <is>
          <t>Yes</t>
        </is>
      </c>
      <c r="N8" s="189" t="inlineStr">
        <is>
          <t>Yes</t>
        </is>
      </c>
      <c r="O8" s="183" t="n">
        <v>0.2384196179434812</v>
      </c>
      <c r="P8" s="55" t="inlineStr">
        <is>
          <t>Assumption</t>
        </is>
      </c>
      <c r="Q8" s="183" t="n">
        <v>0.7615803820565188</v>
      </c>
      <c r="R8" s="55" t="inlineStr">
        <is>
          <t>Assumption</t>
        </is>
      </c>
      <c r="S8" s="183" t="n">
        <v>0</v>
      </c>
      <c r="T8" s="55" t="inlineStr">
        <is>
          <t>Assumption</t>
        </is>
      </c>
      <c r="U8" s="190">
        <f>Tab_Def_Flows[[#This Row],[CC_DM'[%']]]*Tab_Def_Flows[[#This Row],[DM]]</f>
        <v/>
      </c>
      <c r="V8" s="273" t="inlineStr">
        <is>
          <t>Caclualtion</t>
        </is>
      </c>
    </row>
    <row r="9">
      <c r="A9" s="280" t="b">
        <v>1</v>
      </c>
      <c r="B9" s="43">
        <f>ROW()-1</f>
        <v/>
      </c>
      <c r="C9" s="272">
        <f>"F_"&amp;LEFT(I9,2)&amp;"_"&amp;LEFT(K9,2)</f>
        <v/>
      </c>
      <c r="D9" s="273" t="inlineStr">
        <is>
          <t>Straw_incorperation</t>
        </is>
      </c>
      <c r="E9" s="280" t="n"/>
      <c r="F9" s="280" t="n"/>
      <c r="G9" s="280" t="n"/>
      <c r="H9" s="189" t="inlineStr">
        <is>
          <t>Straw C&amp;D</t>
        </is>
      </c>
      <c r="I9" s="272">
        <f>_xlfn.XLOOKUP(H9,Tab_Def_Processes[Name(EN)],Tab_Def_Processes[Process_ID],,0,)</f>
        <v/>
      </c>
      <c r="J9" s="189" t="inlineStr">
        <is>
          <t>Direct Incorporation</t>
        </is>
      </c>
      <c r="K9" s="17">
        <f>_xlfn.XLOOKUP(J9,Tab_Def_Processes[Name(EN)],Tab_Def_Processes[Process_ID],,0,)</f>
        <v/>
      </c>
      <c r="L9" s="189" t="inlineStr">
        <is>
          <t>Yes</t>
        </is>
      </c>
      <c r="M9" s="189" t="inlineStr">
        <is>
          <t>Yes</t>
        </is>
      </c>
      <c r="N9" s="189" t="inlineStr">
        <is>
          <t>Yes</t>
        </is>
      </c>
      <c r="O9" s="183" t="n">
        <v>0.14</v>
      </c>
      <c r="P9" s="55" t="inlineStr">
        <is>
          <t>Assumption</t>
        </is>
      </c>
      <c r="Q9" s="183" t="n">
        <v>0.86</v>
      </c>
      <c r="R9" s="55" t="inlineStr">
        <is>
          <t>Assumption</t>
        </is>
      </c>
      <c r="S9" s="183" t="n">
        <v>0.48</v>
      </c>
      <c r="T9" s="55" t="inlineStr">
        <is>
          <t>Assumption</t>
        </is>
      </c>
      <c r="U9" s="190">
        <f>Tab_Def_Flows[[#This Row],[CC_DM'[%']]]*Tab_Def_Flows[[#This Row],[DM]]</f>
        <v/>
      </c>
      <c r="V9" s="273" t="inlineStr">
        <is>
          <t>Caclualtion</t>
        </is>
      </c>
    </row>
    <row r="10">
      <c r="A10" s="280" t="b">
        <v>1</v>
      </c>
      <c r="B10" s="43">
        <f>ROW()-1</f>
        <v/>
      </c>
      <c r="C10" s="272">
        <f>"F_"&amp;LEFT(I10,2)&amp;"_"&amp;LEFT(K10,2)</f>
        <v/>
      </c>
      <c r="D10" s="273" t="inlineStr">
        <is>
          <t>Straw_lithosphere</t>
        </is>
      </c>
      <c r="E10" s="280" t="n"/>
      <c r="F10" s="280" t="n"/>
      <c r="G10" s="280" t="n"/>
      <c r="H10" s="189" t="inlineStr">
        <is>
          <t>Direct Incorporation</t>
        </is>
      </c>
      <c r="I10" s="272">
        <f>_xlfn.XLOOKUP(H10,Tab_Def_Processes[Name(EN)],Tab_Def_Processes[Process_ID],,0,)</f>
        <v/>
      </c>
      <c r="J10" s="189" t="inlineStr">
        <is>
          <t>Lithosphere (DI)</t>
        </is>
      </c>
      <c r="K10" s="17">
        <f>_xlfn.XLOOKUP(J10,Tab_Def_Processes[Name(EN)],Tab_Def_Processes[Process_ID],,0,)</f>
        <v/>
      </c>
      <c r="L10" s="189" t="inlineStr">
        <is>
          <t>Yes</t>
        </is>
      </c>
      <c r="M10" s="189" t="inlineStr">
        <is>
          <t>Yes</t>
        </is>
      </c>
      <c r="N10" s="189" t="inlineStr">
        <is>
          <t>Yes</t>
        </is>
      </c>
      <c r="O10" s="183" t="n">
        <v>0.14</v>
      </c>
      <c r="P10" s="55" t="inlineStr">
        <is>
          <t>Assumption</t>
        </is>
      </c>
      <c r="Q10" s="183" t="n">
        <v>0.86</v>
      </c>
      <c r="R10" s="55" t="inlineStr">
        <is>
          <t>Assumption</t>
        </is>
      </c>
      <c r="S10" s="183" t="n">
        <v>0.48</v>
      </c>
      <c r="T10" s="55" t="inlineStr">
        <is>
          <t>Assumption</t>
        </is>
      </c>
      <c r="U10" s="190">
        <f>Tab_Def_Flows[[#This Row],[CC_DM'[%']]]*Tab_Def_Flows[[#This Row],[DM]]</f>
        <v/>
      </c>
      <c r="V10" s="273" t="inlineStr">
        <is>
          <t>Caclualtion</t>
        </is>
      </c>
    </row>
    <row r="11">
      <c r="A11" s="280" t="b">
        <v>1</v>
      </c>
      <c r="B11" s="43">
        <f>ROW()-1</f>
        <v/>
      </c>
      <c r="C11" s="272">
        <f>"F_"&amp;LEFT(I11,2)&amp;"_"&amp;LEFT(K11,2)</f>
        <v/>
      </c>
      <c r="D11" s="273" t="inlineStr">
        <is>
          <t>Straw_animal_bedding</t>
        </is>
      </c>
      <c r="E11" s="280" t="n"/>
      <c r="F11" s="280" t="n"/>
      <c r="G11" s="280" t="n"/>
      <c r="H11" s="189" t="inlineStr">
        <is>
          <t>Straw C&amp;D</t>
        </is>
      </c>
      <c r="I11" s="272">
        <f>_xlfn.XLOOKUP(H11,Tab_Def_Processes[Name(EN)],Tab_Def_Processes[Process_ID],,0,)</f>
        <v/>
      </c>
      <c r="J11" s="189" t="inlineStr">
        <is>
          <t>Animal bedding</t>
        </is>
      </c>
      <c r="K11" s="17">
        <f>_xlfn.XLOOKUP(J11,Tab_Def_Processes[Name(EN)],Tab_Def_Processes[Process_ID],,0,)</f>
        <v/>
      </c>
      <c r="L11" s="189" t="inlineStr">
        <is>
          <t>Yes</t>
        </is>
      </c>
      <c r="M11" s="189" t="inlineStr">
        <is>
          <t>Yes</t>
        </is>
      </c>
      <c r="N11" s="189" t="inlineStr">
        <is>
          <t>Yes</t>
        </is>
      </c>
      <c r="O11" s="183" t="n">
        <v>0.14</v>
      </c>
      <c r="P11" s="55" t="inlineStr">
        <is>
          <t>Assumption</t>
        </is>
      </c>
      <c r="Q11" s="183" t="n">
        <v>0.86</v>
      </c>
      <c r="R11" s="55" t="inlineStr">
        <is>
          <t>Assumption</t>
        </is>
      </c>
      <c r="S11" s="183" t="n">
        <v>0.48</v>
      </c>
      <c r="T11" s="55" t="inlineStr">
        <is>
          <t>Assumption</t>
        </is>
      </c>
      <c r="U11" s="190">
        <f>Tab_Def_Flows[[#This Row],[CC_DM'[%']]]*Tab_Def_Flows[[#This Row],[DM]]</f>
        <v/>
      </c>
      <c r="V11" s="273" t="inlineStr">
        <is>
          <t>Caclualtion</t>
        </is>
      </c>
    </row>
    <row r="12">
      <c r="A12" s="280" t="b">
        <v>0</v>
      </c>
      <c r="B12" s="43">
        <f>ROW()-1</f>
        <v/>
      </c>
      <c r="C12" s="272">
        <f>"F_"&amp;LEFT(I12,2)&amp;"_"&amp;LEFT(K12,2)</f>
        <v/>
      </c>
      <c r="D12" s="273" t="inlineStr">
        <is>
          <t>Animal bedding_Emissions_C</t>
        </is>
      </c>
      <c r="E12" s="280" t="n"/>
      <c r="F12" s="280" t="n"/>
      <c r="G12" s="280" t="n"/>
      <c r="H12" s="189" t="inlineStr">
        <is>
          <t>Animal bedding</t>
        </is>
      </c>
      <c r="I12" s="272">
        <f>_xlfn.XLOOKUP(H12,Tab_Def_Processes[Name(EN)],Tab_Def_Processes[Process_ID],,0,)</f>
        <v/>
      </c>
      <c r="J12" s="189" t="inlineStr">
        <is>
          <t>Atmosphere</t>
        </is>
      </c>
      <c r="K12" s="17">
        <f>_xlfn.XLOOKUP(J12,Tab_Def_Processes[Name(EN)],Tab_Def_Processes[Process_ID],,0,)</f>
        <v/>
      </c>
      <c r="L12" s="189" t="inlineStr">
        <is>
          <t>Yes</t>
        </is>
      </c>
      <c r="M12" s="189" t="inlineStr">
        <is>
          <t>Yes</t>
        </is>
      </c>
      <c r="N12" s="189" t="inlineStr">
        <is>
          <t>Yes</t>
        </is>
      </c>
      <c r="O12" s="183" t="n">
        <v>0</v>
      </c>
      <c r="P12" s="55" t="inlineStr">
        <is>
          <t>Assumption</t>
        </is>
      </c>
      <c r="Q12" s="183" t="n">
        <v>1</v>
      </c>
      <c r="R12" s="55" t="inlineStr">
        <is>
          <t>Assumption</t>
        </is>
      </c>
      <c r="S12" s="183" t="n">
        <v>1</v>
      </c>
      <c r="T12" s="55" t="inlineStr">
        <is>
          <t>Assumption</t>
        </is>
      </c>
      <c r="U12" s="190">
        <f>Tab_Def_Flows[[#This Row],[CC_DM'[%']]]*Tab_Def_Flows[[#This Row],[DM]]</f>
        <v/>
      </c>
      <c r="V12" s="273" t="inlineStr">
        <is>
          <t>Caclualtion</t>
        </is>
      </c>
    </row>
    <row r="13">
      <c r="A13" s="280" t="b">
        <v>0</v>
      </c>
      <c r="B13" s="43">
        <f>ROW()-1</f>
        <v/>
      </c>
      <c r="C13" s="272">
        <f>"F_"&amp;LEFT(I13,2)&amp;"_"&amp;LEFT(K13,2)</f>
        <v/>
      </c>
      <c r="D13" s="273" t="inlineStr">
        <is>
          <t>Animal bedding_Emissions_E</t>
        </is>
      </c>
      <c r="E13" s="280" t="n"/>
      <c r="F13" s="280" t="n"/>
      <c r="G13" s="280" t="n"/>
      <c r="H13" s="189" t="inlineStr">
        <is>
          <t>Animal bedding</t>
        </is>
      </c>
      <c r="I13" s="272">
        <f>_xlfn.XLOOKUP(H13,Tab_Def_Processes[Name(EN)],Tab_Def_Processes[Process_ID],,0,)</f>
        <v/>
      </c>
      <c r="J13" s="189" t="inlineStr">
        <is>
          <t>Environment</t>
        </is>
      </c>
      <c r="K13" s="17">
        <f>_xlfn.XLOOKUP(J13,Tab_Def_Processes[Name(EN)],Tab_Def_Processes[Process_ID],,0,)</f>
        <v/>
      </c>
      <c r="L13" s="189" t="inlineStr">
        <is>
          <t>Yes</t>
        </is>
      </c>
      <c r="M13" s="189" t="inlineStr">
        <is>
          <t>Yes</t>
        </is>
      </c>
      <c r="N13" s="189" t="inlineStr">
        <is>
          <t>Yes</t>
        </is>
      </c>
      <c r="O13" s="183" t="n">
        <v>0.2384196179434812</v>
      </c>
      <c r="P13" s="55" t="inlineStr">
        <is>
          <t>Assumption</t>
        </is>
      </c>
      <c r="Q13" s="183" t="n">
        <v>0.7615803820565188</v>
      </c>
      <c r="R13" s="55" t="inlineStr">
        <is>
          <t>Assumption</t>
        </is>
      </c>
      <c r="S13" s="183" t="n">
        <v>0</v>
      </c>
      <c r="T13" s="55" t="inlineStr">
        <is>
          <t>Assumption</t>
        </is>
      </c>
      <c r="U13" s="190">
        <f>Tab_Def_Flows[[#This Row],[CC_DM'[%']]]*Tab_Def_Flows[[#This Row],[DM]]</f>
        <v/>
      </c>
      <c r="V13" s="273" t="inlineStr">
        <is>
          <t>Caclualtion</t>
        </is>
      </c>
    </row>
    <row r="14">
      <c r="A14" s="280" t="b">
        <v>0</v>
      </c>
      <c r="B14" s="43">
        <f>ROW()-1</f>
        <v/>
      </c>
      <c r="C14" s="272">
        <f>"F_"&amp;LEFT(I14,2)&amp;"_"&amp;LEFT(K14,2)</f>
        <v/>
      </c>
      <c r="D14" s="273" t="inlineStr">
        <is>
          <t>Lithosphere(DI)_Emissions_C</t>
        </is>
      </c>
      <c r="E14" s="280" t="n"/>
      <c r="F14" s="280" t="n"/>
      <c r="G14" s="280" t="n"/>
      <c r="H14" s="189" t="inlineStr">
        <is>
          <t>Lithosphere (DI)</t>
        </is>
      </c>
      <c r="I14" s="272">
        <f>_xlfn.XLOOKUP(H14,Tab_Def_Processes[Name(EN)],Tab_Def_Processes[Process_ID],,0,)</f>
        <v/>
      </c>
      <c r="J14" s="189" t="inlineStr">
        <is>
          <t>Atmosphere</t>
        </is>
      </c>
      <c r="K14" s="17">
        <f>_xlfn.XLOOKUP(J14,Tab_Def_Processes[Name(EN)],Tab_Def_Processes[Process_ID],,0,)</f>
        <v/>
      </c>
      <c r="L14" s="189" t="inlineStr">
        <is>
          <t>Yes</t>
        </is>
      </c>
      <c r="M14" s="189" t="inlineStr">
        <is>
          <t>Yes</t>
        </is>
      </c>
      <c r="N14" s="189" t="inlineStr">
        <is>
          <t>Yes</t>
        </is>
      </c>
      <c r="O14" s="183" t="n">
        <v>0</v>
      </c>
      <c r="P14" s="55" t="inlineStr">
        <is>
          <t>Assumption</t>
        </is>
      </c>
      <c r="Q14" s="183" t="n">
        <v>1</v>
      </c>
      <c r="R14" s="55" t="inlineStr">
        <is>
          <t>Assumption</t>
        </is>
      </c>
      <c r="S14" s="183" t="n">
        <v>1</v>
      </c>
      <c r="T14" s="55" t="inlineStr">
        <is>
          <t>Assumption</t>
        </is>
      </c>
      <c r="U14" s="190">
        <f>Tab_Def_Flows[[#This Row],[CC_DM'[%']]]*Tab_Def_Flows[[#This Row],[DM]]</f>
        <v/>
      </c>
      <c r="V14" s="273" t="inlineStr">
        <is>
          <t>Caclualtion</t>
        </is>
      </c>
    </row>
    <row r="15">
      <c r="A15" s="280" t="b">
        <v>0</v>
      </c>
      <c r="B15" s="43">
        <f>ROW()-1</f>
        <v/>
      </c>
      <c r="C15" s="272">
        <f>"F_"&amp;LEFT(I15,2)&amp;"_"&amp;LEFT(K15,2)</f>
        <v/>
      </c>
      <c r="D15" s="273" t="inlineStr">
        <is>
          <t>Lithosphere(DI)_Emissions_E</t>
        </is>
      </c>
      <c r="E15" s="280" t="n"/>
      <c r="F15" s="280" t="n"/>
      <c r="G15" s="280" t="n"/>
      <c r="H15" s="189" t="inlineStr">
        <is>
          <t>Lithosphere (DI)</t>
        </is>
      </c>
      <c r="I15" s="272">
        <f>_xlfn.XLOOKUP(H15,Tab_Def_Processes[Name(EN)],Tab_Def_Processes[Process_ID],,0,)</f>
        <v/>
      </c>
      <c r="J15" s="189" t="inlineStr">
        <is>
          <t>Environment</t>
        </is>
      </c>
      <c r="K15" s="17">
        <f>_xlfn.XLOOKUP(J15,Tab_Def_Processes[Name(EN)],Tab_Def_Processes[Process_ID],,0,)</f>
        <v/>
      </c>
      <c r="L15" s="189" t="inlineStr">
        <is>
          <t>Yes</t>
        </is>
      </c>
      <c r="M15" s="189" t="inlineStr">
        <is>
          <t>Yes</t>
        </is>
      </c>
      <c r="N15" s="189" t="inlineStr">
        <is>
          <t>Yes</t>
        </is>
      </c>
      <c r="O15" s="183" t="n">
        <v>0.2384196179434812</v>
      </c>
      <c r="P15" s="55" t="inlineStr">
        <is>
          <t>Assumption</t>
        </is>
      </c>
      <c r="Q15" s="183" t="n">
        <v>0.7615803820565188</v>
      </c>
      <c r="R15" s="55" t="inlineStr">
        <is>
          <t>Assumption</t>
        </is>
      </c>
      <c r="S15" s="183" t="n">
        <v>0</v>
      </c>
      <c r="T15" s="55" t="inlineStr">
        <is>
          <t>Assumption</t>
        </is>
      </c>
      <c r="U15" s="190">
        <f>Tab_Def_Flows[[#This Row],[CC_DM'[%']]]*Tab_Def_Flows[[#This Row],[DM]]</f>
        <v/>
      </c>
      <c r="V15" s="273" t="inlineStr">
        <is>
          <t>Caclualtion</t>
        </is>
      </c>
    </row>
    <row r="16">
      <c r="A16" s="280" t="b">
        <v>0</v>
      </c>
      <c r="B16" s="43">
        <f>ROW()-1</f>
        <v/>
      </c>
      <c r="C16" s="272">
        <f>"F_"&amp;LEFT(I16,2)&amp;"_"&amp;LEFT(K16,2)</f>
        <v/>
      </c>
      <c r="D16" s="273" t="inlineStr">
        <is>
          <t>Straw_Compost</t>
        </is>
      </c>
      <c r="E16" s="280" t="n"/>
      <c r="F16" s="280" t="n"/>
      <c r="G16" s="280" t="n"/>
      <c r="H16" s="189" t="inlineStr">
        <is>
          <t>Straw C&amp;D</t>
        </is>
      </c>
      <c r="I16" s="272">
        <f>_xlfn.XLOOKUP(H16,Tab_Def_Processes[Name(EN)],Tab_Def_Processes[Process_ID],,0,)</f>
        <v/>
      </c>
      <c r="J16" s="189" t="inlineStr">
        <is>
          <t>Compostation &amp; Incorporation</t>
        </is>
      </c>
      <c r="K16" s="17">
        <f>_xlfn.XLOOKUP(J16,Tab_Def_Processes[Name(EN)],Tab_Def_Processes[Process_ID],,0,)</f>
        <v/>
      </c>
      <c r="L16" s="189" t="inlineStr">
        <is>
          <t>Yes</t>
        </is>
      </c>
      <c r="M16" s="189" t="inlineStr">
        <is>
          <t>Yes</t>
        </is>
      </c>
      <c r="N16" s="189" t="inlineStr">
        <is>
          <t>Yes</t>
        </is>
      </c>
      <c r="O16" s="183" t="n">
        <v>0.14</v>
      </c>
      <c r="P16" s="55" t="inlineStr">
        <is>
          <t>Assumption</t>
        </is>
      </c>
      <c r="Q16" s="183" t="n">
        <v>0.86</v>
      </c>
      <c r="R16" s="55" t="inlineStr">
        <is>
          <t>Assumption</t>
        </is>
      </c>
      <c r="S16" s="183" t="n">
        <v>0.48</v>
      </c>
      <c r="T16" s="55" t="inlineStr">
        <is>
          <t>Assumption</t>
        </is>
      </c>
      <c r="U16" s="190">
        <f>Tab_Def_Flows[[#This Row],[CC_DM'[%']]]*Tab_Def_Flows[[#This Row],[DM]]</f>
        <v/>
      </c>
      <c r="V16" s="273" t="inlineStr">
        <is>
          <t>Caclualtion</t>
        </is>
      </c>
    </row>
    <row r="17">
      <c r="A17" s="280" t="b">
        <v>0</v>
      </c>
      <c r="B17" s="43">
        <f>ROW()-1</f>
        <v/>
      </c>
      <c r="C17" s="272">
        <f>"F_"&amp;LEFT(I17,2)&amp;"_"&amp;LEFT(K17,2)</f>
        <v/>
      </c>
      <c r="D17" s="273" t="inlineStr">
        <is>
          <t>Compost_Emissions_C</t>
        </is>
      </c>
      <c r="E17" s="280" t="n"/>
      <c r="F17" s="280" t="n"/>
      <c r="G17" s="280" t="n"/>
      <c r="H17" s="189" t="inlineStr">
        <is>
          <t>Compostation &amp; Incorporation</t>
        </is>
      </c>
      <c r="I17" s="272">
        <f>_xlfn.XLOOKUP(H17,Tab_Def_Processes[Name(EN)],Tab_Def_Processes[Process_ID],,0,)</f>
        <v/>
      </c>
      <c r="J17" s="189" t="inlineStr">
        <is>
          <t>Atmosphere</t>
        </is>
      </c>
      <c r="K17" s="17">
        <f>_xlfn.XLOOKUP(J17,Tab_Def_Processes[Name(EN)],Tab_Def_Processes[Process_ID],,0,)</f>
        <v/>
      </c>
      <c r="L17" s="189" t="inlineStr">
        <is>
          <t>Yes</t>
        </is>
      </c>
      <c r="M17" s="189" t="inlineStr">
        <is>
          <t>Yes</t>
        </is>
      </c>
      <c r="N17" s="189" t="inlineStr">
        <is>
          <t>Yes</t>
        </is>
      </c>
      <c r="O17" s="183" t="n">
        <v>0</v>
      </c>
      <c r="P17" s="55" t="inlineStr">
        <is>
          <t>Assumption</t>
        </is>
      </c>
      <c r="Q17" s="183" t="n">
        <v>1</v>
      </c>
      <c r="R17" s="55" t="inlineStr">
        <is>
          <t>Assumption</t>
        </is>
      </c>
      <c r="S17" s="183" t="n">
        <v>1</v>
      </c>
      <c r="T17" s="55" t="inlineStr">
        <is>
          <t>Assumption</t>
        </is>
      </c>
      <c r="U17" s="190">
        <f>Tab_Def_Flows[[#This Row],[CC_DM'[%']]]*Tab_Def_Flows[[#This Row],[DM]]</f>
        <v/>
      </c>
      <c r="V17" s="273" t="inlineStr">
        <is>
          <t>Caclualtion</t>
        </is>
      </c>
    </row>
    <row r="18">
      <c r="A18" s="280" t="b">
        <v>0</v>
      </c>
      <c r="B18" s="43">
        <f>ROW()-1</f>
        <v/>
      </c>
      <c r="C18" s="272">
        <f>"F_"&amp;LEFT(I18,2)&amp;"_"&amp;LEFT(K18,2)</f>
        <v/>
      </c>
      <c r="D18" s="273" t="inlineStr">
        <is>
          <t>Compost_Emissions_E</t>
        </is>
      </c>
      <c r="E18" s="280" t="n"/>
      <c r="F18" s="280" t="n"/>
      <c r="G18" s="280" t="n"/>
      <c r="H18" s="189" t="inlineStr">
        <is>
          <t>Compostation &amp; Incorporation</t>
        </is>
      </c>
      <c r="I18" s="272">
        <f>_xlfn.XLOOKUP(H18,Tab_Def_Processes[Name(EN)],Tab_Def_Processes[Process_ID],,0,)</f>
        <v/>
      </c>
      <c r="J18" s="189" t="inlineStr">
        <is>
          <t>Environment</t>
        </is>
      </c>
      <c r="K18" s="17">
        <f>_xlfn.XLOOKUP(J18,Tab_Def_Processes[Name(EN)],Tab_Def_Processes[Process_ID],,0,)</f>
        <v/>
      </c>
      <c r="L18" s="189" t="inlineStr">
        <is>
          <t>Yes</t>
        </is>
      </c>
      <c r="M18" s="189" t="inlineStr">
        <is>
          <t>Yes</t>
        </is>
      </c>
      <c r="N18" s="189" t="inlineStr">
        <is>
          <t>Yes</t>
        </is>
      </c>
      <c r="O18" s="183" t="n">
        <v>0.2384196179434812</v>
      </c>
      <c r="P18" s="55" t="inlineStr">
        <is>
          <t>Assumption</t>
        </is>
      </c>
      <c r="Q18" s="183" t="n">
        <v>0.7615803820565188</v>
      </c>
      <c r="R18" s="55" t="inlineStr">
        <is>
          <t>Assumption</t>
        </is>
      </c>
      <c r="S18" s="183" t="n">
        <v>0</v>
      </c>
      <c r="T18" s="55" t="inlineStr">
        <is>
          <t>Assumption</t>
        </is>
      </c>
      <c r="U18" s="190">
        <f>Tab_Def_Flows[[#This Row],[CC_DM'[%']]]*Tab_Def_Flows[[#This Row],[DM]]</f>
        <v/>
      </c>
      <c r="V18" s="273" t="inlineStr">
        <is>
          <t>Caclualtion</t>
        </is>
      </c>
    </row>
    <row r="19">
      <c r="A19" s="280" t="b">
        <v>0</v>
      </c>
      <c r="B19" s="43">
        <f>ROW()-1</f>
        <v/>
      </c>
      <c r="C19" s="272">
        <f>"F_"&amp;LEFT(I19,2)&amp;"_"&amp;LEFT(K19,2)</f>
        <v/>
      </c>
      <c r="D19" s="273" t="inlineStr">
        <is>
          <t>Lithosphere(CI)_Emissions_C</t>
        </is>
      </c>
      <c r="E19" s="280" t="n"/>
      <c r="F19" s="280" t="n"/>
      <c r="G19" s="280" t="n"/>
      <c r="H19" s="189" t="inlineStr">
        <is>
          <t>Lithosphere (C&amp;I)</t>
        </is>
      </c>
      <c r="I19" s="272">
        <f>_xlfn.XLOOKUP(H19,Tab_Def_Processes[Name(EN)],Tab_Def_Processes[Process_ID],,0,)</f>
        <v/>
      </c>
      <c r="J19" s="189" t="inlineStr">
        <is>
          <t>Atmosphere</t>
        </is>
      </c>
      <c r="K19" s="17">
        <f>_xlfn.XLOOKUP(J19,Tab_Def_Processes[Name(EN)],Tab_Def_Processes[Process_ID],,0,)</f>
        <v/>
      </c>
      <c r="L19" s="189" t="inlineStr">
        <is>
          <t>Yes</t>
        </is>
      </c>
      <c r="M19" s="189" t="inlineStr">
        <is>
          <t>Yes</t>
        </is>
      </c>
      <c r="N19" s="189" t="inlineStr">
        <is>
          <t>Yes</t>
        </is>
      </c>
      <c r="O19" s="183" t="n">
        <v>0</v>
      </c>
      <c r="P19" s="55" t="inlineStr">
        <is>
          <t>Assumption</t>
        </is>
      </c>
      <c r="Q19" s="183" t="n">
        <v>1</v>
      </c>
      <c r="R19" s="55" t="inlineStr">
        <is>
          <t>Assumption</t>
        </is>
      </c>
      <c r="S19" s="183" t="n">
        <v>1</v>
      </c>
      <c r="T19" s="55" t="inlineStr">
        <is>
          <t>Assumption</t>
        </is>
      </c>
      <c r="U19" s="190">
        <f>Tab_Def_Flows[[#This Row],[CC_DM'[%']]]*Tab_Def_Flows[[#This Row],[DM]]</f>
        <v/>
      </c>
      <c r="V19" s="273" t="inlineStr">
        <is>
          <t>Caclualtion</t>
        </is>
      </c>
    </row>
    <row r="20">
      <c r="A20" s="280" t="b">
        <v>0</v>
      </c>
      <c r="B20" s="43">
        <f>ROW()-1</f>
        <v/>
      </c>
      <c r="C20" s="272">
        <f>"F_"&amp;LEFT(I20,2)&amp;"_"&amp;LEFT(K20,2)</f>
        <v/>
      </c>
      <c r="D20" s="273" t="inlineStr">
        <is>
          <t>Lithosphere(CI)_Emissions_E</t>
        </is>
      </c>
      <c r="E20" s="280" t="n"/>
      <c r="F20" s="280" t="n"/>
      <c r="G20" s="280" t="n"/>
      <c r="H20" s="189" t="inlineStr">
        <is>
          <t>Lithosphere (C&amp;I)</t>
        </is>
      </c>
      <c r="I20" s="272">
        <f>_xlfn.XLOOKUP(H20,Tab_Def_Processes[Name(EN)],Tab_Def_Processes[Process_ID],,0,)</f>
        <v/>
      </c>
      <c r="J20" s="189" t="inlineStr">
        <is>
          <t>Environment</t>
        </is>
      </c>
      <c r="K20" s="17">
        <f>_xlfn.XLOOKUP(J20,Tab_Def_Processes[Name(EN)],Tab_Def_Processes[Process_ID],,0,)</f>
        <v/>
      </c>
      <c r="L20" s="189" t="inlineStr">
        <is>
          <t>Yes</t>
        </is>
      </c>
      <c r="M20" s="189" t="inlineStr">
        <is>
          <t>Yes</t>
        </is>
      </c>
      <c r="N20" s="189" t="inlineStr">
        <is>
          <t>Yes</t>
        </is>
      </c>
      <c r="O20" s="183" t="n">
        <v>0.2384196179434812</v>
      </c>
      <c r="P20" s="55" t="inlineStr">
        <is>
          <t>Assumption</t>
        </is>
      </c>
      <c r="Q20" s="183" t="n">
        <v>0.7615803820565188</v>
      </c>
      <c r="R20" s="55" t="inlineStr">
        <is>
          <t>Assumption</t>
        </is>
      </c>
      <c r="S20" s="183" t="n">
        <v>0</v>
      </c>
      <c r="T20" s="55" t="inlineStr">
        <is>
          <t>Assumption</t>
        </is>
      </c>
      <c r="U20" s="190">
        <f>Tab_Def_Flows[[#This Row],[CC_DM'[%']]]*Tab_Def_Flows[[#This Row],[DM]]</f>
        <v/>
      </c>
      <c r="V20" s="273" t="inlineStr">
        <is>
          <t>Caclualtion</t>
        </is>
      </c>
    </row>
    <row r="21">
      <c r="A21" s="280" t="b">
        <v>0</v>
      </c>
      <c r="B21" s="43">
        <f>ROW()-1</f>
        <v/>
      </c>
      <c r="C21" s="272">
        <f>"F_"&amp;LEFT(I21,2)&amp;"_"&amp;LEFT(K21,2)</f>
        <v/>
      </c>
      <c r="D21" s="273" t="inlineStr">
        <is>
          <t>Compost_lithosphere</t>
        </is>
      </c>
      <c r="E21" s="280" t="n"/>
      <c r="F21" s="280" t="n"/>
      <c r="G21" s="280" t="n"/>
      <c r="H21" s="189" t="inlineStr">
        <is>
          <t>Compostation &amp; Incorporation</t>
        </is>
      </c>
      <c r="I21" s="272">
        <f>_xlfn.XLOOKUP(H21,Tab_Def_Processes[Name(EN)],Tab_Def_Processes[Process_ID],,0,)</f>
        <v/>
      </c>
      <c r="J21" s="189" t="inlineStr">
        <is>
          <t>Lithosphere (C&amp;I)</t>
        </is>
      </c>
      <c r="K21" s="17">
        <f>_xlfn.XLOOKUP(J21,Tab_Def_Processes[Name(EN)],Tab_Def_Processes[Process_ID],,0,)</f>
        <v/>
      </c>
      <c r="L21" s="189" t="inlineStr">
        <is>
          <t>Yes</t>
        </is>
      </c>
      <c r="M21" s="189" t="inlineStr">
        <is>
          <t>Yes</t>
        </is>
      </c>
      <c r="N21" s="189" t="inlineStr">
        <is>
          <t>Yes</t>
        </is>
      </c>
      <c r="O21" s="183" t="n">
        <v>0.14</v>
      </c>
      <c r="P21" s="55" t="inlineStr">
        <is>
          <t>Assumption</t>
        </is>
      </c>
      <c r="Q21" s="183" t="n">
        <v>0.86</v>
      </c>
      <c r="R21" s="55" t="inlineStr">
        <is>
          <t>Assumption</t>
        </is>
      </c>
      <c r="S21" s="183" t="n">
        <v>0.48</v>
      </c>
      <c r="T21" s="55" t="inlineStr">
        <is>
          <t>Assumption</t>
        </is>
      </c>
      <c r="U21" s="190">
        <f>Tab_Def_Flows[[#This Row],[CC_DM'[%']]]*Tab_Def_Flows[[#This Row],[DM]]</f>
        <v/>
      </c>
      <c r="V21" s="273" t="inlineStr">
        <is>
          <t>Caclualtion</t>
        </is>
      </c>
    </row>
    <row r="22">
      <c r="A22" s="280" t="b">
        <v>0</v>
      </c>
      <c r="B22" s="43">
        <f>ROW()-1</f>
        <v/>
      </c>
      <c r="C22" s="272">
        <f>"F_"&amp;LEFT(I22,2)&amp;"_"&amp;LEFT(K22,2)</f>
        <v/>
      </c>
      <c r="D22" s="273" t="n"/>
      <c r="E22" s="280" t="n"/>
      <c r="F22" s="280" t="n"/>
      <c r="G22" s="280" t="n"/>
      <c r="H22" s="189" t="n"/>
      <c r="I22" s="272">
        <f>_xlfn.XLOOKUP(H22,Tab_Def_Processes[Name(EN)],Tab_Def_Processes[Process_ID],,0,)</f>
        <v/>
      </c>
      <c r="J22" s="189" t="n"/>
      <c r="K22" s="17">
        <f>_xlfn.XLOOKUP(J22,Tab_Def_Processes[Name(EN)],Tab_Def_Processes[Process_ID],,0,)</f>
        <v/>
      </c>
      <c r="L22" s="189" t="n"/>
      <c r="M22" s="189" t="n"/>
      <c r="N22" s="189" t="n"/>
      <c r="O22" s="183" t="n"/>
      <c r="P22" s="55" t="n"/>
      <c r="R22" s="55" t="n"/>
      <c r="S22" s="183" t="n"/>
      <c r="T22" s="55" t="n"/>
      <c r="U22" s="190">
        <f>Tab_Def_Flows[[#This Row],[CC_DM'[%']]]*Tab_Def_Flows[[#This Row],[DM]]</f>
        <v/>
      </c>
      <c r="V22" s="273" t="inlineStr">
        <is>
          <t>Caclualtion</t>
        </is>
      </c>
    </row>
    <row r="23">
      <c r="A23" s="280" t="b">
        <v>0</v>
      </c>
      <c r="B23" s="43">
        <f>ROW()-1</f>
        <v/>
      </c>
      <c r="C23" s="272">
        <f>"F_"&amp;LEFT(I23,2)&amp;"_"&amp;LEFT(K23,2)</f>
        <v/>
      </c>
      <c r="D23" s="273" t="n"/>
      <c r="E23" s="280" t="n"/>
      <c r="F23" s="280" t="n"/>
      <c r="G23" s="280" t="n"/>
      <c r="H23" s="189" t="n"/>
      <c r="I23" s="272">
        <f>_xlfn.XLOOKUP(H23,Tab_Def_Processes[Name(EN)],Tab_Def_Processes[Process_ID],,0,)</f>
        <v/>
      </c>
      <c r="J23" s="189" t="n"/>
      <c r="K23" s="17">
        <f>_xlfn.XLOOKUP(J23,Tab_Def_Processes[Name(EN)],Tab_Def_Processes[Process_ID],,0,)</f>
        <v/>
      </c>
      <c r="L23" s="189" t="n"/>
      <c r="M23" s="189" t="n"/>
      <c r="N23" s="189" t="n"/>
      <c r="O23" s="183" t="n"/>
      <c r="P23" s="55" t="n"/>
      <c r="R23" s="55" t="n"/>
      <c r="S23" s="183" t="n"/>
      <c r="T23" s="55" t="n"/>
      <c r="U23" s="190">
        <f>Tab_Def_Flows[[#This Row],[CC_DM'[%']]]*Tab_Def_Flows[[#This Row],[DM]]</f>
        <v/>
      </c>
      <c r="V23" s="273" t="inlineStr">
        <is>
          <t>Caclualtion</t>
        </is>
      </c>
    </row>
    <row r="24">
      <c r="A24" s="280" t="b">
        <v>0</v>
      </c>
      <c r="B24" s="43">
        <f>ROW()-1</f>
        <v/>
      </c>
      <c r="C24" s="272">
        <f>"F_"&amp;LEFT(I24,2)&amp;"_"&amp;LEFT(K24,2)</f>
        <v/>
      </c>
      <c r="D24" s="273" t="n"/>
      <c r="E24" s="280" t="n"/>
      <c r="F24" s="280" t="n"/>
      <c r="G24" s="280" t="n"/>
      <c r="H24" s="189" t="n"/>
      <c r="I24" s="272">
        <f>_xlfn.XLOOKUP(H24,Tab_Def_Processes[Name(EN)],Tab_Def_Processes[Process_ID],,0,)</f>
        <v/>
      </c>
      <c r="J24" s="189" t="n"/>
      <c r="K24" s="17">
        <f>_xlfn.XLOOKUP(J24,Tab_Def_Processes[Name(EN)],Tab_Def_Processes[Process_ID],,0,)</f>
        <v/>
      </c>
      <c r="L24" s="189" t="n"/>
      <c r="M24" s="189" t="n"/>
      <c r="N24" s="189" t="n"/>
      <c r="O24" s="183" t="n"/>
      <c r="P24" s="55" t="n"/>
      <c r="R24" s="55" t="n"/>
      <c r="S24" s="183" t="n"/>
      <c r="T24" s="55" t="n"/>
      <c r="U24" s="190">
        <f>Tab_Def_Flows[[#This Row],[CC_DM'[%']]]*Tab_Def_Flows[[#This Row],[DM]]</f>
        <v/>
      </c>
      <c r="V24" s="273" t="inlineStr">
        <is>
          <t>Caclualtion</t>
        </is>
      </c>
    </row>
    <row r="25">
      <c r="A25" s="280" t="b">
        <v>0</v>
      </c>
      <c r="B25" s="43">
        <f>ROW()-1</f>
        <v/>
      </c>
      <c r="C25" s="272">
        <f>"F_"&amp;LEFT(I25,2)&amp;"_"&amp;LEFT(K25,2)</f>
        <v/>
      </c>
      <c r="D25" s="273" t="n"/>
      <c r="E25" s="280" t="n"/>
      <c r="F25" s="280" t="n"/>
      <c r="G25" s="280" t="n"/>
      <c r="H25" s="189" t="n"/>
      <c r="I25" s="272">
        <f>_xlfn.XLOOKUP(H25,Tab_Def_Processes[Name(EN)],Tab_Def_Processes[Process_ID],,0,)</f>
        <v/>
      </c>
      <c r="J25" s="189" t="n"/>
      <c r="K25" s="17">
        <f>_xlfn.XLOOKUP(J25,Tab_Def_Processes[Name(EN)],Tab_Def_Processes[Process_ID],,0,)</f>
        <v/>
      </c>
      <c r="L25" s="189" t="n"/>
      <c r="M25" s="189" t="n"/>
      <c r="N25" s="189" t="n"/>
      <c r="O25" s="183" t="n"/>
      <c r="P25" s="55" t="n"/>
      <c r="R25" s="55" t="n"/>
      <c r="S25" s="183" t="n"/>
      <c r="T25" s="55" t="n"/>
      <c r="U25" s="190">
        <f>Tab_Def_Flows[[#This Row],[CC_DM'[%']]]*Tab_Def_Flows[[#This Row],[DM]]</f>
        <v/>
      </c>
      <c r="V25" s="273" t="inlineStr">
        <is>
          <t>Caclualtion</t>
        </is>
      </c>
    </row>
    <row r="26">
      <c r="A26" s="280" t="b">
        <v>0</v>
      </c>
      <c r="B26" s="43">
        <f>ROW()-1</f>
        <v/>
      </c>
      <c r="C26" s="272">
        <f>"F_"&amp;LEFT(I26,2)&amp;"_"&amp;LEFT(K26,2)</f>
        <v/>
      </c>
      <c r="D26" s="273" t="n"/>
      <c r="E26" s="280" t="n"/>
      <c r="F26" s="280" t="n"/>
      <c r="G26" s="280" t="n"/>
      <c r="H26" s="189" t="n"/>
      <c r="I26" s="272">
        <f>_xlfn.XLOOKUP(H26,Tab_Def_Processes[Name(EN)],Tab_Def_Processes[Process_ID],,0,)</f>
        <v/>
      </c>
      <c r="J26" s="189" t="n"/>
      <c r="K26" s="17">
        <f>_xlfn.XLOOKUP(J26,Tab_Def_Processes[Name(EN)],Tab_Def_Processes[Process_ID],,0,)</f>
        <v/>
      </c>
      <c r="L26" s="189" t="n"/>
      <c r="M26" s="189" t="n"/>
      <c r="N26" s="189" t="n"/>
      <c r="O26" s="183" t="n"/>
      <c r="P26" s="55" t="n"/>
      <c r="R26" s="55" t="n"/>
      <c r="S26" s="183" t="n"/>
      <c r="T26" s="55" t="n"/>
      <c r="U26" s="190">
        <f>Tab_Def_Flows[[#This Row],[CC_DM'[%']]]*Tab_Def_Flows[[#This Row],[DM]]</f>
        <v/>
      </c>
      <c r="V26" s="273" t="inlineStr">
        <is>
          <t>Caclualtion</t>
        </is>
      </c>
    </row>
    <row r="27">
      <c r="A27" s="280" t="b">
        <v>0</v>
      </c>
      <c r="B27" s="43">
        <f>ROW()-1</f>
        <v/>
      </c>
      <c r="C27" s="272">
        <f>"F_"&amp;LEFT(I27,2)&amp;"_"&amp;LEFT(K27,2)</f>
        <v/>
      </c>
      <c r="D27" s="273" t="n"/>
      <c r="E27" s="280" t="n"/>
      <c r="F27" s="280" t="n"/>
      <c r="G27" s="280" t="n"/>
      <c r="H27" s="189" t="n"/>
      <c r="I27" s="272">
        <f>_xlfn.XLOOKUP(H27,Tab_Def_Processes[Name(EN)],Tab_Def_Processes[Process_ID],,0,)</f>
        <v/>
      </c>
      <c r="J27" s="189" t="n"/>
      <c r="K27" s="17">
        <f>_xlfn.XLOOKUP(J27,Tab_Def_Processes[Name(EN)],Tab_Def_Processes[Process_ID],,0,)</f>
        <v/>
      </c>
      <c r="L27" s="189" t="n"/>
      <c r="M27" s="189" t="n"/>
      <c r="N27" s="189" t="n"/>
      <c r="O27" s="183" t="n"/>
      <c r="P27" s="55" t="n"/>
      <c r="R27" s="55" t="n"/>
      <c r="S27" s="183" t="n"/>
      <c r="T27" s="55" t="n"/>
      <c r="U27" s="190">
        <f>Tab_Def_Flows[[#This Row],[CC_DM'[%']]]*Tab_Def_Flows[[#This Row],[DM]]</f>
        <v/>
      </c>
      <c r="V27" s="273" t="inlineStr">
        <is>
          <t>Caclualtion</t>
        </is>
      </c>
    </row>
    <row r="28">
      <c r="A28" s="280" t="b">
        <v>0</v>
      </c>
      <c r="B28" s="43">
        <f>ROW()-1</f>
        <v/>
      </c>
      <c r="C28" s="272">
        <f>"F_"&amp;LEFT(I28,2)&amp;"_"&amp;LEFT(K28,2)</f>
        <v/>
      </c>
      <c r="D28" s="273" t="n"/>
      <c r="E28" s="280" t="n"/>
      <c r="F28" s="280" t="n"/>
      <c r="G28" s="280" t="n"/>
      <c r="H28" s="189" t="n"/>
      <c r="I28" s="272">
        <f>_xlfn.XLOOKUP(H28,Tab_Def_Processes[Name(EN)],Tab_Def_Processes[Process_ID],,0,)</f>
        <v/>
      </c>
      <c r="J28" s="189" t="n"/>
      <c r="K28" s="17">
        <f>_xlfn.XLOOKUP(J28,Tab_Def_Processes[Name(EN)],Tab_Def_Processes[Process_ID],,0,)</f>
        <v/>
      </c>
      <c r="L28" s="189" t="n"/>
      <c r="M28" s="189" t="n"/>
      <c r="N28" s="189" t="n"/>
      <c r="O28" s="183" t="n"/>
      <c r="P28" s="55" t="n"/>
      <c r="R28" s="55" t="n"/>
      <c r="S28" s="183" t="n"/>
      <c r="T28" s="55" t="n"/>
      <c r="U28" s="190">
        <f>Tab_Def_Flows[[#This Row],[CC_DM'[%']]]*Tab_Def_Flows[[#This Row],[DM]]</f>
        <v/>
      </c>
      <c r="V28" s="273" t="inlineStr">
        <is>
          <t>Caclualtion</t>
        </is>
      </c>
    </row>
    <row r="29">
      <c r="A29" s="280" t="b">
        <v>0</v>
      </c>
      <c r="B29" s="43">
        <f>ROW()-1</f>
        <v/>
      </c>
      <c r="C29" s="272">
        <f>"F_"&amp;LEFT(I29,2)&amp;"_"&amp;LEFT(K29,2)</f>
        <v/>
      </c>
      <c r="D29" s="273" t="n"/>
      <c r="E29" s="280" t="n"/>
      <c r="F29" s="280" t="n"/>
      <c r="G29" s="280" t="n"/>
      <c r="H29" s="189" t="n"/>
      <c r="I29" s="272">
        <f>_xlfn.XLOOKUP(H29,Tab_Def_Processes[Name(EN)],Tab_Def_Processes[Process_ID],,0,)</f>
        <v/>
      </c>
      <c r="J29" s="189" t="n"/>
      <c r="K29" s="17">
        <f>_xlfn.XLOOKUP(J29,Tab_Def_Processes[Name(EN)],Tab_Def_Processes[Process_ID],,0,)</f>
        <v/>
      </c>
      <c r="L29" s="189" t="n"/>
      <c r="M29" s="189" t="n"/>
      <c r="N29" s="189" t="n"/>
      <c r="O29" s="183" t="n"/>
      <c r="P29" s="55" t="n"/>
      <c r="R29" s="55" t="n"/>
      <c r="S29" s="183" t="n"/>
      <c r="T29" s="55" t="n"/>
      <c r="U29" s="190">
        <f>Tab_Def_Flows[[#This Row],[CC_DM'[%']]]*Tab_Def_Flows[[#This Row],[DM]]</f>
        <v/>
      </c>
      <c r="V29" s="273" t="inlineStr">
        <is>
          <t>Caclualtion</t>
        </is>
      </c>
    </row>
    <row r="30">
      <c r="A30" s="280" t="b">
        <v>0</v>
      </c>
      <c r="B30" s="43">
        <f>ROW()-1</f>
        <v/>
      </c>
      <c r="C30" s="272">
        <f>"F_"&amp;LEFT(I30,2)&amp;"_"&amp;LEFT(K30,2)</f>
        <v/>
      </c>
      <c r="D30" s="273" t="n"/>
      <c r="E30" s="280" t="n"/>
      <c r="F30" s="280" t="n"/>
      <c r="G30" s="280" t="n"/>
      <c r="H30" s="189" t="n"/>
      <c r="I30" s="272">
        <f>_xlfn.XLOOKUP(H30,Tab_Def_Processes[Name(EN)],Tab_Def_Processes[Process_ID],,0,)</f>
        <v/>
      </c>
      <c r="J30" s="189" t="n"/>
      <c r="K30" s="17">
        <f>_xlfn.XLOOKUP(J30,Tab_Def_Processes[Name(EN)],Tab_Def_Processes[Process_ID],,0,)</f>
        <v/>
      </c>
      <c r="L30" s="189" t="n"/>
      <c r="M30" s="189" t="n"/>
      <c r="N30" s="189" t="n"/>
      <c r="O30" s="183" t="n"/>
      <c r="P30" s="55" t="n"/>
      <c r="R30" s="55" t="n"/>
      <c r="S30" s="183" t="n"/>
      <c r="T30" s="55" t="n"/>
      <c r="U30" s="190">
        <f>Tab_Def_Flows[[#This Row],[CC_DM'[%']]]*Tab_Def_Flows[[#This Row],[DM]]</f>
        <v/>
      </c>
      <c r="V30" s="273" t="n"/>
    </row>
    <row r="31">
      <c r="A31" s="280" t="b">
        <v>0</v>
      </c>
      <c r="B31" s="43">
        <f>ROW()-1</f>
        <v/>
      </c>
      <c r="C31" s="272">
        <f>"F_"&amp;LEFT(I31,2)&amp;"_"&amp;LEFT(K31,2)</f>
        <v/>
      </c>
      <c r="D31" s="273" t="n"/>
      <c r="E31" s="280" t="n"/>
      <c r="F31" s="280" t="n"/>
      <c r="G31" s="280" t="n"/>
      <c r="H31" s="189" t="n"/>
      <c r="I31" s="272">
        <f>_xlfn.XLOOKUP(H31,Tab_Def_Processes[Name(EN)],Tab_Def_Processes[Process_ID],,0,)</f>
        <v/>
      </c>
      <c r="J31" s="189" t="n"/>
      <c r="K31" s="17">
        <f>_xlfn.XLOOKUP(J31,Tab_Def_Processes[Name(EN)],Tab_Def_Processes[Process_ID],,0,)</f>
        <v/>
      </c>
      <c r="L31" s="189" t="n"/>
      <c r="M31" s="189" t="n"/>
      <c r="N31" s="189" t="n"/>
      <c r="O31" s="183" t="n"/>
      <c r="P31" s="55" t="n"/>
      <c r="R31" s="55" t="n"/>
      <c r="S31" s="183" t="n"/>
      <c r="T31" s="55" t="n"/>
      <c r="U31" s="190">
        <f>Tab_Def_Flows[[#This Row],[CC_DM'[%']]]*Tab_Def_Flows[[#This Row],[DM]]</f>
        <v/>
      </c>
      <c r="V31" s="273" t="n"/>
    </row>
    <row r="32">
      <c r="A32" s="280" t="b">
        <v>0</v>
      </c>
      <c r="B32" s="43">
        <f>ROW()-1</f>
        <v/>
      </c>
      <c r="C32" s="272">
        <f>"F_"&amp;LEFT(I32,2)&amp;"_"&amp;LEFT(K32,2)</f>
        <v/>
      </c>
      <c r="D32" s="273" t="n"/>
      <c r="E32" s="280" t="n"/>
      <c r="F32" s="280" t="n"/>
      <c r="G32" s="280" t="n"/>
      <c r="H32" s="189" t="n"/>
      <c r="I32" s="272">
        <f>_xlfn.XLOOKUP(H32,Tab_Def_Processes[Name(EN)],Tab_Def_Processes[Process_ID],,0,)</f>
        <v/>
      </c>
      <c r="J32" s="189" t="n"/>
      <c r="K32" s="17">
        <f>_xlfn.XLOOKUP(J32,Tab_Def_Processes[Name(EN)],Tab_Def_Processes[Process_ID],,0,)</f>
        <v/>
      </c>
      <c r="L32" s="189" t="n"/>
      <c r="M32" s="189" t="n"/>
      <c r="N32" s="189" t="n"/>
      <c r="O32" s="183" t="n"/>
      <c r="P32" s="55" t="n"/>
      <c r="R32" s="55" t="n"/>
      <c r="S32" s="183" t="n"/>
      <c r="T32" s="55" t="n"/>
      <c r="U32" s="190">
        <f>Tab_Def_Flows[[#This Row],[CC_DM'[%']]]*Tab_Def_Flows[[#This Row],[DM]]</f>
        <v/>
      </c>
      <c r="V32" s="273" t="n"/>
    </row>
    <row r="33">
      <c r="A33" s="280" t="b">
        <v>0</v>
      </c>
      <c r="B33" s="43">
        <f>ROW()-1</f>
        <v/>
      </c>
      <c r="C33" s="272">
        <f>"F_"&amp;LEFT(I33,2)&amp;"_"&amp;LEFT(K33,2)</f>
        <v/>
      </c>
      <c r="D33" s="273" t="n"/>
      <c r="E33" s="280" t="n"/>
      <c r="F33" s="280" t="n"/>
      <c r="G33" s="280" t="n"/>
      <c r="H33" s="189" t="n"/>
      <c r="I33" s="272">
        <f>_xlfn.XLOOKUP(H33,Tab_Def_Processes[Name(EN)],Tab_Def_Processes[Process_ID],,0,)</f>
        <v/>
      </c>
      <c r="J33" s="189" t="n"/>
      <c r="K33" s="17">
        <f>_xlfn.XLOOKUP(J33,Tab_Def_Processes[Name(EN)],Tab_Def_Processes[Process_ID],,0,)</f>
        <v/>
      </c>
      <c r="L33" s="189" t="n"/>
      <c r="M33" s="189" t="n"/>
      <c r="N33" s="189" t="n"/>
      <c r="O33" s="183" t="n"/>
      <c r="P33" s="40" t="n"/>
      <c r="R33" s="40" t="n"/>
      <c r="S33" s="183" t="n"/>
      <c r="T33" s="40" t="n"/>
      <c r="U33" s="190">
        <f>Tab_Def_Flows[[#This Row],[CC_DM'[%']]]*Tab_Def_Flows[[#This Row],[DM]]</f>
        <v/>
      </c>
      <c r="V33" s="273" t="n"/>
    </row>
    <row r="34">
      <c r="A34" s="280" t="b">
        <v>0</v>
      </c>
      <c r="B34" s="43">
        <f>ROW()-1</f>
        <v/>
      </c>
      <c r="C34" s="272">
        <f>"F_"&amp;LEFT(I34,2)&amp;"_"&amp;LEFT(K34,2)</f>
        <v/>
      </c>
      <c r="D34" s="273" t="n"/>
      <c r="E34" s="280" t="n"/>
      <c r="F34" s="280" t="n"/>
      <c r="G34" s="280" t="n"/>
      <c r="H34" s="189" t="n"/>
      <c r="I34" s="272">
        <f>_xlfn.XLOOKUP(H34,Tab_Def_Processes[Name(EN)],Tab_Def_Processes[Process_ID],,0,)</f>
        <v/>
      </c>
      <c r="J34" s="189" t="n"/>
      <c r="K34" s="17">
        <f>_xlfn.XLOOKUP(J34,Tab_Def_Processes[Name(EN)],Tab_Def_Processes[Process_ID],,0,)</f>
        <v/>
      </c>
      <c r="L34" s="189" t="n"/>
      <c r="M34" s="189" t="n"/>
      <c r="N34" s="189" t="n"/>
      <c r="O34" s="183" t="n"/>
      <c r="P34" s="40" t="n"/>
      <c r="R34" s="40" t="n"/>
      <c r="S34" s="183" t="n"/>
      <c r="T34" s="40" t="n"/>
      <c r="U34" s="190">
        <f>Tab_Def_Flows[[#This Row],[CC_DM'[%']]]*Tab_Def_Flows[[#This Row],[DM]]</f>
        <v/>
      </c>
      <c r="V34" s="273" t="n"/>
    </row>
    <row r="35">
      <c r="A35" s="280" t="b">
        <v>0</v>
      </c>
      <c r="B35" s="43">
        <f>ROW()-1</f>
        <v/>
      </c>
      <c r="C35" s="272">
        <f>"F_"&amp;LEFT(I35,2)&amp;"_"&amp;LEFT(K35,2)</f>
        <v/>
      </c>
      <c r="D35" s="273" t="n"/>
      <c r="E35" s="280" t="n"/>
      <c r="F35" s="280" t="n"/>
      <c r="G35" s="280" t="n"/>
      <c r="H35" s="189" t="n"/>
      <c r="I35" s="272">
        <f>_xlfn.XLOOKUP(H35,Tab_Def_Processes[Name(EN)],Tab_Def_Processes[Process_ID],,0,)</f>
        <v/>
      </c>
      <c r="J35" s="189" t="n"/>
      <c r="K35" s="17">
        <f>_xlfn.XLOOKUP(J35,Tab_Def_Processes[Name(EN)],Tab_Def_Processes[Process_ID],,0,)</f>
        <v/>
      </c>
      <c r="L35" s="189" t="n"/>
      <c r="M35" s="189" t="n"/>
      <c r="N35" s="189" t="n"/>
      <c r="O35" s="183" t="n"/>
      <c r="P35" s="40" t="n"/>
      <c r="R35" s="40" t="n"/>
      <c r="S35" s="183" t="n"/>
      <c r="T35" s="40" t="n"/>
      <c r="U35" s="190">
        <f>Tab_Def_Flows[[#This Row],[CC_DM'[%']]]*Tab_Def_Flows[[#This Row],[DM]]</f>
        <v/>
      </c>
      <c r="V35" s="273" t="n"/>
    </row>
    <row r="36">
      <c r="A36" s="280" t="b">
        <v>0</v>
      </c>
      <c r="B36" s="43">
        <f>ROW()-1</f>
        <v/>
      </c>
      <c r="C36" s="272">
        <f>"F_"&amp;LEFT(I36,2)&amp;"_"&amp;LEFT(K36,2)</f>
        <v/>
      </c>
      <c r="D36" s="273" t="n"/>
      <c r="E36" s="280" t="n"/>
      <c r="F36" s="280" t="n"/>
      <c r="G36" s="280" t="n"/>
      <c r="H36" s="189" t="n"/>
      <c r="I36" s="272">
        <f>_xlfn.XLOOKUP(H36,Tab_Def_Processes[Name(EN)],Tab_Def_Processes[Process_ID],,0,)</f>
        <v/>
      </c>
      <c r="J36" s="189" t="n"/>
      <c r="K36" s="17">
        <f>_xlfn.XLOOKUP(J36,Tab_Def_Processes[Name(EN)],Tab_Def_Processes[Process_ID],,0,)</f>
        <v/>
      </c>
      <c r="L36" s="189" t="n"/>
      <c r="M36" s="189" t="n"/>
      <c r="N36" s="189" t="n"/>
      <c r="O36" s="183" t="n"/>
      <c r="P36" s="40" t="n"/>
      <c r="R36" s="40" t="n"/>
      <c r="S36" s="183" t="n"/>
      <c r="T36" s="40" t="n"/>
      <c r="U36" s="190">
        <f>Tab_Def_Flows[[#This Row],[CC_DM'[%']]]*Tab_Def_Flows[[#This Row],[DM]]</f>
        <v/>
      </c>
      <c r="V36" s="273" t="n"/>
    </row>
    <row r="37">
      <c r="A37" s="280" t="b">
        <v>0</v>
      </c>
      <c r="B37" s="43">
        <f>ROW()-1</f>
        <v/>
      </c>
      <c r="C37" s="272">
        <f>"F_"&amp;LEFT(I37,2)&amp;"_"&amp;LEFT(K37,2)</f>
        <v/>
      </c>
      <c r="D37" s="273" t="n"/>
      <c r="E37" s="280" t="n"/>
      <c r="F37" s="280" t="n"/>
      <c r="G37" s="280" t="n"/>
      <c r="H37" s="189" t="n"/>
      <c r="I37" s="272">
        <f>_xlfn.XLOOKUP(H37,Tab_Def_Processes[Name(EN)],Tab_Def_Processes[Process_ID],,0,)</f>
        <v/>
      </c>
      <c r="J37" s="189" t="n"/>
      <c r="K37" s="17">
        <f>_xlfn.XLOOKUP(J37,Tab_Def_Processes[Name(EN)],Tab_Def_Processes[Process_ID],,0,)</f>
        <v/>
      </c>
      <c r="L37" s="189" t="n"/>
      <c r="M37" s="189" t="n"/>
      <c r="N37" s="189" t="n"/>
      <c r="O37" s="183" t="n"/>
      <c r="P37" s="40" t="n"/>
      <c r="R37" s="40" t="n"/>
      <c r="S37" s="183" t="n"/>
      <c r="T37" s="40" t="n"/>
      <c r="U37" s="190">
        <f>Tab_Def_Flows[[#This Row],[CC_DM'[%']]]*Tab_Def_Flows[[#This Row],[DM]]</f>
        <v/>
      </c>
      <c r="V37" s="273" t="n"/>
    </row>
    <row r="38">
      <c r="A38" s="280" t="b">
        <v>0</v>
      </c>
      <c r="B38" s="43">
        <f>ROW()-1</f>
        <v/>
      </c>
      <c r="C38" s="272">
        <f>"F_"&amp;LEFT(I38,2)&amp;"_"&amp;LEFT(K38,2)</f>
        <v/>
      </c>
      <c r="D38" s="273" t="n"/>
      <c r="E38" s="280" t="n"/>
      <c r="F38" s="280" t="n"/>
      <c r="G38" s="280" t="n"/>
      <c r="H38" s="189" t="n"/>
      <c r="I38" s="272">
        <f>_xlfn.XLOOKUP(H38,Tab_Def_Processes[Name(EN)],Tab_Def_Processes[Process_ID],,0,)</f>
        <v/>
      </c>
      <c r="J38" s="189" t="n"/>
      <c r="K38" s="17">
        <f>_xlfn.XLOOKUP(J38,Tab_Def_Processes[Name(EN)],Tab_Def_Processes[Process_ID],,0,)</f>
        <v/>
      </c>
      <c r="L38" s="189" t="n"/>
      <c r="M38" s="189" t="n"/>
      <c r="N38" s="189" t="n"/>
      <c r="O38" s="183" t="n"/>
      <c r="P38" s="40" t="n"/>
      <c r="R38" s="40" t="n"/>
      <c r="S38" s="183" t="n"/>
      <c r="T38" s="40" t="n"/>
      <c r="U38" s="190">
        <f>Tab_Def_Flows[[#This Row],[CC_DM'[%']]]*Tab_Def_Flows[[#This Row],[DM]]</f>
        <v/>
      </c>
      <c r="V38" s="273" t="n"/>
    </row>
    <row r="39">
      <c r="A39" s="280" t="b">
        <v>0</v>
      </c>
      <c r="B39" s="43">
        <f>ROW()-1</f>
        <v/>
      </c>
      <c r="C39" s="272">
        <f>"F_"&amp;LEFT(I39,2)&amp;"_"&amp;LEFT(K39,2)</f>
        <v/>
      </c>
      <c r="D39" s="273" t="n"/>
      <c r="E39" s="280" t="n"/>
      <c r="F39" s="280" t="n"/>
      <c r="G39" s="280" t="n"/>
      <c r="H39" s="189" t="n"/>
      <c r="I39" s="272">
        <f>_xlfn.XLOOKUP(H39,Tab_Def_Processes[Name(EN)],Tab_Def_Processes[Process_ID],,0,)</f>
        <v/>
      </c>
      <c r="J39" s="189" t="n"/>
      <c r="K39" s="17">
        <f>_xlfn.XLOOKUP(J39,Tab_Def_Processes[Name(EN)],Tab_Def_Processes[Process_ID],,0,)</f>
        <v/>
      </c>
      <c r="L39" s="189" t="n"/>
      <c r="M39" s="189" t="n"/>
      <c r="N39" s="189" t="n"/>
      <c r="O39" s="183" t="n"/>
      <c r="P39" s="40" t="n"/>
      <c r="R39" s="40" t="n"/>
      <c r="S39" s="183" t="n"/>
      <c r="T39" s="40" t="n"/>
      <c r="U39" s="190">
        <f>Tab_Def_Flows[[#This Row],[CC_DM'[%']]]*Tab_Def_Flows[[#This Row],[DM]]</f>
        <v/>
      </c>
      <c r="V39" s="273" t="n"/>
    </row>
    <row r="40">
      <c r="A40" s="280" t="b">
        <v>0</v>
      </c>
      <c r="B40" s="43">
        <f>ROW()-1</f>
        <v/>
      </c>
      <c r="C40" s="272">
        <f>"F_"&amp;LEFT(I40,2)&amp;"_"&amp;LEFT(K40,2)</f>
        <v/>
      </c>
      <c r="D40" s="273" t="n"/>
      <c r="E40" s="280" t="n"/>
      <c r="F40" s="280" t="n"/>
      <c r="G40" s="280" t="n"/>
      <c r="H40" s="189" t="n"/>
      <c r="I40" s="272">
        <f>_xlfn.XLOOKUP(H40,Tab_Def_Processes[Name(EN)],Tab_Def_Processes[Process_ID],,0,)</f>
        <v/>
      </c>
      <c r="J40" s="189" t="n"/>
      <c r="K40" s="17">
        <f>_xlfn.XLOOKUP(J40,Tab_Def_Processes[Name(EN)],Tab_Def_Processes[Process_ID],,0,)</f>
        <v/>
      </c>
      <c r="L40" s="189" t="n"/>
      <c r="M40" s="189" t="n"/>
      <c r="N40" s="189" t="n"/>
      <c r="O40" s="183" t="n"/>
      <c r="P40" s="40" t="n"/>
      <c r="R40" s="40" t="n"/>
      <c r="S40" s="183" t="n"/>
      <c r="T40" s="40" t="n"/>
      <c r="U40" s="190">
        <f>Tab_Def_Flows[[#This Row],[CC_DM'[%']]]*Tab_Def_Flows[[#This Row],[DM]]</f>
        <v/>
      </c>
      <c r="V40" s="273" t="n"/>
    </row>
    <row r="41">
      <c r="A41" s="280" t="b">
        <v>0</v>
      </c>
      <c r="B41" s="43">
        <f>ROW()-1</f>
        <v/>
      </c>
      <c r="C41" s="272">
        <f>"F_"&amp;LEFT(I41,2)&amp;"_"&amp;LEFT(K41,2)</f>
        <v/>
      </c>
      <c r="D41" s="273" t="n"/>
      <c r="E41" s="280" t="n"/>
      <c r="F41" s="280" t="n"/>
      <c r="G41" s="280" t="n"/>
      <c r="H41" s="189" t="n"/>
      <c r="I41" s="272">
        <f>_xlfn.XLOOKUP(H41,Tab_Def_Processes[Name(EN)],Tab_Def_Processes[Process_ID],,0,)</f>
        <v/>
      </c>
      <c r="J41" s="189" t="n"/>
      <c r="K41" s="17">
        <f>_xlfn.XLOOKUP(J41,Tab_Def_Processes[Name(EN)],Tab_Def_Processes[Process_ID],,0,)</f>
        <v/>
      </c>
      <c r="L41" s="189" t="n"/>
      <c r="M41" s="189" t="n"/>
      <c r="N41" s="189" t="n"/>
      <c r="O41" s="183" t="n"/>
      <c r="P41" s="40" t="n"/>
      <c r="R41" s="40" t="n"/>
      <c r="S41" s="183" t="n"/>
      <c r="T41" s="40" t="n"/>
      <c r="U41" s="190">
        <f>Tab_Def_Flows[[#This Row],[CC_DM'[%']]]*Tab_Def_Flows[[#This Row],[DM]]</f>
        <v/>
      </c>
      <c r="V41" s="273" t="n"/>
    </row>
    <row r="42">
      <c r="A42" s="280" t="b">
        <v>0</v>
      </c>
      <c r="B42" s="43">
        <f>ROW()-1</f>
        <v/>
      </c>
      <c r="C42" s="272">
        <f>"F_"&amp;LEFT(I42,2)&amp;"_"&amp;LEFT(K42,2)</f>
        <v/>
      </c>
      <c r="D42" s="273" t="n"/>
      <c r="E42" s="280" t="n"/>
      <c r="F42" s="280" t="n"/>
      <c r="G42" s="280" t="n"/>
      <c r="H42" s="189" t="n"/>
      <c r="I42" s="272">
        <f>_xlfn.XLOOKUP(H42,Tab_Def_Processes[Name(EN)],Tab_Def_Processes[Process_ID],,0,)</f>
        <v/>
      </c>
      <c r="J42" s="189" t="n"/>
      <c r="K42" s="17">
        <f>_xlfn.XLOOKUP(J42,Tab_Def_Processes[Name(EN)],Tab_Def_Processes[Process_ID],,0,)</f>
        <v/>
      </c>
      <c r="L42" s="189" t="n"/>
      <c r="M42" s="189" t="n"/>
      <c r="N42" s="189" t="n"/>
      <c r="O42" s="183" t="n"/>
      <c r="P42" s="40" t="n"/>
      <c r="R42" s="40" t="n"/>
      <c r="S42" s="183" t="n"/>
      <c r="T42" s="40" t="n"/>
      <c r="U42" s="190">
        <f>Tab_Def_Flows[[#This Row],[CC_DM'[%']]]*Tab_Def_Flows[[#This Row],[DM]]</f>
        <v/>
      </c>
      <c r="V42" s="273" t="n"/>
    </row>
    <row r="43">
      <c r="A43" s="280" t="b">
        <v>0</v>
      </c>
      <c r="B43" s="43">
        <f>ROW()-1</f>
        <v/>
      </c>
      <c r="C43" s="272">
        <f>"F_"&amp;LEFT(I43,2)&amp;"_"&amp;LEFT(K43,2)</f>
        <v/>
      </c>
      <c r="D43" s="273" t="n"/>
      <c r="E43" s="280" t="n"/>
      <c r="F43" s="280" t="n"/>
      <c r="G43" s="280" t="n"/>
      <c r="H43" s="189" t="n"/>
      <c r="I43" s="272">
        <f>_xlfn.XLOOKUP(H43,Tab_Def_Processes[Name(EN)],Tab_Def_Processes[Process_ID],,0,)</f>
        <v/>
      </c>
      <c r="J43" s="189" t="n"/>
      <c r="K43" s="17">
        <f>_xlfn.XLOOKUP(J43,Tab_Def_Processes[Name(EN)],Tab_Def_Processes[Process_ID],,0,)</f>
        <v/>
      </c>
      <c r="L43" s="189" t="n"/>
      <c r="M43" s="189" t="n"/>
      <c r="N43" s="189" t="n"/>
      <c r="O43" s="183" t="n"/>
      <c r="P43" s="40" t="n"/>
      <c r="R43" s="40" t="n"/>
      <c r="S43" s="183" t="n"/>
      <c r="T43" s="40" t="n"/>
      <c r="U43" s="190">
        <f>Tab_Def_Flows[[#This Row],[CC_DM'[%']]]*Tab_Def_Flows[[#This Row],[DM]]</f>
        <v/>
      </c>
      <c r="V43" s="273" t="n"/>
    </row>
    <row r="44">
      <c r="A44" s="280" t="b">
        <v>0</v>
      </c>
      <c r="B44" s="43">
        <f>ROW()-1</f>
        <v/>
      </c>
      <c r="C44" s="272">
        <f>"F_"&amp;LEFT(I44,2)&amp;"_"&amp;LEFT(K44,2)</f>
        <v/>
      </c>
      <c r="D44" s="273" t="n"/>
      <c r="E44" s="280" t="n"/>
      <c r="F44" s="280" t="n"/>
      <c r="G44" s="280" t="n"/>
      <c r="H44" s="189" t="n"/>
      <c r="I44" s="272">
        <f>_xlfn.XLOOKUP(H44,Tab_Def_Processes[Name(EN)],Tab_Def_Processes[Process_ID],,0,)</f>
        <v/>
      </c>
      <c r="J44" s="189" t="n"/>
      <c r="K44" s="17">
        <f>_xlfn.XLOOKUP(J44,Tab_Def_Processes[Name(EN)],Tab_Def_Processes[Process_ID],,0,)</f>
        <v/>
      </c>
      <c r="L44" s="189" t="n"/>
      <c r="M44" s="189" t="n"/>
      <c r="N44" s="189" t="n"/>
      <c r="O44" s="183" t="n"/>
      <c r="P44" s="40" t="n"/>
      <c r="R44" s="40" t="n"/>
      <c r="S44" s="183" t="n"/>
      <c r="T44" s="40" t="n"/>
      <c r="U44" s="190">
        <f>Tab_Def_Flows[[#This Row],[CC_DM'[%']]]*Tab_Def_Flows[[#This Row],[DM]]</f>
        <v/>
      </c>
      <c r="V44" s="273" t="n"/>
    </row>
    <row r="45" ht="15.75" customHeight="1">
      <c r="A45" s="280" t="b">
        <v>0</v>
      </c>
      <c r="B45" s="43">
        <f>ROW()-1</f>
        <v/>
      </c>
      <c r="C45" s="272">
        <f>"F_"&amp;LEFT(I45,2)&amp;"_"&amp;LEFT(K45,2)</f>
        <v/>
      </c>
      <c r="D45" s="273" t="n"/>
      <c r="E45" s="280" t="n"/>
      <c r="F45" s="280" t="n"/>
      <c r="G45" s="280" t="n"/>
      <c r="H45" s="189" t="n"/>
      <c r="I45" s="272">
        <f>_xlfn.XLOOKUP(H45,Tab_Def_Processes[Name(EN)],Tab_Def_Processes[Process_ID],,0,)</f>
        <v/>
      </c>
      <c r="J45" s="189" t="n"/>
      <c r="K45" s="17">
        <f>_xlfn.XLOOKUP(J45,Tab_Def_Processes[Name(EN)],Tab_Def_Processes[Process_ID],,0,)</f>
        <v/>
      </c>
      <c r="L45" s="189" t="n"/>
      <c r="M45" s="189" t="n"/>
      <c r="N45" s="189" t="n"/>
      <c r="O45" s="183" t="n"/>
      <c r="P45" s="40" t="n"/>
      <c r="R45" s="40" t="n"/>
      <c r="S45" s="183" t="n"/>
      <c r="T45" s="40" t="n"/>
      <c r="U45" s="190">
        <f>Tab_Def_Flows[[#This Row],[CC_DM'[%']]]*Tab_Def_Flows[[#This Row],[DM]]</f>
        <v/>
      </c>
      <c r="V45" s="273" t="n"/>
    </row>
    <row r="46">
      <c r="A46" s="280" t="b">
        <v>0</v>
      </c>
      <c r="B46" s="43">
        <f>ROW()-1</f>
        <v/>
      </c>
      <c r="C46" s="272">
        <f>"F_"&amp;LEFT(I46,2)&amp;"_"&amp;LEFT(K46,2)</f>
        <v/>
      </c>
      <c r="D46" s="273" t="n"/>
      <c r="E46" s="280" t="n"/>
      <c r="F46" s="280" t="n"/>
      <c r="G46" s="280" t="n"/>
      <c r="H46" s="189" t="n"/>
      <c r="I46" s="272">
        <f>_xlfn.XLOOKUP(H46,Tab_Def_Processes[Name(EN)],Tab_Def_Processes[Process_ID],,0,)</f>
        <v/>
      </c>
      <c r="J46" s="189" t="n"/>
      <c r="K46" s="17">
        <f>_xlfn.XLOOKUP(J46,Tab_Def_Processes[Name(EN)],Tab_Def_Processes[Process_ID],,0,)</f>
        <v/>
      </c>
      <c r="L46" s="189" t="n"/>
      <c r="M46" s="189" t="n"/>
      <c r="N46" s="189" t="n"/>
      <c r="O46" s="183" t="n"/>
      <c r="P46" s="40" t="n"/>
      <c r="R46" s="40" t="n"/>
      <c r="S46" s="183" t="n"/>
      <c r="T46" s="40" t="n"/>
      <c r="U46" s="190">
        <f>Tab_Def_Flows[[#This Row],[CC_DM'[%']]]*Tab_Def_Flows[[#This Row],[DM]]</f>
        <v/>
      </c>
      <c r="V46" s="273" t="n"/>
    </row>
    <row r="47">
      <c r="A47" s="280" t="b">
        <v>0</v>
      </c>
      <c r="B47" s="43">
        <f>ROW()-1</f>
        <v/>
      </c>
      <c r="C47" s="272">
        <f>"F_"&amp;LEFT(I47,2)&amp;"_"&amp;LEFT(K47,2)</f>
        <v/>
      </c>
      <c r="D47" s="273" t="n"/>
      <c r="E47" s="280" t="n"/>
      <c r="F47" s="280" t="n"/>
      <c r="G47" s="280" t="n"/>
      <c r="H47" s="189" t="n"/>
      <c r="I47" s="272">
        <f>_xlfn.XLOOKUP(H47,Tab_Def_Processes[Name(EN)],Tab_Def_Processes[Process_ID],,0,)</f>
        <v/>
      </c>
      <c r="J47" s="189" t="n"/>
      <c r="K47" s="17">
        <f>_xlfn.XLOOKUP(J47,Tab_Def_Processes[Name(EN)],Tab_Def_Processes[Process_ID],,0,)</f>
        <v/>
      </c>
      <c r="L47" s="189" t="n"/>
      <c r="M47" s="189" t="n"/>
      <c r="N47" s="189" t="n"/>
      <c r="O47" s="183" t="n"/>
      <c r="P47" s="40" t="n"/>
      <c r="R47" s="40" t="n"/>
      <c r="S47" s="183" t="n"/>
      <c r="T47" s="40" t="n"/>
      <c r="U47" s="190">
        <f>Tab_Def_Flows[[#This Row],[CC_DM'[%']]]*Tab_Def_Flows[[#This Row],[DM]]</f>
        <v/>
      </c>
      <c r="V47" s="273" t="n"/>
    </row>
    <row r="48">
      <c r="A48" s="280" t="b">
        <v>0</v>
      </c>
      <c r="B48" s="43">
        <f>ROW()-1</f>
        <v/>
      </c>
      <c r="C48" s="272">
        <f>"F_"&amp;LEFT(I48,2)&amp;"_"&amp;LEFT(K48,2)</f>
        <v/>
      </c>
      <c r="D48" s="273" t="n"/>
      <c r="E48" s="280" t="n"/>
      <c r="F48" s="280" t="n"/>
      <c r="G48" s="280" t="n"/>
      <c r="H48" s="189" t="n"/>
      <c r="I48" s="272">
        <f>_xlfn.XLOOKUP(H48,Tab_Def_Processes[Name(EN)],Tab_Def_Processes[Process_ID],,0,)</f>
        <v/>
      </c>
      <c r="J48" s="189" t="n"/>
      <c r="K48" s="17">
        <f>_xlfn.XLOOKUP(J48,Tab_Def_Processes[Name(EN)],Tab_Def_Processes[Process_ID],,0,)</f>
        <v/>
      </c>
      <c r="L48" s="189" t="n"/>
      <c r="M48" s="189" t="n"/>
      <c r="N48" s="189" t="n"/>
      <c r="O48" s="183" t="n"/>
      <c r="P48" s="40" t="n"/>
      <c r="R48" s="40" t="n"/>
      <c r="S48" s="183" t="n"/>
      <c r="T48" s="40" t="n"/>
      <c r="U48" s="190">
        <f>Tab_Def_Flows[[#This Row],[CC_DM'[%']]]*Tab_Def_Flows[[#This Row],[DM]]</f>
        <v/>
      </c>
      <c r="V48" s="273" t="n"/>
    </row>
    <row r="49">
      <c r="A49" s="280" t="b">
        <v>0</v>
      </c>
      <c r="B49" s="43">
        <f>ROW()-1</f>
        <v/>
      </c>
      <c r="C49" s="272">
        <f>"F_"&amp;LEFT(I49,2)&amp;"_"&amp;LEFT(K49,2)</f>
        <v/>
      </c>
      <c r="D49" s="273" t="n"/>
      <c r="E49" s="280" t="n"/>
      <c r="F49" s="280" t="n"/>
      <c r="G49" s="280" t="n"/>
      <c r="H49" s="189" t="n"/>
      <c r="I49" s="272">
        <f>_xlfn.XLOOKUP(H49,Tab_Def_Processes[Name(EN)],Tab_Def_Processes[Process_ID],,0,)</f>
        <v/>
      </c>
      <c r="J49" s="189" t="n"/>
      <c r="K49" s="17">
        <f>_xlfn.XLOOKUP(J49,Tab_Def_Processes[Name(EN)],Tab_Def_Processes[Process_ID],,0,)</f>
        <v/>
      </c>
      <c r="L49" s="189" t="n"/>
      <c r="M49" s="189" t="n"/>
      <c r="N49" s="189" t="n"/>
      <c r="O49" s="183" t="n"/>
      <c r="P49" s="40" t="n"/>
      <c r="R49" s="40" t="n"/>
      <c r="S49" s="183" t="n"/>
      <c r="T49" s="40" t="n"/>
      <c r="U49" s="190">
        <f>Tab_Def_Flows[[#This Row],[CC_DM'[%']]]*Tab_Def_Flows[[#This Row],[DM]]</f>
        <v/>
      </c>
      <c r="V49" s="273" t="n"/>
    </row>
    <row r="50">
      <c r="A50" s="280" t="b">
        <v>0</v>
      </c>
      <c r="B50" s="43">
        <f>ROW()-1</f>
        <v/>
      </c>
      <c r="C50" s="272">
        <f>"F_"&amp;LEFT(I50,2)&amp;"_"&amp;LEFT(K50,2)</f>
        <v/>
      </c>
      <c r="D50" s="273" t="n"/>
      <c r="E50" s="280" t="n"/>
      <c r="F50" s="280" t="n"/>
      <c r="G50" s="280" t="n"/>
      <c r="H50" s="189" t="n"/>
      <c r="I50" s="272">
        <f>_xlfn.XLOOKUP(H50,Tab_Def_Processes[Name(EN)],Tab_Def_Processes[Process_ID],,0,)</f>
        <v/>
      </c>
      <c r="J50" s="189" t="n"/>
      <c r="K50" s="17">
        <f>_xlfn.XLOOKUP(J50,Tab_Def_Processes[Name(EN)],Tab_Def_Processes[Process_ID],,0,)</f>
        <v/>
      </c>
      <c r="L50" s="189" t="n"/>
      <c r="M50" s="189" t="n"/>
      <c r="N50" s="189" t="n"/>
      <c r="O50" s="183" t="n"/>
      <c r="P50" s="40" t="n"/>
      <c r="R50" s="40" t="n"/>
      <c r="S50" s="183" t="n"/>
      <c r="T50" s="40" t="n"/>
      <c r="U50" s="190">
        <f>Tab_Def_Flows[[#This Row],[CC_DM'[%']]]*Tab_Def_Flows[[#This Row],[DM]]</f>
        <v/>
      </c>
      <c r="V50" s="273" t="n"/>
    </row>
    <row r="51">
      <c r="A51" s="280" t="b">
        <v>0</v>
      </c>
      <c r="B51" s="43">
        <f>ROW()-1</f>
        <v/>
      </c>
      <c r="C51" s="272">
        <f>"F_"&amp;LEFT(I51,2)&amp;"_"&amp;LEFT(K51,2)</f>
        <v/>
      </c>
      <c r="D51" s="273" t="n"/>
      <c r="E51" s="280" t="n"/>
      <c r="F51" s="280" t="n"/>
      <c r="G51" s="280" t="n"/>
      <c r="H51" s="189" t="n"/>
      <c r="I51" s="272">
        <f>_xlfn.XLOOKUP(H51,Tab_Def_Processes[Name(EN)],Tab_Def_Processes[Process_ID],,0,)</f>
        <v/>
      </c>
      <c r="J51" s="189" t="n"/>
      <c r="K51" s="17">
        <f>_xlfn.XLOOKUP(J51,Tab_Def_Processes[Name(EN)],Tab_Def_Processes[Process_ID],,0,)</f>
        <v/>
      </c>
      <c r="L51" s="189" t="n"/>
      <c r="M51" s="189" t="n"/>
      <c r="N51" s="189" t="n"/>
      <c r="O51" s="183" t="n"/>
      <c r="P51" s="40" t="n"/>
      <c r="R51" s="40" t="n"/>
      <c r="S51" s="183" t="n"/>
      <c r="T51" s="40" t="n"/>
      <c r="U51" s="190">
        <f>Tab_Def_Flows[[#This Row],[CC_DM'[%']]]*Tab_Def_Flows[[#This Row],[DM]]</f>
        <v/>
      </c>
      <c r="V51" s="273" t="n"/>
    </row>
    <row r="52">
      <c r="A52" s="280" t="b">
        <v>0</v>
      </c>
      <c r="B52" s="43">
        <f>ROW()-1</f>
        <v/>
      </c>
      <c r="C52" s="272">
        <f>"F_"&amp;LEFT(I52,2)&amp;"_"&amp;LEFT(K52,2)</f>
        <v/>
      </c>
      <c r="D52" s="273" t="n"/>
      <c r="E52" s="280" t="n"/>
      <c r="F52" s="280" t="n"/>
      <c r="G52" s="280" t="n"/>
      <c r="H52" s="189" t="n"/>
      <c r="I52" s="272">
        <f>_xlfn.XLOOKUP(H52,Tab_Def_Processes[Name(EN)],Tab_Def_Processes[Process_ID],,0,)</f>
        <v/>
      </c>
      <c r="J52" s="189" t="n"/>
      <c r="K52" s="17">
        <f>_xlfn.XLOOKUP(J52,Tab_Def_Processes[Name(EN)],Tab_Def_Processes[Process_ID],,0,)</f>
        <v/>
      </c>
      <c r="L52" s="189" t="n"/>
      <c r="M52" s="189" t="n"/>
      <c r="N52" s="189" t="n"/>
      <c r="O52" s="183" t="n"/>
      <c r="P52" s="40" t="n"/>
      <c r="R52" s="40" t="n"/>
      <c r="S52" s="183" t="n"/>
      <c r="T52" s="40" t="n"/>
      <c r="U52" s="190">
        <f>Tab_Def_Flows[[#This Row],[CC_DM'[%']]]*Tab_Def_Flows[[#This Row],[DM]]</f>
        <v/>
      </c>
      <c r="V52" s="273" t="n"/>
    </row>
    <row r="53">
      <c r="A53" s="280" t="b">
        <v>0</v>
      </c>
      <c r="B53" s="43">
        <f>ROW()-1</f>
        <v/>
      </c>
      <c r="C53" s="272">
        <f>"F_"&amp;LEFT(I53,2)&amp;"_"&amp;LEFT(K53,2)</f>
        <v/>
      </c>
      <c r="D53" s="273" t="n"/>
      <c r="E53" s="280" t="n"/>
      <c r="F53" s="280" t="n"/>
      <c r="G53" s="280" t="n"/>
      <c r="H53" s="189" t="n"/>
      <c r="I53" s="272">
        <f>_xlfn.XLOOKUP(H53,Tab_Def_Processes[Name(EN)],Tab_Def_Processes[Process_ID],,0,)</f>
        <v/>
      </c>
      <c r="J53" s="189" t="n"/>
      <c r="K53" s="17">
        <f>_xlfn.XLOOKUP(J53,Tab_Def_Processes[Name(EN)],Tab_Def_Processes[Process_ID],,0,)</f>
        <v/>
      </c>
      <c r="L53" s="189" t="n"/>
      <c r="M53" s="189" t="n"/>
      <c r="N53" s="189" t="n"/>
      <c r="O53" s="183" t="n"/>
      <c r="P53" s="40" t="n"/>
      <c r="R53" s="40" t="n"/>
      <c r="S53" s="183" t="n"/>
      <c r="T53" s="40" t="n"/>
      <c r="U53" s="190">
        <f>Tab_Def_Flows[[#This Row],[CC_DM'[%']]]*Tab_Def_Flows[[#This Row],[DM]]</f>
        <v/>
      </c>
      <c r="V53" s="273" t="n"/>
    </row>
    <row r="54" ht="15" customHeight="1">
      <c r="A54" s="280" t="b">
        <v>0</v>
      </c>
      <c r="B54" s="43">
        <f>ROW()-1</f>
        <v/>
      </c>
      <c r="C54" s="272">
        <f>"F_"&amp;LEFT(I54,2)&amp;"_"&amp;LEFT(K54,2)</f>
        <v/>
      </c>
      <c r="D54" s="273" t="n"/>
      <c r="E54" s="38" t="n"/>
      <c r="F54" s="280" t="n"/>
      <c r="G54" s="38" t="n"/>
      <c r="H54" s="189" t="n"/>
      <c r="I54" s="272">
        <f>_xlfn.XLOOKUP(H54,Tab_Def_Processes[Name(EN)],Tab_Def_Processes[Process_ID],,0,)</f>
        <v/>
      </c>
      <c r="J54" s="189" t="n"/>
      <c r="K54" s="17">
        <f>_xlfn.XLOOKUP(J54,Tab_Def_Processes[Name(EN)],Tab_Def_Processes[Process_ID],,0,)</f>
        <v/>
      </c>
      <c r="L54" s="189" t="n"/>
      <c r="M54" s="189" t="n"/>
      <c r="N54" s="189" t="n"/>
      <c r="O54" s="183" t="n"/>
      <c r="P54" s="40" t="n"/>
      <c r="R54" s="40" t="n"/>
      <c r="S54" s="183" t="n"/>
      <c r="T54" s="40" t="n"/>
      <c r="U54" s="190">
        <f>Tab_Def_Flows[[#This Row],[CC_DM'[%']]]*Tab_Def_Flows[[#This Row],[DM]]</f>
        <v/>
      </c>
      <c r="V54" s="273" t="n"/>
    </row>
    <row r="55" ht="15" customHeight="1">
      <c r="A55" s="280" t="b">
        <v>0</v>
      </c>
      <c r="B55" s="43">
        <f>ROW()-1</f>
        <v/>
      </c>
      <c r="C55" s="272">
        <f>"F_"&amp;LEFT(I55,2)&amp;"_"&amp;LEFT(K55,2)</f>
        <v/>
      </c>
      <c r="D55" s="273" t="n"/>
      <c r="E55" s="38" t="n"/>
      <c r="F55" s="280" t="n"/>
      <c r="G55" s="38" t="n"/>
      <c r="H55" s="189" t="n"/>
      <c r="I55" s="272">
        <f>_xlfn.XLOOKUP(H55,Tab_Def_Processes[Name(EN)],Tab_Def_Processes[Process_ID],,0,)</f>
        <v/>
      </c>
      <c r="J55" s="189" t="n"/>
      <c r="K55" s="17">
        <f>_xlfn.XLOOKUP(J55,Tab_Def_Processes[Name(EN)],Tab_Def_Processes[Process_ID],,0,)</f>
        <v/>
      </c>
      <c r="L55" s="189" t="n"/>
      <c r="M55" s="189" t="n"/>
      <c r="N55" s="189" t="n"/>
      <c r="O55" s="183" t="n"/>
      <c r="P55" s="40" t="n"/>
      <c r="R55" s="40" t="n"/>
      <c r="S55" s="183" t="n"/>
      <c r="T55" s="40" t="n"/>
      <c r="U55" s="190">
        <f>Tab_Def_Flows[[#This Row],[CC_DM'[%']]]*Tab_Def_Flows[[#This Row],[DM]]</f>
        <v/>
      </c>
      <c r="V55" s="273" t="n"/>
    </row>
    <row r="56" ht="15" customHeight="1">
      <c r="A56" s="280" t="b">
        <v>0</v>
      </c>
      <c r="B56" s="43">
        <f>ROW()-1</f>
        <v/>
      </c>
      <c r="C56" s="272">
        <f>"F_"&amp;LEFT(I56,2)&amp;"_"&amp;LEFT(K56,2)</f>
        <v/>
      </c>
      <c r="D56" s="273" t="n"/>
      <c r="E56" s="38" t="n"/>
      <c r="F56" s="280" t="n"/>
      <c r="G56" s="38" t="n"/>
      <c r="H56" s="189" t="n"/>
      <c r="I56" s="272">
        <f>_xlfn.XLOOKUP(H56,Tab_Def_Processes[Name(EN)],Tab_Def_Processes[Process_ID],,0,)</f>
        <v/>
      </c>
      <c r="J56" s="189" t="n"/>
      <c r="K56" s="17">
        <f>_xlfn.XLOOKUP(J56,Tab_Def_Processes[Name(EN)],Tab_Def_Processes[Process_ID],,0,)</f>
        <v/>
      </c>
      <c r="L56" s="189" t="n"/>
      <c r="M56" s="189" t="n"/>
      <c r="N56" s="189" t="n"/>
      <c r="O56" s="183" t="n"/>
      <c r="P56" s="40" t="n"/>
      <c r="R56" s="40" t="n"/>
      <c r="S56" s="183" t="n"/>
      <c r="T56" s="40" t="n"/>
      <c r="U56" s="190">
        <f>Tab_Def_Flows[[#This Row],[CC_DM'[%']]]*Tab_Def_Flows[[#This Row],[DM]]</f>
        <v/>
      </c>
      <c r="V56" s="273" t="n"/>
    </row>
    <row r="57" ht="15" customHeight="1">
      <c r="A57" s="280" t="b">
        <v>0</v>
      </c>
      <c r="B57" s="43">
        <f>ROW()-1</f>
        <v/>
      </c>
      <c r="C57" s="272">
        <f>"F_"&amp;LEFT(I57,2)&amp;"_"&amp;LEFT(K57,2)</f>
        <v/>
      </c>
      <c r="D57" s="273" t="n"/>
      <c r="E57" s="38" t="n"/>
      <c r="F57" s="280" t="n"/>
      <c r="G57" s="38" t="n"/>
      <c r="H57" s="189" t="n"/>
      <c r="I57" s="272">
        <f>_xlfn.XLOOKUP(H57,Tab_Def_Processes[Name(EN)],Tab_Def_Processes[Process_ID],,0,)</f>
        <v/>
      </c>
      <c r="J57" s="189" t="n"/>
      <c r="K57" s="17">
        <f>_xlfn.XLOOKUP(J57,Tab_Def_Processes[Name(EN)],Tab_Def_Processes[Process_ID],,0,)</f>
        <v/>
      </c>
      <c r="L57" s="189" t="n"/>
      <c r="M57" s="189" t="n"/>
      <c r="N57" s="189" t="n"/>
      <c r="O57" s="183" t="n"/>
      <c r="P57" s="40" t="n"/>
      <c r="R57" s="40" t="n"/>
      <c r="S57" s="183" t="n"/>
      <c r="T57" s="40" t="n"/>
      <c r="U57" s="190">
        <f>Tab_Def_Flows[[#This Row],[CC_DM'[%']]]*Tab_Def_Flows[[#This Row],[DM]]</f>
        <v/>
      </c>
      <c r="V57" s="273" t="n"/>
    </row>
    <row r="58" ht="15" customHeight="1">
      <c r="A58" s="280" t="b">
        <v>0</v>
      </c>
      <c r="B58" s="43">
        <f>ROW()-1</f>
        <v/>
      </c>
      <c r="C58" s="272">
        <f>"F_"&amp;LEFT(I58,2)&amp;"_"&amp;LEFT(K58,2)</f>
        <v/>
      </c>
      <c r="D58" s="273" t="n"/>
      <c r="E58" s="280" t="n"/>
      <c r="F58" s="280" t="n"/>
      <c r="G58" s="38" t="n"/>
      <c r="H58" s="189" t="n"/>
      <c r="I58" s="272">
        <f>_xlfn.XLOOKUP(H58,Tab_Def_Processes[Name(EN)],Tab_Def_Processes[Process_ID],,0,)</f>
        <v/>
      </c>
      <c r="J58" s="189" t="n"/>
      <c r="K58" s="17">
        <f>_xlfn.XLOOKUP(J58,Tab_Def_Processes[Name(EN)],Tab_Def_Processes[Process_ID],,0,)</f>
        <v/>
      </c>
      <c r="L58" s="189" t="n"/>
      <c r="M58" s="189" t="n"/>
      <c r="N58" s="189" t="n"/>
      <c r="O58" s="183" t="n"/>
      <c r="P58" s="40" t="n"/>
      <c r="R58" s="40" t="n"/>
      <c r="S58" s="183" t="n"/>
      <c r="T58" s="40" t="n"/>
      <c r="U58" s="190">
        <f>Tab_Def_Flows[[#This Row],[CC_DM'[%']]]*Tab_Def_Flows[[#This Row],[DM]]</f>
        <v/>
      </c>
      <c r="V58" s="273" t="n"/>
    </row>
    <row r="59" ht="15" customHeight="1">
      <c r="A59" s="280" t="b">
        <v>0</v>
      </c>
      <c r="B59" s="43">
        <f>ROW()-1</f>
        <v/>
      </c>
      <c r="C59" s="272">
        <f>"F_"&amp;LEFT(I59,2)&amp;"_"&amp;LEFT(K59,2)</f>
        <v/>
      </c>
      <c r="D59" s="273" t="n"/>
      <c r="E59" s="280" t="n"/>
      <c r="F59" s="280" t="n"/>
      <c r="G59" s="38" t="n"/>
      <c r="H59" s="189" t="n"/>
      <c r="I59" s="272">
        <f>_xlfn.XLOOKUP(H59,Tab_Def_Processes[Name(EN)],Tab_Def_Processes[Process_ID],,0,)</f>
        <v/>
      </c>
      <c r="J59" s="189" t="n"/>
      <c r="K59" s="17">
        <f>_xlfn.XLOOKUP(J59,Tab_Def_Processes[Name(EN)],Tab_Def_Processes[Process_ID],,0,)</f>
        <v/>
      </c>
      <c r="L59" s="189" t="n"/>
      <c r="M59" s="189" t="n"/>
      <c r="N59" s="189" t="n"/>
      <c r="O59" s="183" t="n"/>
      <c r="P59" s="40" t="n"/>
      <c r="R59" s="40" t="n"/>
      <c r="S59" s="183" t="n"/>
      <c r="T59" s="40" t="n"/>
      <c r="U59" s="190">
        <f>Tab_Def_Flows[[#This Row],[CC_DM'[%']]]*Tab_Def_Flows[[#This Row],[DM]]</f>
        <v/>
      </c>
      <c r="V59" s="273" t="n"/>
    </row>
    <row r="60" ht="15" customHeight="1">
      <c r="A60" s="280" t="b">
        <v>0</v>
      </c>
      <c r="B60" s="43">
        <f>ROW()-1</f>
        <v/>
      </c>
      <c r="C60" s="272">
        <f>"F_"&amp;LEFT(I60,2)&amp;"_"&amp;LEFT(K60,2)</f>
        <v/>
      </c>
      <c r="D60" s="273" t="n"/>
      <c r="E60" s="280" t="n"/>
      <c r="F60" s="280" t="n"/>
      <c r="G60" s="38" t="n"/>
      <c r="H60" s="189" t="n"/>
      <c r="I60" s="272">
        <f>_xlfn.XLOOKUP(H60,Tab_Def_Processes[Name(EN)],Tab_Def_Processes[Process_ID],,0,)</f>
        <v/>
      </c>
      <c r="J60" s="189" t="n"/>
      <c r="K60" s="17">
        <f>_xlfn.XLOOKUP(J60,Tab_Def_Processes[Name(EN)],Tab_Def_Processes[Process_ID],,0,)</f>
        <v/>
      </c>
      <c r="L60" s="189" t="n"/>
      <c r="M60" s="189" t="n"/>
      <c r="N60" s="189" t="n"/>
      <c r="O60" s="183" t="n"/>
      <c r="P60" s="40" t="n"/>
      <c r="R60" s="40" t="n"/>
      <c r="S60" s="183" t="n"/>
      <c r="T60" s="40" t="n"/>
      <c r="U60" s="190">
        <f>Tab_Def_Flows[[#This Row],[CC_DM'[%']]]*Tab_Def_Flows[[#This Row],[DM]]</f>
        <v/>
      </c>
      <c r="V60" s="273" t="n"/>
    </row>
    <row r="61" ht="15" customHeight="1">
      <c r="A61" s="280" t="b">
        <v>0</v>
      </c>
      <c r="B61" s="43">
        <f>ROW()-1</f>
        <v/>
      </c>
      <c r="C61" s="272">
        <f>"F_"&amp;LEFT(I61,2)&amp;"_"&amp;LEFT(K61,2)</f>
        <v/>
      </c>
      <c r="D61" s="273" t="n"/>
      <c r="E61" s="280" t="n"/>
      <c r="F61" s="280" t="n"/>
      <c r="G61" s="38" t="n"/>
      <c r="H61" s="189" t="n"/>
      <c r="I61" s="272">
        <f>_xlfn.XLOOKUP(H61,Tab_Def_Processes[Name(EN)],Tab_Def_Processes[Process_ID],,0,)</f>
        <v/>
      </c>
      <c r="J61" s="189" t="n"/>
      <c r="K61" s="17">
        <f>_xlfn.XLOOKUP(J61,Tab_Def_Processes[Name(EN)],Tab_Def_Processes[Process_ID],,0,)</f>
        <v/>
      </c>
      <c r="L61" s="189" t="n"/>
      <c r="M61" s="189" t="n"/>
      <c r="N61" s="189" t="n"/>
      <c r="O61" s="183" t="n"/>
      <c r="P61" s="40" t="n"/>
      <c r="R61" s="40" t="n"/>
      <c r="S61" s="183" t="n"/>
      <c r="T61" s="40" t="n"/>
      <c r="U61" s="190">
        <f>Tab_Def_Flows[[#This Row],[CC_DM'[%']]]*Tab_Def_Flows[[#This Row],[DM]]</f>
        <v/>
      </c>
      <c r="V61" s="273" t="n"/>
    </row>
    <row r="62">
      <c r="A62" s="280" t="b">
        <v>0</v>
      </c>
      <c r="B62" s="43">
        <f>ROW()-1</f>
        <v/>
      </c>
      <c r="C62" s="272">
        <f>"F_"&amp;LEFT(I62,2)&amp;"_"&amp;LEFT(K62,2)</f>
        <v/>
      </c>
      <c r="D62" s="273" t="n"/>
      <c r="E62" s="280" t="n"/>
      <c r="F62" s="280" t="n"/>
      <c r="G62" s="280" t="n"/>
      <c r="H62" s="189" t="n"/>
      <c r="I62" s="272">
        <f>_xlfn.XLOOKUP(H62,Tab_Def_Processes[Name(EN)],Tab_Def_Processes[Process_ID],,0,)</f>
        <v/>
      </c>
      <c r="J62" s="189" t="n"/>
      <c r="K62" s="17">
        <f>_xlfn.XLOOKUP(J62,Tab_Def_Processes[Name(EN)],Tab_Def_Processes[Process_ID],,0,)</f>
        <v/>
      </c>
      <c r="L62" s="189" t="n"/>
      <c r="M62" s="189" t="n"/>
      <c r="N62" s="189" t="n"/>
      <c r="O62" s="183" t="n"/>
      <c r="P62" s="40" t="n"/>
      <c r="R62" s="40" t="n"/>
      <c r="S62" s="183" t="n"/>
      <c r="T62" s="40" t="n"/>
      <c r="U62" s="190">
        <f>Tab_Def_Flows[[#This Row],[CC_DM'[%']]]*Tab_Def_Flows[[#This Row],[DM]]</f>
        <v/>
      </c>
      <c r="V62" s="273" t="n"/>
    </row>
    <row r="63">
      <c r="A63" s="280" t="b">
        <v>0</v>
      </c>
      <c r="B63" s="43">
        <f>ROW()-1</f>
        <v/>
      </c>
      <c r="C63" s="272">
        <f>"F_"&amp;LEFT(I63,2)&amp;"_"&amp;LEFT(K63,2)</f>
        <v/>
      </c>
      <c r="D63" s="273" t="n"/>
      <c r="E63" s="280" t="n"/>
      <c r="F63" s="280" t="n"/>
      <c r="G63" s="280" t="n"/>
      <c r="H63" s="189" t="n"/>
      <c r="I63" s="272">
        <f>_xlfn.XLOOKUP(H63,Tab_Def_Processes[Name(EN)],Tab_Def_Processes[Process_ID],,0,)</f>
        <v/>
      </c>
      <c r="J63" s="189" t="n"/>
      <c r="K63" s="17">
        <f>_xlfn.XLOOKUP(J63,Tab_Def_Processes[Name(EN)],Tab_Def_Processes[Process_ID],,0,)</f>
        <v/>
      </c>
      <c r="L63" s="189" t="n"/>
      <c r="M63" s="189" t="n"/>
      <c r="N63" s="189" t="n"/>
      <c r="O63" s="183" t="n"/>
      <c r="P63" s="40" t="n"/>
      <c r="R63" s="40" t="n"/>
      <c r="S63" s="183" t="n"/>
      <c r="T63" s="40" t="n"/>
      <c r="U63" s="190">
        <f>Tab_Def_Flows[[#This Row],[CC_DM'[%']]]*Tab_Def_Flows[[#This Row],[DM]]</f>
        <v/>
      </c>
      <c r="V63" s="273" t="n"/>
    </row>
    <row r="64">
      <c r="A64" s="280" t="b">
        <v>0</v>
      </c>
      <c r="B64" s="43">
        <f>ROW()-1</f>
        <v/>
      </c>
      <c r="C64" s="272">
        <f>"F_"&amp;LEFT(I64,2)&amp;"_"&amp;LEFT(K64,2)</f>
        <v/>
      </c>
      <c r="D64" s="273" t="n"/>
      <c r="E64" s="280" t="n"/>
      <c r="F64" s="280" t="n"/>
      <c r="G64" s="280" t="n"/>
      <c r="H64" s="189" t="n"/>
      <c r="I64" s="272">
        <f>_xlfn.XLOOKUP(H64,Tab_Def_Processes[Name(EN)],Tab_Def_Processes[Process_ID],,0,)</f>
        <v/>
      </c>
      <c r="J64" s="189" t="n"/>
      <c r="K64" s="17">
        <f>_xlfn.XLOOKUP(J64,Tab_Def_Processes[Name(EN)],Tab_Def_Processes[Process_ID],,0,)</f>
        <v/>
      </c>
      <c r="L64" s="189" t="n"/>
      <c r="M64" s="189" t="n"/>
      <c r="N64" s="189" t="n"/>
      <c r="O64" s="183" t="n"/>
      <c r="P64" s="40" t="n"/>
      <c r="R64" s="40" t="n"/>
      <c r="S64" s="183" t="n"/>
      <c r="T64" s="40" t="n"/>
      <c r="U64" s="190">
        <f>Tab_Def_Flows[[#This Row],[CC_DM'[%']]]*Tab_Def_Flows[[#This Row],[DM]]</f>
        <v/>
      </c>
      <c r="V64" s="273" t="n"/>
    </row>
    <row r="65">
      <c r="A65" s="280" t="b">
        <v>0</v>
      </c>
      <c r="B65" s="43">
        <f>ROW()-1</f>
        <v/>
      </c>
      <c r="C65" s="272">
        <f>"F_"&amp;LEFT(I65,2)&amp;"_"&amp;LEFT(K65,2)</f>
        <v/>
      </c>
      <c r="D65" s="273" t="n"/>
      <c r="E65" s="280" t="n"/>
      <c r="F65" s="280" t="n"/>
      <c r="G65" s="280" t="n"/>
      <c r="H65" s="189" t="n"/>
      <c r="I65" s="272">
        <f>_xlfn.XLOOKUP(H65,Tab_Def_Processes[Name(EN)],Tab_Def_Processes[Process_ID],,0,)</f>
        <v/>
      </c>
      <c r="J65" s="189" t="n"/>
      <c r="K65" s="17">
        <f>_xlfn.XLOOKUP(J65,Tab_Def_Processes[Name(EN)],Tab_Def_Processes[Process_ID],,0,)</f>
        <v/>
      </c>
      <c r="L65" s="189" t="n"/>
      <c r="M65" s="189" t="n"/>
      <c r="N65" s="189" t="n"/>
      <c r="O65" s="183" t="n"/>
      <c r="P65" s="40" t="n"/>
      <c r="R65" s="40" t="n"/>
      <c r="S65" s="183" t="n"/>
      <c r="T65" s="40" t="n"/>
      <c r="U65" s="190">
        <f>Tab_Def_Flows[[#This Row],[CC_DM'[%']]]*Tab_Def_Flows[[#This Row],[DM]]</f>
        <v/>
      </c>
      <c r="V65" s="273" t="n"/>
    </row>
    <row r="66">
      <c r="A66" s="280" t="b">
        <v>0</v>
      </c>
      <c r="B66" s="43">
        <f>ROW()-1</f>
        <v/>
      </c>
      <c r="C66" s="272">
        <f>"F_"&amp;LEFT(I66,2)&amp;"_"&amp;LEFT(K66,2)</f>
        <v/>
      </c>
      <c r="D66" s="273" t="n"/>
      <c r="E66" s="280" t="n"/>
      <c r="F66" s="280" t="n"/>
      <c r="G66" s="280" t="n"/>
      <c r="H66" s="189" t="n"/>
      <c r="I66" s="272">
        <f>_xlfn.XLOOKUP(H66,Tab_Def_Processes[Name(EN)],Tab_Def_Processes[Process_ID],,0,)</f>
        <v/>
      </c>
      <c r="J66" s="189" t="n"/>
      <c r="K66" s="17">
        <f>_xlfn.XLOOKUP(J66,Tab_Def_Processes[Name(EN)],Tab_Def_Processes[Process_ID],,0,)</f>
        <v/>
      </c>
      <c r="L66" s="189" t="n"/>
      <c r="M66" s="189" t="n"/>
      <c r="N66" s="189" t="n"/>
      <c r="O66" s="183" t="n"/>
      <c r="P66" s="40" t="n"/>
      <c r="R66" s="40" t="n"/>
      <c r="S66" s="183" t="n"/>
      <c r="T66" s="40" t="n"/>
      <c r="U66" s="190">
        <f>Tab_Def_Flows[[#This Row],[CC_DM'[%']]]*Tab_Def_Flows[[#This Row],[DM]]</f>
        <v/>
      </c>
      <c r="V66" s="273" t="n"/>
    </row>
    <row r="67">
      <c r="A67" s="280" t="b">
        <v>0</v>
      </c>
      <c r="B67" s="43">
        <f>ROW()-1</f>
        <v/>
      </c>
      <c r="C67" s="272">
        <f>"F_"&amp;LEFT(I67,2)&amp;"_"&amp;LEFT(K67,2)</f>
        <v/>
      </c>
      <c r="D67" s="273" t="n"/>
      <c r="E67" s="280" t="n"/>
      <c r="F67" s="280" t="n"/>
      <c r="G67" s="280" t="n"/>
      <c r="H67" s="189" t="n"/>
      <c r="I67" s="272">
        <f>_xlfn.XLOOKUP(H67,Tab_Def_Processes[Name(EN)],Tab_Def_Processes[Process_ID],,0,)</f>
        <v/>
      </c>
      <c r="J67" s="189" t="n"/>
      <c r="K67" s="17">
        <f>_xlfn.XLOOKUP(J67,Tab_Def_Processes[Name(EN)],Tab_Def_Processes[Process_ID],,0,)</f>
        <v/>
      </c>
      <c r="L67" s="189" t="n"/>
      <c r="M67" s="189" t="n"/>
      <c r="N67" s="189" t="n"/>
      <c r="O67" s="183" t="n"/>
      <c r="P67" s="40" t="n"/>
      <c r="R67" s="40" t="n"/>
      <c r="S67" s="183" t="n"/>
      <c r="T67" s="40" t="n"/>
      <c r="U67" s="190">
        <f>Tab_Def_Flows[[#This Row],[CC_DM'[%']]]*Tab_Def_Flows[[#This Row],[DM]]</f>
        <v/>
      </c>
      <c r="V67" s="273" t="n"/>
    </row>
    <row r="68">
      <c r="A68" s="280" t="b">
        <v>0</v>
      </c>
      <c r="B68" s="43">
        <f>ROW()-1</f>
        <v/>
      </c>
      <c r="C68" s="272">
        <f>"F_"&amp;LEFT(I68,2)&amp;"_"&amp;LEFT(K68,2)</f>
        <v/>
      </c>
      <c r="D68" s="273" t="n"/>
      <c r="E68" s="280" t="n"/>
      <c r="F68" s="280" t="n"/>
      <c r="G68" s="280" t="n"/>
      <c r="H68" s="189" t="n"/>
      <c r="I68" s="272">
        <f>_xlfn.XLOOKUP(H68,Tab_Def_Processes[Name(EN)],Tab_Def_Processes[Process_ID],,0,)</f>
        <v/>
      </c>
      <c r="J68" s="189" t="n"/>
      <c r="K68" s="17">
        <f>_xlfn.XLOOKUP(J68,Tab_Def_Processes[Name(EN)],Tab_Def_Processes[Process_ID],,0,)</f>
        <v/>
      </c>
      <c r="L68" s="189" t="n"/>
      <c r="M68" s="189" t="n"/>
      <c r="N68" s="189" t="n"/>
      <c r="O68" s="183" t="n"/>
      <c r="P68" s="40" t="n"/>
      <c r="R68" s="40" t="n"/>
      <c r="S68" s="183" t="n"/>
      <c r="T68" s="40" t="n"/>
      <c r="U68" s="190">
        <f>Tab_Def_Flows[[#This Row],[CC_DM'[%']]]*Tab_Def_Flows[[#This Row],[DM]]</f>
        <v/>
      </c>
      <c r="V68" s="273" t="n"/>
    </row>
    <row r="69">
      <c r="A69" s="280" t="b">
        <v>0</v>
      </c>
      <c r="B69" s="43">
        <f>ROW()-1</f>
        <v/>
      </c>
      <c r="C69" s="272">
        <f>"F_"&amp;LEFT(I69,2)&amp;"_"&amp;LEFT(K69,2)</f>
        <v/>
      </c>
      <c r="D69" s="273" t="n"/>
      <c r="E69" s="280" t="n"/>
      <c r="F69" s="280" t="n"/>
      <c r="G69" s="280" t="n"/>
      <c r="H69" s="189" t="n"/>
      <c r="I69" s="272">
        <f>_xlfn.XLOOKUP(H69,Tab_Def_Processes[Name(EN)],Tab_Def_Processes[Process_ID],,0,)</f>
        <v/>
      </c>
      <c r="J69" s="189" t="n"/>
      <c r="K69" s="17">
        <f>_xlfn.XLOOKUP(J69,Tab_Def_Processes[Name(EN)],Tab_Def_Processes[Process_ID],,0,)</f>
        <v/>
      </c>
      <c r="L69" s="189" t="n"/>
      <c r="M69" s="189" t="n"/>
      <c r="N69" s="189" t="n"/>
      <c r="O69" s="183" t="n"/>
      <c r="P69" s="40" t="n"/>
      <c r="R69" s="40" t="n"/>
      <c r="S69" s="183" t="n"/>
      <c r="T69" s="40" t="n"/>
      <c r="U69" s="190">
        <f>Tab_Def_Flows[[#This Row],[CC_DM'[%']]]*Tab_Def_Flows[[#This Row],[DM]]</f>
        <v/>
      </c>
      <c r="V69" s="273" t="n"/>
    </row>
    <row r="70">
      <c r="A70" s="280" t="b">
        <v>0</v>
      </c>
      <c r="B70" s="43">
        <f>ROW()-1</f>
        <v/>
      </c>
      <c r="C70" s="272">
        <f>"F_"&amp;LEFT(I70,2)&amp;"_"&amp;LEFT(K70,2)</f>
        <v/>
      </c>
      <c r="D70" s="273" t="n"/>
      <c r="E70" s="280" t="n"/>
      <c r="F70" s="280" t="n"/>
      <c r="G70" s="280" t="n"/>
      <c r="H70" s="189" t="n"/>
      <c r="I70" s="272">
        <f>_xlfn.XLOOKUP(H70,Tab_Def_Processes[Name(EN)],Tab_Def_Processes[Process_ID],,0,)</f>
        <v/>
      </c>
      <c r="J70" s="189" t="n"/>
      <c r="K70" s="17">
        <f>_xlfn.XLOOKUP(J70,Tab_Def_Processes[Name(EN)],Tab_Def_Processes[Process_ID],,0,)</f>
        <v/>
      </c>
      <c r="L70" s="189" t="n"/>
      <c r="M70" s="189" t="n"/>
      <c r="N70" s="189" t="n"/>
      <c r="O70" s="183" t="n"/>
      <c r="P70" s="40" t="n"/>
      <c r="R70" s="40" t="n"/>
      <c r="S70" s="183" t="n"/>
      <c r="T70" s="40" t="n"/>
      <c r="U70" s="190">
        <f>Tab_Def_Flows[[#This Row],[CC_DM'[%']]]*Tab_Def_Flows[[#This Row],[DM]]</f>
        <v/>
      </c>
      <c r="V70" s="273" t="n"/>
    </row>
    <row r="71">
      <c r="A71" s="280" t="b">
        <v>0</v>
      </c>
      <c r="B71" s="43">
        <f>ROW()-1</f>
        <v/>
      </c>
      <c r="C71" s="272">
        <f>"F_"&amp;LEFT(I71,2)&amp;"_"&amp;LEFT(K71,2)</f>
        <v/>
      </c>
      <c r="D71" s="273" t="n"/>
      <c r="E71" s="280" t="n"/>
      <c r="F71" s="280" t="n"/>
      <c r="G71" s="280" t="n"/>
      <c r="H71" s="189" t="n"/>
      <c r="I71" s="272">
        <f>_xlfn.XLOOKUP(H71,Tab_Def_Processes[Name(EN)],Tab_Def_Processes[Process_ID],,0,)</f>
        <v/>
      </c>
      <c r="J71" s="189" t="n"/>
      <c r="K71" s="17">
        <f>_xlfn.XLOOKUP(J71,Tab_Def_Processes[Name(EN)],Tab_Def_Processes[Process_ID],,0,)</f>
        <v/>
      </c>
      <c r="L71" s="189" t="n"/>
      <c r="M71" s="189" t="n"/>
      <c r="N71" s="189" t="n"/>
      <c r="O71" s="183" t="n"/>
      <c r="P71" s="40" t="n"/>
      <c r="R71" s="40" t="n"/>
      <c r="S71" s="183" t="n"/>
      <c r="T71" s="40" t="n"/>
      <c r="U71" s="190">
        <f>Tab_Def_Flows[[#This Row],[CC_DM'[%']]]*Tab_Def_Flows[[#This Row],[DM]]</f>
        <v/>
      </c>
      <c r="V71" s="273" t="n"/>
    </row>
    <row r="72">
      <c r="A72" s="280" t="b">
        <v>0</v>
      </c>
      <c r="B72" s="43">
        <f>ROW()-1</f>
        <v/>
      </c>
      <c r="C72" s="272">
        <f>"F_"&amp;LEFT(I72,2)&amp;"_"&amp;LEFT(K72,2)</f>
        <v/>
      </c>
      <c r="D72" s="273" t="n"/>
      <c r="E72" s="280" t="n"/>
      <c r="F72" s="280" t="n"/>
      <c r="G72" s="280" t="n"/>
      <c r="H72" s="189" t="n"/>
      <c r="I72" s="272">
        <f>_xlfn.XLOOKUP(H72,Tab_Def_Processes[Name(EN)],Tab_Def_Processes[Process_ID],,0,)</f>
        <v/>
      </c>
      <c r="J72" s="189" t="n"/>
      <c r="K72" s="17">
        <f>_xlfn.XLOOKUP(J72,Tab_Def_Processes[Name(EN)],Tab_Def_Processes[Process_ID],,0,)</f>
        <v/>
      </c>
      <c r="L72" s="189" t="n"/>
      <c r="M72" s="189" t="n"/>
      <c r="N72" s="189" t="n"/>
      <c r="O72" s="183" t="n"/>
      <c r="P72" s="40" t="n"/>
      <c r="R72" s="40" t="n"/>
      <c r="S72" s="183" t="n"/>
      <c r="T72" s="40" t="n"/>
      <c r="U72" s="190">
        <f>Tab_Def_Flows[[#This Row],[CC_DM'[%']]]*Tab_Def_Flows[[#This Row],[DM]]</f>
        <v/>
      </c>
      <c r="V72" s="273" t="n"/>
    </row>
    <row r="73">
      <c r="A73" s="280" t="b">
        <v>0</v>
      </c>
      <c r="B73" s="43">
        <f>ROW()-1</f>
        <v/>
      </c>
      <c r="C73" s="272">
        <f>"F_"&amp;LEFT(I73,2)&amp;"_"&amp;LEFT(K73,2)</f>
        <v/>
      </c>
      <c r="D73" s="273" t="n"/>
      <c r="E73" s="280" t="n"/>
      <c r="F73" s="280" t="n"/>
      <c r="G73" s="280" t="n"/>
      <c r="H73" s="189" t="n"/>
      <c r="I73" s="272">
        <f>_xlfn.XLOOKUP(H73,Tab_Def_Processes[Name(EN)],Tab_Def_Processes[Process_ID],,0,)</f>
        <v/>
      </c>
      <c r="J73" s="189" t="n"/>
      <c r="K73" s="17">
        <f>_xlfn.XLOOKUP(J73,Tab_Def_Processes[Name(EN)],Tab_Def_Processes[Process_ID],,0,)</f>
        <v/>
      </c>
      <c r="L73" s="189" t="n"/>
      <c r="M73" s="189" t="n"/>
      <c r="N73" s="189" t="n"/>
      <c r="O73" s="183" t="n"/>
      <c r="P73" s="40" t="n"/>
      <c r="R73" s="40" t="n"/>
      <c r="S73" s="183" t="n"/>
      <c r="T73" s="40" t="n"/>
      <c r="U73" s="190">
        <f>Tab_Def_Flows[[#This Row],[CC_DM'[%']]]*Tab_Def_Flows[[#This Row],[DM]]</f>
        <v/>
      </c>
      <c r="V73" s="273" t="n"/>
    </row>
    <row r="74">
      <c r="A74" s="280" t="b">
        <v>0</v>
      </c>
      <c r="B74" s="43">
        <f>ROW()-1</f>
        <v/>
      </c>
      <c r="C74" s="272">
        <f>"F_"&amp;LEFT(I74,2)&amp;"_"&amp;LEFT(K74,2)</f>
        <v/>
      </c>
      <c r="D74" s="273" t="n"/>
      <c r="E74" s="280" t="n"/>
      <c r="F74" s="280" t="n"/>
      <c r="G74" s="280" t="n"/>
      <c r="H74" s="189" t="n"/>
      <c r="I74" s="272">
        <f>_xlfn.XLOOKUP(H74,Tab_Def_Processes[Name(EN)],Tab_Def_Processes[Process_ID],,0,)</f>
        <v/>
      </c>
      <c r="J74" s="189" t="n"/>
      <c r="K74" s="17">
        <f>_xlfn.XLOOKUP(J74,Tab_Def_Processes[Name(EN)],Tab_Def_Processes[Process_ID],,0,)</f>
        <v/>
      </c>
      <c r="L74" s="189" t="n"/>
      <c r="M74" s="189" t="n"/>
      <c r="N74" s="189" t="n"/>
      <c r="O74" s="183" t="n"/>
      <c r="P74" s="40" t="n"/>
      <c r="R74" s="40" t="n"/>
      <c r="S74" s="183" t="n"/>
      <c r="T74" s="40" t="n"/>
      <c r="U74" s="190">
        <f>Tab_Def_Flows[[#This Row],[CC_DM'[%']]]*Tab_Def_Flows[[#This Row],[DM]]</f>
        <v/>
      </c>
      <c r="V74" s="273" t="n"/>
    </row>
    <row r="75">
      <c r="A75" s="280" t="b">
        <v>0</v>
      </c>
      <c r="B75" s="43">
        <f>ROW()-1</f>
        <v/>
      </c>
      <c r="C75" s="272">
        <f>"F_"&amp;LEFT(I75,2)&amp;"_"&amp;LEFT(K75,2)</f>
        <v/>
      </c>
      <c r="D75" s="273" t="n"/>
      <c r="E75" s="280" t="n"/>
      <c r="F75" s="280" t="n"/>
      <c r="G75" s="280" t="n"/>
      <c r="H75" s="189" t="n"/>
      <c r="I75" s="272">
        <f>_xlfn.XLOOKUP(H75,Tab_Def_Processes[Name(EN)],Tab_Def_Processes[Process_ID],,0,)</f>
        <v/>
      </c>
      <c r="J75" s="189" t="n"/>
      <c r="K75" s="17">
        <f>_xlfn.XLOOKUP(J75,Tab_Def_Processes[Name(EN)],Tab_Def_Processes[Process_ID],,0,)</f>
        <v/>
      </c>
      <c r="L75" s="189" t="n"/>
      <c r="M75" s="189" t="n"/>
      <c r="N75" s="189" t="n"/>
      <c r="O75" s="183" t="n"/>
      <c r="P75" s="40" t="n"/>
      <c r="R75" s="40" t="n"/>
      <c r="S75" s="183" t="n"/>
      <c r="T75" s="40" t="n"/>
      <c r="U75" s="190">
        <f>Tab_Def_Flows[[#This Row],[CC_DM'[%']]]*Tab_Def_Flows[[#This Row],[DM]]</f>
        <v/>
      </c>
      <c r="V75" s="273" t="n"/>
    </row>
    <row r="76">
      <c r="A76" s="280" t="b">
        <v>0</v>
      </c>
      <c r="B76" s="43">
        <f>ROW()-1</f>
        <v/>
      </c>
      <c r="C76" s="272">
        <f>"F_"&amp;LEFT(I76,2)&amp;"_"&amp;LEFT(K76,2)</f>
        <v/>
      </c>
      <c r="D76" s="273" t="n"/>
      <c r="E76" s="280" t="n"/>
      <c r="F76" s="280" t="n"/>
      <c r="G76" s="280" t="n"/>
      <c r="H76" s="189" t="n"/>
      <c r="I76" s="272">
        <f>_xlfn.XLOOKUP(H76,Tab_Def_Processes[Name(EN)],Tab_Def_Processes[Process_ID],,0,)</f>
        <v/>
      </c>
      <c r="J76" s="189" t="n"/>
      <c r="K76" s="17">
        <f>_xlfn.XLOOKUP(J76,Tab_Def_Processes[Name(EN)],Tab_Def_Processes[Process_ID],,0,)</f>
        <v/>
      </c>
      <c r="L76" s="189" t="n"/>
      <c r="M76" s="189" t="n"/>
      <c r="N76" s="189" t="n"/>
      <c r="O76" s="183" t="n"/>
      <c r="P76" s="40" t="n"/>
      <c r="R76" s="40" t="n"/>
      <c r="S76" s="183" t="n"/>
      <c r="T76" s="40" t="n"/>
      <c r="U76" s="190">
        <f>Tab_Def_Flows[[#This Row],[CC_DM'[%']]]*Tab_Def_Flows[[#This Row],[DM]]</f>
        <v/>
      </c>
      <c r="V76" s="273" t="n"/>
    </row>
    <row r="77">
      <c r="A77" s="280" t="b">
        <v>0</v>
      </c>
      <c r="B77" s="43">
        <f>ROW()-1</f>
        <v/>
      </c>
      <c r="C77" s="272">
        <f>"F_"&amp;LEFT(I77,2)&amp;"_"&amp;LEFT(K77,2)</f>
        <v/>
      </c>
      <c r="D77" s="273" t="n"/>
      <c r="E77" s="280" t="n"/>
      <c r="F77" s="280" t="n"/>
      <c r="G77" s="280" t="n"/>
      <c r="H77" s="189" t="n"/>
      <c r="I77" s="272">
        <f>_xlfn.XLOOKUP(H77,Tab_Def_Processes[Name(EN)],Tab_Def_Processes[Process_ID],,0,)</f>
        <v/>
      </c>
      <c r="J77" s="189" t="n"/>
      <c r="K77" s="17">
        <f>_xlfn.XLOOKUP(J77,Tab_Def_Processes[Name(EN)],Tab_Def_Processes[Process_ID],,0,)</f>
        <v/>
      </c>
      <c r="L77" s="189" t="n"/>
      <c r="M77" s="189" t="n"/>
      <c r="N77" s="189" t="n"/>
      <c r="O77" s="183" t="n"/>
      <c r="P77" s="40" t="n"/>
      <c r="R77" s="40" t="n"/>
      <c r="S77" s="183" t="n"/>
      <c r="T77" s="40" t="n"/>
      <c r="U77" s="190">
        <f>Tab_Def_Flows[[#This Row],[CC_DM'[%']]]*Tab_Def_Flows[[#This Row],[DM]]</f>
        <v/>
      </c>
      <c r="V77" s="273" t="n"/>
    </row>
    <row r="78">
      <c r="A78" s="280" t="b">
        <v>0</v>
      </c>
      <c r="B78" s="43">
        <f>ROW()-1</f>
        <v/>
      </c>
      <c r="C78" s="272">
        <f>"F_"&amp;LEFT(I78,2)&amp;"_"&amp;LEFT(K78,2)</f>
        <v/>
      </c>
      <c r="D78" s="273" t="n"/>
      <c r="E78" s="280" t="n"/>
      <c r="F78" s="280" t="n"/>
      <c r="G78" s="280" t="n"/>
      <c r="H78" s="189" t="n"/>
      <c r="I78" s="272">
        <f>_xlfn.XLOOKUP(H78,Tab_Def_Processes[Name(EN)],Tab_Def_Processes[Process_ID],,0,)</f>
        <v/>
      </c>
      <c r="J78" s="189" t="n"/>
      <c r="K78" s="17">
        <f>_xlfn.XLOOKUP(J78,Tab_Def_Processes[Name(EN)],Tab_Def_Processes[Process_ID],,0,)</f>
        <v/>
      </c>
      <c r="L78" s="189" t="n"/>
      <c r="M78" s="189" t="n"/>
      <c r="N78" s="189" t="n"/>
      <c r="O78" s="183" t="n"/>
      <c r="P78" s="40" t="n"/>
      <c r="R78" s="40" t="n"/>
      <c r="S78" s="183" t="n"/>
      <c r="T78" s="40" t="n"/>
      <c r="U78" s="190">
        <f>Tab_Def_Flows[[#This Row],[CC_DM'[%']]]*Tab_Def_Flows[[#This Row],[DM]]</f>
        <v/>
      </c>
      <c r="V78" s="273" t="n"/>
    </row>
    <row r="79">
      <c r="A79" s="280" t="b">
        <v>0</v>
      </c>
      <c r="B79" s="43">
        <f>ROW()-1</f>
        <v/>
      </c>
      <c r="C79" s="272" t="inlineStr">
        <is>
          <t>N.A.</t>
        </is>
      </c>
      <c r="D79" s="273" t="inlineStr">
        <is>
          <t>N.A.</t>
        </is>
      </c>
      <c r="E79" s="280" t="n"/>
      <c r="F79" s="280" t="n"/>
      <c r="G79" s="280" t="n"/>
      <c r="H79" s="189" t="n"/>
      <c r="I79" s="272" t="n"/>
      <c r="J79" s="189" t="n"/>
      <c r="K79" s="17" t="n"/>
      <c r="L79" s="189" t="n"/>
      <c r="M79" s="189" t="n"/>
      <c r="N79" s="189" t="n"/>
      <c r="O79" s="183" t="n"/>
      <c r="P79" s="40" t="n"/>
      <c r="R79" s="40" t="n"/>
      <c r="S79" s="183" t="n"/>
      <c r="T79" s="40" t="n"/>
      <c r="U79" s="190">
        <f>Tab_Def_Flows[[#This Row],[CC_DM'[%']]]*Tab_Def_Flows[[#This Row],[DM]]</f>
        <v/>
      </c>
      <c r="V79" s="273" t="n"/>
    </row>
  </sheetData>
  <pageMargins left="0.7" right="0.7" top="0.787401575" bottom="0.787401575" header="0.3" footer="0.3"/>
  <tableParts count="1">
    <tablePart xmlns:r="http://schemas.openxmlformats.org/officeDocument/2006/relationships" r:id="rId1"/>
  </tableParts>
</worksheet>
</file>

<file path=xl/worksheets/sheet6.xml><?xml version="1.0" encoding="utf-8"?>
<worksheet xmlns="http://schemas.openxmlformats.org/spreadsheetml/2006/main">
  <sheetPr codeName="Sheet5">
    <tabColor theme="7" tint="0.7999816888943144"/>
    <outlinePr summaryBelow="1" summaryRight="1"/>
    <pageSetUpPr/>
  </sheetPr>
  <dimension ref="A1:AK351"/>
  <sheetViews>
    <sheetView topLeftCell="A7" zoomScale="115" zoomScaleNormal="115" workbookViewId="0">
      <selection activeCell="A1" sqref="A1:C51"/>
    </sheetView>
  </sheetViews>
  <sheetFormatPr baseColWidth="8" defaultColWidth="10.85546875" defaultRowHeight="15"/>
  <cols>
    <col width="18.7109375" customWidth="1" min="2" max="2"/>
    <col width="28.5703125" customWidth="1" min="3" max="3"/>
    <col hidden="1" width="15.28515625" customWidth="1" min="4" max="4"/>
    <col hidden="1" width="14.28515625" customWidth="1" min="5" max="5"/>
    <col hidden="1" width="16" customWidth="1" min="6" max="6"/>
    <col hidden="1" width="26.5703125" customWidth="1" min="7" max="7"/>
    <col hidden="1" width="18.140625" customWidth="1" min="8" max="9"/>
    <col hidden="1" width="6.5703125" customWidth="1" min="10" max="12"/>
    <col width="15.28515625" customWidth="1" min="13" max="13"/>
    <col hidden="1" width="17" customWidth="1" min="14" max="14"/>
    <col width="16.42578125" customWidth="1" min="15" max="15"/>
    <col width="17.5703125" customWidth="1" min="16" max="16"/>
    <col hidden="1" width="28.140625" customWidth="1" min="17" max="17"/>
    <col hidden="1" min="18" max="18"/>
    <col hidden="1" width="50.7109375" customWidth="1" min="19" max="19"/>
    <col hidden="1" width="22.85546875" customWidth="1" min="20" max="20"/>
    <col hidden="1" width="16.7109375" customWidth="1" min="21" max="21"/>
    <col hidden="1" width="15.85546875" customWidth="1" min="22" max="22"/>
    <col hidden="1" width="8.85546875" customWidth="1" min="23" max="23"/>
    <col width="14.140625" customWidth="1" min="24" max="24"/>
    <col width="6.5703125" customWidth="1" min="25" max="25"/>
    <col width="19.140625" customWidth="1" min="26" max="26"/>
    <col width="15.42578125" customWidth="1" min="27" max="27"/>
    <col width="15.140625" customWidth="1" min="28" max="29"/>
    <col width="14.140625" customWidth="1" min="30" max="30"/>
    <col width="19.85546875" customWidth="1" min="31" max="31"/>
    <col width="19.85546875" customWidth="1" style="45" min="32" max="32"/>
    <col width="16.5703125" customWidth="1" min="33" max="33"/>
    <col width="19.7109375" customWidth="1" min="34" max="35"/>
    <col width="15.28515625" customWidth="1" min="36" max="36"/>
    <col width="19" customWidth="1" style="272" min="37" max="37"/>
  </cols>
  <sheetData>
    <row r="1">
      <c r="A1" s="295" t="inlineStr">
        <is>
          <t>ID</t>
        </is>
      </c>
      <c r="B1" s="295" t="inlineStr">
        <is>
          <t>Flow_ID</t>
        </is>
      </c>
      <c r="C1" s="295" t="inlineStr">
        <is>
          <t>Name(EN)</t>
        </is>
      </c>
      <c r="D1" s="295" t="inlineStr">
        <is>
          <t>Type_Biomass</t>
        </is>
      </c>
      <c r="E1" s="295" t="inlineStr">
        <is>
          <t>Output_Process</t>
        </is>
      </c>
      <c r="F1" s="295" t="inlineStr">
        <is>
          <t>Process_ID_O</t>
        </is>
      </c>
      <c r="G1" s="295" t="inlineStr">
        <is>
          <t>Input_Process</t>
        </is>
      </c>
      <c r="H1" s="295" t="inlineStr">
        <is>
          <t>Process_ID_I</t>
        </is>
      </c>
      <c r="I1" s="295" t="inlineStr">
        <is>
          <t>TC?</t>
        </is>
      </c>
      <c r="J1" s="295" t="inlineStr">
        <is>
          <t>WC?</t>
        </is>
      </c>
      <c r="K1" s="295" t="inlineStr">
        <is>
          <t>DM?</t>
        </is>
      </c>
      <c r="L1" s="295" t="inlineStr">
        <is>
          <t>CC?</t>
        </is>
      </c>
      <c r="M1" s="295" t="inlineStr">
        <is>
          <t>Year_Flow</t>
        </is>
      </c>
      <c r="N1" s="295" t="inlineStr">
        <is>
          <t>Region_Flow</t>
        </is>
      </c>
      <c r="O1" s="295" t="inlineStr">
        <is>
          <t>Flow_Source</t>
        </is>
      </c>
      <c r="P1" s="295" t="inlineStr">
        <is>
          <t>UoM_Source</t>
        </is>
      </c>
      <c r="Q1" s="295" t="inlineStr">
        <is>
          <t>Name_Source</t>
        </is>
      </c>
      <c r="R1" s="295" t="inlineStr">
        <is>
          <t>AVV</t>
        </is>
      </c>
      <c r="S1" s="295" t="inlineStr">
        <is>
          <t>Titel_Source</t>
        </is>
      </c>
      <c r="T1" s="295" t="inlineStr">
        <is>
          <t>Year_Source</t>
        </is>
      </c>
      <c r="U1" s="295" t="inlineStr">
        <is>
          <t>Author_Source</t>
        </is>
      </c>
      <c r="V1" s="295" t="inlineStr">
        <is>
          <t>Type_Source</t>
        </is>
      </c>
      <c r="W1" s="295" t="inlineStr">
        <is>
          <t>URL</t>
        </is>
      </c>
      <c r="X1" s="295" t="inlineStr">
        <is>
          <t>CF_required?</t>
        </is>
      </c>
      <c r="Y1" s="295" t="inlineStr">
        <is>
          <t>CF</t>
        </is>
      </c>
      <c r="Z1" s="295" t="inlineStr">
        <is>
          <t>Name_CF</t>
        </is>
      </c>
      <c r="AA1" s="295" t="inlineStr">
        <is>
          <t>Flow_Py</t>
        </is>
      </c>
      <c r="AB1" s="295" t="inlineStr">
        <is>
          <t>UoM_Flow_Py</t>
        </is>
      </c>
      <c r="AC1" s="295" t="inlineStr">
        <is>
          <t>WC_[%]</t>
        </is>
      </c>
      <c r="AD1" s="295" t="inlineStr">
        <is>
          <t>WC_Flow_Py</t>
        </is>
      </c>
      <c r="AE1" s="295" t="inlineStr">
        <is>
          <t>UoM_WC_Flow_Py</t>
        </is>
      </c>
      <c r="AF1" s="295" t="inlineStr">
        <is>
          <t>DM_[%]</t>
        </is>
      </c>
      <c r="AG1" s="295" t="inlineStr">
        <is>
          <t>DM_Flow_Py2</t>
        </is>
      </c>
      <c r="AH1" s="295" t="inlineStr">
        <is>
          <t>UoM_DM_Flow_Py</t>
        </is>
      </c>
      <c r="AI1" s="295" t="inlineStr">
        <is>
          <t>CC_[%]</t>
        </is>
      </c>
      <c r="AJ1" s="295" t="inlineStr">
        <is>
          <t>CC_Flow_Py</t>
        </is>
      </c>
      <c r="AK1" s="295" t="inlineStr">
        <is>
          <t>UoM_CC_Flow_Py</t>
        </is>
      </c>
    </row>
    <row r="2">
      <c r="A2" s="296">
        <f>ROW()-1</f>
        <v/>
      </c>
      <c r="B2" s="272">
        <f>_xlfn.XLOOKUP(C2,Tab_Def_Flows[Name(EN)],Tab_Def_Flows[Flow_ID],,0,)</f>
        <v/>
      </c>
      <c r="C2" s="273" t="inlineStr">
        <is>
          <t>Atmossphere_Input_C</t>
        </is>
      </c>
      <c r="D2" s="272">
        <f>_xlfn.XLOOKUP(C2,Tab_Def_Flows[Name(EN)],Tab_Def_Flows[Type_Biomass],,0,)</f>
        <v/>
      </c>
      <c r="E2" s="272">
        <f>_xlfn.XLOOKUP(C2,Tab_Def_Flows[Name(EN)],Tab_Def_Flows[Output_Process],,0,)</f>
        <v/>
      </c>
      <c r="F2" s="272">
        <f>_xlfn.XLOOKUP(C2,Tab_Def_Flows[Name(EN)],Tab_Def_Flows[Process_ID_O],,0,)</f>
        <v/>
      </c>
      <c r="G2" s="272">
        <f>_xlfn.XLOOKUP(C2,Tab_Def_Flows[Name(EN)],Tab_Def_Flows[Input_Process],,0,)</f>
        <v/>
      </c>
      <c r="H2" s="17">
        <f>_xlfn.XLOOKUP(C2,Tab_Def_Flows[Name(EN)],Tab_Def_Flows[Process_ID_I],,0,)</f>
        <v/>
      </c>
      <c r="I2" s="17">
        <f>_xlfn.XLOOKUP(C2,Tab_Def_Flows[Name(EN)],#REF!,,0,)</f>
        <v/>
      </c>
      <c r="J2" s="17">
        <f>_xlfn.XLOOKUP(C2,Tab_Def_Flows[Name(EN)],Tab_Def_Flows[WC?],,0,)</f>
        <v/>
      </c>
      <c r="K2" s="17">
        <f>_xlfn.XLOOKUP(C2,Tab_Def_Flows[Name(EN)],Tab_Def_Flows[DM?],,0,)</f>
        <v/>
      </c>
      <c r="L2" s="17">
        <f>_xlfn.XLOOKUP(C2,Tab_Def_Flows[Name(EN)],Tab_Def_Flows[CC?],,0,)</f>
        <v/>
      </c>
      <c r="M2" s="273" t="n">
        <v>2025</v>
      </c>
      <c r="N2" s="273" t="inlineStr">
        <is>
          <t>BB</t>
        </is>
      </c>
      <c r="O2" s="48" t="n">
        <v>297904.57</v>
      </c>
      <c r="P2" s="273" t="n"/>
      <c r="Q2" s="273" t="inlineStr">
        <is>
          <t>Stramento</t>
        </is>
      </c>
      <c r="R2" s="273" t="n"/>
      <c r="S2" s="273" t="n"/>
      <c r="T2" s="273" t="n"/>
      <c r="U2" s="273" t="n"/>
      <c r="V2" s="273" t="n"/>
      <c r="W2" s="273" t="n"/>
      <c r="X2" s="273" t="inlineStr">
        <is>
          <t>No</t>
        </is>
      </c>
      <c r="Y2" s="41" t="n"/>
      <c r="Z2" s="273" t="n"/>
      <c r="AA2" s="35">
        <f>IF(X2="no",O2,O2*Y2)</f>
        <v/>
      </c>
      <c r="AB2" s="273" t="inlineStr">
        <is>
          <t>Mg</t>
        </is>
      </c>
      <c r="AC2" s="190">
        <f>INDEX(Tab_Def_Flows[[Flow_ID]:[CC_DM_source]],MATCH(Tab_Data_Flows[[#This Row],[Name(EN)]],Tab_Def_Flows[Name(EN)],0),13)</f>
        <v/>
      </c>
      <c r="AD2" s="272">
        <f>IF(J2="Yes",AA2*Tab_Data_Flows[[#This Row],[WC_'[%']]],"N.A.")</f>
        <v/>
      </c>
      <c r="AE2" s="272">
        <f>Tab_Data_Flows[[#This Row],[UoM_Flow_Py]]</f>
        <v/>
      </c>
      <c r="AF2" s="190">
        <f>INDEX(Tab_Def_Flows[[Flow_ID]:[CC_DM_source]],MATCH(Tab_Data_Flows[[#This Row],[Name(EN)]],Tab_Def_Flows[Name(EN)],0),15)</f>
        <v/>
      </c>
      <c r="AG2" s="272">
        <f>IF(K2="Yes",AF2*Tab_Data_Flows[[#This Row],[Flow_Py]],"N.A.")</f>
        <v/>
      </c>
      <c r="AH2" s="272">
        <f>Tab_Data_Flows[[#This Row],[UoM_Flow_Py]]</f>
        <v/>
      </c>
      <c r="AI2" s="190">
        <f>INDEX(Tab_Def_Flows[[Flow_ID]:[CC_DM_source]],MATCH(Tab_Data_Flows[[#This Row],[Name(EN)]],Tab_Def_Flows[Name(EN)],0),17)</f>
        <v/>
      </c>
      <c r="AJ2" s="272">
        <f>IF(L2="Yes",AI2*Tab_Data_Flows[[#This Row],[Flow_Py]]*Tab_Data_Flows[[#This Row],[DM_'[%']]],"N.A.")</f>
        <v/>
      </c>
      <c r="AK2" s="272">
        <f>Tab_Data_Flows[[#This Row],[UoM_Flow_Py]]</f>
        <v/>
      </c>
    </row>
    <row r="3">
      <c r="A3" s="296">
        <f>ROW()-1</f>
        <v/>
      </c>
      <c r="B3" s="272">
        <f>_xlfn.XLOOKUP(C3,Tab_Def_Flows[Name(EN)],Tab_Def_Flows[Flow_ID],,0,)</f>
        <v/>
      </c>
      <c r="C3" s="273" t="inlineStr">
        <is>
          <t>Atmossphere_Input_C</t>
        </is>
      </c>
      <c r="D3" s="272">
        <f>_xlfn.XLOOKUP(C3,Tab_Def_Flows[Name(EN)],Tab_Def_Flows[Type_Biomass],,0,)</f>
        <v/>
      </c>
      <c r="E3" s="272">
        <f>_xlfn.XLOOKUP(C3,Tab_Def_Flows[Name(EN)],Tab_Def_Flows[Output_Process],,0,)</f>
        <v/>
      </c>
      <c r="F3" s="272">
        <f>_xlfn.XLOOKUP(C3,Tab_Def_Flows[Name(EN)],Tab_Def_Flows[Process_ID_O],,0,)</f>
        <v/>
      </c>
      <c r="G3" s="272">
        <f>_xlfn.XLOOKUP(C3,Tab_Def_Flows[Name(EN)],Tab_Def_Flows[Input_Process],,0,)</f>
        <v/>
      </c>
      <c r="H3" s="17">
        <f>_xlfn.XLOOKUP(C3,Tab_Def_Flows[Name(EN)],Tab_Def_Flows[Process_ID_I],,0,)</f>
        <v/>
      </c>
      <c r="I3" s="17">
        <f>_xlfn.XLOOKUP(C3,Tab_Def_Flows[Name(EN)],#REF!,,0,)</f>
        <v/>
      </c>
      <c r="J3" s="17">
        <f>_xlfn.XLOOKUP(C3,Tab_Def_Flows[Name(EN)],Tab_Def_Flows[WC?],,0,)</f>
        <v/>
      </c>
      <c r="K3" s="17">
        <f>_xlfn.XLOOKUP(C3,Tab_Def_Flows[Name(EN)],Tab_Def_Flows[DM?],,0,)</f>
        <v/>
      </c>
      <c r="L3" s="17">
        <f>_xlfn.XLOOKUP(C3,Tab_Def_Flows[Name(EN)],Tab_Def_Flows[CC?],,0,)</f>
        <v/>
      </c>
      <c r="M3" s="273" t="n">
        <v>2026</v>
      </c>
      <c r="N3" s="273" t="inlineStr">
        <is>
          <t>BB</t>
        </is>
      </c>
      <c r="O3" s="48" t="n">
        <v>339142.51</v>
      </c>
      <c r="P3" s="273" t="n"/>
      <c r="Q3" s="273" t="inlineStr">
        <is>
          <t>Stramento</t>
        </is>
      </c>
      <c r="R3" s="273" t="n"/>
      <c r="S3" s="273" t="n"/>
      <c r="T3" s="273" t="n"/>
      <c r="U3" s="273" t="n"/>
      <c r="V3" s="273" t="n"/>
      <c r="W3" s="273" t="n"/>
      <c r="X3" s="273" t="inlineStr">
        <is>
          <t>No</t>
        </is>
      </c>
      <c r="Y3" s="41" t="n"/>
      <c r="Z3" s="273" t="n"/>
      <c r="AA3" s="35">
        <f>IF(X3="no",O3,O3*Y3)</f>
        <v/>
      </c>
      <c r="AB3" s="273" t="inlineStr">
        <is>
          <t>Mg</t>
        </is>
      </c>
      <c r="AC3" s="190">
        <f>INDEX(Tab_Def_Flows[[Flow_ID]:[CC_DM_source]],MATCH(Tab_Data_Flows[[#This Row],[Name(EN)]],Tab_Def_Flows[Name(EN)],0),13)</f>
        <v/>
      </c>
      <c r="AD3" s="272">
        <f>IF(J3="Yes",AA3*Tab_Data_Flows[[#This Row],[WC_'[%']]],"N.A.")</f>
        <v/>
      </c>
      <c r="AE3" s="272">
        <f>Tab_Data_Flows[[#This Row],[UoM_Flow_Py]]</f>
        <v/>
      </c>
      <c r="AF3" s="190">
        <f>INDEX(Tab_Def_Flows[[Flow_ID]:[CC_DM_source]],MATCH(Tab_Data_Flows[[#This Row],[Name(EN)]],Tab_Def_Flows[Name(EN)],0),15)</f>
        <v/>
      </c>
      <c r="AG3" s="272">
        <f>IF(K3="Yes",AF3*Tab_Data_Flows[[#This Row],[Flow_Py]],"N.A.")</f>
        <v/>
      </c>
      <c r="AH3" s="272">
        <f>Tab_Data_Flows[[#This Row],[UoM_Flow_Py]]</f>
        <v/>
      </c>
      <c r="AI3" s="190">
        <f>INDEX(Tab_Def_Flows[[Flow_ID]:[CC_DM_source]],MATCH(Tab_Data_Flows[[#This Row],[Name(EN)]],Tab_Def_Flows[Name(EN)],0),17)</f>
        <v/>
      </c>
      <c r="AJ3" s="272">
        <f>IF(L3="Yes",AI3*Tab_Data_Flows[[#This Row],[Flow_Py]]*Tab_Data_Flows[[#This Row],[DM_'[%']]],"N.A.")</f>
        <v/>
      </c>
      <c r="AK3" s="272">
        <f>Tab_Data_Flows[[#This Row],[UoM_Flow_Py]]</f>
        <v/>
      </c>
    </row>
    <row r="4">
      <c r="A4" s="296">
        <f>ROW()-1</f>
        <v/>
      </c>
      <c r="B4" s="272">
        <f>_xlfn.XLOOKUP(C4,Tab_Def_Flows[Name(EN)],Tab_Def_Flows[Flow_ID],,0,)</f>
        <v/>
      </c>
      <c r="C4" s="273" t="inlineStr">
        <is>
          <t>Atmossphere_Input_C</t>
        </is>
      </c>
      <c r="D4" s="272">
        <f>_xlfn.XLOOKUP(C4,Tab_Def_Flows[Name(EN)],Tab_Def_Flows[Type_Biomass],,0,)</f>
        <v/>
      </c>
      <c r="E4" s="272">
        <f>_xlfn.XLOOKUP(C4,Tab_Def_Flows[Name(EN)],Tab_Def_Flows[Output_Process],,0,)</f>
        <v/>
      </c>
      <c r="F4" s="272">
        <f>_xlfn.XLOOKUP(C4,Tab_Def_Flows[Name(EN)],Tab_Def_Flows[Process_ID_O],,0,)</f>
        <v/>
      </c>
      <c r="G4" s="272">
        <f>_xlfn.XLOOKUP(C4,Tab_Def_Flows[Name(EN)],Tab_Def_Flows[Input_Process],,0,)</f>
        <v/>
      </c>
      <c r="H4" s="17">
        <f>_xlfn.XLOOKUP(C4,Tab_Def_Flows[Name(EN)],Tab_Def_Flows[Process_ID_I],,0,)</f>
        <v/>
      </c>
      <c r="I4" s="17">
        <f>_xlfn.XLOOKUP(C4,Tab_Def_Flows[Name(EN)],#REF!,,0,)</f>
        <v/>
      </c>
      <c r="J4" s="17">
        <f>_xlfn.XLOOKUP(C4,Tab_Def_Flows[Name(EN)],Tab_Def_Flows[WC?],,0,)</f>
        <v/>
      </c>
      <c r="K4" s="17">
        <f>_xlfn.XLOOKUP(C4,Tab_Def_Flows[Name(EN)],Tab_Def_Flows[DM?],,0,)</f>
        <v/>
      </c>
      <c r="L4" s="17">
        <f>_xlfn.XLOOKUP(C4,Tab_Def_Flows[Name(EN)],Tab_Def_Flows[CC?],,0,)</f>
        <v/>
      </c>
      <c r="M4" s="273" t="n">
        <v>2027</v>
      </c>
      <c r="N4" s="273" t="inlineStr">
        <is>
          <t>BB</t>
        </is>
      </c>
      <c r="O4" s="48" t="n">
        <v>257050.15</v>
      </c>
      <c r="P4" s="273" t="n"/>
      <c r="Q4" s="273" t="inlineStr">
        <is>
          <t>Stramento</t>
        </is>
      </c>
      <c r="R4" s="273" t="n"/>
      <c r="S4" s="273" t="n"/>
      <c r="T4" s="273" t="n"/>
      <c r="U4" s="273" t="n"/>
      <c r="V4" s="273" t="n"/>
      <c r="W4" s="273" t="n"/>
      <c r="X4" s="273" t="inlineStr">
        <is>
          <t>No</t>
        </is>
      </c>
      <c r="Y4" s="41" t="n"/>
      <c r="Z4" s="273" t="n"/>
      <c r="AA4" s="35">
        <f>IF(X4="no",O4,O4*Y4)</f>
        <v/>
      </c>
      <c r="AB4" s="273" t="inlineStr">
        <is>
          <t>Mg</t>
        </is>
      </c>
      <c r="AC4" s="190">
        <f>INDEX(Tab_Def_Flows[[Flow_ID]:[CC_DM_source]],MATCH(Tab_Data_Flows[[#This Row],[Name(EN)]],Tab_Def_Flows[Name(EN)],0),13)</f>
        <v/>
      </c>
      <c r="AD4" s="272">
        <f>IF(J4="Yes",AA4*Tab_Data_Flows[[#This Row],[WC_'[%']]],"N.A.")</f>
        <v/>
      </c>
      <c r="AE4" s="272">
        <f>Tab_Data_Flows[[#This Row],[UoM_Flow_Py]]</f>
        <v/>
      </c>
      <c r="AF4" s="190">
        <f>INDEX(Tab_Def_Flows[[Flow_ID]:[CC_DM_source]],MATCH(Tab_Data_Flows[[#This Row],[Name(EN)]],Tab_Def_Flows[Name(EN)],0),15)</f>
        <v/>
      </c>
      <c r="AG4" s="272">
        <f>IF(K4="Yes",AF4*Tab_Data_Flows[[#This Row],[Flow_Py]],"N.A.")</f>
        <v/>
      </c>
      <c r="AH4" s="272">
        <f>Tab_Data_Flows[[#This Row],[UoM_Flow_Py]]</f>
        <v/>
      </c>
      <c r="AI4" s="190">
        <f>INDEX(Tab_Def_Flows[[Flow_ID]:[CC_DM_source]],MATCH(Tab_Data_Flows[[#This Row],[Name(EN)]],Tab_Def_Flows[Name(EN)],0),17)</f>
        <v/>
      </c>
      <c r="AJ4" s="272">
        <f>IF(L4="Yes",AI4*Tab_Data_Flows[[#This Row],[Flow_Py]]*Tab_Data_Flows[[#This Row],[DM_'[%']]],"N.A.")</f>
        <v/>
      </c>
      <c r="AK4" s="272">
        <f>Tab_Data_Flows[[#This Row],[UoM_Flow_Py]]</f>
        <v/>
      </c>
    </row>
    <row r="5">
      <c r="A5" s="296">
        <f>ROW()-1</f>
        <v/>
      </c>
      <c r="B5" s="272">
        <f>_xlfn.XLOOKUP(C5,Tab_Def_Flows[Name(EN)],Tab_Def_Flows[Flow_ID],,0,)</f>
        <v/>
      </c>
      <c r="C5" s="273" t="inlineStr">
        <is>
          <t>Atmossphere_Input_C</t>
        </is>
      </c>
      <c r="D5" s="272">
        <f>_xlfn.XLOOKUP(C5,Tab_Def_Flows[Name(EN)],Tab_Def_Flows[Type_Biomass],,0,)</f>
        <v/>
      </c>
      <c r="E5" s="272">
        <f>_xlfn.XLOOKUP(C5,Tab_Def_Flows[Name(EN)],Tab_Def_Flows[Output_Process],,0,)</f>
        <v/>
      </c>
      <c r="F5" s="272">
        <f>_xlfn.XLOOKUP(C5,Tab_Def_Flows[Name(EN)],Tab_Def_Flows[Process_ID_O],,0,)</f>
        <v/>
      </c>
      <c r="G5" s="272">
        <f>_xlfn.XLOOKUP(C5,Tab_Def_Flows[Name(EN)],Tab_Def_Flows[Input_Process],,0,)</f>
        <v/>
      </c>
      <c r="H5" s="17">
        <f>_xlfn.XLOOKUP(C5,Tab_Def_Flows[Name(EN)],Tab_Def_Flows[Process_ID_I],,0,)</f>
        <v/>
      </c>
      <c r="I5" s="17">
        <f>_xlfn.XLOOKUP(C5,Tab_Def_Flows[Name(EN)],#REF!,,0,)</f>
        <v/>
      </c>
      <c r="J5" s="17">
        <f>_xlfn.XLOOKUP(C5,Tab_Def_Flows[Name(EN)],Tab_Def_Flows[WC?],,0,)</f>
        <v/>
      </c>
      <c r="K5" s="17">
        <f>_xlfn.XLOOKUP(C5,Tab_Def_Flows[Name(EN)],Tab_Def_Flows[DM?],,0,)</f>
        <v/>
      </c>
      <c r="L5" s="17">
        <f>_xlfn.XLOOKUP(C5,Tab_Def_Flows[Name(EN)],Tab_Def_Flows[CC?],,0,)</f>
        <v/>
      </c>
      <c r="M5" s="273" t="n">
        <v>2028</v>
      </c>
      <c r="N5" s="273" t="inlineStr">
        <is>
          <t>BB</t>
        </is>
      </c>
      <c r="O5" s="48" t="n">
        <v>264047.97</v>
      </c>
      <c r="P5" s="273" t="n"/>
      <c r="Q5" s="273" t="inlineStr">
        <is>
          <t>Stramento</t>
        </is>
      </c>
      <c r="R5" s="273" t="n"/>
      <c r="S5" s="273" t="n"/>
      <c r="T5" s="273" t="n"/>
      <c r="U5" s="273" t="n"/>
      <c r="V5" s="273" t="n"/>
      <c r="W5" s="273" t="n"/>
      <c r="X5" s="273" t="inlineStr">
        <is>
          <t>No</t>
        </is>
      </c>
      <c r="Y5" s="41" t="n"/>
      <c r="Z5" s="273" t="n"/>
      <c r="AA5" s="35">
        <f>IF(X5="no",O5,O5*Y5)</f>
        <v/>
      </c>
      <c r="AB5" s="273" t="inlineStr">
        <is>
          <t>Mg</t>
        </is>
      </c>
      <c r="AC5" s="190">
        <f>INDEX(Tab_Def_Flows[[Flow_ID]:[CC_DM_source]],MATCH(Tab_Data_Flows[[#This Row],[Name(EN)]],Tab_Def_Flows[Name(EN)],0),13)</f>
        <v/>
      </c>
      <c r="AD5" s="272">
        <f>IF(J5="Yes",AA5*Tab_Data_Flows[[#This Row],[WC_'[%']]],"N.A.")</f>
        <v/>
      </c>
      <c r="AE5" s="272">
        <f>Tab_Data_Flows[[#This Row],[UoM_Flow_Py]]</f>
        <v/>
      </c>
      <c r="AF5" s="190">
        <f>INDEX(Tab_Def_Flows[[Flow_ID]:[CC_DM_source]],MATCH(Tab_Data_Flows[[#This Row],[Name(EN)]],Tab_Def_Flows[Name(EN)],0),15)</f>
        <v/>
      </c>
      <c r="AG5" s="272">
        <f>IF(K5="Yes",AF5*Tab_Data_Flows[[#This Row],[Flow_Py]],"N.A.")</f>
        <v/>
      </c>
      <c r="AH5" s="272">
        <f>Tab_Data_Flows[[#This Row],[UoM_Flow_Py]]</f>
        <v/>
      </c>
      <c r="AI5" s="190">
        <f>INDEX(Tab_Def_Flows[[Flow_ID]:[CC_DM_source]],MATCH(Tab_Data_Flows[[#This Row],[Name(EN)]],Tab_Def_Flows[Name(EN)],0),17)</f>
        <v/>
      </c>
      <c r="AJ5" s="272">
        <f>IF(L5="Yes",AI5*Tab_Data_Flows[[#This Row],[Flow_Py]]*Tab_Data_Flows[[#This Row],[DM_'[%']]],"N.A.")</f>
        <v/>
      </c>
      <c r="AK5" s="272">
        <f>Tab_Data_Flows[[#This Row],[UoM_Flow_Py]]</f>
        <v/>
      </c>
    </row>
    <row r="6">
      <c r="A6" s="296">
        <f>ROW()-1</f>
        <v/>
      </c>
      <c r="B6" s="272">
        <f>_xlfn.XLOOKUP(C6,Tab_Def_Flows[Name(EN)],Tab_Def_Flows[Flow_ID],,0,)</f>
        <v/>
      </c>
      <c r="C6" s="273" t="inlineStr">
        <is>
          <t>Atmossphere_Input_C</t>
        </is>
      </c>
      <c r="D6" s="272">
        <f>_xlfn.XLOOKUP(C6,Tab_Def_Flows[Name(EN)],Tab_Def_Flows[Type_Biomass],,0,)</f>
        <v/>
      </c>
      <c r="E6" s="272">
        <f>_xlfn.XLOOKUP(C6,Tab_Def_Flows[Name(EN)],Tab_Def_Flows[Output_Process],,0,)</f>
        <v/>
      </c>
      <c r="F6" s="272">
        <f>_xlfn.XLOOKUP(C6,Tab_Def_Flows[Name(EN)],Tab_Def_Flows[Process_ID_O],,0,)</f>
        <v/>
      </c>
      <c r="G6" s="272">
        <f>_xlfn.XLOOKUP(C6,Tab_Def_Flows[Name(EN)],Tab_Def_Flows[Input_Process],,0,)</f>
        <v/>
      </c>
      <c r="H6" s="17">
        <f>_xlfn.XLOOKUP(C6,Tab_Def_Flows[Name(EN)],Tab_Def_Flows[Process_ID_I],,0,)</f>
        <v/>
      </c>
      <c r="I6" s="17">
        <f>_xlfn.XLOOKUP(C6,Tab_Def_Flows[Name(EN)],#REF!,,0,)</f>
        <v/>
      </c>
      <c r="J6" s="17">
        <f>_xlfn.XLOOKUP(C6,Tab_Def_Flows[Name(EN)],Tab_Def_Flows[WC?],,0,)</f>
        <v/>
      </c>
      <c r="K6" s="17">
        <f>_xlfn.XLOOKUP(C6,Tab_Def_Flows[Name(EN)],Tab_Def_Flows[DM?],,0,)</f>
        <v/>
      </c>
      <c r="L6" s="17">
        <f>_xlfn.XLOOKUP(C6,Tab_Def_Flows[Name(EN)],Tab_Def_Flows[CC?],,0,)</f>
        <v/>
      </c>
      <c r="M6" s="273" t="n">
        <v>2029</v>
      </c>
      <c r="N6" s="273" t="inlineStr">
        <is>
          <t>BB</t>
        </is>
      </c>
      <c r="O6" s="48" t="n">
        <v>344153.42</v>
      </c>
      <c r="P6" s="273" t="n"/>
      <c r="Q6" s="273" t="inlineStr">
        <is>
          <t>Stramento</t>
        </is>
      </c>
      <c r="R6" s="273" t="n"/>
      <c r="S6" s="273" t="n"/>
      <c r="T6" s="273" t="n"/>
      <c r="U6" s="273" t="n"/>
      <c r="V6" s="273" t="n"/>
      <c r="W6" s="273" t="n"/>
      <c r="X6" s="273" t="inlineStr">
        <is>
          <t>No</t>
        </is>
      </c>
      <c r="Y6" s="41" t="n"/>
      <c r="Z6" s="273" t="n"/>
      <c r="AA6" s="35">
        <f>IF(X6="no",O6,O6*Y6)</f>
        <v/>
      </c>
      <c r="AB6" s="273" t="inlineStr">
        <is>
          <t>Mg</t>
        </is>
      </c>
      <c r="AC6" s="190">
        <f>INDEX(Tab_Def_Flows[[Flow_ID]:[CC_DM_source]],MATCH(Tab_Data_Flows[[#This Row],[Name(EN)]],Tab_Def_Flows[Name(EN)],0),13)</f>
        <v/>
      </c>
      <c r="AD6" s="272">
        <f>IF(J6="Yes",AA6*Tab_Data_Flows[[#This Row],[WC_'[%']]],"N.A.")</f>
        <v/>
      </c>
      <c r="AE6" s="272">
        <f>Tab_Data_Flows[[#This Row],[UoM_Flow_Py]]</f>
        <v/>
      </c>
      <c r="AF6" s="190">
        <f>INDEX(Tab_Def_Flows[[Flow_ID]:[CC_DM_source]],MATCH(Tab_Data_Flows[[#This Row],[Name(EN)]],Tab_Def_Flows[Name(EN)],0),15)</f>
        <v/>
      </c>
      <c r="AG6" s="272">
        <f>IF(K6="Yes",AF6*Tab_Data_Flows[[#This Row],[Flow_Py]],"N.A.")</f>
        <v/>
      </c>
      <c r="AH6" s="272">
        <f>Tab_Data_Flows[[#This Row],[UoM_Flow_Py]]</f>
        <v/>
      </c>
      <c r="AI6" s="190">
        <f>INDEX(Tab_Def_Flows[[Flow_ID]:[CC_DM_source]],MATCH(Tab_Data_Flows[[#This Row],[Name(EN)]],Tab_Def_Flows[Name(EN)],0),17)</f>
        <v/>
      </c>
      <c r="AJ6" s="272">
        <f>IF(L6="Yes",AI6*Tab_Data_Flows[[#This Row],[Flow_Py]]*Tab_Data_Flows[[#This Row],[DM_'[%']]],"N.A.")</f>
        <v/>
      </c>
      <c r="AK6" s="272">
        <f>Tab_Data_Flows[[#This Row],[UoM_Flow_Py]]</f>
        <v/>
      </c>
    </row>
    <row r="7">
      <c r="A7" s="296">
        <f>ROW()-1</f>
        <v/>
      </c>
      <c r="B7" s="272">
        <f>_xlfn.XLOOKUP(C7,Tab_Def_Flows[Name(EN)],Tab_Def_Flows[Flow_ID],,0,)</f>
        <v/>
      </c>
      <c r="C7" s="273" t="inlineStr">
        <is>
          <t>Atmossphere_Input_C</t>
        </is>
      </c>
      <c r="D7" s="272">
        <f>_xlfn.XLOOKUP(C7,Tab_Def_Flows[Name(EN)],Tab_Def_Flows[Type_Biomass],,0,)</f>
        <v/>
      </c>
      <c r="E7" s="272">
        <f>_xlfn.XLOOKUP(C7,Tab_Def_Flows[Name(EN)],Tab_Def_Flows[Output_Process],,0,)</f>
        <v/>
      </c>
      <c r="F7" s="272">
        <f>_xlfn.XLOOKUP(C7,Tab_Def_Flows[Name(EN)],Tab_Def_Flows[Process_ID_O],,0,)</f>
        <v/>
      </c>
      <c r="G7" s="272">
        <f>_xlfn.XLOOKUP(C7,Tab_Def_Flows[Name(EN)],Tab_Def_Flows[Input_Process],,0,)</f>
        <v/>
      </c>
      <c r="H7" s="17">
        <f>_xlfn.XLOOKUP(C7,Tab_Def_Flows[Name(EN)],Tab_Def_Flows[Process_ID_I],,0,)</f>
        <v/>
      </c>
      <c r="I7" s="17">
        <f>_xlfn.XLOOKUP(C7,Tab_Def_Flows[Name(EN)],#REF!,,0,)</f>
        <v/>
      </c>
      <c r="J7" s="17">
        <f>_xlfn.XLOOKUP(C7,Tab_Def_Flows[Name(EN)],Tab_Def_Flows[WC?],,0,)</f>
        <v/>
      </c>
      <c r="K7" s="17">
        <f>_xlfn.XLOOKUP(C7,Tab_Def_Flows[Name(EN)],Tab_Def_Flows[DM?],,0,)</f>
        <v/>
      </c>
      <c r="L7" s="17">
        <f>_xlfn.XLOOKUP(C7,Tab_Def_Flows[Name(EN)],Tab_Def_Flows[CC?],,0,)</f>
        <v/>
      </c>
      <c r="M7" s="273" t="n">
        <v>2030</v>
      </c>
      <c r="N7" s="273" t="inlineStr">
        <is>
          <t>BB</t>
        </is>
      </c>
      <c r="O7" s="48" t="n">
        <v>315342.38</v>
      </c>
      <c r="P7" s="273" t="n"/>
      <c r="Q7" s="273" t="inlineStr">
        <is>
          <t>Stramento</t>
        </is>
      </c>
      <c r="R7" s="273" t="n"/>
      <c r="S7" s="273" t="n"/>
      <c r="T7" s="273" t="n"/>
      <c r="U7" s="273" t="n"/>
      <c r="V7" s="273" t="n"/>
      <c r="W7" s="273" t="n"/>
      <c r="X7" s="273" t="inlineStr">
        <is>
          <t>No</t>
        </is>
      </c>
      <c r="Y7" s="41" t="n"/>
      <c r="Z7" s="273" t="n"/>
      <c r="AA7" s="35">
        <f>IF(X7="no",O7,O7*Y7)</f>
        <v/>
      </c>
      <c r="AB7" s="273" t="inlineStr">
        <is>
          <t>Mg</t>
        </is>
      </c>
      <c r="AC7" s="190">
        <f>INDEX(Tab_Def_Flows[[Flow_ID]:[CC_DM_source]],MATCH(Tab_Data_Flows[[#This Row],[Name(EN)]],Tab_Def_Flows[Name(EN)],0),13)</f>
        <v/>
      </c>
      <c r="AD7" s="272">
        <f>IF(J7="Yes",AA7*Tab_Data_Flows[[#This Row],[WC_'[%']]],"N.A.")</f>
        <v/>
      </c>
      <c r="AE7" s="272">
        <f>Tab_Data_Flows[[#This Row],[UoM_Flow_Py]]</f>
        <v/>
      </c>
      <c r="AF7" s="190">
        <f>INDEX(Tab_Def_Flows[[Flow_ID]:[CC_DM_source]],MATCH(Tab_Data_Flows[[#This Row],[Name(EN)]],Tab_Def_Flows[Name(EN)],0),15)</f>
        <v/>
      </c>
      <c r="AG7" s="272">
        <f>IF(K7="Yes",AF7*Tab_Data_Flows[[#This Row],[Flow_Py]],"N.A.")</f>
        <v/>
      </c>
      <c r="AH7" s="272">
        <f>Tab_Data_Flows[[#This Row],[UoM_Flow_Py]]</f>
        <v/>
      </c>
      <c r="AI7" s="190">
        <f>INDEX(Tab_Def_Flows[[Flow_ID]:[CC_DM_source]],MATCH(Tab_Data_Flows[[#This Row],[Name(EN)]],Tab_Def_Flows[Name(EN)],0),17)</f>
        <v/>
      </c>
      <c r="AJ7" s="272">
        <f>IF(L7="Yes",AI7*Tab_Data_Flows[[#This Row],[Flow_Py]]*Tab_Data_Flows[[#This Row],[DM_'[%']]],"N.A.")</f>
        <v/>
      </c>
      <c r="AK7" s="272">
        <f>Tab_Data_Flows[[#This Row],[UoM_Flow_Py]]</f>
        <v/>
      </c>
    </row>
    <row r="8">
      <c r="A8" s="296">
        <f>ROW()-1</f>
        <v/>
      </c>
      <c r="B8" s="272">
        <f>_xlfn.XLOOKUP(C8,Tab_Def_Flows[Name(EN)],Tab_Def_Flows[Flow_ID],,0,)</f>
        <v/>
      </c>
      <c r="C8" s="273" t="inlineStr">
        <is>
          <t>Atmossphere_Input_C</t>
        </is>
      </c>
      <c r="D8" s="272">
        <f>_xlfn.XLOOKUP(C8,Tab_Def_Flows[Name(EN)],Tab_Def_Flows[Type_Biomass],,0,)</f>
        <v/>
      </c>
      <c r="E8" s="272">
        <f>_xlfn.XLOOKUP(C8,Tab_Def_Flows[Name(EN)],Tab_Def_Flows[Output_Process],,0,)</f>
        <v/>
      </c>
      <c r="F8" s="272">
        <f>_xlfn.XLOOKUP(C8,Tab_Def_Flows[Name(EN)],Tab_Def_Flows[Process_ID_O],,0,)</f>
        <v/>
      </c>
      <c r="G8" s="272">
        <f>_xlfn.XLOOKUP(C8,Tab_Def_Flows[Name(EN)],Tab_Def_Flows[Input_Process],,0,)</f>
        <v/>
      </c>
      <c r="H8" s="17">
        <f>_xlfn.XLOOKUP(C8,Tab_Def_Flows[Name(EN)],Tab_Def_Flows[Process_ID_I],,0,)</f>
        <v/>
      </c>
      <c r="I8" s="17">
        <f>_xlfn.XLOOKUP(C8,Tab_Def_Flows[Name(EN)],#REF!,,0,)</f>
        <v/>
      </c>
      <c r="J8" s="17">
        <f>_xlfn.XLOOKUP(C8,Tab_Def_Flows[Name(EN)],Tab_Def_Flows[WC?],,0,)</f>
        <v/>
      </c>
      <c r="K8" s="17">
        <f>_xlfn.XLOOKUP(C8,Tab_Def_Flows[Name(EN)],Tab_Def_Flows[DM?],,0,)</f>
        <v/>
      </c>
      <c r="L8" s="17">
        <f>_xlfn.XLOOKUP(C8,Tab_Def_Flows[Name(EN)],Tab_Def_Flows[CC?],,0,)</f>
        <v/>
      </c>
      <c r="M8" s="273" t="n">
        <v>2031</v>
      </c>
      <c r="N8" s="273" t="inlineStr">
        <is>
          <t>BB</t>
        </is>
      </c>
      <c r="O8" s="48" t="n">
        <v>374614.06</v>
      </c>
      <c r="P8" s="273" t="n"/>
      <c r="Q8" s="273" t="inlineStr">
        <is>
          <t>Stramento</t>
        </is>
      </c>
      <c r="R8" s="273" t="n"/>
      <c r="S8" s="273" t="n"/>
      <c r="T8" s="273" t="n"/>
      <c r="U8" s="273" t="n"/>
      <c r="V8" s="273" t="n"/>
      <c r="W8" s="273" t="n"/>
      <c r="X8" s="273" t="inlineStr">
        <is>
          <t>No</t>
        </is>
      </c>
      <c r="Y8" s="41" t="n"/>
      <c r="Z8" s="273" t="n"/>
      <c r="AA8" s="35">
        <f>IF(X8="no",O8,O8*Y8)</f>
        <v/>
      </c>
      <c r="AB8" s="273" t="inlineStr">
        <is>
          <t>Mg</t>
        </is>
      </c>
      <c r="AC8" s="190">
        <f>INDEX(Tab_Def_Flows[[Flow_ID]:[CC_DM_source]],MATCH(Tab_Data_Flows[[#This Row],[Name(EN)]],Tab_Def_Flows[Name(EN)],0),13)</f>
        <v/>
      </c>
      <c r="AD8" s="272">
        <f>IF(J8="Yes",AA8*Tab_Data_Flows[[#This Row],[WC_'[%']]],"N.A.")</f>
        <v/>
      </c>
      <c r="AE8" s="272">
        <f>Tab_Data_Flows[[#This Row],[UoM_Flow_Py]]</f>
        <v/>
      </c>
      <c r="AF8" s="190">
        <f>INDEX(Tab_Def_Flows[[Flow_ID]:[CC_DM_source]],MATCH(Tab_Data_Flows[[#This Row],[Name(EN)]],Tab_Def_Flows[Name(EN)],0),15)</f>
        <v/>
      </c>
      <c r="AG8" s="272">
        <f>IF(K8="Yes",AF8*Tab_Data_Flows[[#This Row],[Flow_Py]],"N.A.")</f>
        <v/>
      </c>
      <c r="AH8" s="272">
        <f>Tab_Data_Flows[[#This Row],[UoM_Flow_Py]]</f>
        <v/>
      </c>
      <c r="AI8" s="190">
        <f>INDEX(Tab_Def_Flows[[Flow_ID]:[CC_DM_source]],MATCH(Tab_Data_Flows[[#This Row],[Name(EN)]],Tab_Def_Flows[Name(EN)],0),17)</f>
        <v/>
      </c>
      <c r="AJ8" s="272">
        <f>IF(L8="Yes",AI8*Tab_Data_Flows[[#This Row],[Flow_Py]]*Tab_Data_Flows[[#This Row],[DM_'[%']]],"N.A.")</f>
        <v/>
      </c>
      <c r="AK8" s="272">
        <f>Tab_Data_Flows[[#This Row],[UoM_Flow_Py]]</f>
        <v/>
      </c>
    </row>
    <row r="9">
      <c r="A9" s="296">
        <f>ROW()-1</f>
        <v/>
      </c>
      <c r="B9" s="272">
        <f>_xlfn.XLOOKUP(C9,Tab_Def_Flows[Name(EN)],Tab_Def_Flows[Flow_ID],,0,)</f>
        <v/>
      </c>
      <c r="C9" s="273" t="inlineStr">
        <is>
          <t>Atmossphere_Input_C</t>
        </is>
      </c>
      <c r="D9" s="272">
        <f>_xlfn.XLOOKUP(C9,Tab_Def_Flows[Name(EN)],Tab_Def_Flows[Type_Biomass],,0,)</f>
        <v/>
      </c>
      <c r="E9" s="272">
        <f>_xlfn.XLOOKUP(C9,Tab_Def_Flows[Name(EN)],Tab_Def_Flows[Output_Process],,0,)</f>
        <v/>
      </c>
      <c r="F9" s="272">
        <f>_xlfn.XLOOKUP(C9,Tab_Def_Flows[Name(EN)],Tab_Def_Flows[Process_ID_O],,0,)</f>
        <v/>
      </c>
      <c r="G9" s="272">
        <f>_xlfn.XLOOKUP(C9,Tab_Def_Flows[Name(EN)],Tab_Def_Flows[Input_Process],,0,)</f>
        <v/>
      </c>
      <c r="H9" s="17">
        <f>_xlfn.XLOOKUP(C9,Tab_Def_Flows[Name(EN)],Tab_Def_Flows[Process_ID_I],,0,)</f>
        <v/>
      </c>
      <c r="I9" s="272">
        <f>_xlfn.XLOOKUP(C9,Tab_Def_Flows[Name(EN)],#REF!,,0,)</f>
        <v/>
      </c>
      <c r="J9" s="272">
        <f>_xlfn.XLOOKUP(C9,Tab_Def_Flows[Name(EN)],Tab_Def_Flows[WC?],,0,)</f>
        <v/>
      </c>
      <c r="K9" s="272">
        <f>_xlfn.XLOOKUP(C9,Tab_Def_Flows[Name(EN)],Tab_Def_Flows[DM?],,0,)</f>
        <v/>
      </c>
      <c r="L9" s="272">
        <f>_xlfn.XLOOKUP(C9,Tab_Def_Flows[Name(EN)],Tab_Def_Flows[CC?],,0,)</f>
        <v/>
      </c>
      <c r="M9" s="273" t="n">
        <v>2032</v>
      </c>
      <c r="N9" s="273" t="inlineStr">
        <is>
          <t>BB</t>
        </is>
      </c>
      <c r="O9" s="48" t="n">
        <v>353051.01</v>
      </c>
      <c r="P9" s="273" t="n"/>
      <c r="Q9" s="273" t="n"/>
      <c r="R9" s="273">
        <f>INDEX(#REF!,MATCH(Tab_Data_Flows[[#This Row],[Name(EN)]],#REF!,0),12)</f>
        <v/>
      </c>
      <c r="S9" s="273">
        <f>MATCH(Tab_Data_Flows[[#This Row],[Name(EN)]],#REF!,0)</f>
        <v/>
      </c>
      <c r="T9" s="273" t="n"/>
      <c r="U9" s="273" t="n"/>
      <c r="V9" s="273" t="n"/>
      <c r="W9" s="273" t="n"/>
      <c r="X9" s="273" t="inlineStr">
        <is>
          <t>No</t>
        </is>
      </c>
      <c r="Y9" s="273" t="n"/>
      <c r="Z9" s="273" t="n"/>
      <c r="AA9" s="35">
        <f>IF(X9="no",O9,O9*Y9)</f>
        <v/>
      </c>
      <c r="AB9" s="273" t="inlineStr">
        <is>
          <t>Mg</t>
        </is>
      </c>
      <c r="AC9" s="190">
        <f>INDEX(Tab_Def_Flows[[Flow_ID]:[CC_DM_source]],MATCH(Tab_Data_Flows[[#This Row],[Name(EN)]],Tab_Def_Flows[Name(EN)],0),13)</f>
        <v/>
      </c>
      <c r="AD9" s="272">
        <f>IF(J9="Yes",AA9*Tab_Data_Flows[[#This Row],[WC_'[%']]],"N.A.")</f>
        <v/>
      </c>
      <c r="AE9" s="272">
        <f>Tab_Data_Flows[[#This Row],[UoM_Flow_Py]]</f>
        <v/>
      </c>
      <c r="AF9" s="190">
        <f>INDEX(Tab_Def_Flows[[Flow_ID]:[CC_DM_source]],MATCH(Tab_Data_Flows[[#This Row],[Name(EN)]],Tab_Def_Flows[Name(EN)],0),15)</f>
        <v/>
      </c>
      <c r="AG9" s="272">
        <f>IF(K9="Yes",AF9*Tab_Data_Flows[[#This Row],[Flow_Py]],"N.A.")</f>
        <v/>
      </c>
      <c r="AH9" s="272">
        <f>Tab_Data_Flows[[#This Row],[UoM_Flow_Py]]</f>
        <v/>
      </c>
      <c r="AI9" s="190">
        <f>INDEX(Tab_Def_Flows[[Flow_ID]:[CC_DM_source]],MATCH(Tab_Data_Flows[[#This Row],[Name(EN)]],Tab_Def_Flows[Name(EN)],0),17)</f>
        <v/>
      </c>
      <c r="AJ9" s="272">
        <f>IF(L9="Yes",AI9*Tab_Data_Flows[[#This Row],[Flow_Py]]*Tab_Data_Flows[[#This Row],[DM_'[%']]],"N.A.")</f>
        <v/>
      </c>
      <c r="AK9" s="272">
        <f>Tab_Data_Flows[[#This Row],[UoM_Flow_Py]]</f>
        <v/>
      </c>
    </row>
    <row r="10">
      <c r="A10" s="296">
        <f>ROW()-1</f>
        <v/>
      </c>
      <c r="B10" s="272">
        <f>_xlfn.XLOOKUP(C10,Tab_Def_Flows[Name(EN)],Tab_Def_Flows[Flow_ID],,0,)</f>
        <v/>
      </c>
      <c r="C10" s="273" t="inlineStr">
        <is>
          <t>Atmossphere_Input_C</t>
        </is>
      </c>
      <c r="D10" s="272">
        <f>_xlfn.XLOOKUP(C10,Tab_Def_Flows[Name(EN)],Tab_Def_Flows[Type_Biomass],,0,)</f>
        <v/>
      </c>
      <c r="E10" s="272">
        <f>_xlfn.XLOOKUP(C10,Tab_Def_Flows[Name(EN)],Tab_Def_Flows[Output_Process],,0,)</f>
        <v/>
      </c>
      <c r="F10" s="272">
        <f>_xlfn.XLOOKUP(C10,Tab_Def_Flows[Name(EN)],Tab_Def_Flows[Process_ID_O],,0,)</f>
        <v/>
      </c>
      <c r="G10" s="272">
        <f>_xlfn.XLOOKUP(C10,Tab_Def_Flows[Name(EN)],Tab_Def_Flows[Input_Process],,0,)</f>
        <v/>
      </c>
      <c r="H10" s="17">
        <f>_xlfn.XLOOKUP(C10,Tab_Def_Flows[Name(EN)],Tab_Def_Flows[Process_ID_I],,0,)</f>
        <v/>
      </c>
      <c r="I10" s="272">
        <f>_xlfn.XLOOKUP(C10,Tab_Def_Flows[Name(EN)],#REF!,,0,)</f>
        <v/>
      </c>
      <c r="J10" s="272">
        <f>_xlfn.XLOOKUP(C10,Tab_Def_Flows[Name(EN)],Tab_Def_Flows[WC?],,0,)</f>
        <v/>
      </c>
      <c r="K10" s="272">
        <f>_xlfn.XLOOKUP(C10,Tab_Def_Flows[Name(EN)],Tab_Def_Flows[DM?],,0,)</f>
        <v/>
      </c>
      <c r="L10" s="272">
        <f>_xlfn.XLOOKUP(C10,Tab_Def_Flows[Name(EN)],Tab_Def_Flows[CC?],,0,)</f>
        <v/>
      </c>
      <c r="M10" s="273" t="n">
        <v>2033</v>
      </c>
      <c r="N10" s="273" t="inlineStr">
        <is>
          <t>BB</t>
        </is>
      </c>
      <c r="O10" s="48" t="n">
        <v>389483.15</v>
      </c>
      <c r="P10" s="273" t="n"/>
      <c r="Q10" s="273" t="n"/>
      <c r="R10" s="273">
        <f>INDEX(#REF!,MATCH(Tab_Data_Flows[[#This Row],[Name(EN)]],#REF!,0),12)</f>
        <v/>
      </c>
      <c r="S10" s="273">
        <f>MATCH(Tab_Data_Flows[[#This Row],[Name(EN)]],#REF!,0)</f>
        <v/>
      </c>
      <c r="T10" s="273" t="n"/>
      <c r="U10" s="273" t="n"/>
      <c r="V10" s="273" t="n"/>
      <c r="W10" s="273" t="n"/>
      <c r="X10" s="273" t="inlineStr">
        <is>
          <t>No</t>
        </is>
      </c>
      <c r="Y10" s="273" t="n"/>
      <c r="Z10" s="273" t="n"/>
      <c r="AA10" s="35">
        <f>IF(X10="no",O10,O10*Y10)</f>
        <v/>
      </c>
      <c r="AB10" s="273" t="inlineStr">
        <is>
          <t>Mg</t>
        </is>
      </c>
      <c r="AC10" s="190">
        <f>INDEX(Tab_Def_Flows[[Flow_ID]:[CC_DM_source]],MATCH(Tab_Data_Flows[[#This Row],[Name(EN)]],Tab_Def_Flows[Name(EN)],0),13)</f>
        <v/>
      </c>
      <c r="AD10" s="272">
        <f>IF(J10="Yes",AA10*Tab_Data_Flows[[#This Row],[WC_'[%']]],"N.A.")</f>
        <v/>
      </c>
      <c r="AE10" s="272">
        <f>Tab_Data_Flows[[#This Row],[UoM_Flow_Py]]</f>
        <v/>
      </c>
      <c r="AF10" s="190">
        <f>INDEX(Tab_Def_Flows[[Flow_ID]:[CC_DM_source]],MATCH(Tab_Data_Flows[[#This Row],[Name(EN)]],Tab_Def_Flows[Name(EN)],0),15)</f>
        <v/>
      </c>
      <c r="AG10" s="272">
        <f>IF(K10="Yes",AF10*Tab_Data_Flows[[#This Row],[Flow_Py]],"N.A.")</f>
        <v/>
      </c>
      <c r="AH10" s="272">
        <f>Tab_Data_Flows[[#This Row],[UoM_Flow_Py]]</f>
        <v/>
      </c>
      <c r="AI10" s="190">
        <f>INDEX(Tab_Def_Flows[[Flow_ID]:[CC_DM_source]],MATCH(Tab_Data_Flows[[#This Row],[Name(EN)]],Tab_Def_Flows[Name(EN)],0),17)</f>
        <v/>
      </c>
      <c r="AJ10" s="272">
        <f>IF(L10="Yes",AI10*Tab_Data_Flows[[#This Row],[Flow_Py]]*Tab_Data_Flows[[#This Row],[DM_'[%']]],"N.A.")</f>
        <v/>
      </c>
      <c r="AK10" s="272">
        <f>Tab_Data_Flows[[#This Row],[UoM_Flow_Py]]</f>
        <v/>
      </c>
    </row>
    <row r="11">
      <c r="A11" s="296">
        <f>ROW()-1</f>
        <v/>
      </c>
      <c r="B11" s="272">
        <f>_xlfn.XLOOKUP(C11,Tab_Def_Flows[Name(EN)],Tab_Def_Flows[Flow_ID],,0,)</f>
        <v/>
      </c>
      <c r="C11" s="273" t="inlineStr">
        <is>
          <t>Atmossphere_Input_C</t>
        </is>
      </c>
      <c r="D11" s="272">
        <f>_xlfn.XLOOKUP(C11,Tab_Def_Flows[Name(EN)],Tab_Def_Flows[Type_Biomass],,0,)</f>
        <v/>
      </c>
      <c r="E11" s="272">
        <f>_xlfn.XLOOKUP(C11,Tab_Def_Flows[Name(EN)],Tab_Def_Flows[Output_Process],,0,)</f>
        <v/>
      </c>
      <c r="F11" s="272">
        <f>_xlfn.XLOOKUP(C11,Tab_Def_Flows[Name(EN)],Tab_Def_Flows[Process_ID_O],,0,)</f>
        <v/>
      </c>
      <c r="G11" s="272">
        <f>_xlfn.XLOOKUP(C11,Tab_Def_Flows[Name(EN)],Tab_Def_Flows[Input_Process],,0,)</f>
        <v/>
      </c>
      <c r="H11" s="17">
        <f>_xlfn.XLOOKUP(C11,Tab_Def_Flows[Name(EN)],Tab_Def_Flows[Process_ID_I],,0,)</f>
        <v/>
      </c>
      <c r="I11" s="272">
        <f>_xlfn.XLOOKUP(C11,Tab_Def_Flows[Name(EN)],#REF!,,0,)</f>
        <v/>
      </c>
      <c r="J11" s="272">
        <f>_xlfn.XLOOKUP(C11,Tab_Def_Flows[Name(EN)],Tab_Def_Flows[WC?],,0,)</f>
        <v/>
      </c>
      <c r="K11" s="272">
        <f>_xlfn.XLOOKUP(C11,Tab_Def_Flows[Name(EN)],Tab_Def_Flows[DM?],,0,)</f>
        <v/>
      </c>
      <c r="L11" s="272">
        <f>_xlfn.XLOOKUP(C11,Tab_Def_Flows[Name(EN)],Tab_Def_Flows[CC?],,0,)</f>
        <v/>
      </c>
      <c r="M11" s="273" t="n">
        <v>2034</v>
      </c>
      <c r="N11" s="273" t="inlineStr">
        <is>
          <t>BB</t>
        </is>
      </c>
      <c r="O11" s="48" t="n">
        <v>341176.45</v>
      </c>
      <c r="P11" s="273" t="n"/>
      <c r="Q11" s="273" t="n"/>
      <c r="R11" s="273">
        <f>INDEX(#REF!,MATCH(Tab_Data_Flows[[#This Row],[Name(EN)]],#REF!,0),12)</f>
        <v/>
      </c>
      <c r="S11" s="273">
        <f>MATCH(Tab_Data_Flows[[#This Row],[Name(EN)]],#REF!,0)</f>
        <v/>
      </c>
      <c r="T11" s="273" t="n"/>
      <c r="U11" s="273" t="n"/>
      <c r="V11" s="273" t="n"/>
      <c r="W11" s="273" t="n"/>
      <c r="X11" s="273" t="inlineStr">
        <is>
          <t>No</t>
        </is>
      </c>
      <c r="Y11" s="273" t="n"/>
      <c r="Z11" s="273" t="n"/>
      <c r="AA11" s="35">
        <f>IF(X11="no",O11,O11*Y11)</f>
        <v/>
      </c>
      <c r="AB11" s="273" t="inlineStr">
        <is>
          <t>Mg</t>
        </is>
      </c>
      <c r="AC11" s="190">
        <f>INDEX(Tab_Def_Flows[[Flow_ID]:[CC_DM_source]],MATCH(Tab_Data_Flows[[#This Row],[Name(EN)]],Tab_Def_Flows[Name(EN)],0),13)</f>
        <v/>
      </c>
      <c r="AD11" s="272">
        <f>IF(J11="Yes",AA11*Tab_Data_Flows[[#This Row],[WC_'[%']]],"N.A.")</f>
        <v/>
      </c>
      <c r="AE11" s="272">
        <f>Tab_Data_Flows[[#This Row],[UoM_Flow_Py]]</f>
        <v/>
      </c>
      <c r="AF11" s="190">
        <f>INDEX(Tab_Def_Flows[[Flow_ID]:[CC_DM_source]],MATCH(Tab_Data_Flows[[#This Row],[Name(EN)]],Tab_Def_Flows[Name(EN)],0),15)</f>
        <v/>
      </c>
      <c r="AG11" s="272">
        <f>IF(K11="Yes",AF11*Tab_Data_Flows[[#This Row],[Flow_Py]],"N.A.")</f>
        <v/>
      </c>
      <c r="AH11" s="272">
        <f>Tab_Data_Flows[[#This Row],[UoM_Flow_Py]]</f>
        <v/>
      </c>
      <c r="AI11" s="190">
        <f>INDEX(Tab_Def_Flows[[Flow_ID]:[CC_DM_source]],MATCH(Tab_Data_Flows[[#This Row],[Name(EN)]],Tab_Def_Flows[Name(EN)],0),17)</f>
        <v/>
      </c>
      <c r="AJ11" s="272">
        <f>IF(L11="Yes",AI11*Tab_Data_Flows[[#This Row],[Flow_Py]]*Tab_Data_Flows[[#This Row],[DM_'[%']]],"N.A.")</f>
        <v/>
      </c>
      <c r="AK11" s="272">
        <f>Tab_Data_Flows[[#This Row],[UoM_Flow_Py]]</f>
        <v/>
      </c>
    </row>
    <row r="12">
      <c r="A12" s="296">
        <f>ROW()-1</f>
        <v/>
      </c>
      <c r="B12" s="272">
        <f>_xlfn.XLOOKUP(C12,Tab_Def_Flows[Name(EN)],Tab_Def_Flows[Flow_ID],,0,)</f>
        <v/>
      </c>
      <c r="C12" s="273" t="inlineStr">
        <is>
          <t>Atmossphere_Input_C</t>
        </is>
      </c>
      <c r="D12" s="272">
        <f>_xlfn.XLOOKUP(C12,Tab_Def_Flows[Name(EN)],Tab_Def_Flows[Type_Biomass],,0,)</f>
        <v/>
      </c>
      <c r="E12" s="272">
        <f>_xlfn.XLOOKUP(C12,Tab_Def_Flows[Name(EN)],Tab_Def_Flows[Output_Process],,0,)</f>
        <v/>
      </c>
      <c r="F12" s="272">
        <f>_xlfn.XLOOKUP(C12,Tab_Def_Flows[Name(EN)],Tab_Def_Flows[Process_ID_O],,0,)</f>
        <v/>
      </c>
      <c r="G12" s="272">
        <f>_xlfn.XLOOKUP(C12,Tab_Def_Flows[Name(EN)],Tab_Def_Flows[Input_Process],,0,)</f>
        <v/>
      </c>
      <c r="H12" s="17">
        <f>_xlfn.XLOOKUP(C12,Tab_Def_Flows[Name(EN)],Tab_Def_Flows[Process_ID_I],,0,)</f>
        <v/>
      </c>
      <c r="I12" s="272">
        <f>_xlfn.XLOOKUP(C12,Tab_Def_Flows[Name(EN)],#REF!,,0,)</f>
        <v/>
      </c>
      <c r="J12" s="272">
        <f>_xlfn.XLOOKUP(C12,Tab_Def_Flows[Name(EN)],Tab_Def_Flows[WC?],,0,)</f>
        <v/>
      </c>
      <c r="K12" s="272">
        <f>_xlfn.XLOOKUP(C12,Tab_Def_Flows[Name(EN)],Tab_Def_Flows[DM?],,0,)</f>
        <v/>
      </c>
      <c r="L12" s="272">
        <f>_xlfn.XLOOKUP(C12,Tab_Def_Flows[Name(EN)],Tab_Def_Flows[CC?],,0,)</f>
        <v/>
      </c>
      <c r="M12" s="273" t="n">
        <v>2035</v>
      </c>
      <c r="N12" s="273" t="inlineStr">
        <is>
          <t>BB</t>
        </is>
      </c>
      <c r="O12" s="48" t="n">
        <v>322450.14</v>
      </c>
      <c r="P12" s="273" t="n"/>
      <c r="Q12" s="273" t="n"/>
      <c r="R12" s="273">
        <f>INDEX(#REF!,MATCH(Tab_Data_Flows[[#This Row],[Name(EN)]],#REF!,0),12)</f>
        <v/>
      </c>
      <c r="S12" s="273">
        <f>MATCH(Tab_Data_Flows[[#This Row],[Name(EN)]],#REF!,0)</f>
        <v/>
      </c>
      <c r="T12" s="273" t="n"/>
      <c r="U12" s="273" t="n"/>
      <c r="V12" s="273" t="n"/>
      <c r="W12" s="273" t="n"/>
      <c r="X12" s="273" t="inlineStr">
        <is>
          <t>No</t>
        </is>
      </c>
      <c r="Y12" s="273" t="n"/>
      <c r="Z12" s="273" t="n"/>
      <c r="AA12" s="35">
        <f>IF(X12="no",O12,O12*Y12)</f>
        <v/>
      </c>
      <c r="AB12" s="273" t="inlineStr">
        <is>
          <t>Mg</t>
        </is>
      </c>
      <c r="AC12" s="190">
        <f>INDEX(Tab_Def_Flows[[Flow_ID]:[CC_DM_source]],MATCH(Tab_Data_Flows[[#This Row],[Name(EN)]],Tab_Def_Flows[Name(EN)],0),13)</f>
        <v/>
      </c>
      <c r="AD12" s="272">
        <f>IF(J12="Yes",AA12*Tab_Data_Flows[[#This Row],[WC_'[%']]],"N.A.")</f>
        <v/>
      </c>
      <c r="AE12" s="272">
        <f>Tab_Data_Flows[[#This Row],[UoM_Flow_Py]]</f>
        <v/>
      </c>
      <c r="AF12" s="190">
        <f>INDEX(Tab_Def_Flows[[Flow_ID]:[CC_DM_source]],MATCH(Tab_Data_Flows[[#This Row],[Name(EN)]],Tab_Def_Flows[Name(EN)],0),15)</f>
        <v/>
      </c>
      <c r="AG12" s="272">
        <f>IF(K12="Yes",AF12*Tab_Data_Flows[[#This Row],[Flow_Py]],"N.A.")</f>
        <v/>
      </c>
      <c r="AH12" s="272">
        <f>Tab_Data_Flows[[#This Row],[UoM_Flow_Py]]</f>
        <v/>
      </c>
      <c r="AI12" s="190">
        <f>INDEX(Tab_Def_Flows[[Flow_ID]:[CC_DM_source]],MATCH(Tab_Data_Flows[[#This Row],[Name(EN)]],Tab_Def_Flows[Name(EN)],0),17)</f>
        <v/>
      </c>
      <c r="AJ12" s="272">
        <f>IF(L12="Yes",AI12*Tab_Data_Flows[[#This Row],[Flow_Py]]*Tab_Data_Flows[[#This Row],[DM_'[%']]],"N.A.")</f>
        <v/>
      </c>
      <c r="AK12" s="272">
        <f>Tab_Data_Flows[[#This Row],[UoM_Flow_Py]]</f>
        <v/>
      </c>
    </row>
    <row r="13">
      <c r="A13" s="296">
        <f>ROW()-1</f>
        <v/>
      </c>
      <c r="B13" s="272">
        <f>_xlfn.XLOOKUP(C13,Tab_Def_Flows[Name(EN)],Tab_Def_Flows[Flow_ID],,0,)</f>
        <v/>
      </c>
      <c r="C13" s="273" t="inlineStr">
        <is>
          <t>Atmossphere_Input_C</t>
        </is>
      </c>
      <c r="D13" s="272">
        <f>_xlfn.XLOOKUP(C13,Tab_Def_Flows[Name(EN)],Tab_Def_Flows[Type_Biomass],,0,)</f>
        <v/>
      </c>
      <c r="E13" s="272">
        <f>_xlfn.XLOOKUP(C13,Tab_Def_Flows[Name(EN)],Tab_Def_Flows[Output_Process],,0,)</f>
        <v/>
      </c>
      <c r="F13" s="272">
        <f>_xlfn.XLOOKUP(C13,Tab_Def_Flows[Name(EN)],Tab_Def_Flows[Process_ID_O],,0,)</f>
        <v/>
      </c>
      <c r="G13" s="272">
        <f>_xlfn.XLOOKUP(C13,Tab_Def_Flows[Name(EN)],Tab_Def_Flows[Input_Process],,0,)</f>
        <v/>
      </c>
      <c r="H13" s="17">
        <f>_xlfn.XLOOKUP(C13,Tab_Def_Flows[Name(EN)],Tab_Def_Flows[Process_ID_I],,0,)</f>
        <v/>
      </c>
      <c r="I13" s="272">
        <f>_xlfn.XLOOKUP(C13,Tab_Def_Flows[Name(EN)],#REF!,,0,)</f>
        <v/>
      </c>
      <c r="J13" s="272">
        <f>_xlfn.XLOOKUP(C13,Tab_Def_Flows[Name(EN)],Tab_Def_Flows[WC?],,0,)</f>
        <v/>
      </c>
      <c r="K13" s="272">
        <f>_xlfn.XLOOKUP(C13,Tab_Def_Flows[Name(EN)],Tab_Def_Flows[DM?],,0,)</f>
        <v/>
      </c>
      <c r="L13" s="272">
        <f>_xlfn.XLOOKUP(C13,Tab_Def_Flows[Name(EN)],Tab_Def_Flows[CC?],,0,)</f>
        <v/>
      </c>
      <c r="M13" s="273" t="n">
        <v>2036</v>
      </c>
      <c r="N13" s="273" t="inlineStr">
        <is>
          <t>BB</t>
        </is>
      </c>
      <c r="O13" s="48" t="n">
        <v>320237.29</v>
      </c>
      <c r="P13" s="273" t="n"/>
      <c r="Q13" s="273" t="n"/>
      <c r="R13" s="273">
        <f>INDEX(#REF!,MATCH(Tab_Data_Flows[[#This Row],[Name(EN)]],#REF!,0),12)</f>
        <v/>
      </c>
      <c r="S13" s="273">
        <f>MATCH(Tab_Data_Flows[[#This Row],[Name(EN)]],#REF!,0)</f>
        <v/>
      </c>
      <c r="T13" s="273" t="n"/>
      <c r="U13" s="273" t="n"/>
      <c r="V13" s="273" t="n"/>
      <c r="W13" s="273" t="n"/>
      <c r="X13" s="273" t="inlineStr">
        <is>
          <t>No</t>
        </is>
      </c>
      <c r="Y13" s="273" t="n"/>
      <c r="Z13" s="273" t="n"/>
      <c r="AA13" s="35">
        <f>IF(X13="no",O13,O13*Y13)</f>
        <v/>
      </c>
      <c r="AB13" s="273" t="inlineStr">
        <is>
          <t>Mg</t>
        </is>
      </c>
      <c r="AC13" s="190">
        <f>INDEX(Tab_Def_Flows[[Flow_ID]:[CC_DM_source]],MATCH(Tab_Data_Flows[[#This Row],[Name(EN)]],Tab_Def_Flows[Name(EN)],0),13)</f>
        <v/>
      </c>
      <c r="AD13" s="272">
        <f>IF(J13="Yes",AA13*Tab_Data_Flows[[#This Row],[WC_'[%']]],"N.A.")</f>
        <v/>
      </c>
      <c r="AE13" s="272">
        <f>Tab_Data_Flows[[#This Row],[UoM_Flow_Py]]</f>
        <v/>
      </c>
      <c r="AF13" s="190">
        <f>INDEX(Tab_Def_Flows[[Flow_ID]:[CC_DM_source]],MATCH(Tab_Data_Flows[[#This Row],[Name(EN)]],Tab_Def_Flows[Name(EN)],0),15)</f>
        <v/>
      </c>
      <c r="AG13" s="272">
        <f>IF(K13="Yes",AF13*Tab_Data_Flows[[#This Row],[Flow_Py]],"N.A.")</f>
        <v/>
      </c>
      <c r="AH13" s="272">
        <f>Tab_Data_Flows[[#This Row],[UoM_Flow_Py]]</f>
        <v/>
      </c>
      <c r="AI13" s="190">
        <f>INDEX(Tab_Def_Flows[[Flow_ID]:[CC_DM_source]],MATCH(Tab_Data_Flows[[#This Row],[Name(EN)]],Tab_Def_Flows[Name(EN)],0),17)</f>
        <v/>
      </c>
      <c r="AJ13" s="272">
        <f>IF(L13="Yes",AI13*Tab_Data_Flows[[#This Row],[Flow_Py]]*Tab_Data_Flows[[#This Row],[DM_'[%']]],"N.A.")</f>
        <v/>
      </c>
      <c r="AK13" s="272">
        <f>Tab_Data_Flows[[#This Row],[UoM_Flow_Py]]</f>
        <v/>
      </c>
    </row>
    <row r="14">
      <c r="A14" s="296">
        <f>ROW()-1</f>
        <v/>
      </c>
      <c r="B14" s="272">
        <f>_xlfn.XLOOKUP(C14,Tab_Def_Flows[Name(EN)],Tab_Def_Flows[Flow_ID],,0,)</f>
        <v/>
      </c>
      <c r="C14" s="273" t="inlineStr">
        <is>
          <t>Atmossphere_Input_C</t>
        </is>
      </c>
      <c r="D14" s="272">
        <f>_xlfn.XLOOKUP(C14,Tab_Def_Flows[Name(EN)],Tab_Def_Flows[Type_Biomass],,0,)</f>
        <v/>
      </c>
      <c r="E14" s="272">
        <f>_xlfn.XLOOKUP(C14,Tab_Def_Flows[Name(EN)],Tab_Def_Flows[Output_Process],,0,)</f>
        <v/>
      </c>
      <c r="F14" s="272">
        <f>_xlfn.XLOOKUP(C14,Tab_Def_Flows[Name(EN)],Tab_Def_Flows[Process_ID_O],,0,)</f>
        <v/>
      </c>
      <c r="G14" s="272">
        <f>_xlfn.XLOOKUP(C14,Tab_Def_Flows[Name(EN)],Tab_Def_Flows[Input_Process],,0,)</f>
        <v/>
      </c>
      <c r="H14" s="17">
        <f>_xlfn.XLOOKUP(C14,Tab_Def_Flows[Name(EN)],Tab_Def_Flows[Process_ID_I],,0,)</f>
        <v/>
      </c>
      <c r="I14" s="272">
        <f>_xlfn.XLOOKUP(C14,Tab_Def_Flows[Name(EN)],#REF!,,0,)</f>
        <v/>
      </c>
      <c r="J14" s="272">
        <f>_xlfn.XLOOKUP(C14,Tab_Def_Flows[Name(EN)],Tab_Def_Flows[WC?],,0,)</f>
        <v/>
      </c>
      <c r="K14" s="272">
        <f>_xlfn.XLOOKUP(C14,Tab_Def_Flows[Name(EN)],Tab_Def_Flows[DM?],,0,)</f>
        <v/>
      </c>
      <c r="L14" s="272">
        <f>_xlfn.XLOOKUP(C14,Tab_Def_Flows[Name(EN)],Tab_Def_Flows[CC?],,0,)</f>
        <v/>
      </c>
      <c r="M14" s="273" t="n">
        <v>2037</v>
      </c>
      <c r="N14" s="273" t="inlineStr">
        <is>
          <t>BB</t>
        </is>
      </c>
      <c r="O14" s="48" t="n">
        <v>379904.01</v>
      </c>
      <c r="P14" s="273" t="n"/>
      <c r="Q14" s="273" t="n"/>
      <c r="R14" s="273">
        <f>INDEX(#REF!,MATCH(Tab_Data_Flows[[#This Row],[Name(EN)]],#REF!,0),12)</f>
        <v/>
      </c>
      <c r="S14" s="273">
        <f>MATCH(Tab_Data_Flows[[#This Row],[Name(EN)]],#REF!,0)</f>
        <v/>
      </c>
      <c r="T14" s="273" t="n"/>
      <c r="U14" s="273" t="n"/>
      <c r="V14" s="273" t="n"/>
      <c r="W14" s="273" t="n"/>
      <c r="X14" s="273" t="inlineStr">
        <is>
          <t>No</t>
        </is>
      </c>
      <c r="Y14" s="273" t="n"/>
      <c r="Z14" s="273" t="n"/>
      <c r="AA14" s="35">
        <f>IF(X14="no",O14,O14*Y14)</f>
        <v/>
      </c>
      <c r="AB14" s="273" t="inlineStr">
        <is>
          <t>Mg</t>
        </is>
      </c>
      <c r="AC14" s="190">
        <f>INDEX(Tab_Def_Flows[[Flow_ID]:[CC_DM_source]],MATCH(Tab_Data_Flows[[#This Row],[Name(EN)]],Tab_Def_Flows[Name(EN)],0),13)</f>
        <v/>
      </c>
      <c r="AD14" s="272">
        <f>IF(J14="Yes",AA14*Tab_Data_Flows[[#This Row],[WC_'[%']]],"N.A.")</f>
        <v/>
      </c>
      <c r="AE14" s="272">
        <f>Tab_Data_Flows[[#This Row],[UoM_Flow_Py]]</f>
        <v/>
      </c>
      <c r="AF14" s="190">
        <f>INDEX(Tab_Def_Flows[[Flow_ID]:[CC_DM_source]],MATCH(Tab_Data_Flows[[#This Row],[Name(EN)]],Tab_Def_Flows[Name(EN)],0),15)</f>
        <v/>
      </c>
      <c r="AG14" s="272">
        <f>IF(K14="Yes",AF14*Tab_Data_Flows[[#This Row],[Flow_Py]],"N.A.")</f>
        <v/>
      </c>
      <c r="AH14" s="272">
        <f>Tab_Data_Flows[[#This Row],[UoM_Flow_Py]]</f>
        <v/>
      </c>
      <c r="AI14" s="190">
        <f>INDEX(Tab_Def_Flows[[Flow_ID]:[CC_DM_source]],MATCH(Tab_Data_Flows[[#This Row],[Name(EN)]],Tab_Def_Flows[Name(EN)],0),17)</f>
        <v/>
      </c>
      <c r="AJ14" s="272">
        <f>IF(L14="Yes",AI14*Tab_Data_Flows[[#This Row],[Flow_Py]]*Tab_Data_Flows[[#This Row],[DM_'[%']]],"N.A.")</f>
        <v/>
      </c>
      <c r="AK14" s="272">
        <f>Tab_Data_Flows[[#This Row],[UoM_Flow_Py]]</f>
        <v/>
      </c>
    </row>
    <row r="15">
      <c r="A15" s="296">
        <f>ROW()-1</f>
        <v/>
      </c>
      <c r="B15" s="272">
        <f>_xlfn.XLOOKUP(C15,Tab_Def_Flows[Name(EN)],Tab_Def_Flows[Flow_ID],,0,)</f>
        <v/>
      </c>
      <c r="C15" s="273" t="inlineStr">
        <is>
          <t>Atmossphere_Input_C</t>
        </is>
      </c>
      <c r="D15" s="272">
        <f>_xlfn.XLOOKUP(C15,Tab_Def_Flows[Name(EN)],Tab_Def_Flows[Type_Biomass],,0,)</f>
        <v/>
      </c>
      <c r="E15" s="272">
        <f>_xlfn.XLOOKUP(C15,Tab_Def_Flows[Name(EN)],Tab_Def_Flows[Output_Process],,0,)</f>
        <v/>
      </c>
      <c r="F15" s="272">
        <f>_xlfn.XLOOKUP(C15,Tab_Def_Flows[Name(EN)],Tab_Def_Flows[Process_ID_O],,0,)</f>
        <v/>
      </c>
      <c r="G15" s="272">
        <f>_xlfn.XLOOKUP(C15,Tab_Def_Flows[Name(EN)],Tab_Def_Flows[Input_Process],,0,)</f>
        <v/>
      </c>
      <c r="H15" s="17">
        <f>_xlfn.XLOOKUP(C15,Tab_Def_Flows[Name(EN)],Tab_Def_Flows[Process_ID_I],,0,)</f>
        <v/>
      </c>
      <c r="I15" s="272">
        <f>_xlfn.XLOOKUP(C15,Tab_Def_Flows[Name(EN)],#REF!,,0,)</f>
        <v/>
      </c>
      <c r="J15" s="272">
        <f>_xlfn.XLOOKUP(C15,Tab_Def_Flows[Name(EN)],Tab_Def_Flows[WC?],,0,)</f>
        <v/>
      </c>
      <c r="K15" s="272">
        <f>_xlfn.XLOOKUP(C15,Tab_Def_Flows[Name(EN)],Tab_Def_Flows[DM?],,0,)</f>
        <v/>
      </c>
      <c r="L15" s="272">
        <f>_xlfn.XLOOKUP(C15,Tab_Def_Flows[Name(EN)],Tab_Def_Flows[CC?],,0,)</f>
        <v/>
      </c>
      <c r="M15" s="273" t="n">
        <v>2038</v>
      </c>
      <c r="N15" s="273" t="inlineStr">
        <is>
          <t>BB</t>
        </is>
      </c>
      <c r="O15" s="48" t="n">
        <v>365226.01</v>
      </c>
      <c r="P15" s="273" t="n"/>
      <c r="Q15" s="273" t="n"/>
      <c r="R15" s="273">
        <f>INDEX(#REF!,MATCH(Tab_Data_Flows[[#This Row],[Name(EN)]],#REF!,0),12)</f>
        <v/>
      </c>
      <c r="S15" s="273">
        <f>MATCH(Tab_Data_Flows[[#This Row],[Name(EN)]],#REF!,0)</f>
        <v/>
      </c>
      <c r="T15" s="273" t="n"/>
      <c r="U15" s="273" t="n"/>
      <c r="V15" s="273" t="n"/>
      <c r="W15" s="273" t="n"/>
      <c r="X15" s="273" t="inlineStr">
        <is>
          <t>No</t>
        </is>
      </c>
      <c r="Y15" s="273" t="n"/>
      <c r="Z15" s="273" t="n"/>
      <c r="AA15" s="35">
        <f>IF(X15="no",O15,O15*Y15)</f>
        <v/>
      </c>
      <c r="AB15" s="273" t="inlineStr">
        <is>
          <t>Mg</t>
        </is>
      </c>
      <c r="AC15" s="190">
        <f>INDEX(Tab_Def_Flows[[Flow_ID]:[CC_DM_source]],MATCH(Tab_Data_Flows[[#This Row],[Name(EN)]],Tab_Def_Flows[Name(EN)],0),13)</f>
        <v/>
      </c>
      <c r="AD15" s="272">
        <f>IF(J15="Yes",AA15*Tab_Data_Flows[[#This Row],[WC_'[%']]],"N.A.")</f>
        <v/>
      </c>
      <c r="AE15" s="272">
        <f>Tab_Data_Flows[[#This Row],[UoM_Flow_Py]]</f>
        <v/>
      </c>
      <c r="AF15" s="190">
        <f>INDEX(Tab_Def_Flows[[Flow_ID]:[CC_DM_source]],MATCH(Tab_Data_Flows[[#This Row],[Name(EN)]],Tab_Def_Flows[Name(EN)],0),15)</f>
        <v/>
      </c>
      <c r="AG15" s="272">
        <f>IF(K15="Yes",AF15*Tab_Data_Flows[[#This Row],[Flow_Py]],"N.A.")</f>
        <v/>
      </c>
      <c r="AH15" s="272">
        <f>Tab_Data_Flows[[#This Row],[UoM_Flow_Py]]</f>
        <v/>
      </c>
      <c r="AI15" s="190">
        <f>INDEX(Tab_Def_Flows[[Flow_ID]:[CC_DM_source]],MATCH(Tab_Data_Flows[[#This Row],[Name(EN)]],Tab_Def_Flows[Name(EN)],0),17)</f>
        <v/>
      </c>
      <c r="AJ15" s="272">
        <f>IF(L15="Yes",AI15*Tab_Data_Flows[[#This Row],[Flow_Py]]*Tab_Data_Flows[[#This Row],[DM_'[%']]],"N.A.")</f>
        <v/>
      </c>
      <c r="AK15" s="272">
        <f>Tab_Data_Flows[[#This Row],[UoM_Flow_Py]]</f>
        <v/>
      </c>
    </row>
    <row r="16">
      <c r="A16" s="296">
        <f>ROW()-1</f>
        <v/>
      </c>
      <c r="B16" s="272">
        <f>_xlfn.XLOOKUP(C16,Tab_Def_Flows[Name(EN)],Tab_Def_Flows[Flow_ID],,0,)</f>
        <v/>
      </c>
      <c r="C16" s="273" t="inlineStr">
        <is>
          <t>Atmossphere_Input_C</t>
        </is>
      </c>
      <c r="D16" s="272">
        <f>_xlfn.XLOOKUP(C16,Tab_Def_Flows[Name(EN)],Tab_Def_Flows[Type_Biomass],,0,)</f>
        <v/>
      </c>
      <c r="E16" s="272">
        <f>_xlfn.XLOOKUP(C16,Tab_Def_Flows[Name(EN)],Tab_Def_Flows[Output_Process],,0,)</f>
        <v/>
      </c>
      <c r="F16" s="272">
        <f>_xlfn.XLOOKUP(C16,Tab_Def_Flows[Name(EN)],Tab_Def_Flows[Process_ID_O],,0,)</f>
        <v/>
      </c>
      <c r="G16" s="272">
        <f>_xlfn.XLOOKUP(C16,Tab_Def_Flows[Name(EN)],Tab_Def_Flows[Input_Process],,0,)</f>
        <v/>
      </c>
      <c r="H16" s="17">
        <f>_xlfn.XLOOKUP(C16,Tab_Def_Flows[Name(EN)],Tab_Def_Flows[Process_ID_I],,0,)</f>
        <v/>
      </c>
      <c r="I16" s="272">
        <f>_xlfn.XLOOKUP(C16,Tab_Def_Flows[Name(EN)],#REF!,,0,)</f>
        <v/>
      </c>
      <c r="J16" s="272">
        <f>_xlfn.XLOOKUP(C16,Tab_Def_Flows[Name(EN)],Tab_Def_Flows[WC?],,0,)</f>
        <v/>
      </c>
      <c r="K16" s="272">
        <f>_xlfn.XLOOKUP(C16,Tab_Def_Flows[Name(EN)],Tab_Def_Flows[DM?],,0,)</f>
        <v/>
      </c>
      <c r="L16" s="272">
        <f>_xlfn.XLOOKUP(C16,Tab_Def_Flows[Name(EN)],Tab_Def_Flows[CC?],,0,)</f>
        <v/>
      </c>
      <c r="M16" s="273" t="n">
        <v>2039</v>
      </c>
      <c r="N16" s="273" t="inlineStr">
        <is>
          <t>BB</t>
        </is>
      </c>
      <c r="O16" s="48" t="n">
        <v>317828.87</v>
      </c>
      <c r="P16" s="273" t="n"/>
      <c r="Q16" s="273" t="n"/>
      <c r="R16" s="273">
        <f>INDEX(#REF!,MATCH(Tab_Data_Flows[[#This Row],[Name(EN)]],#REF!,0),12)</f>
        <v/>
      </c>
      <c r="S16" s="273">
        <f>MATCH(Tab_Data_Flows[[#This Row],[Name(EN)]],#REF!,0)</f>
        <v/>
      </c>
      <c r="T16" s="273" t="n"/>
      <c r="U16" s="273" t="n"/>
      <c r="V16" s="273" t="n"/>
      <c r="W16" s="273" t="n"/>
      <c r="X16" s="273" t="inlineStr">
        <is>
          <t>No</t>
        </is>
      </c>
      <c r="Y16" s="273" t="n"/>
      <c r="Z16" s="273" t="n"/>
      <c r="AA16" s="35">
        <f>IF(X16="no",O16,O16*Y16)</f>
        <v/>
      </c>
      <c r="AB16" s="273" t="inlineStr">
        <is>
          <t>Mg</t>
        </is>
      </c>
      <c r="AC16" s="190">
        <f>INDEX(Tab_Def_Flows[[Flow_ID]:[CC_DM_source]],MATCH(Tab_Data_Flows[[#This Row],[Name(EN)]],Tab_Def_Flows[Name(EN)],0),13)</f>
        <v/>
      </c>
      <c r="AD16" s="272">
        <f>IF(J16="Yes",AA16*Tab_Data_Flows[[#This Row],[WC_'[%']]],"N.A.")</f>
        <v/>
      </c>
      <c r="AE16" s="272">
        <f>Tab_Data_Flows[[#This Row],[UoM_Flow_Py]]</f>
        <v/>
      </c>
      <c r="AF16" s="190">
        <f>INDEX(Tab_Def_Flows[[Flow_ID]:[CC_DM_source]],MATCH(Tab_Data_Flows[[#This Row],[Name(EN)]],Tab_Def_Flows[Name(EN)],0),15)</f>
        <v/>
      </c>
      <c r="AG16" s="272">
        <f>IF(K16="Yes",AF16*Tab_Data_Flows[[#This Row],[Flow_Py]],"N.A.")</f>
        <v/>
      </c>
      <c r="AH16" s="272">
        <f>Tab_Data_Flows[[#This Row],[UoM_Flow_Py]]</f>
        <v/>
      </c>
      <c r="AI16" s="190">
        <f>INDEX(Tab_Def_Flows[[Flow_ID]:[CC_DM_source]],MATCH(Tab_Data_Flows[[#This Row],[Name(EN)]],Tab_Def_Flows[Name(EN)],0),17)</f>
        <v/>
      </c>
      <c r="AJ16" s="272">
        <f>IF(L16="Yes",AI16*Tab_Data_Flows[[#This Row],[Flow_Py]]*Tab_Data_Flows[[#This Row],[DM_'[%']]],"N.A.")</f>
        <v/>
      </c>
      <c r="AK16" s="272">
        <f>Tab_Data_Flows[[#This Row],[UoM_Flow_Py]]</f>
        <v/>
      </c>
    </row>
    <row r="17">
      <c r="A17" s="296">
        <f>ROW()-1</f>
        <v/>
      </c>
      <c r="B17" s="272">
        <f>_xlfn.XLOOKUP(C17,Tab_Def_Flows[Name(EN)],Tab_Def_Flows[Flow_ID],,0,)</f>
        <v/>
      </c>
      <c r="C17" s="273" t="inlineStr">
        <is>
          <t>Atmossphere_Input_C</t>
        </is>
      </c>
      <c r="D17" s="272">
        <f>_xlfn.XLOOKUP(C17,Tab_Def_Flows[Name(EN)],Tab_Def_Flows[Type_Biomass],,0,)</f>
        <v/>
      </c>
      <c r="E17" s="272">
        <f>_xlfn.XLOOKUP(C17,Tab_Def_Flows[Name(EN)],Tab_Def_Flows[Output_Process],,0,)</f>
        <v/>
      </c>
      <c r="F17" s="272">
        <f>_xlfn.XLOOKUP(C17,Tab_Def_Flows[Name(EN)],Tab_Def_Flows[Process_ID_O],,0,)</f>
        <v/>
      </c>
      <c r="G17" s="272">
        <f>_xlfn.XLOOKUP(C17,Tab_Def_Flows[Name(EN)],Tab_Def_Flows[Input_Process],,0,)</f>
        <v/>
      </c>
      <c r="H17" s="17">
        <f>_xlfn.XLOOKUP(C17,Tab_Def_Flows[Name(EN)],Tab_Def_Flows[Process_ID_I],,0,)</f>
        <v/>
      </c>
      <c r="I17" s="272">
        <f>_xlfn.XLOOKUP(C17,Tab_Def_Flows[Name(EN)],#REF!,,0,)</f>
        <v/>
      </c>
      <c r="J17" s="272">
        <f>_xlfn.XLOOKUP(C17,Tab_Def_Flows[Name(EN)],Tab_Def_Flows[WC?],,0,)</f>
        <v/>
      </c>
      <c r="K17" s="272">
        <f>_xlfn.XLOOKUP(C17,Tab_Def_Flows[Name(EN)],Tab_Def_Flows[DM?],,0,)</f>
        <v/>
      </c>
      <c r="L17" s="272">
        <f>_xlfn.XLOOKUP(C17,Tab_Def_Flows[Name(EN)],Tab_Def_Flows[CC?],,0,)</f>
        <v/>
      </c>
      <c r="M17" s="273" t="n">
        <v>2040</v>
      </c>
      <c r="N17" s="273" t="inlineStr">
        <is>
          <t>BB</t>
        </is>
      </c>
      <c r="O17" s="48" t="n">
        <v>395868.9</v>
      </c>
      <c r="P17" s="273" t="n"/>
      <c r="Q17" s="273" t="n"/>
      <c r="R17" s="273">
        <f>INDEX(#REF!,MATCH(Tab_Data_Flows[[#This Row],[Name(EN)]],#REF!,0),12)</f>
        <v/>
      </c>
      <c r="S17" s="273">
        <f>MATCH(Tab_Data_Flows[[#This Row],[Name(EN)]],#REF!,0)</f>
        <v/>
      </c>
      <c r="T17" s="273" t="n"/>
      <c r="U17" s="273" t="n"/>
      <c r="V17" s="273" t="n"/>
      <c r="W17" s="273" t="n"/>
      <c r="X17" s="273" t="inlineStr">
        <is>
          <t>No</t>
        </is>
      </c>
      <c r="Y17" s="273" t="n"/>
      <c r="Z17" s="273" t="n"/>
      <c r="AA17" s="35">
        <f>IF(X17="no",O17,O17*Y17)</f>
        <v/>
      </c>
      <c r="AB17" s="273" t="inlineStr">
        <is>
          <t>Mg</t>
        </is>
      </c>
      <c r="AC17" s="190">
        <f>INDEX(Tab_Def_Flows[[Flow_ID]:[CC_DM_source]],MATCH(Tab_Data_Flows[[#This Row],[Name(EN)]],Tab_Def_Flows[Name(EN)],0),13)</f>
        <v/>
      </c>
      <c r="AD17" s="272">
        <f>IF(J17="Yes",AA17*Tab_Data_Flows[[#This Row],[WC_'[%']]],"N.A.")</f>
        <v/>
      </c>
      <c r="AE17" s="272">
        <f>Tab_Data_Flows[[#This Row],[UoM_Flow_Py]]</f>
        <v/>
      </c>
      <c r="AF17" s="190">
        <f>INDEX(Tab_Def_Flows[[Flow_ID]:[CC_DM_source]],MATCH(Tab_Data_Flows[[#This Row],[Name(EN)]],Tab_Def_Flows[Name(EN)],0),15)</f>
        <v/>
      </c>
      <c r="AG17" s="272">
        <f>IF(K17="Yes",AF17*Tab_Data_Flows[[#This Row],[Flow_Py]],"N.A.")</f>
        <v/>
      </c>
      <c r="AH17" s="272">
        <f>Tab_Data_Flows[[#This Row],[UoM_Flow_Py]]</f>
        <v/>
      </c>
      <c r="AI17" s="190">
        <f>INDEX(Tab_Def_Flows[[Flow_ID]:[CC_DM_source]],MATCH(Tab_Data_Flows[[#This Row],[Name(EN)]],Tab_Def_Flows[Name(EN)],0),17)</f>
        <v/>
      </c>
      <c r="AJ17" s="272">
        <f>IF(L17="Yes",AI17*Tab_Data_Flows[[#This Row],[Flow_Py]]*Tab_Data_Flows[[#This Row],[DM_'[%']]],"N.A.")</f>
        <v/>
      </c>
      <c r="AK17" s="272">
        <f>Tab_Data_Flows[[#This Row],[UoM_Flow_Py]]</f>
        <v/>
      </c>
    </row>
    <row r="18">
      <c r="A18" s="296">
        <f>ROW()-1</f>
        <v/>
      </c>
      <c r="B18" s="272">
        <f>_xlfn.XLOOKUP(C18,Tab_Def_Flows[Name(EN)],Tab_Def_Flows[Flow_ID],,0,)</f>
        <v/>
      </c>
      <c r="C18" s="273" t="inlineStr">
        <is>
          <t>Atmossphere_Input_C</t>
        </is>
      </c>
      <c r="D18" s="272">
        <f>_xlfn.XLOOKUP(C18,Tab_Def_Flows[Name(EN)],Tab_Def_Flows[Type_Biomass],,0,)</f>
        <v/>
      </c>
      <c r="E18" s="272">
        <f>_xlfn.XLOOKUP(C18,Tab_Def_Flows[Name(EN)],Tab_Def_Flows[Output_Process],,0,)</f>
        <v/>
      </c>
      <c r="F18" s="272">
        <f>_xlfn.XLOOKUP(C18,Tab_Def_Flows[Name(EN)],Tab_Def_Flows[Process_ID_O],,0,)</f>
        <v/>
      </c>
      <c r="G18" s="272">
        <f>_xlfn.XLOOKUP(C18,Tab_Def_Flows[Name(EN)],Tab_Def_Flows[Input_Process],,0,)</f>
        <v/>
      </c>
      <c r="H18" s="17">
        <f>_xlfn.XLOOKUP(C18,Tab_Def_Flows[Name(EN)],Tab_Def_Flows[Process_ID_I],,0,)</f>
        <v/>
      </c>
      <c r="I18" s="272">
        <f>_xlfn.XLOOKUP(C18,Tab_Def_Flows[Name(EN)],#REF!,,0,)</f>
        <v/>
      </c>
      <c r="J18" s="272">
        <f>_xlfn.XLOOKUP(C18,Tab_Def_Flows[Name(EN)],Tab_Def_Flows[WC?],,0,)</f>
        <v/>
      </c>
      <c r="K18" s="272">
        <f>_xlfn.XLOOKUP(C18,Tab_Def_Flows[Name(EN)],Tab_Def_Flows[DM?],,0,)</f>
        <v/>
      </c>
      <c r="L18" s="272">
        <f>_xlfn.XLOOKUP(C18,Tab_Def_Flows[Name(EN)],Tab_Def_Flows[CC?],,0,)</f>
        <v/>
      </c>
      <c r="M18" s="273" t="n">
        <v>2041</v>
      </c>
      <c r="N18" s="273" t="inlineStr">
        <is>
          <t>BB</t>
        </is>
      </c>
      <c r="O18" s="48" t="n">
        <v>324278.5</v>
      </c>
      <c r="P18" s="273" t="n"/>
      <c r="Q18" s="273" t="n"/>
      <c r="R18" s="273">
        <f>INDEX(#REF!,MATCH(Tab_Data_Flows[[#This Row],[Name(EN)]],#REF!,0),12)</f>
        <v/>
      </c>
      <c r="S18" s="273">
        <f>MATCH(Tab_Data_Flows[[#This Row],[Name(EN)]],#REF!,0)</f>
        <v/>
      </c>
      <c r="T18" s="273" t="n"/>
      <c r="U18" s="273" t="n"/>
      <c r="V18" s="273" t="n"/>
      <c r="W18" s="273" t="n"/>
      <c r="X18" s="273" t="inlineStr">
        <is>
          <t>No</t>
        </is>
      </c>
      <c r="Y18" s="273" t="n"/>
      <c r="Z18" s="273" t="n"/>
      <c r="AA18" s="35">
        <f>IF(X18="no",O18,O18*Y18)</f>
        <v/>
      </c>
      <c r="AB18" s="273" t="inlineStr">
        <is>
          <t>Mg</t>
        </is>
      </c>
      <c r="AC18" s="190">
        <f>INDEX(Tab_Def_Flows[[Flow_ID]:[CC_DM_source]],MATCH(Tab_Data_Flows[[#This Row],[Name(EN)]],Tab_Def_Flows[Name(EN)],0),13)</f>
        <v/>
      </c>
      <c r="AD18" s="272">
        <f>IF(J18="Yes",AA18*Tab_Data_Flows[[#This Row],[WC_'[%']]],"N.A.")</f>
        <v/>
      </c>
      <c r="AE18" s="272">
        <f>Tab_Data_Flows[[#This Row],[UoM_Flow_Py]]</f>
        <v/>
      </c>
      <c r="AF18" s="190">
        <f>INDEX(Tab_Def_Flows[[Flow_ID]:[CC_DM_source]],MATCH(Tab_Data_Flows[[#This Row],[Name(EN)]],Tab_Def_Flows[Name(EN)],0),15)</f>
        <v/>
      </c>
      <c r="AG18" s="272">
        <f>IF(K18="Yes",AF18*Tab_Data_Flows[[#This Row],[Flow_Py]],"N.A.")</f>
        <v/>
      </c>
      <c r="AH18" s="272">
        <f>Tab_Data_Flows[[#This Row],[UoM_Flow_Py]]</f>
        <v/>
      </c>
      <c r="AI18" s="190">
        <f>INDEX(Tab_Def_Flows[[Flow_ID]:[CC_DM_source]],MATCH(Tab_Data_Flows[[#This Row],[Name(EN)]],Tab_Def_Flows[Name(EN)],0),17)</f>
        <v/>
      </c>
      <c r="AJ18" s="272">
        <f>IF(L18="Yes",AI18*Tab_Data_Flows[[#This Row],[Flow_Py]]*Tab_Data_Flows[[#This Row],[DM_'[%']]],"N.A.")</f>
        <v/>
      </c>
      <c r="AK18" s="272">
        <f>Tab_Data_Flows[[#This Row],[UoM_Flow_Py]]</f>
        <v/>
      </c>
    </row>
    <row r="19">
      <c r="A19" s="296">
        <f>ROW()-1</f>
        <v/>
      </c>
      <c r="B19" s="272">
        <f>_xlfn.XLOOKUP(C19,Tab_Def_Flows[Name(EN)],Tab_Def_Flows[Flow_ID],,0,)</f>
        <v/>
      </c>
      <c r="C19" s="273" t="inlineStr">
        <is>
          <t>Atmossphere_Input_C</t>
        </is>
      </c>
      <c r="D19" s="272">
        <f>_xlfn.XLOOKUP(C19,Tab_Def_Flows[Name(EN)],Tab_Def_Flows[Type_Biomass],,0,)</f>
        <v/>
      </c>
      <c r="E19" s="272">
        <f>_xlfn.XLOOKUP(C19,Tab_Def_Flows[Name(EN)],Tab_Def_Flows[Output_Process],,0,)</f>
        <v/>
      </c>
      <c r="F19" s="272">
        <f>_xlfn.XLOOKUP(C19,Tab_Def_Flows[Name(EN)],Tab_Def_Flows[Process_ID_O],,0,)</f>
        <v/>
      </c>
      <c r="G19" s="272">
        <f>_xlfn.XLOOKUP(C19,Tab_Def_Flows[Name(EN)],Tab_Def_Flows[Input_Process],,0,)</f>
        <v/>
      </c>
      <c r="H19" s="17">
        <f>_xlfn.XLOOKUP(C19,Tab_Def_Flows[Name(EN)],Tab_Def_Flows[Process_ID_I],,0,)</f>
        <v/>
      </c>
      <c r="I19" s="272">
        <f>_xlfn.XLOOKUP(C19,Tab_Def_Flows[Name(EN)],#REF!,,0,)</f>
        <v/>
      </c>
      <c r="J19" s="272">
        <f>_xlfn.XLOOKUP(C19,Tab_Def_Flows[Name(EN)],Tab_Def_Flows[WC?],,0,)</f>
        <v/>
      </c>
      <c r="K19" s="272">
        <f>_xlfn.XLOOKUP(C19,Tab_Def_Flows[Name(EN)],Tab_Def_Flows[DM?],,0,)</f>
        <v/>
      </c>
      <c r="L19" s="272">
        <f>_xlfn.XLOOKUP(C19,Tab_Def_Flows[Name(EN)],Tab_Def_Flows[CC?],,0,)</f>
        <v/>
      </c>
      <c r="M19" s="273" t="n">
        <v>2042</v>
      </c>
      <c r="N19" s="273" t="inlineStr">
        <is>
          <t>BB</t>
        </is>
      </c>
      <c r="O19" s="48" t="n">
        <v>356002.85</v>
      </c>
      <c r="P19" s="273" t="n"/>
      <c r="Q19" s="273" t="n"/>
      <c r="R19" s="273">
        <f>INDEX(#REF!,MATCH(Tab_Data_Flows[[#This Row],[Name(EN)]],#REF!,0),12)</f>
        <v/>
      </c>
      <c r="S19" s="273">
        <f>MATCH(Tab_Data_Flows[[#This Row],[Name(EN)]],#REF!,0)</f>
        <v/>
      </c>
      <c r="T19" s="273" t="n"/>
      <c r="U19" s="273" t="n"/>
      <c r="V19" s="273" t="n"/>
      <c r="W19" s="273" t="n"/>
      <c r="X19" s="273" t="inlineStr">
        <is>
          <t>No</t>
        </is>
      </c>
      <c r="Y19" s="273" t="n"/>
      <c r="Z19" s="273" t="n"/>
      <c r="AA19" s="35">
        <f>IF(X19="no",O19,O19*Y19)</f>
        <v/>
      </c>
      <c r="AB19" s="273" t="inlineStr">
        <is>
          <t>Mg</t>
        </is>
      </c>
      <c r="AC19" s="190">
        <f>INDEX(Tab_Def_Flows[[Flow_ID]:[CC_DM_source]],MATCH(Tab_Data_Flows[[#This Row],[Name(EN)]],Tab_Def_Flows[Name(EN)],0),13)</f>
        <v/>
      </c>
      <c r="AD19" s="272">
        <f>IF(J19="Yes",AA19*Tab_Data_Flows[[#This Row],[WC_'[%']]],"N.A.")</f>
        <v/>
      </c>
      <c r="AE19" s="272">
        <f>Tab_Data_Flows[[#This Row],[UoM_Flow_Py]]</f>
        <v/>
      </c>
      <c r="AF19" s="190">
        <f>INDEX(Tab_Def_Flows[[Flow_ID]:[CC_DM_source]],MATCH(Tab_Data_Flows[[#This Row],[Name(EN)]],Tab_Def_Flows[Name(EN)],0),15)</f>
        <v/>
      </c>
      <c r="AG19" s="272">
        <f>IF(K19="Yes",AF19*Tab_Data_Flows[[#This Row],[Flow_Py]],"N.A.")</f>
        <v/>
      </c>
      <c r="AH19" s="272">
        <f>Tab_Data_Flows[[#This Row],[UoM_Flow_Py]]</f>
        <v/>
      </c>
      <c r="AI19" s="190">
        <f>INDEX(Tab_Def_Flows[[Flow_ID]:[CC_DM_source]],MATCH(Tab_Data_Flows[[#This Row],[Name(EN)]],Tab_Def_Flows[Name(EN)],0),17)</f>
        <v/>
      </c>
      <c r="AJ19" s="272">
        <f>IF(L19="Yes",AI19*Tab_Data_Flows[[#This Row],[Flow_Py]]*Tab_Data_Flows[[#This Row],[DM_'[%']]],"N.A.")</f>
        <v/>
      </c>
      <c r="AK19" s="272">
        <f>Tab_Data_Flows[[#This Row],[UoM_Flow_Py]]</f>
        <v/>
      </c>
    </row>
    <row r="20">
      <c r="A20" s="296">
        <f>ROW()-1</f>
        <v/>
      </c>
      <c r="B20" s="272">
        <f>_xlfn.XLOOKUP(C20,Tab_Def_Flows[Name(EN)],Tab_Def_Flows[Flow_ID],,0,)</f>
        <v/>
      </c>
      <c r="C20" s="273" t="inlineStr">
        <is>
          <t>Atmossphere_Input_C</t>
        </is>
      </c>
      <c r="D20" s="272">
        <f>_xlfn.XLOOKUP(C20,Tab_Def_Flows[Name(EN)],Tab_Def_Flows[Type_Biomass],,0,)</f>
        <v/>
      </c>
      <c r="E20" s="272">
        <f>_xlfn.XLOOKUP(C20,Tab_Def_Flows[Name(EN)],Tab_Def_Flows[Output_Process],,0,)</f>
        <v/>
      </c>
      <c r="F20" s="272">
        <f>_xlfn.XLOOKUP(C20,Tab_Def_Flows[Name(EN)],Tab_Def_Flows[Process_ID_O],,0,)</f>
        <v/>
      </c>
      <c r="G20" s="272">
        <f>_xlfn.XLOOKUP(C20,Tab_Def_Flows[Name(EN)],Tab_Def_Flows[Input_Process],,0,)</f>
        <v/>
      </c>
      <c r="H20" s="17">
        <f>_xlfn.XLOOKUP(C20,Tab_Def_Flows[Name(EN)],Tab_Def_Flows[Process_ID_I],,0,)</f>
        <v/>
      </c>
      <c r="I20" s="272">
        <f>_xlfn.XLOOKUP(C20,Tab_Def_Flows[Name(EN)],#REF!,,0,)</f>
        <v/>
      </c>
      <c r="J20" s="272">
        <f>_xlfn.XLOOKUP(C20,Tab_Def_Flows[Name(EN)],Tab_Def_Flows[WC?],,0,)</f>
        <v/>
      </c>
      <c r="K20" s="272">
        <f>_xlfn.XLOOKUP(C20,Tab_Def_Flows[Name(EN)],Tab_Def_Flows[DM?],,0,)</f>
        <v/>
      </c>
      <c r="L20" s="272">
        <f>_xlfn.XLOOKUP(C20,Tab_Def_Flows[Name(EN)],Tab_Def_Flows[CC?],,0,)</f>
        <v/>
      </c>
      <c r="M20" s="273" t="n">
        <v>2043</v>
      </c>
      <c r="N20" s="273" t="inlineStr">
        <is>
          <t>BB</t>
        </is>
      </c>
      <c r="O20" s="48" t="n">
        <v>344691.02</v>
      </c>
      <c r="P20" s="273" t="n"/>
      <c r="Q20" s="273" t="n"/>
      <c r="R20" s="273">
        <f>INDEX(#REF!,MATCH(Tab_Data_Flows[[#This Row],[Name(EN)]],#REF!,0),12)</f>
        <v/>
      </c>
      <c r="S20" s="273">
        <f>MATCH(Tab_Data_Flows[[#This Row],[Name(EN)]],#REF!,0)</f>
        <v/>
      </c>
      <c r="T20" s="273" t="n"/>
      <c r="U20" s="273" t="n"/>
      <c r="V20" s="273" t="n"/>
      <c r="W20" s="273" t="n"/>
      <c r="X20" s="273" t="inlineStr">
        <is>
          <t>No</t>
        </is>
      </c>
      <c r="Y20" s="273" t="n"/>
      <c r="Z20" s="273" t="n"/>
      <c r="AA20" s="35">
        <f>IF(X20="no",O20,O20*Y20)</f>
        <v/>
      </c>
      <c r="AB20" s="273" t="inlineStr">
        <is>
          <t>Mg</t>
        </is>
      </c>
      <c r="AC20" s="190">
        <f>INDEX(Tab_Def_Flows[[Flow_ID]:[CC_DM_source]],MATCH(Tab_Data_Flows[[#This Row],[Name(EN)]],Tab_Def_Flows[Name(EN)],0),13)</f>
        <v/>
      </c>
      <c r="AD20" s="272">
        <f>IF(J20="Yes",AA20*Tab_Data_Flows[[#This Row],[WC_'[%']]],"N.A.")</f>
        <v/>
      </c>
      <c r="AE20" s="272">
        <f>Tab_Data_Flows[[#This Row],[UoM_Flow_Py]]</f>
        <v/>
      </c>
      <c r="AF20" s="190">
        <f>INDEX(Tab_Def_Flows[[Flow_ID]:[CC_DM_source]],MATCH(Tab_Data_Flows[[#This Row],[Name(EN)]],Tab_Def_Flows[Name(EN)],0),15)</f>
        <v/>
      </c>
      <c r="AG20" s="272">
        <f>IF(K20="Yes",AF20*Tab_Data_Flows[[#This Row],[Flow_Py]],"N.A.")</f>
        <v/>
      </c>
      <c r="AH20" s="272">
        <f>Tab_Data_Flows[[#This Row],[UoM_Flow_Py]]</f>
        <v/>
      </c>
      <c r="AI20" s="190">
        <f>INDEX(Tab_Def_Flows[[Flow_ID]:[CC_DM_source]],MATCH(Tab_Data_Flows[[#This Row],[Name(EN)]],Tab_Def_Flows[Name(EN)],0),17)</f>
        <v/>
      </c>
      <c r="AJ20" s="272">
        <f>IF(L20="Yes",AI20*Tab_Data_Flows[[#This Row],[Flow_Py]]*Tab_Data_Flows[[#This Row],[DM_'[%']]],"N.A.")</f>
        <v/>
      </c>
      <c r="AK20" s="272">
        <f>Tab_Data_Flows[[#This Row],[UoM_Flow_Py]]</f>
        <v/>
      </c>
    </row>
    <row r="21">
      <c r="A21" s="296">
        <f>ROW()-1</f>
        <v/>
      </c>
      <c r="B21" s="272">
        <f>_xlfn.XLOOKUP(C21,Tab_Def_Flows[Name(EN)],Tab_Def_Flows[Flow_ID],,0,)</f>
        <v/>
      </c>
      <c r="C21" s="273" t="inlineStr">
        <is>
          <t>Atmossphere_Input_C</t>
        </is>
      </c>
      <c r="D21" s="272">
        <f>_xlfn.XLOOKUP(C21,Tab_Def_Flows[Name(EN)],Tab_Def_Flows[Type_Biomass],,0,)</f>
        <v/>
      </c>
      <c r="E21" s="272">
        <f>_xlfn.XLOOKUP(C21,Tab_Def_Flows[Name(EN)],Tab_Def_Flows[Output_Process],,0,)</f>
        <v/>
      </c>
      <c r="F21" s="272">
        <f>_xlfn.XLOOKUP(C21,Tab_Def_Flows[Name(EN)],Tab_Def_Flows[Process_ID_O],,0,)</f>
        <v/>
      </c>
      <c r="G21" s="272">
        <f>_xlfn.XLOOKUP(C21,Tab_Def_Flows[Name(EN)],Tab_Def_Flows[Input_Process],,0,)</f>
        <v/>
      </c>
      <c r="H21" s="17">
        <f>_xlfn.XLOOKUP(C21,Tab_Def_Flows[Name(EN)],Tab_Def_Flows[Process_ID_I],,0,)</f>
        <v/>
      </c>
      <c r="I21" s="272">
        <f>_xlfn.XLOOKUP(C21,Tab_Def_Flows[Name(EN)],#REF!,,0,)</f>
        <v/>
      </c>
      <c r="J21" s="272">
        <f>_xlfn.XLOOKUP(C21,Tab_Def_Flows[Name(EN)],Tab_Def_Flows[WC?],,0,)</f>
        <v/>
      </c>
      <c r="K21" s="272">
        <f>_xlfn.XLOOKUP(C21,Tab_Def_Flows[Name(EN)],Tab_Def_Flows[DM?],,0,)</f>
        <v/>
      </c>
      <c r="L21" s="272">
        <f>_xlfn.XLOOKUP(C21,Tab_Def_Flows[Name(EN)],Tab_Def_Flows[CC?],,0,)</f>
        <v/>
      </c>
      <c r="M21" s="273" t="n">
        <v>2044</v>
      </c>
      <c r="N21" s="273" t="inlineStr">
        <is>
          <t>BB</t>
        </is>
      </c>
      <c r="O21" s="48" t="n">
        <v>307492.17</v>
      </c>
      <c r="P21" s="273" t="n"/>
      <c r="Q21" s="273" t="n"/>
      <c r="R21" s="273">
        <f>INDEX(#REF!,MATCH(Tab_Data_Flows[[#This Row],[Name(EN)]],#REF!,0),12)</f>
        <v/>
      </c>
      <c r="S21" s="273">
        <f>MATCH(Tab_Data_Flows[[#This Row],[Name(EN)]],#REF!,0)</f>
        <v/>
      </c>
      <c r="T21" s="273" t="n"/>
      <c r="U21" s="273" t="n"/>
      <c r="V21" s="273" t="n"/>
      <c r="W21" s="273" t="n"/>
      <c r="X21" s="273" t="inlineStr">
        <is>
          <t>No</t>
        </is>
      </c>
      <c r="Y21" s="273" t="n"/>
      <c r="Z21" s="273" t="n"/>
      <c r="AA21" s="35">
        <f>IF(X21="no",O21,O21*Y21)</f>
        <v/>
      </c>
      <c r="AB21" s="273" t="inlineStr">
        <is>
          <t>Mg</t>
        </is>
      </c>
      <c r="AC21" s="190">
        <f>INDEX(Tab_Def_Flows[[Flow_ID]:[CC_DM_source]],MATCH(Tab_Data_Flows[[#This Row],[Name(EN)]],Tab_Def_Flows[Name(EN)],0),13)</f>
        <v/>
      </c>
      <c r="AD21" s="272">
        <f>IF(J21="Yes",AA21*Tab_Data_Flows[[#This Row],[WC_'[%']]],"N.A.")</f>
        <v/>
      </c>
      <c r="AE21" s="272">
        <f>Tab_Data_Flows[[#This Row],[UoM_Flow_Py]]</f>
        <v/>
      </c>
      <c r="AF21" s="190">
        <f>INDEX(Tab_Def_Flows[[Flow_ID]:[CC_DM_source]],MATCH(Tab_Data_Flows[[#This Row],[Name(EN)]],Tab_Def_Flows[Name(EN)],0),15)</f>
        <v/>
      </c>
      <c r="AG21" s="272">
        <f>IF(K21="Yes",AF21*Tab_Data_Flows[[#This Row],[Flow_Py]],"N.A.")</f>
        <v/>
      </c>
      <c r="AH21" s="272">
        <f>Tab_Data_Flows[[#This Row],[UoM_Flow_Py]]</f>
        <v/>
      </c>
      <c r="AI21" s="190">
        <f>INDEX(Tab_Def_Flows[[Flow_ID]:[CC_DM_source]],MATCH(Tab_Data_Flows[[#This Row],[Name(EN)]],Tab_Def_Flows[Name(EN)],0),17)</f>
        <v/>
      </c>
      <c r="AJ21" s="272">
        <f>IF(L21="Yes",AI21*Tab_Data_Flows[[#This Row],[Flow_Py]]*Tab_Data_Flows[[#This Row],[DM_'[%']]],"N.A.")</f>
        <v/>
      </c>
      <c r="AK21" s="272">
        <f>Tab_Data_Flows[[#This Row],[UoM_Flow_Py]]</f>
        <v/>
      </c>
    </row>
    <row r="22">
      <c r="A22" s="296">
        <f>ROW()-1</f>
        <v/>
      </c>
      <c r="B22" s="272">
        <f>_xlfn.XLOOKUP(C22,Tab_Def_Flows[Name(EN)],Tab_Def_Flows[Flow_ID],,0,)</f>
        <v/>
      </c>
      <c r="C22" s="273" t="inlineStr">
        <is>
          <t>Atmossphere_Input_C</t>
        </is>
      </c>
      <c r="D22" s="272">
        <f>_xlfn.XLOOKUP(C22,Tab_Def_Flows[Name(EN)],Tab_Def_Flows[Type_Biomass],,0,)</f>
        <v/>
      </c>
      <c r="E22" s="272">
        <f>_xlfn.XLOOKUP(C22,Tab_Def_Flows[Name(EN)],Tab_Def_Flows[Output_Process],,0,)</f>
        <v/>
      </c>
      <c r="F22" s="272">
        <f>_xlfn.XLOOKUP(C22,Tab_Def_Flows[Name(EN)],Tab_Def_Flows[Process_ID_O],,0,)</f>
        <v/>
      </c>
      <c r="G22" s="272">
        <f>_xlfn.XLOOKUP(C22,Tab_Def_Flows[Name(EN)],Tab_Def_Flows[Input_Process],,0,)</f>
        <v/>
      </c>
      <c r="H22" s="17">
        <f>_xlfn.XLOOKUP(C22,Tab_Def_Flows[Name(EN)],Tab_Def_Flows[Process_ID_I],,0,)</f>
        <v/>
      </c>
      <c r="I22" s="272">
        <f>_xlfn.XLOOKUP(C22,Tab_Def_Flows[Name(EN)],#REF!,,0,)</f>
        <v/>
      </c>
      <c r="J22" s="272">
        <f>_xlfn.XLOOKUP(C22,Tab_Def_Flows[Name(EN)],Tab_Def_Flows[WC?],,0,)</f>
        <v/>
      </c>
      <c r="K22" s="272">
        <f>_xlfn.XLOOKUP(C22,Tab_Def_Flows[Name(EN)],Tab_Def_Flows[DM?],,0,)</f>
        <v/>
      </c>
      <c r="L22" s="272">
        <f>_xlfn.XLOOKUP(C22,Tab_Def_Flows[Name(EN)],Tab_Def_Flows[CC?],,0,)</f>
        <v/>
      </c>
      <c r="M22" s="273" t="n">
        <v>2045</v>
      </c>
      <c r="N22" s="273" t="inlineStr">
        <is>
          <t>BB</t>
        </is>
      </c>
      <c r="O22" s="48" t="n">
        <v>316566.75</v>
      </c>
      <c r="P22" s="273" t="n"/>
      <c r="Q22" s="273" t="n"/>
      <c r="R22" s="273">
        <f>INDEX(#REF!,MATCH(Tab_Data_Flows[[#This Row],[Name(EN)]],#REF!,0),12)</f>
        <v/>
      </c>
      <c r="S22" s="273">
        <f>MATCH(Tab_Data_Flows[[#This Row],[Name(EN)]],#REF!,0)</f>
        <v/>
      </c>
      <c r="T22" s="273" t="n"/>
      <c r="U22" s="273" t="n"/>
      <c r="V22" s="273" t="n"/>
      <c r="W22" s="273" t="n"/>
      <c r="X22" s="273" t="inlineStr">
        <is>
          <t>No</t>
        </is>
      </c>
      <c r="Y22" s="273" t="n"/>
      <c r="Z22" s="273" t="n"/>
      <c r="AA22" s="35">
        <f>IF(X22="no",O22,O22*Y22)</f>
        <v/>
      </c>
      <c r="AB22" s="273" t="inlineStr">
        <is>
          <t>Mg</t>
        </is>
      </c>
      <c r="AC22" s="190">
        <f>INDEX(Tab_Def_Flows[[Flow_ID]:[CC_DM_source]],MATCH(Tab_Data_Flows[[#This Row],[Name(EN)]],Tab_Def_Flows[Name(EN)],0),13)</f>
        <v/>
      </c>
      <c r="AD22" s="272">
        <f>IF(J22="Yes",AA22*Tab_Data_Flows[[#This Row],[WC_'[%']]],"N.A.")</f>
        <v/>
      </c>
      <c r="AE22" s="272">
        <f>Tab_Data_Flows[[#This Row],[UoM_Flow_Py]]</f>
        <v/>
      </c>
      <c r="AF22" s="190">
        <f>INDEX(Tab_Def_Flows[[Flow_ID]:[CC_DM_source]],MATCH(Tab_Data_Flows[[#This Row],[Name(EN)]],Tab_Def_Flows[Name(EN)],0),15)</f>
        <v/>
      </c>
      <c r="AG22" s="272">
        <f>IF(K22="Yes",AF22*Tab_Data_Flows[[#This Row],[Flow_Py]],"N.A.")</f>
        <v/>
      </c>
      <c r="AH22" s="272">
        <f>Tab_Data_Flows[[#This Row],[UoM_Flow_Py]]</f>
        <v/>
      </c>
      <c r="AI22" s="190">
        <f>INDEX(Tab_Def_Flows[[Flow_ID]:[CC_DM_source]],MATCH(Tab_Data_Flows[[#This Row],[Name(EN)]],Tab_Def_Flows[Name(EN)],0),17)</f>
        <v/>
      </c>
      <c r="AJ22" s="272">
        <f>IF(L22="Yes",AI22*Tab_Data_Flows[[#This Row],[Flow_Py]]*Tab_Data_Flows[[#This Row],[DM_'[%']]],"N.A.")</f>
        <v/>
      </c>
      <c r="AK22" s="272">
        <f>Tab_Data_Flows[[#This Row],[UoM_Flow_Py]]</f>
        <v/>
      </c>
    </row>
    <row r="23">
      <c r="A23" s="296">
        <f>ROW()-1</f>
        <v/>
      </c>
      <c r="B23" s="272">
        <f>_xlfn.XLOOKUP(C23,Tab_Def_Flows[Name(EN)],Tab_Def_Flows[Flow_ID],,0,)</f>
        <v/>
      </c>
      <c r="C23" s="273" t="inlineStr">
        <is>
          <t>Atmossphere_Input_C</t>
        </is>
      </c>
      <c r="D23" s="272">
        <f>_xlfn.XLOOKUP(C23,Tab_Def_Flows[Name(EN)],Tab_Def_Flows[Type_Biomass],,0,)</f>
        <v/>
      </c>
      <c r="E23" s="272">
        <f>_xlfn.XLOOKUP(C23,Tab_Def_Flows[Name(EN)],Tab_Def_Flows[Output_Process],,0,)</f>
        <v/>
      </c>
      <c r="F23" s="272">
        <f>_xlfn.XLOOKUP(C23,Tab_Def_Flows[Name(EN)],Tab_Def_Flows[Process_ID_O],,0,)</f>
        <v/>
      </c>
      <c r="G23" s="272">
        <f>_xlfn.XLOOKUP(C23,Tab_Def_Flows[Name(EN)],Tab_Def_Flows[Input_Process],,0,)</f>
        <v/>
      </c>
      <c r="H23" s="17">
        <f>_xlfn.XLOOKUP(C23,Tab_Def_Flows[Name(EN)],Tab_Def_Flows[Process_ID_I],,0,)</f>
        <v/>
      </c>
      <c r="I23" s="272">
        <f>_xlfn.XLOOKUP(C23,Tab_Def_Flows[Name(EN)],#REF!,,0,)</f>
        <v/>
      </c>
      <c r="J23" s="272">
        <f>_xlfn.XLOOKUP(C23,Tab_Def_Flows[Name(EN)],Tab_Def_Flows[WC?],,0,)</f>
        <v/>
      </c>
      <c r="K23" s="272">
        <f>_xlfn.XLOOKUP(C23,Tab_Def_Flows[Name(EN)],Tab_Def_Flows[DM?],,0,)</f>
        <v/>
      </c>
      <c r="L23" s="272">
        <f>_xlfn.XLOOKUP(C23,Tab_Def_Flows[Name(EN)],Tab_Def_Flows[CC?],,0,)</f>
        <v/>
      </c>
      <c r="M23" s="273" t="n">
        <v>2046</v>
      </c>
      <c r="N23" s="273" t="inlineStr">
        <is>
          <t>BB</t>
        </is>
      </c>
      <c r="O23" s="48" t="n">
        <v>347388.93</v>
      </c>
      <c r="P23" s="273" t="n"/>
      <c r="Q23" s="273" t="n"/>
      <c r="R23" s="273">
        <f>INDEX(#REF!,MATCH(Tab_Data_Flows[[#This Row],[Name(EN)]],#REF!,0),12)</f>
        <v/>
      </c>
      <c r="S23" s="273">
        <f>MATCH(Tab_Data_Flows[[#This Row],[Name(EN)]],#REF!,0)</f>
        <v/>
      </c>
      <c r="T23" s="273" t="n"/>
      <c r="U23" s="273" t="n"/>
      <c r="V23" s="273" t="n"/>
      <c r="W23" s="273" t="n"/>
      <c r="X23" s="273" t="inlineStr">
        <is>
          <t>No</t>
        </is>
      </c>
      <c r="Y23" s="273" t="n"/>
      <c r="Z23" s="273" t="n"/>
      <c r="AA23" s="35">
        <f>IF(X23="no",O23,O23*Y23)</f>
        <v/>
      </c>
      <c r="AB23" s="273" t="inlineStr">
        <is>
          <t>Mg</t>
        </is>
      </c>
      <c r="AC23" s="190">
        <f>INDEX(Tab_Def_Flows[[Flow_ID]:[CC_DM_source]],MATCH(Tab_Data_Flows[[#This Row],[Name(EN)]],Tab_Def_Flows[Name(EN)],0),13)</f>
        <v/>
      </c>
      <c r="AD23" s="272">
        <f>IF(J23="Yes",AA23*Tab_Data_Flows[[#This Row],[WC_'[%']]],"N.A.")</f>
        <v/>
      </c>
      <c r="AE23" s="272">
        <f>Tab_Data_Flows[[#This Row],[UoM_Flow_Py]]</f>
        <v/>
      </c>
      <c r="AF23" s="190">
        <f>INDEX(Tab_Def_Flows[[Flow_ID]:[CC_DM_source]],MATCH(Tab_Data_Flows[[#This Row],[Name(EN)]],Tab_Def_Flows[Name(EN)],0),15)</f>
        <v/>
      </c>
      <c r="AG23" s="272">
        <f>IF(K23="Yes",AF23*Tab_Data_Flows[[#This Row],[Flow_Py]],"N.A.")</f>
        <v/>
      </c>
      <c r="AH23" s="272">
        <f>Tab_Data_Flows[[#This Row],[UoM_Flow_Py]]</f>
        <v/>
      </c>
      <c r="AI23" s="190">
        <f>INDEX(Tab_Def_Flows[[Flow_ID]:[CC_DM_source]],MATCH(Tab_Data_Flows[[#This Row],[Name(EN)]],Tab_Def_Flows[Name(EN)],0),17)</f>
        <v/>
      </c>
      <c r="AJ23" s="272">
        <f>IF(L23="Yes",AI23*Tab_Data_Flows[[#This Row],[Flow_Py]]*Tab_Data_Flows[[#This Row],[DM_'[%']]],"N.A.")</f>
        <v/>
      </c>
      <c r="AK23" s="272">
        <f>Tab_Data_Flows[[#This Row],[UoM_Flow_Py]]</f>
        <v/>
      </c>
    </row>
    <row r="24">
      <c r="A24" s="296">
        <f>ROW()-1</f>
        <v/>
      </c>
      <c r="B24" s="272">
        <f>_xlfn.XLOOKUP(C24,Tab_Def_Flows[Name(EN)],Tab_Def_Flows[Flow_ID],,0,)</f>
        <v/>
      </c>
      <c r="C24" s="273" t="inlineStr">
        <is>
          <t>Atmossphere_Input_C</t>
        </is>
      </c>
      <c r="D24" s="272">
        <f>_xlfn.XLOOKUP(C24,Tab_Def_Flows[Name(EN)],Tab_Def_Flows[Type_Biomass],,0,)</f>
        <v/>
      </c>
      <c r="E24" s="272">
        <f>_xlfn.XLOOKUP(C24,Tab_Def_Flows[Name(EN)],Tab_Def_Flows[Output_Process],,0,)</f>
        <v/>
      </c>
      <c r="F24" s="272">
        <f>_xlfn.XLOOKUP(C24,Tab_Def_Flows[Name(EN)],Tab_Def_Flows[Process_ID_O],,0,)</f>
        <v/>
      </c>
      <c r="G24" s="272">
        <f>_xlfn.XLOOKUP(C24,Tab_Def_Flows[Name(EN)],Tab_Def_Flows[Input_Process],,0,)</f>
        <v/>
      </c>
      <c r="H24" s="17">
        <f>_xlfn.XLOOKUP(C24,Tab_Def_Flows[Name(EN)],Tab_Def_Flows[Process_ID_I],,0,)</f>
        <v/>
      </c>
      <c r="I24" s="272">
        <f>_xlfn.XLOOKUP(C24,Tab_Def_Flows[Name(EN)],#REF!,,0,)</f>
        <v/>
      </c>
      <c r="J24" s="272">
        <f>_xlfn.XLOOKUP(C24,Tab_Def_Flows[Name(EN)],Tab_Def_Flows[WC?],,0,)</f>
        <v/>
      </c>
      <c r="K24" s="272">
        <f>_xlfn.XLOOKUP(C24,Tab_Def_Flows[Name(EN)],Tab_Def_Flows[DM?],,0,)</f>
        <v/>
      </c>
      <c r="L24" s="272">
        <f>_xlfn.XLOOKUP(C24,Tab_Def_Flows[Name(EN)],Tab_Def_Flows[CC?],,0,)</f>
        <v/>
      </c>
      <c r="M24" s="273" t="n">
        <v>2047</v>
      </c>
      <c r="N24" s="273" t="inlineStr">
        <is>
          <t>BB</t>
        </is>
      </c>
      <c r="O24" s="48" t="n">
        <v>353799.33</v>
      </c>
      <c r="P24" s="273" t="n"/>
      <c r="Q24" s="273" t="n"/>
      <c r="R24" s="273">
        <f>INDEX(#REF!,MATCH(Tab_Data_Flows[[#This Row],[Name(EN)]],#REF!,0),12)</f>
        <v/>
      </c>
      <c r="S24" s="273">
        <f>MATCH(Tab_Data_Flows[[#This Row],[Name(EN)]],#REF!,0)</f>
        <v/>
      </c>
      <c r="T24" s="273" t="n"/>
      <c r="U24" s="273" t="n"/>
      <c r="V24" s="273" t="n"/>
      <c r="W24" s="273" t="n"/>
      <c r="X24" s="273" t="inlineStr">
        <is>
          <t>No</t>
        </is>
      </c>
      <c r="Y24" s="273" t="n"/>
      <c r="Z24" s="273" t="n"/>
      <c r="AA24" s="35">
        <f>IF(X24="no",O24,O24*Y24)</f>
        <v/>
      </c>
      <c r="AB24" s="273" t="inlineStr">
        <is>
          <t>Mg</t>
        </is>
      </c>
      <c r="AC24" s="190">
        <f>INDEX(Tab_Def_Flows[[Flow_ID]:[CC_DM_source]],MATCH(Tab_Data_Flows[[#This Row],[Name(EN)]],Tab_Def_Flows[Name(EN)],0),13)</f>
        <v/>
      </c>
      <c r="AD24" s="272">
        <f>IF(J24="Yes",AA24*Tab_Data_Flows[[#This Row],[WC_'[%']]],"N.A.")</f>
        <v/>
      </c>
      <c r="AE24" s="272">
        <f>Tab_Data_Flows[[#This Row],[UoM_Flow_Py]]</f>
        <v/>
      </c>
      <c r="AF24" s="190">
        <f>INDEX(Tab_Def_Flows[[Flow_ID]:[CC_DM_source]],MATCH(Tab_Data_Flows[[#This Row],[Name(EN)]],Tab_Def_Flows[Name(EN)],0),15)</f>
        <v/>
      </c>
      <c r="AG24" s="272">
        <f>IF(K24="Yes",AF24*Tab_Data_Flows[[#This Row],[Flow_Py]],"N.A.")</f>
        <v/>
      </c>
      <c r="AH24" s="272">
        <f>Tab_Data_Flows[[#This Row],[UoM_Flow_Py]]</f>
        <v/>
      </c>
      <c r="AI24" s="190">
        <f>INDEX(Tab_Def_Flows[[Flow_ID]:[CC_DM_source]],MATCH(Tab_Data_Flows[[#This Row],[Name(EN)]],Tab_Def_Flows[Name(EN)],0),17)</f>
        <v/>
      </c>
      <c r="AJ24" s="272">
        <f>IF(L24="Yes",AI24*Tab_Data_Flows[[#This Row],[Flow_Py]]*Tab_Data_Flows[[#This Row],[DM_'[%']]],"N.A.")</f>
        <v/>
      </c>
      <c r="AK24" s="272">
        <f>Tab_Data_Flows[[#This Row],[UoM_Flow_Py]]</f>
        <v/>
      </c>
    </row>
    <row r="25">
      <c r="A25" s="296">
        <f>ROW()-1</f>
        <v/>
      </c>
      <c r="B25" s="272">
        <f>_xlfn.XLOOKUP(C25,Tab_Def_Flows[Name(EN)],Tab_Def_Flows[Flow_ID],,0,)</f>
        <v/>
      </c>
      <c r="C25" s="273" t="inlineStr">
        <is>
          <t>Atmossphere_Input_C</t>
        </is>
      </c>
      <c r="D25" s="272">
        <f>_xlfn.XLOOKUP(C25,Tab_Def_Flows[Name(EN)],Tab_Def_Flows[Type_Biomass],,0,)</f>
        <v/>
      </c>
      <c r="E25" s="272">
        <f>_xlfn.XLOOKUP(C25,Tab_Def_Flows[Name(EN)],Tab_Def_Flows[Output_Process],,0,)</f>
        <v/>
      </c>
      <c r="F25" s="272">
        <f>_xlfn.XLOOKUP(C25,Tab_Def_Flows[Name(EN)],Tab_Def_Flows[Process_ID_O],,0,)</f>
        <v/>
      </c>
      <c r="G25" s="272">
        <f>_xlfn.XLOOKUP(C25,Tab_Def_Flows[Name(EN)],Tab_Def_Flows[Input_Process],,0,)</f>
        <v/>
      </c>
      <c r="H25" s="17">
        <f>_xlfn.XLOOKUP(C25,Tab_Def_Flows[Name(EN)],Tab_Def_Flows[Process_ID_I],,0,)</f>
        <v/>
      </c>
      <c r="I25" s="272">
        <f>_xlfn.XLOOKUP(C25,Tab_Def_Flows[Name(EN)],#REF!,,0,)</f>
        <v/>
      </c>
      <c r="J25" s="272">
        <f>_xlfn.XLOOKUP(C25,Tab_Def_Flows[Name(EN)],Tab_Def_Flows[WC?],,0,)</f>
        <v/>
      </c>
      <c r="K25" s="272">
        <f>_xlfn.XLOOKUP(C25,Tab_Def_Flows[Name(EN)],Tab_Def_Flows[DM?],,0,)</f>
        <v/>
      </c>
      <c r="L25" s="272">
        <f>_xlfn.XLOOKUP(C25,Tab_Def_Flows[Name(EN)],Tab_Def_Flows[CC?],,0,)</f>
        <v/>
      </c>
      <c r="M25" s="273" t="n">
        <v>2048</v>
      </c>
      <c r="N25" s="273" t="inlineStr">
        <is>
          <t>BB</t>
        </is>
      </c>
      <c r="O25" s="48" t="n">
        <v>289510.81</v>
      </c>
      <c r="P25" s="273" t="n"/>
      <c r="Q25" s="273" t="n"/>
      <c r="R25" s="273">
        <f>INDEX(#REF!,MATCH(Tab_Data_Flows[[#This Row],[Name(EN)]],#REF!,0),12)</f>
        <v/>
      </c>
      <c r="S25" s="273">
        <f>MATCH(Tab_Data_Flows[[#This Row],[Name(EN)]],#REF!,0)</f>
        <v/>
      </c>
      <c r="T25" s="273" t="n"/>
      <c r="U25" s="273" t="n"/>
      <c r="V25" s="273" t="n"/>
      <c r="W25" s="273" t="n"/>
      <c r="X25" s="273" t="inlineStr">
        <is>
          <t>No</t>
        </is>
      </c>
      <c r="Y25" s="273" t="n"/>
      <c r="Z25" s="273" t="n"/>
      <c r="AA25" s="35">
        <f>IF(X25="no",O25,O25*Y25)</f>
        <v/>
      </c>
      <c r="AB25" s="273" t="inlineStr">
        <is>
          <t>Mg</t>
        </is>
      </c>
      <c r="AC25" s="190">
        <f>INDEX(Tab_Def_Flows[[Flow_ID]:[CC_DM_source]],MATCH(Tab_Data_Flows[[#This Row],[Name(EN)]],Tab_Def_Flows[Name(EN)],0),13)</f>
        <v/>
      </c>
      <c r="AD25" s="272">
        <f>IF(J25="Yes",AA25*Tab_Data_Flows[[#This Row],[WC_'[%']]],"N.A.")</f>
        <v/>
      </c>
      <c r="AE25" s="272">
        <f>Tab_Data_Flows[[#This Row],[UoM_Flow_Py]]</f>
        <v/>
      </c>
      <c r="AF25" s="190">
        <f>INDEX(Tab_Def_Flows[[Flow_ID]:[CC_DM_source]],MATCH(Tab_Data_Flows[[#This Row],[Name(EN)]],Tab_Def_Flows[Name(EN)],0),15)</f>
        <v/>
      </c>
      <c r="AG25" s="272">
        <f>IF(K25="Yes",AF25*Tab_Data_Flows[[#This Row],[Flow_Py]],"N.A.")</f>
        <v/>
      </c>
      <c r="AH25" s="272">
        <f>Tab_Data_Flows[[#This Row],[UoM_Flow_Py]]</f>
        <v/>
      </c>
      <c r="AI25" s="190">
        <f>INDEX(Tab_Def_Flows[[Flow_ID]:[CC_DM_source]],MATCH(Tab_Data_Flows[[#This Row],[Name(EN)]],Tab_Def_Flows[Name(EN)],0),17)</f>
        <v/>
      </c>
      <c r="AJ25" s="272">
        <f>IF(L25="Yes",AI25*Tab_Data_Flows[[#This Row],[Flow_Py]]*Tab_Data_Flows[[#This Row],[DM_'[%']]],"N.A.")</f>
        <v/>
      </c>
      <c r="AK25" s="272">
        <f>Tab_Data_Flows[[#This Row],[UoM_Flow_Py]]</f>
        <v/>
      </c>
    </row>
    <row r="26">
      <c r="A26" s="296">
        <f>ROW()-1</f>
        <v/>
      </c>
      <c r="B26" s="272">
        <f>_xlfn.XLOOKUP(C26,Tab_Def_Flows[Name(EN)],Tab_Def_Flows[Flow_ID],,0,)</f>
        <v/>
      </c>
      <c r="C26" s="273" t="inlineStr">
        <is>
          <t>Atmossphere_Input_C</t>
        </is>
      </c>
      <c r="D26" s="272">
        <f>_xlfn.XLOOKUP(C26,Tab_Def_Flows[Name(EN)],Tab_Def_Flows[Type_Biomass],,0,)</f>
        <v/>
      </c>
      <c r="E26" s="272">
        <f>_xlfn.XLOOKUP(C26,Tab_Def_Flows[Name(EN)],Tab_Def_Flows[Output_Process],,0,)</f>
        <v/>
      </c>
      <c r="F26" s="272">
        <f>_xlfn.XLOOKUP(C26,Tab_Def_Flows[Name(EN)],Tab_Def_Flows[Process_ID_O],,0,)</f>
        <v/>
      </c>
      <c r="G26" s="272">
        <f>_xlfn.XLOOKUP(C26,Tab_Def_Flows[Name(EN)],Tab_Def_Flows[Input_Process],,0,)</f>
        <v/>
      </c>
      <c r="H26" s="17">
        <f>_xlfn.XLOOKUP(C26,Tab_Def_Flows[Name(EN)],Tab_Def_Flows[Process_ID_I],,0,)</f>
        <v/>
      </c>
      <c r="I26" s="272">
        <f>_xlfn.XLOOKUP(C26,Tab_Def_Flows[Name(EN)],#REF!,,0,)</f>
        <v/>
      </c>
      <c r="J26" s="272">
        <f>_xlfn.XLOOKUP(C26,Tab_Def_Flows[Name(EN)],Tab_Def_Flows[WC?],,0,)</f>
        <v/>
      </c>
      <c r="K26" s="272">
        <f>_xlfn.XLOOKUP(C26,Tab_Def_Flows[Name(EN)],Tab_Def_Flows[DM?],,0,)</f>
        <v/>
      </c>
      <c r="L26" s="272">
        <f>_xlfn.XLOOKUP(C26,Tab_Def_Flows[Name(EN)],Tab_Def_Flows[CC?],,0,)</f>
        <v/>
      </c>
      <c r="M26" s="273" t="n">
        <v>2049</v>
      </c>
      <c r="N26" s="273" t="inlineStr">
        <is>
          <t>BB</t>
        </is>
      </c>
      <c r="O26" s="48" t="n">
        <v>341760.05</v>
      </c>
      <c r="P26" s="273" t="n"/>
      <c r="Q26" s="273" t="n"/>
      <c r="R26" s="273">
        <f>INDEX(#REF!,MATCH(Tab_Data_Flows[[#This Row],[Name(EN)]],#REF!,0),12)</f>
        <v/>
      </c>
      <c r="S26" s="273">
        <f>MATCH(Tab_Data_Flows[[#This Row],[Name(EN)]],#REF!,0)</f>
        <v/>
      </c>
      <c r="T26" s="273" t="n"/>
      <c r="U26" s="273" t="n"/>
      <c r="V26" s="273" t="n"/>
      <c r="W26" s="273" t="n"/>
      <c r="X26" s="273" t="inlineStr">
        <is>
          <t>No</t>
        </is>
      </c>
      <c r="Y26" s="273" t="n"/>
      <c r="Z26" s="273" t="n"/>
      <c r="AA26" s="35">
        <f>IF(X26="no",O26,O26*Y26)</f>
        <v/>
      </c>
      <c r="AB26" s="273" t="inlineStr">
        <is>
          <t>Mg</t>
        </is>
      </c>
      <c r="AC26" s="190">
        <f>INDEX(Tab_Def_Flows[[Flow_ID]:[CC_DM_source]],MATCH(Tab_Data_Flows[[#This Row],[Name(EN)]],Tab_Def_Flows[Name(EN)],0),13)</f>
        <v/>
      </c>
      <c r="AD26" s="272">
        <f>IF(J26="Yes",AA26*Tab_Data_Flows[[#This Row],[WC_'[%']]],"N.A.")</f>
        <v/>
      </c>
      <c r="AE26" s="272">
        <f>Tab_Data_Flows[[#This Row],[UoM_Flow_Py]]</f>
        <v/>
      </c>
      <c r="AF26" s="190">
        <f>INDEX(Tab_Def_Flows[[Flow_ID]:[CC_DM_source]],MATCH(Tab_Data_Flows[[#This Row],[Name(EN)]],Tab_Def_Flows[Name(EN)],0),15)</f>
        <v/>
      </c>
      <c r="AG26" s="272">
        <f>IF(K26="Yes",AF26*Tab_Data_Flows[[#This Row],[Flow_Py]],"N.A.")</f>
        <v/>
      </c>
      <c r="AH26" s="272">
        <f>Tab_Data_Flows[[#This Row],[UoM_Flow_Py]]</f>
        <v/>
      </c>
      <c r="AI26" s="190">
        <f>INDEX(Tab_Def_Flows[[Flow_ID]:[CC_DM_source]],MATCH(Tab_Data_Flows[[#This Row],[Name(EN)]],Tab_Def_Flows[Name(EN)],0),17)</f>
        <v/>
      </c>
      <c r="AJ26" s="272">
        <f>IF(L26="Yes",AI26*Tab_Data_Flows[[#This Row],[Flow_Py]]*Tab_Data_Flows[[#This Row],[DM_'[%']]],"N.A.")</f>
        <v/>
      </c>
      <c r="AK26" s="272">
        <f>Tab_Data_Flows[[#This Row],[UoM_Flow_Py]]</f>
        <v/>
      </c>
    </row>
    <row r="27">
      <c r="A27" s="296">
        <f>ROW()-1</f>
        <v/>
      </c>
      <c r="B27" s="272">
        <f>_xlfn.XLOOKUP(C27,Tab_Def_Flows[Name(EN)],Tab_Def_Flows[Flow_ID],,0,)</f>
        <v/>
      </c>
      <c r="C27" s="273" t="inlineStr">
        <is>
          <t>Atmossphere_Input_C</t>
        </is>
      </c>
      <c r="D27" s="272">
        <f>_xlfn.XLOOKUP(C27,Tab_Def_Flows[Name(EN)],Tab_Def_Flows[Type_Biomass],,0,)</f>
        <v/>
      </c>
      <c r="E27" s="272">
        <f>_xlfn.XLOOKUP(C27,Tab_Def_Flows[Name(EN)],Tab_Def_Flows[Output_Process],,0,)</f>
        <v/>
      </c>
      <c r="F27" s="272">
        <f>_xlfn.XLOOKUP(C27,Tab_Def_Flows[Name(EN)],Tab_Def_Flows[Process_ID_O],,0,)</f>
        <v/>
      </c>
      <c r="G27" s="272">
        <f>_xlfn.XLOOKUP(C27,Tab_Def_Flows[Name(EN)],Tab_Def_Flows[Input_Process],,0,)</f>
        <v/>
      </c>
      <c r="H27" s="17">
        <f>_xlfn.XLOOKUP(C27,Tab_Def_Flows[Name(EN)],Tab_Def_Flows[Process_ID_I],,0,)</f>
        <v/>
      </c>
      <c r="I27" s="272">
        <f>_xlfn.XLOOKUP(C27,Tab_Def_Flows[Name(EN)],#REF!,,0,)</f>
        <v/>
      </c>
      <c r="J27" s="272">
        <f>_xlfn.XLOOKUP(C27,Tab_Def_Flows[Name(EN)],Tab_Def_Flows[WC?],,0,)</f>
        <v/>
      </c>
      <c r="K27" s="272">
        <f>_xlfn.XLOOKUP(C27,Tab_Def_Flows[Name(EN)],Tab_Def_Flows[DM?],,0,)</f>
        <v/>
      </c>
      <c r="L27" s="272">
        <f>_xlfn.XLOOKUP(C27,Tab_Def_Flows[Name(EN)],Tab_Def_Flows[CC?],,0,)</f>
        <v/>
      </c>
      <c r="M27" s="273" t="n">
        <v>2050</v>
      </c>
      <c r="N27" s="273" t="inlineStr">
        <is>
          <t>BB</t>
        </is>
      </c>
      <c r="O27" s="48" t="n">
        <v>335915.31</v>
      </c>
      <c r="P27" s="273" t="n"/>
      <c r="Q27" s="273" t="n"/>
      <c r="R27" s="273">
        <f>INDEX(#REF!,MATCH(Tab_Data_Flows[[#This Row],[Name(EN)]],#REF!,0),12)</f>
        <v/>
      </c>
      <c r="S27" s="273">
        <f>MATCH(Tab_Data_Flows[[#This Row],[Name(EN)]],#REF!,0)</f>
        <v/>
      </c>
      <c r="T27" s="273" t="n"/>
      <c r="U27" s="273" t="n"/>
      <c r="V27" s="273" t="n"/>
      <c r="W27" s="273" t="n"/>
      <c r="X27" s="273" t="inlineStr">
        <is>
          <t>No</t>
        </is>
      </c>
      <c r="Y27" s="273" t="n"/>
      <c r="Z27" s="273" t="n"/>
      <c r="AA27" s="35">
        <f>IF(X27="no",O27,O27*Y27)</f>
        <v/>
      </c>
      <c r="AB27" s="273" t="inlineStr">
        <is>
          <t>Mg</t>
        </is>
      </c>
      <c r="AC27" s="190">
        <f>INDEX(Tab_Def_Flows[[Flow_ID]:[CC_DM_source]],MATCH(Tab_Data_Flows[[#This Row],[Name(EN)]],Tab_Def_Flows[Name(EN)],0),13)</f>
        <v/>
      </c>
      <c r="AD27" s="272">
        <f>IF(J27="Yes",AA27*Tab_Data_Flows[[#This Row],[WC_'[%']]],"N.A.")</f>
        <v/>
      </c>
      <c r="AE27" s="272">
        <f>Tab_Data_Flows[[#This Row],[UoM_Flow_Py]]</f>
        <v/>
      </c>
      <c r="AF27" s="190">
        <f>INDEX(Tab_Def_Flows[[Flow_ID]:[CC_DM_source]],MATCH(Tab_Data_Flows[[#This Row],[Name(EN)]],Tab_Def_Flows[Name(EN)],0),15)</f>
        <v/>
      </c>
      <c r="AG27" s="272">
        <f>IF(K27="Yes",AF27*Tab_Data_Flows[[#This Row],[Flow_Py]],"N.A.")</f>
        <v/>
      </c>
      <c r="AH27" s="272">
        <f>Tab_Data_Flows[[#This Row],[UoM_Flow_Py]]</f>
        <v/>
      </c>
      <c r="AI27" s="190">
        <f>INDEX(Tab_Def_Flows[[Flow_ID]:[CC_DM_source]],MATCH(Tab_Data_Flows[[#This Row],[Name(EN)]],Tab_Def_Flows[Name(EN)],0),17)</f>
        <v/>
      </c>
      <c r="AJ27" s="272">
        <f>IF(L27="Yes",AI27*Tab_Data_Flows[[#This Row],[Flow_Py]]*Tab_Data_Flows[[#This Row],[DM_'[%']]],"N.A.")</f>
        <v/>
      </c>
      <c r="AK27" s="272">
        <f>Tab_Data_Flows[[#This Row],[UoM_Flow_Py]]</f>
        <v/>
      </c>
    </row>
    <row r="28">
      <c r="A28" s="296">
        <f>ROW()-1</f>
        <v/>
      </c>
      <c r="B28" s="272">
        <f>_xlfn.XLOOKUP(C28,Tab_Def_Flows[Name(EN)],Tab_Def_Flows[Flow_ID],,0,)</f>
        <v/>
      </c>
      <c r="C28" s="273" t="inlineStr">
        <is>
          <t>Environment_Input_E</t>
        </is>
      </c>
      <c r="D28" s="272">
        <f>_xlfn.XLOOKUP(C28,Tab_Def_Flows[Name(EN)],Tab_Def_Flows[Type_Biomass],,0,)</f>
        <v/>
      </c>
      <c r="E28" s="272">
        <f>_xlfn.XLOOKUP(C28,Tab_Def_Flows[Name(EN)],Tab_Def_Flows[Output_Process],,0,)</f>
        <v/>
      </c>
      <c r="F28" s="272">
        <f>_xlfn.XLOOKUP(C28,Tab_Def_Flows[Name(EN)],Tab_Def_Flows[Process_ID_O],,0,)</f>
        <v/>
      </c>
      <c r="G28" s="272">
        <f>_xlfn.XLOOKUP(C28,Tab_Def_Flows[Name(EN)],Tab_Def_Flows[Input_Process],,0,)</f>
        <v/>
      </c>
      <c r="H28" s="17">
        <f>_xlfn.XLOOKUP(C28,Tab_Def_Flows[Name(EN)],Tab_Def_Flows[Process_ID_I],,0,)</f>
        <v/>
      </c>
      <c r="I28" s="272">
        <f>_xlfn.XLOOKUP(C28,Tab_Def_Flows[Name(EN)],#REF!,,0,)</f>
        <v/>
      </c>
      <c r="J28" s="272">
        <f>_xlfn.XLOOKUP(C28,Tab_Def_Flows[Name(EN)],Tab_Def_Flows[WC?],,0,)</f>
        <v/>
      </c>
      <c r="K28" s="272">
        <f>_xlfn.XLOOKUP(C28,Tab_Def_Flows[Name(EN)],Tab_Def_Flows[DM?],,0,)</f>
        <v/>
      </c>
      <c r="L28" s="272">
        <f>_xlfn.XLOOKUP(C28,Tab_Def_Flows[Name(EN)],Tab_Def_Flows[CC?],,0,)</f>
        <v/>
      </c>
      <c r="M28" s="273" t="n">
        <v>2025</v>
      </c>
      <c r="N28" s="273" t="inlineStr">
        <is>
          <t>BB</t>
        </is>
      </c>
      <c r="O28" s="48" t="n">
        <v>423763.48</v>
      </c>
      <c r="P28" s="273" t="n"/>
      <c r="Q28" s="273" t="n"/>
      <c r="R28" s="273">
        <f>INDEX(#REF!,MATCH(Tab_Data_Flows[[#This Row],[Name(EN)]],#REF!,0),12)</f>
        <v/>
      </c>
      <c r="S28" s="273">
        <f>MATCH(Tab_Data_Flows[[#This Row],[Name(EN)]],#REF!,0)</f>
        <v/>
      </c>
      <c r="T28" s="273" t="n"/>
      <c r="U28" s="273" t="n"/>
      <c r="V28" s="273" t="n"/>
      <c r="W28" s="273" t="n"/>
      <c r="X28" s="273" t="inlineStr">
        <is>
          <t>No</t>
        </is>
      </c>
      <c r="Y28" s="273" t="n"/>
      <c r="Z28" s="273" t="n"/>
      <c r="AA28" s="35">
        <f>IF(X28="no",O28,O28*Y28)</f>
        <v/>
      </c>
      <c r="AB28" s="273" t="inlineStr">
        <is>
          <t>Mg</t>
        </is>
      </c>
      <c r="AC28" s="190">
        <f>INDEX(Tab_Def_Flows[[Flow_ID]:[CC_DM_source]],MATCH(Tab_Data_Flows[[#This Row],[Name(EN)]],Tab_Def_Flows[Name(EN)],0),13)</f>
        <v/>
      </c>
      <c r="AD28" s="272">
        <f>IF(J28="Yes",AA28*Tab_Data_Flows[[#This Row],[WC_'[%']]],"N.A.")</f>
        <v/>
      </c>
      <c r="AE28" s="272">
        <f>Tab_Data_Flows[[#This Row],[UoM_Flow_Py]]</f>
        <v/>
      </c>
      <c r="AF28" s="190">
        <f>INDEX(Tab_Def_Flows[[Flow_ID]:[CC_DM_source]],MATCH(Tab_Data_Flows[[#This Row],[Name(EN)]],Tab_Def_Flows[Name(EN)],0),15)</f>
        <v/>
      </c>
      <c r="AG28" s="272">
        <f>IF(K28="Yes",AF28*Tab_Data_Flows[[#This Row],[Flow_Py]],"N.A.")</f>
        <v/>
      </c>
      <c r="AH28" s="272">
        <f>Tab_Data_Flows[[#This Row],[UoM_Flow_Py]]</f>
        <v/>
      </c>
      <c r="AI28" s="190">
        <f>INDEX(Tab_Def_Flows[[Flow_ID]:[CC_DM_source]],MATCH(Tab_Data_Flows[[#This Row],[Name(EN)]],Tab_Def_Flows[Name(EN)],0),17)</f>
        <v/>
      </c>
      <c r="AJ28" s="272">
        <f>IF(L28="Yes",AI28*Tab_Data_Flows[[#This Row],[Flow_Py]]*Tab_Data_Flows[[#This Row],[DM_'[%']]],"N.A.")</f>
        <v/>
      </c>
      <c r="AK28" s="272">
        <f>Tab_Data_Flows[[#This Row],[UoM_Flow_Py]]</f>
        <v/>
      </c>
    </row>
    <row r="29">
      <c r="A29" s="296">
        <f>ROW()-1</f>
        <v/>
      </c>
      <c r="B29" s="272">
        <f>_xlfn.XLOOKUP(C29,Tab_Def_Flows[Name(EN)],Tab_Def_Flows[Flow_ID],,0,)</f>
        <v/>
      </c>
      <c r="C29" s="273" t="inlineStr">
        <is>
          <t>Environment_Input_E</t>
        </is>
      </c>
      <c r="D29" s="272">
        <f>_xlfn.XLOOKUP(C29,Tab_Def_Flows[Name(EN)],Tab_Def_Flows[Type_Biomass],,0,)</f>
        <v/>
      </c>
      <c r="E29" s="272">
        <f>_xlfn.XLOOKUP(C29,Tab_Def_Flows[Name(EN)],Tab_Def_Flows[Output_Process],,0,)</f>
        <v/>
      </c>
      <c r="F29" s="272">
        <f>_xlfn.XLOOKUP(C29,Tab_Def_Flows[Name(EN)],Tab_Def_Flows[Process_ID_O],,0,)</f>
        <v/>
      </c>
      <c r="G29" s="272">
        <f>_xlfn.XLOOKUP(C29,Tab_Def_Flows[Name(EN)],Tab_Def_Flows[Input_Process],,0,)</f>
        <v/>
      </c>
      <c r="H29" s="17">
        <f>_xlfn.XLOOKUP(C29,Tab_Def_Flows[Name(EN)],Tab_Def_Flows[Process_ID_I],,0,)</f>
        <v/>
      </c>
      <c r="I29" s="272">
        <f>_xlfn.XLOOKUP(C29,Tab_Def_Flows[Name(EN)],#REF!,,0,)</f>
        <v/>
      </c>
      <c r="J29" s="272">
        <f>_xlfn.XLOOKUP(C29,Tab_Def_Flows[Name(EN)],Tab_Def_Flows[WC?],,0,)</f>
        <v/>
      </c>
      <c r="K29" s="272">
        <f>_xlfn.XLOOKUP(C29,Tab_Def_Flows[Name(EN)],Tab_Def_Flows[DM?],,0,)</f>
        <v/>
      </c>
      <c r="L29" s="272">
        <f>_xlfn.XLOOKUP(C29,Tab_Def_Flows[Name(EN)],Tab_Def_Flows[CC?],,0,)</f>
        <v/>
      </c>
      <c r="M29" s="273" t="n">
        <v>2026</v>
      </c>
      <c r="N29" s="273" t="inlineStr">
        <is>
          <t>BB</t>
        </is>
      </c>
      <c r="O29" s="48" t="n">
        <v>482423.64</v>
      </c>
      <c r="P29" s="273" t="n"/>
      <c r="Q29" s="273" t="n"/>
      <c r="R29" s="273">
        <f>INDEX(#REF!,MATCH(Tab_Data_Flows[[#This Row],[Name(EN)]],#REF!,0),12)</f>
        <v/>
      </c>
      <c r="S29" s="273">
        <f>MATCH(Tab_Data_Flows[[#This Row],[Name(EN)]],#REF!,0)</f>
        <v/>
      </c>
      <c r="T29" s="273" t="n"/>
      <c r="U29" s="273" t="n"/>
      <c r="V29" s="273" t="n"/>
      <c r="W29" s="273" t="n"/>
      <c r="X29" s="273" t="inlineStr">
        <is>
          <t>No</t>
        </is>
      </c>
      <c r="Y29" s="273" t="n"/>
      <c r="Z29" s="273" t="n"/>
      <c r="AA29" s="35">
        <f>IF(X29="no",O29,O29*Y29)</f>
        <v/>
      </c>
      <c r="AB29" s="273" t="inlineStr">
        <is>
          <t>Mg</t>
        </is>
      </c>
      <c r="AC29" s="190">
        <f>INDEX(Tab_Def_Flows[[Flow_ID]:[CC_DM_source]],MATCH(Tab_Data_Flows[[#This Row],[Name(EN)]],Tab_Def_Flows[Name(EN)],0),13)</f>
        <v/>
      </c>
      <c r="AD29" s="272">
        <f>IF(J29="Yes",AA29*Tab_Data_Flows[[#This Row],[WC_'[%']]],"N.A.")</f>
        <v/>
      </c>
      <c r="AE29" s="272">
        <f>Tab_Data_Flows[[#This Row],[UoM_Flow_Py]]</f>
        <v/>
      </c>
      <c r="AF29" s="190">
        <f>INDEX(Tab_Def_Flows[[Flow_ID]:[CC_DM_source]],MATCH(Tab_Data_Flows[[#This Row],[Name(EN)]],Tab_Def_Flows[Name(EN)],0),15)</f>
        <v/>
      </c>
      <c r="AG29" s="272">
        <f>IF(K29="Yes",AF29*Tab_Data_Flows[[#This Row],[Flow_Py]],"N.A.")</f>
        <v/>
      </c>
      <c r="AH29" s="272">
        <f>Tab_Data_Flows[[#This Row],[UoM_Flow_Py]]</f>
        <v/>
      </c>
      <c r="AI29" s="190">
        <f>INDEX(Tab_Def_Flows[[Flow_ID]:[CC_DM_source]],MATCH(Tab_Data_Flows[[#This Row],[Name(EN)]],Tab_Def_Flows[Name(EN)],0),17)</f>
        <v/>
      </c>
      <c r="AJ29" s="272">
        <f>IF(L29="Yes",AI29*Tab_Data_Flows[[#This Row],[Flow_Py]]*Tab_Data_Flows[[#This Row],[DM_'[%']]],"N.A.")</f>
        <v/>
      </c>
      <c r="AK29" s="272">
        <f>Tab_Data_Flows[[#This Row],[UoM_Flow_Py]]</f>
        <v/>
      </c>
    </row>
    <row r="30">
      <c r="A30" s="296">
        <f>ROW()-1</f>
        <v/>
      </c>
      <c r="B30" s="272">
        <f>_xlfn.XLOOKUP(C30,Tab_Def_Flows[Name(EN)],Tab_Def_Flows[Flow_ID],,0,)</f>
        <v/>
      </c>
      <c r="C30" s="273" t="inlineStr">
        <is>
          <t>Environment_Input_E</t>
        </is>
      </c>
      <c r="D30" s="272">
        <f>_xlfn.XLOOKUP(C30,Tab_Def_Flows[Name(EN)],Tab_Def_Flows[Type_Biomass],,0,)</f>
        <v/>
      </c>
      <c r="E30" s="272">
        <f>_xlfn.XLOOKUP(C30,Tab_Def_Flows[Name(EN)],Tab_Def_Flows[Output_Process],,0,)</f>
        <v/>
      </c>
      <c r="F30" s="272">
        <f>_xlfn.XLOOKUP(C30,Tab_Def_Flows[Name(EN)],Tab_Def_Flows[Process_ID_O],,0,)</f>
        <v/>
      </c>
      <c r="G30" s="272">
        <f>_xlfn.XLOOKUP(C30,Tab_Def_Flows[Name(EN)],Tab_Def_Flows[Input_Process],,0,)</f>
        <v/>
      </c>
      <c r="H30" s="17">
        <f>_xlfn.XLOOKUP(C30,Tab_Def_Flows[Name(EN)],Tab_Def_Flows[Process_ID_I],,0,)</f>
        <v/>
      </c>
      <c r="I30" s="272">
        <f>_xlfn.XLOOKUP(C30,Tab_Def_Flows[Name(EN)],#REF!,,0,)</f>
        <v/>
      </c>
      <c r="J30" s="272">
        <f>_xlfn.XLOOKUP(C30,Tab_Def_Flows[Name(EN)],Tab_Def_Flows[WC?],,0,)</f>
        <v/>
      </c>
      <c r="K30" s="272">
        <f>_xlfn.XLOOKUP(C30,Tab_Def_Flows[Name(EN)],Tab_Def_Flows[DM?],,0,)</f>
        <v/>
      </c>
      <c r="L30" s="272">
        <f>_xlfn.XLOOKUP(C30,Tab_Def_Flows[Name(EN)],Tab_Def_Flows[CC?],,0,)</f>
        <v/>
      </c>
      <c r="M30" s="273" t="n">
        <v>2027</v>
      </c>
      <c r="N30" s="273" t="inlineStr">
        <is>
          <t>BB</t>
        </is>
      </c>
      <c r="O30" s="48" t="n">
        <v>365648.85</v>
      </c>
      <c r="P30" s="273" t="n"/>
      <c r="Q30" s="273" t="n"/>
      <c r="R30" s="273">
        <f>INDEX(#REF!,MATCH(Tab_Data_Flows[[#This Row],[Name(EN)]],#REF!,0),12)</f>
        <v/>
      </c>
      <c r="S30" s="273">
        <f>MATCH(Tab_Data_Flows[[#This Row],[Name(EN)]],#REF!,0)</f>
        <v/>
      </c>
      <c r="T30" s="273" t="n"/>
      <c r="U30" s="273" t="n"/>
      <c r="V30" s="273" t="n"/>
      <c r="W30" s="273" t="n"/>
      <c r="X30" s="273" t="inlineStr">
        <is>
          <t>No</t>
        </is>
      </c>
      <c r="Y30" s="273" t="n"/>
      <c r="Z30" s="273" t="n"/>
      <c r="AA30" s="35">
        <f>IF(X30="no",O30,O30*Y30)</f>
        <v/>
      </c>
      <c r="AB30" s="273" t="inlineStr">
        <is>
          <t>Mg</t>
        </is>
      </c>
      <c r="AC30" s="190">
        <f>INDEX(Tab_Def_Flows[[Flow_ID]:[CC_DM_source]],MATCH(Tab_Data_Flows[[#This Row],[Name(EN)]],Tab_Def_Flows[Name(EN)],0),13)</f>
        <v/>
      </c>
      <c r="AD30" s="272">
        <f>IF(J30="Yes",AA30*Tab_Data_Flows[[#This Row],[WC_'[%']]],"N.A.")</f>
        <v/>
      </c>
      <c r="AE30" s="272">
        <f>Tab_Data_Flows[[#This Row],[UoM_Flow_Py]]</f>
        <v/>
      </c>
      <c r="AF30" s="190">
        <f>INDEX(Tab_Def_Flows[[Flow_ID]:[CC_DM_source]],MATCH(Tab_Data_Flows[[#This Row],[Name(EN)]],Tab_Def_Flows[Name(EN)],0),15)</f>
        <v/>
      </c>
      <c r="AG30" s="272">
        <f>IF(K30="Yes",AF30*Tab_Data_Flows[[#This Row],[Flow_Py]],"N.A.")</f>
        <v/>
      </c>
      <c r="AH30" s="272">
        <f>Tab_Data_Flows[[#This Row],[UoM_Flow_Py]]</f>
        <v/>
      </c>
      <c r="AI30" s="190">
        <f>INDEX(Tab_Def_Flows[[Flow_ID]:[CC_DM_source]],MATCH(Tab_Data_Flows[[#This Row],[Name(EN)]],Tab_Def_Flows[Name(EN)],0),17)</f>
        <v/>
      </c>
      <c r="AJ30" s="272">
        <f>IF(L30="Yes",AI30*Tab_Data_Flows[[#This Row],[Flow_Py]]*Tab_Data_Flows[[#This Row],[DM_'[%']]],"N.A.")</f>
        <v/>
      </c>
      <c r="AK30" s="272">
        <f>Tab_Data_Flows[[#This Row],[UoM_Flow_Py]]</f>
        <v/>
      </c>
    </row>
    <row r="31">
      <c r="A31" s="296">
        <f>ROW()-1</f>
        <v/>
      </c>
      <c r="B31" s="272">
        <f>_xlfn.XLOOKUP(C31,Tab_Def_Flows[Name(EN)],Tab_Def_Flows[Flow_ID],,0,)</f>
        <v/>
      </c>
      <c r="C31" s="273" t="inlineStr">
        <is>
          <t>Environment_Input_E</t>
        </is>
      </c>
      <c r="D31" s="272">
        <f>_xlfn.XLOOKUP(C31,Tab_Def_Flows[Name(EN)],Tab_Def_Flows[Type_Biomass],,0,)</f>
        <v/>
      </c>
      <c r="E31" s="272">
        <f>_xlfn.XLOOKUP(C31,Tab_Def_Flows[Name(EN)],Tab_Def_Flows[Output_Process],,0,)</f>
        <v/>
      </c>
      <c r="F31" s="272">
        <f>_xlfn.XLOOKUP(C31,Tab_Def_Flows[Name(EN)],Tab_Def_Flows[Process_ID_O],,0,)</f>
        <v/>
      </c>
      <c r="G31" s="272">
        <f>_xlfn.XLOOKUP(C31,Tab_Def_Flows[Name(EN)],Tab_Def_Flows[Input_Process],,0,)</f>
        <v/>
      </c>
      <c r="H31" s="17">
        <f>_xlfn.XLOOKUP(C31,Tab_Def_Flows[Name(EN)],Tab_Def_Flows[Process_ID_I],,0,)</f>
        <v/>
      </c>
      <c r="I31" s="17">
        <f>_xlfn.XLOOKUP(C31,Tab_Def_Flows[Name(EN)],#REF!,,0,)</f>
        <v/>
      </c>
      <c r="J31" s="17">
        <f>_xlfn.XLOOKUP(C31,Tab_Def_Flows[Name(EN)],Tab_Def_Flows[WC?],,0,)</f>
        <v/>
      </c>
      <c r="K31" s="17">
        <f>_xlfn.XLOOKUP(C31,Tab_Def_Flows[Name(EN)],Tab_Def_Flows[DM?],,0,)</f>
        <v/>
      </c>
      <c r="L31" s="17">
        <f>_xlfn.XLOOKUP(C31,Tab_Def_Flows[Name(EN)],Tab_Def_Flows[CC?],,0,)</f>
        <v/>
      </c>
      <c r="M31" s="273" t="n">
        <v>2028</v>
      </c>
      <c r="N31" s="273" t="inlineStr">
        <is>
          <t>BB</t>
        </is>
      </c>
      <c r="O31" s="48" t="n">
        <v>375603.12</v>
      </c>
      <c r="P31" s="273" t="n"/>
      <c r="Q31" s="273" t="n"/>
      <c r="R31" s="273" t="n"/>
      <c r="S31" s="273" t="n"/>
      <c r="T31" s="273" t="n"/>
      <c r="U31" s="273" t="n"/>
      <c r="V31" s="273" t="n"/>
      <c r="W31" s="273" t="n"/>
      <c r="X31" s="273" t="inlineStr">
        <is>
          <t>No</t>
        </is>
      </c>
      <c r="Y31" s="41" t="n"/>
      <c r="Z31" s="273" t="n"/>
      <c r="AA31" s="35">
        <f>IF(X31="no",O31,O31*Y31)</f>
        <v/>
      </c>
      <c r="AB31" s="273" t="inlineStr">
        <is>
          <t>Mg</t>
        </is>
      </c>
      <c r="AC31" s="190">
        <f>INDEX(Tab_Def_Flows[[Flow_ID]:[CC_DM_source]],MATCH(Tab_Data_Flows[[#This Row],[Name(EN)]],Tab_Def_Flows[Name(EN)],0),13)</f>
        <v/>
      </c>
      <c r="AD31" s="272">
        <f>IF(J31="Yes",AA31*Tab_Data_Flows[[#This Row],[WC_'[%']]],"N.A.")</f>
        <v/>
      </c>
      <c r="AE31" s="272">
        <f>Tab_Data_Flows[[#This Row],[UoM_Flow_Py]]</f>
        <v/>
      </c>
      <c r="AF31" s="190">
        <f>INDEX(Tab_Def_Flows[[Flow_ID]:[CC_DM_source]],MATCH(Tab_Data_Flows[[#This Row],[Name(EN)]],Tab_Def_Flows[Name(EN)],0),15)</f>
        <v/>
      </c>
      <c r="AG31" s="272">
        <f>IF(K31="Yes",AF31*Tab_Data_Flows[[#This Row],[Flow_Py]],"N.A.")</f>
        <v/>
      </c>
      <c r="AH31" s="272">
        <f>Tab_Data_Flows[[#This Row],[UoM_Flow_Py]]</f>
        <v/>
      </c>
      <c r="AI31" s="190">
        <f>INDEX(Tab_Def_Flows[[Flow_ID]:[CC_DM_source]],MATCH(Tab_Data_Flows[[#This Row],[Name(EN)]],Tab_Def_Flows[Name(EN)],0),17)</f>
        <v/>
      </c>
      <c r="AJ31" s="272">
        <f>IF(L31="Yes",AI31*Tab_Data_Flows[[#This Row],[Flow_Py]]*Tab_Data_Flows[[#This Row],[DM_'[%']]],"N.A.")</f>
        <v/>
      </c>
      <c r="AK31" s="272">
        <f>Tab_Data_Flows[[#This Row],[UoM_Flow_Py]]</f>
        <v/>
      </c>
    </row>
    <row r="32">
      <c r="A32" s="296">
        <f>ROW()-1</f>
        <v/>
      </c>
      <c r="B32" s="272">
        <f>_xlfn.XLOOKUP(C32,Tab_Def_Flows[Name(EN)],Tab_Def_Flows[Flow_ID],,0,)</f>
        <v/>
      </c>
      <c r="C32" s="273" t="inlineStr">
        <is>
          <t>Environment_Input_E</t>
        </is>
      </c>
      <c r="D32" s="272">
        <f>_xlfn.XLOOKUP(C32,Tab_Def_Flows[Name(EN)],Tab_Def_Flows[Type_Biomass],,0,)</f>
        <v/>
      </c>
      <c r="E32" s="272">
        <f>_xlfn.XLOOKUP(C32,Tab_Def_Flows[Name(EN)],Tab_Def_Flows[Output_Process],,0,)</f>
        <v/>
      </c>
      <c r="F32" s="272">
        <f>_xlfn.XLOOKUP(C32,Tab_Def_Flows[Name(EN)],Tab_Def_Flows[Process_ID_O],,0,)</f>
        <v/>
      </c>
      <c r="G32" s="272">
        <f>_xlfn.XLOOKUP(C32,Tab_Def_Flows[Name(EN)],Tab_Def_Flows[Input_Process],,0,)</f>
        <v/>
      </c>
      <c r="H32" s="17">
        <f>_xlfn.XLOOKUP(C32,Tab_Def_Flows[Name(EN)],Tab_Def_Flows[Process_ID_I],,0,)</f>
        <v/>
      </c>
      <c r="I32" s="17">
        <f>_xlfn.XLOOKUP(C32,Tab_Def_Flows[Name(EN)],#REF!,,0,)</f>
        <v/>
      </c>
      <c r="J32" s="17">
        <f>_xlfn.XLOOKUP(C32,Tab_Def_Flows[Name(EN)],Tab_Def_Flows[WC?],,0,)</f>
        <v/>
      </c>
      <c r="K32" s="17">
        <f>_xlfn.XLOOKUP(C32,Tab_Def_Flows[Name(EN)],Tab_Def_Flows[DM?],,0,)</f>
        <v/>
      </c>
      <c r="L32" s="17">
        <f>_xlfn.XLOOKUP(C32,Tab_Def_Flows[Name(EN)],Tab_Def_Flows[CC?],,0,)</f>
        <v/>
      </c>
      <c r="M32" s="273" t="n">
        <v>2029</v>
      </c>
      <c r="N32" s="273" t="inlineStr">
        <is>
          <t>BB</t>
        </is>
      </c>
      <c r="O32" s="48" t="n">
        <v>489551.57</v>
      </c>
      <c r="P32" s="273" t="n"/>
      <c r="Q32" s="273" t="n"/>
      <c r="R32" s="273" t="n"/>
      <c r="S32" s="273" t="n"/>
      <c r="T32" s="273" t="n"/>
      <c r="U32" s="273" t="n"/>
      <c r="V32" s="273" t="n"/>
      <c r="W32" s="273" t="n"/>
      <c r="X32" s="273" t="inlineStr">
        <is>
          <t>No</t>
        </is>
      </c>
      <c r="Y32" s="41" t="n"/>
      <c r="Z32" s="273" t="n"/>
      <c r="AA32" s="35">
        <f>IF(X32="no",O32,O32*Y32)</f>
        <v/>
      </c>
      <c r="AB32" s="273" t="inlineStr">
        <is>
          <t>Mg</t>
        </is>
      </c>
      <c r="AC32" s="190">
        <f>INDEX(Tab_Def_Flows[[Flow_ID]:[CC_DM_source]],MATCH(Tab_Data_Flows[[#This Row],[Name(EN)]],Tab_Def_Flows[Name(EN)],0),13)</f>
        <v/>
      </c>
      <c r="AD32" s="272">
        <f>IF(J32="Yes",AA32*Tab_Data_Flows[[#This Row],[WC_'[%']]],"N.A.")</f>
        <v/>
      </c>
      <c r="AE32" s="272">
        <f>Tab_Data_Flows[[#This Row],[UoM_Flow_Py]]</f>
        <v/>
      </c>
      <c r="AF32" s="190">
        <f>INDEX(Tab_Def_Flows[[Flow_ID]:[CC_DM_source]],MATCH(Tab_Data_Flows[[#This Row],[Name(EN)]],Tab_Def_Flows[Name(EN)],0),15)</f>
        <v/>
      </c>
      <c r="AG32" s="272">
        <f>IF(K32="Yes",AF32*Tab_Data_Flows[[#This Row],[Flow_Py]],"N.A.")</f>
        <v/>
      </c>
      <c r="AH32" s="272">
        <f>Tab_Data_Flows[[#This Row],[UoM_Flow_Py]]</f>
        <v/>
      </c>
      <c r="AI32" s="190">
        <f>INDEX(Tab_Def_Flows[[Flow_ID]:[CC_DM_source]],MATCH(Tab_Data_Flows[[#This Row],[Name(EN)]],Tab_Def_Flows[Name(EN)],0),17)</f>
        <v/>
      </c>
      <c r="AJ32" s="272">
        <f>IF(L32="Yes",AI32*Tab_Data_Flows[[#This Row],[Flow_Py]]*Tab_Data_Flows[[#This Row],[DM_'[%']]],"N.A.")</f>
        <v/>
      </c>
      <c r="AK32" s="272">
        <f>Tab_Data_Flows[[#This Row],[UoM_Flow_Py]]</f>
        <v/>
      </c>
    </row>
    <row r="33">
      <c r="A33" s="296">
        <f>ROW()-1</f>
        <v/>
      </c>
      <c r="B33" s="272">
        <f>_xlfn.XLOOKUP(C33,Tab_Def_Flows[Name(EN)],Tab_Def_Flows[Flow_ID],,0,)</f>
        <v/>
      </c>
      <c r="C33" s="273" t="inlineStr">
        <is>
          <t>Environment_Input_E</t>
        </is>
      </c>
      <c r="D33" s="272">
        <f>_xlfn.XLOOKUP(C33,Tab_Def_Flows[Name(EN)],Tab_Def_Flows[Type_Biomass],,0,)</f>
        <v/>
      </c>
      <c r="E33" s="272">
        <f>_xlfn.XLOOKUP(C33,Tab_Def_Flows[Name(EN)],Tab_Def_Flows[Output_Process],,0,)</f>
        <v/>
      </c>
      <c r="F33" s="272">
        <f>_xlfn.XLOOKUP(C33,Tab_Def_Flows[Name(EN)],Tab_Def_Flows[Process_ID_O],,0,)</f>
        <v/>
      </c>
      <c r="G33" s="272">
        <f>_xlfn.XLOOKUP(C33,Tab_Def_Flows[Name(EN)],Tab_Def_Flows[Input_Process],,0,)</f>
        <v/>
      </c>
      <c r="H33" s="17">
        <f>_xlfn.XLOOKUP(C33,Tab_Def_Flows[Name(EN)],Tab_Def_Flows[Process_ID_I],,0,)</f>
        <v/>
      </c>
      <c r="I33" s="17">
        <f>_xlfn.XLOOKUP(C33,Tab_Def_Flows[Name(EN)],#REF!,,0,)</f>
        <v/>
      </c>
      <c r="J33" s="17">
        <f>_xlfn.XLOOKUP(C33,Tab_Def_Flows[Name(EN)],Tab_Def_Flows[WC?],,0,)</f>
        <v/>
      </c>
      <c r="K33" s="17">
        <f>_xlfn.XLOOKUP(C33,Tab_Def_Flows[Name(EN)],Tab_Def_Flows[DM?],,0,)</f>
        <v/>
      </c>
      <c r="L33" s="17">
        <f>_xlfn.XLOOKUP(C33,Tab_Def_Flows[Name(EN)],Tab_Def_Flows[CC?],,0,)</f>
        <v/>
      </c>
      <c r="M33" s="273" t="n">
        <v>2030</v>
      </c>
      <c r="N33" s="273" t="inlineStr">
        <is>
          <t>BB</t>
        </is>
      </c>
      <c r="O33" s="48" t="n">
        <v>448568.43</v>
      </c>
      <c r="P33" s="273" t="n"/>
      <c r="Q33" s="273" t="n"/>
      <c r="R33" s="273" t="n"/>
      <c r="S33" s="273" t="n"/>
      <c r="T33" s="273" t="n"/>
      <c r="U33" s="273" t="n"/>
      <c r="V33" s="273" t="n"/>
      <c r="W33" s="273" t="n"/>
      <c r="X33" s="273" t="inlineStr">
        <is>
          <t>No</t>
        </is>
      </c>
      <c r="Y33" s="41" t="n"/>
      <c r="Z33" s="273" t="n"/>
      <c r="AA33" s="35">
        <f>IF(X33="no",O33,O33*Y33)</f>
        <v/>
      </c>
      <c r="AB33" s="273" t="inlineStr">
        <is>
          <t>Mg</t>
        </is>
      </c>
      <c r="AC33" s="190">
        <f>INDEX(Tab_Def_Flows[[Flow_ID]:[CC_DM_source]],MATCH(Tab_Data_Flows[[#This Row],[Name(EN)]],Tab_Def_Flows[Name(EN)],0),13)</f>
        <v/>
      </c>
      <c r="AD33" s="272">
        <f>IF(J33="Yes",AA33*Tab_Data_Flows[[#This Row],[WC_'[%']]],"N.A.")</f>
        <v/>
      </c>
      <c r="AE33" s="272">
        <f>Tab_Data_Flows[[#This Row],[UoM_Flow_Py]]</f>
        <v/>
      </c>
      <c r="AF33" s="190">
        <f>INDEX(Tab_Def_Flows[[Flow_ID]:[CC_DM_source]],MATCH(Tab_Data_Flows[[#This Row],[Name(EN)]],Tab_Def_Flows[Name(EN)],0),15)</f>
        <v/>
      </c>
      <c r="AG33" s="272">
        <f>IF(K33="Yes",AF33*Tab_Data_Flows[[#This Row],[Flow_Py]],"N.A.")</f>
        <v/>
      </c>
      <c r="AH33" s="272">
        <f>Tab_Data_Flows[[#This Row],[UoM_Flow_Py]]</f>
        <v/>
      </c>
      <c r="AI33" s="190">
        <f>INDEX(Tab_Def_Flows[[Flow_ID]:[CC_DM_source]],MATCH(Tab_Data_Flows[[#This Row],[Name(EN)]],Tab_Def_Flows[Name(EN)],0),17)</f>
        <v/>
      </c>
      <c r="AJ33" s="272">
        <f>IF(L33="Yes",AI33*Tab_Data_Flows[[#This Row],[Flow_Py]]*Tab_Data_Flows[[#This Row],[DM_'[%']]],"N.A.")</f>
        <v/>
      </c>
      <c r="AK33" s="272">
        <f>Tab_Data_Flows[[#This Row],[UoM_Flow_Py]]</f>
        <v/>
      </c>
    </row>
    <row r="34">
      <c r="A34" s="296">
        <f>ROW()-1</f>
        <v/>
      </c>
      <c r="B34" s="272">
        <f>_xlfn.XLOOKUP(C34,Tab_Def_Flows[Name(EN)],Tab_Def_Flows[Flow_ID],,0,)</f>
        <v/>
      </c>
      <c r="C34" s="273" t="inlineStr">
        <is>
          <t>Environment_Input_E</t>
        </is>
      </c>
      <c r="D34" s="272">
        <f>_xlfn.XLOOKUP(C34,Tab_Def_Flows[Name(EN)],Tab_Def_Flows[Type_Biomass],,0,)</f>
        <v/>
      </c>
      <c r="E34" s="272">
        <f>_xlfn.XLOOKUP(C34,Tab_Def_Flows[Name(EN)],Tab_Def_Flows[Output_Process],,0,)</f>
        <v/>
      </c>
      <c r="F34" s="272">
        <f>_xlfn.XLOOKUP(C34,Tab_Def_Flows[Name(EN)],Tab_Def_Flows[Process_ID_O],,0,)</f>
        <v/>
      </c>
      <c r="G34" s="272">
        <f>_xlfn.XLOOKUP(C34,Tab_Def_Flows[Name(EN)],Tab_Def_Flows[Input_Process],,0,)</f>
        <v/>
      </c>
      <c r="H34" s="17">
        <f>_xlfn.XLOOKUP(C34,Tab_Def_Flows[Name(EN)],Tab_Def_Flows[Process_ID_I],,0,)</f>
        <v/>
      </c>
      <c r="I34" s="17">
        <f>_xlfn.XLOOKUP(C34,Tab_Def_Flows[Name(EN)],#REF!,,0,)</f>
        <v/>
      </c>
      <c r="J34" s="17">
        <f>_xlfn.XLOOKUP(C34,Tab_Def_Flows[Name(EN)],Tab_Def_Flows[WC?],,0,)</f>
        <v/>
      </c>
      <c r="K34" s="17">
        <f>_xlfn.XLOOKUP(C34,Tab_Def_Flows[Name(EN)],Tab_Def_Flows[DM?],,0,)</f>
        <v/>
      </c>
      <c r="L34" s="17">
        <f>_xlfn.XLOOKUP(C34,Tab_Def_Flows[Name(EN)],Tab_Def_Flows[CC?],,0,)</f>
        <v/>
      </c>
      <c r="M34" s="273" t="n">
        <v>2031</v>
      </c>
      <c r="N34" s="273" t="inlineStr">
        <is>
          <t>BB</t>
        </is>
      </c>
      <c r="O34" s="48" t="n">
        <v>532881.24</v>
      </c>
      <c r="P34" s="273" t="n"/>
      <c r="Q34" s="273" t="n"/>
      <c r="R34" s="273" t="n"/>
      <c r="S34" s="273" t="n"/>
      <c r="T34" s="273" t="n"/>
      <c r="U34" s="273" t="n"/>
      <c r="V34" s="273" t="n"/>
      <c r="W34" s="273" t="n"/>
      <c r="X34" s="273" t="inlineStr">
        <is>
          <t>No</t>
        </is>
      </c>
      <c r="Y34" s="41" t="n"/>
      <c r="Z34" s="273" t="n"/>
      <c r="AA34" s="35">
        <f>IF(X34="no",O34,O34*Y34)</f>
        <v/>
      </c>
      <c r="AB34" s="273" t="inlineStr">
        <is>
          <t>Mg</t>
        </is>
      </c>
      <c r="AC34" s="190">
        <f>INDEX(Tab_Def_Flows[[Flow_ID]:[CC_DM_source]],MATCH(Tab_Data_Flows[[#This Row],[Name(EN)]],Tab_Def_Flows[Name(EN)],0),13)</f>
        <v/>
      </c>
      <c r="AD34" s="272">
        <f>IF(J34="Yes",AA34*Tab_Data_Flows[[#This Row],[WC_'[%']]],"N.A.")</f>
        <v/>
      </c>
      <c r="AE34" s="272">
        <f>Tab_Data_Flows[[#This Row],[UoM_Flow_Py]]</f>
        <v/>
      </c>
      <c r="AF34" s="190">
        <f>INDEX(Tab_Def_Flows[[Flow_ID]:[CC_DM_source]],MATCH(Tab_Data_Flows[[#This Row],[Name(EN)]],Tab_Def_Flows[Name(EN)],0),15)</f>
        <v/>
      </c>
      <c r="AG34" s="272">
        <f>IF(K34="Yes",AF34*Tab_Data_Flows[[#This Row],[Flow_Py]],"N.A.")</f>
        <v/>
      </c>
      <c r="AH34" s="272">
        <f>Tab_Data_Flows[[#This Row],[UoM_Flow_Py]]</f>
        <v/>
      </c>
      <c r="AI34" s="190">
        <f>INDEX(Tab_Def_Flows[[Flow_ID]:[CC_DM_source]],MATCH(Tab_Data_Flows[[#This Row],[Name(EN)]],Tab_Def_Flows[Name(EN)],0),17)</f>
        <v/>
      </c>
      <c r="AJ34" s="272">
        <f>IF(L34="Yes",AI34*Tab_Data_Flows[[#This Row],[Flow_Py]]*Tab_Data_Flows[[#This Row],[DM_'[%']]],"N.A.")</f>
        <v/>
      </c>
      <c r="AK34" s="272">
        <f>Tab_Data_Flows[[#This Row],[UoM_Flow_Py]]</f>
        <v/>
      </c>
    </row>
    <row r="35">
      <c r="A35" s="296">
        <f>ROW()-1</f>
        <v/>
      </c>
      <c r="B35" s="272">
        <f>_xlfn.XLOOKUP(C35,Tab_Def_Flows[Name(EN)],Tab_Def_Flows[Flow_ID],,0,)</f>
        <v/>
      </c>
      <c r="C35" s="273" t="inlineStr">
        <is>
          <t>Environment_Input_E</t>
        </is>
      </c>
      <c r="D35" s="272">
        <f>_xlfn.XLOOKUP(C35,Tab_Def_Flows[Name(EN)],Tab_Def_Flows[Type_Biomass],,0,)</f>
        <v/>
      </c>
      <c r="E35" s="272">
        <f>_xlfn.XLOOKUP(C35,Tab_Def_Flows[Name(EN)],Tab_Def_Flows[Output_Process],,0,)</f>
        <v/>
      </c>
      <c r="F35" s="272">
        <f>_xlfn.XLOOKUP(C35,Tab_Def_Flows[Name(EN)],Tab_Def_Flows[Process_ID_O],,0,)</f>
        <v/>
      </c>
      <c r="G35" s="272">
        <f>_xlfn.XLOOKUP(C35,Tab_Def_Flows[Name(EN)],Tab_Def_Flows[Input_Process],,0,)</f>
        <v/>
      </c>
      <c r="H35" s="17">
        <f>_xlfn.XLOOKUP(C35,Tab_Def_Flows[Name(EN)],Tab_Def_Flows[Process_ID_I],,0,)</f>
        <v/>
      </c>
      <c r="I35" s="17">
        <f>_xlfn.XLOOKUP(C35,Tab_Def_Flows[Name(EN)],#REF!,,0,)</f>
        <v/>
      </c>
      <c r="J35" s="17">
        <f>_xlfn.XLOOKUP(C35,Tab_Def_Flows[Name(EN)],Tab_Def_Flows[WC?],,0,)</f>
        <v/>
      </c>
      <c r="K35" s="17">
        <f>_xlfn.XLOOKUP(C35,Tab_Def_Flows[Name(EN)],Tab_Def_Flows[DM?],,0,)</f>
        <v/>
      </c>
      <c r="L35" s="17">
        <f>_xlfn.XLOOKUP(C35,Tab_Def_Flows[Name(EN)],Tab_Def_Flows[CC?],,0,)</f>
        <v/>
      </c>
      <c r="M35" s="273" t="n">
        <v>2032</v>
      </c>
      <c r="N35" s="273" t="inlineStr">
        <is>
          <t>BB</t>
        </is>
      </c>
      <c r="O35" s="48" t="n">
        <v>502208.22</v>
      </c>
      <c r="P35" s="273" t="n"/>
      <c r="Q35" s="273" t="n"/>
      <c r="R35" s="273" t="n"/>
      <c r="S35" s="273" t="n"/>
      <c r="T35" s="273" t="n"/>
      <c r="U35" s="273" t="n"/>
      <c r="V35" s="273" t="n"/>
      <c r="W35" s="273" t="n"/>
      <c r="X35" s="273" t="inlineStr">
        <is>
          <t>No</t>
        </is>
      </c>
      <c r="Y35" s="41" t="n"/>
      <c r="Z35" s="273" t="n"/>
      <c r="AA35" s="35">
        <f>IF(X35="no",O35,O35*Y35)</f>
        <v/>
      </c>
      <c r="AB35" s="273" t="inlineStr">
        <is>
          <t>Mg</t>
        </is>
      </c>
      <c r="AC35" s="190">
        <f>INDEX(Tab_Def_Flows[[Flow_ID]:[CC_DM_source]],MATCH(Tab_Data_Flows[[#This Row],[Name(EN)]],Tab_Def_Flows[Name(EN)],0),13)</f>
        <v/>
      </c>
      <c r="AD35" s="272">
        <f>IF(J35="Yes",AA35*Tab_Data_Flows[[#This Row],[WC_'[%']]],"N.A.")</f>
        <v/>
      </c>
      <c r="AE35" s="272">
        <f>Tab_Data_Flows[[#This Row],[UoM_Flow_Py]]</f>
        <v/>
      </c>
      <c r="AF35" s="190">
        <f>INDEX(Tab_Def_Flows[[Flow_ID]:[CC_DM_source]],MATCH(Tab_Data_Flows[[#This Row],[Name(EN)]],Tab_Def_Flows[Name(EN)],0),15)</f>
        <v/>
      </c>
      <c r="AG35" s="272">
        <f>IF(K35="Yes",AF35*Tab_Data_Flows[[#This Row],[Flow_Py]],"N.A.")</f>
        <v/>
      </c>
      <c r="AH35" s="272">
        <f>Tab_Data_Flows[[#This Row],[UoM_Flow_Py]]</f>
        <v/>
      </c>
      <c r="AI35" s="190">
        <f>INDEX(Tab_Def_Flows[[Flow_ID]:[CC_DM_source]],MATCH(Tab_Data_Flows[[#This Row],[Name(EN)]],Tab_Def_Flows[Name(EN)],0),17)</f>
        <v/>
      </c>
      <c r="AJ35" s="272">
        <f>IF(L35="Yes",AI35*Tab_Data_Flows[[#This Row],[Flow_Py]]*Tab_Data_Flows[[#This Row],[DM_'[%']]],"N.A.")</f>
        <v/>
      </c>
      <c r="AK35" s="272">
        <f>Tab_Data_Flows[[#This Row],[UoM_Flow_Py]]</f>
        <v/>
      </c>
    </row>
    <row r="36">
      <c r="A36" s="296">
        <f>ROW()-1</f>
        <v/>
      </c>
      <c r="B36" s="272">
        <f>_xlfn.XLOOKUP(C36,Tab_Def_Flows[Name(EN)],Tab_Def_Flows[Flow_ID],,0,)</f>
        <v/>
      </c>
      <c r="C36" s="273" t="inlineStr">
        <is>
          <t>Environment_Input_E</t>
        </is>
      </c>
      <c r="D36" s="272">
        <f>_xlfn.XLOOKUP(C36,Tab_Def_Flows[Name(EN)],Tab_Def_Flows[Type_Biomass],,0,)</f>
        <v/>
      </c>
      <c r="E36" s="272">
        <f>_xlfn.XLOOKUP(C36,Tab_Def_Flows[Name(EN)],Tab_Def_Flows[Output_Process],,0,)</f>
        <v/>
      </c>
      <c r="F36" s="272">
        <f>_xlfn.XLOOKUP(C36,Tab_Def_Flows[Name(EN)],Tab_Def_Flows[Process_ID_O],,0,)</f>
        <v/>
      </c>
      <c r="G36" s="272">
        <f>_xlfn.XLOOKUP(C36,Tab_Def_Flows[Name(EN)],Tab_Def_Flows[Input_Process],,0,)</f>
        <v/>
      </c>
      <c r="H36" s="17">
        <f>_xlfn.XLOOKUP(C36,Tab_Def_Flows[Name(EN)],Tab_Def_Flows[Process_ID_I],,0,)</f>
        <v/>
      </c>
      <c r="I36" s="17">
        <f>_xlfn.XLOOKUP(C36,Tab_Def_Flows[Name(EN)],#REF!,,0,)</f>
        <v/>
      </c>
      <c r="J36" s="17">
        <f>_xlfn.XLOOKUP(C36,Tab_Def_Flows[Name(EN)],Tab_Def_Flows[WC?],,0,)</f>
        <v/>
      </c>
      <c r="K36" s="17">
        <f>_xlfn.XLOOKUP(C36,Tab_Def_Flows[Name(EN)],Tab_Def_Flows[DM?],,0,)</f>
        <v/>
      </c>
      <c r="L36" s="17">
        <f>_xlfn.XLOOKUP(C36,Tab_Def_Flows[Name(EN)],Tab_Def_Flows[CC?],,0,)</f>
        <v/>
      </c>
      <c r="M36" s="273" t="n">
        <v>2033</v>
      </c>
      <c r="N36" s="273" t="inlineStr">
        <is>
          <t>BB</t>
        </is>
      </c>
      <c r="O36" s="48" t="n">
        <v>554032.24</v>
      </c>
      <c r="P36" s="273" t="n"/>
      <c r="Q36" s="273" t="n"/>
      <c r="R36" s="273" t="n"/>
      <c r="S36" s="273" t="n"/>
      <c r="T36" s="273" t="n"/>
      <c r="U36" s="273" t="n"/>
      <c r="V36" s="273" t="n"/>
      <c r="W36" s="273" t="n"/>
      <c r="X36" s="273" t="inlineStr">
        <is>
          <t>No</t>
        </is>
      </c>
      <c r="Y36" s="41" t="n"/>
      <c r="Z36" s="273" t="n"/>
      <c r="AA36" s="35">
        <f>IF(X36="no",O36,O36*Y36)</f>
        <v/>
      </c>
      <c r="AB36" s="273" t="inlineStr">
        <is>
          <t>Mg</t>
        </is>
      </c>
      <c r="AC36" s="190">
        <f>INDEX(Tab_Def_Flows[[Flow_ID]:[CC_DM_source]],MATCH(Tab_Data_Flows[[#This Row],[Name(EN)]],Tab_Def_Flows[Name(EN)],0),13)</f>
        <v/>
      </c>
      <c r="AD36" s="272">
        <f>IF(J36="Yes",AA36*Tab_Data_Flows[[#This Row],[WC_'[%']]],"N.A.")</f>
        <v/>
      </c>
      <c r="AE36" s="272">
        <f>Tab_Data_Flows[[#This Row],[UoM_Flow_Py]]</f>
        <v/>
      </c>
      <c r="AF36" s="190">
        <f>INDEX(Tab_Def_Flows[[Flow_ID]:[CC_DM_source]],MATCH(Tab_Data_Flows[[#This Row],[Name(EN)]],Tab_Def_Flows[Name(EN)],0),15)</f>
        <v/>
      </c>
      <c r="AG36" s="272">
        <f>IF(K36="Yes",AF36*Tab_Data_Flows[[#This Row],[Flow_Py]],"N.A.")</f>
        <v/>
      </c>
      <c r="AH36" s="272">
        <f>Tab_Data_Flows[[#This Row],[UoM_Flow_Py]]</f>
        <v/>
      </c>
      <c r="AI36" s="190">
        <f>INDEX(Tab_Def_Flows[[Flow_ID]:[CC_DM_source]],MATCH(Tab_Data_Flows[[#This Row],[Name(EN)]],Tab_Def_Flows[Name(EN)],0),17)</f>
        <v/>
      </c>
      <c r="AJ36" s="272">
        <f>IF(L36="Yes",AI36*Tab_Data_Flows[[#This Row],[Flow_Py]]*Tab_Data_Flows[[#This Row],[DM_'[%']]],"N.A.")</f>
        <v/>
      </c>
      <c r="AK36" s="272">
        <f>Tab_Data_Flows[[#This Row],[UoM_Flow_Py]]</f>
        <v/>
      </c>
    </row>
    <row r="37">
      <c r="A37" s="296">
        <f>ROW()-1</f>
        <v/>
      </c>
      <c r="B37" s="272">
        <f>_xlfn.XLOOKUP(C37,Tab_Def_Flows[Name(EN)],Tab_Def_Flows[Flow_ID],,0,)</f>
        <v/>
      </c>
      <c r="C37" s="273" t="inlineStr">
        <is>
          <t>Environment_Input_E</t>
        </is>
      </c>
      <c r="D37" s="272">
        <f>_xlfn.XLOOKUP(C37,Tab_Def_Flows[Name(EN)],Tab_Def_Flows[Type_Biomass],,0,)</f>
        <v/>
      </c>
      <c r="E37" s="272">
        <f>_xlfn.XLOOKUP(C37,Tab_Def_Flows[Name(EN)],Tab_Def_Flows[Output_Process],,0,)</f>
        <v/>
      </c>
      <c r="F37" s="272">
        <f>_xlfn.XLOOKUP(C37,Tab_Def_Flows[Name(EN)],Tab_Def_Flows[Process_ID_O],,0,)</f>
        <v/>
      </c>
      <c r="G37" s="272">
        <f>_xlfn.XLOOKUP(C37,Tab_Def_Flows[Name(EN)],Tab_Def_Flows[Input_Process],,0,)</f>
        <v/>
      </c>
      <c r="H37" s="17">
        <f>_xlfn.XLOOKUP(C37,Tab_Def_Flows[Name(EN)],Tab_Def_Flows[Process_ID_I],,0,)</f>
        <v/>
      </c>
      <c r="I37" s="17">
        <f>_xlfn.XLOOKUP(C37,Tab_Def_Flows[Name(EN)],#REF!,,0,)</f>
        <v/>
      </c>
      <c r="J37" s="17">
        <f>_xlfn.XLOOKUP(C37,Tab_Def_Flows[Name(EN)],Tab_Def_Flows[WC?],,0,)</f>
        <v/>
      </c>
      <c r="K37" s="17">
        <f>_xlfn.XLOOKUP(C37,Tab_Def_Flows[Name(EN)],Tab_Def_Flows[DM?],,0,)</f>
        <v/>
      </c>
      <c r="L37" s="17">
        <f>_xlfn.XLOOKUP(C37,Tab_Def_Flows[Name(EN)],Tab_Def_Flows[CC?],,0,)</f>
        <v/>
      </c>
      <c r="M37" s="273" t="n">
        <v>2034</v>
      </c>
      <c r="N37" s="273" t="inlineStr">
        <is>
          <t>BB</t>
        </is>
      </c>
      <c r="O37" s="48" t="n">
        <v>485316.89</v>
      </c>
      <c r="P37" s="273" t="n"/>
      <c r="Q37" s="273" t="n"/>
      <c r="R37" s="273" t="n"/>
      <c r="S37" s="273" t="n"/>
      <c r="T37" s="273" t="n"/>
      <c r="U37" s="273" t="n"/>
      <c r="V37" s="273" t="n"/>
      <c r="W37" s="273" t="n"/>
      <c r="X37" s="273" t="inlineStr">
        <is>
          <t>No</t>
        </is>
      </c>
      <c r="Y37" s="41" t="n"/>
      <c r="Z37" s="273" t="n"/>
      <c r="AA37" s="35">
        <f>IF(X37="no",O37,O37*Y37)</f>
        <v/>
      </c>
      <c r="AB37" s="273" t="inlineStr">
        <is>
          <t>Mg</t>
        </is>
      </c>
      <c r="AC37" s="190">
        <f>INDEX(Tab_Def_Flows[[Flow_ID]:[CC_DM_source]],MATCH(Tab_Data_Flows[[#This Row],[Name(EN)]],Tab_Def_Flows[Name(EN)],0),13)</f>
        <v/>
      </c>
      <c r="AD37" s="272">
        <f>IF(J37="Yes",AA37*Tab_Data_Flows[[#This Row],[WC_'[%']]],"N.A.")</f>
        <v/>
      </c>
      <c r="AE37" s="272">
        <f>Tab_Data_Flows[[#This Row],[UoM_Flow_Py]]</f>
        <v/>
      </c>
      <c r="AF37" s="190">
        <f>INDEX(Tab_Def_Flows[[Flow_ID]:[CC_DM_source]],MATCH(Tab_Data_Flows[[#This Row],[Name(EN)]],Tab_Def_Flows[Name(EN)],0),15)</f>
        <v/>
      </c>
      <c r="AG37" s="272">
        <f>IF(K37="Yes",AF37*Tab_Data_Flows[[#This Row],[Flow_Py]],"N.A.")</f>
        <v/>
      </c>
      <c r="AH37" s="272">
        <f>Tab_Data_Flows[[#This Row],[UoM_Flow_Py]]</f>
        <v/>
      </c>
      <c r="AI37" s="190">
        <f>INDEX(Tab_Def_Flows[[Flow_ID]:[CC_DM_source]],MATCH(Tab_Data_Flows[[#This Row],[Name(EN)]],Tab_Def_Flows[Name(EN)],0),17)</f>
        <v/>
      </c>
      <c r="AJ37" s="272">
        <f>IF(L37="Yes",AI37*Tab_Data_Flows[[#This Row],[Flow_Py]]*Tab_Data_Flows[[#This Row],[DM_'[%']]],"N.A.")</f>
        <v/>
      </c>
      <c r="AK37" s="272">
        <f>Tab_Data_Flows[[#This Row],[UoM_Flow_Py]]</f>
        <v/>
      </c>
    </row>
    <row r="38">
      <c r="A38" s="296">
        <f>ROW()-1</f>
        <v/>
      </c>
      <c r="B38" s="272">
        <f>_xlfn.XLOOKUP(C38,Tab_Def_Flows[Name(EN)],Tab_Def_Flows[Flow_ID],,0,)</f>
        <v/>
      </c>
      <c r="C38" s="273" t="inlineStr">
        <is>
          <t>Environment_Input_E</t>
        </is>
      </c>
      <c r="D38" s="272" t="n"/>
      <c r="E38" s="272">
        <f>_xlfn.XLOOKUP(C38,Tab_Def_Flows[Name(EN)],Tab_Def_Flows[Output_Process],,0,)</f>
        <v/>
      </c>
      <c r="F38" s="272">
        <f>_xlfn.XLOOKUP(C38,Tab_Def_Flows[Name(EN)],Tab_Def_Flows[Process_ID_O],,0,)</f>
        <v/>
      </c>
      <c r="G38" s="272">
        <f>_xlfn.XLOOKUP(C38,Tab_Def_Flows[Name(EN)],Tab_Def_Flows[Input_Process],,0,)</f>
        <v/>
      </c>
      <c r="H38" s="17">
        <f>_xlfn.XLOOKUP(C38,Tab_Def_Flows[Name(EN)],Tab_Def_Flows[Process_ID_I],,0,)</f>
        <v/>
      </c>
      <c r="I38" s="272">
        <f>_xlfn.XLOOKUP(C38,Tab_Def_Flows[Name(EN)],#REF!,,0,)</f>
        <v/>
      </c>
      <c r="J38" s="272">
        <f>_xlfn.XLOOKUP(C38,Tab_Def_Flows[Name(EN)],Tab_Def_Flows[WC?],,0,)</f>
        <v/>
      </c>
      <c r="K38" s="272">
        <f>_xlfn.XLOOKUP(C38,Tab_Def_Flows[Name(EN)],Tab_Def_Flows[DM?],,0,)</f>
        <v/>
      </c>
      <c r="L38" s="272">
        <f>_xlfn.XLOOKUP(C38,Tab_Def_Flows[Name(EN)],Tab_Def_Flows[CC?],,0,)</f>
        <v/>
      </c>
      <c r="M38" s="273" t="n">
        <v>2035</v>
      </c>
      <c r="N38" s="273" t="n"/>
      <c r="O38" s="48" t="n">
        <v>458679.08</v>
      </c>
      <c r="P38" s="273" t="n"/>
      <c r="Q38" s="273" t="n"/>
      <c r="R38" s="273">
        <f>INDEX(#REF!,MATCH(Tab_Data_Flows[[#This Row],[Name(EN)]],#REF!,0),12)</f>
        <v/>
      </c>
      <c r="S38" s="273">
        <f>MATCH(Tab_Data_Flows[[#This Row],[Name(EN)]],#REF!,0)</f>
        <v/>
      </c>
      <c r="T38" s="273" t="n"/>
      <c r="U38" s="273" t="n"/>
      <c r="V38" s="273" t="n"/>
      <c r="W38" s="273" t="n"/>
      <c r="X38" s="273" t="inlineStr">
        <is>
          <t>No</t>
        </is>
      </c>
      <c r="Y38" s="273" t="n"/>
      <c r="Z38" s="273" t="n"/>
      <c r="AA38" s="35">
        <f>IF(X38="no",O38,O38*Y38)</f>
        <v/>
      </c>
      <c r="AB38" s="273" t="inlineStr">
        <is>
          <t>Mg</t>
        </is>
      </c>
      <c r="AC38" s="190">
        <f>INDEX(Tab_Def_Flows[[Flow_ID]:[CC_DM_source]],MATCH(Tab_Data_Flows[[#This Row],[Name(EN)]],Tab_Def_Flows[Name(EN)],0),13)</f>
        <v/>
      </c>
      <c r="AD38" s="272">
        <f>IF(J38="Yes",AA38*Tab_Data_Flows[[#This Row],[WC_'[%']]],"N.A.")</f>
        <v/>
      </c>
      <c r="AE38" s="272">
        <f>Tab_Data_Flows[[#This Row],[UoM_Flow_Py]]</f>
        <v/>
      </c>
      <c r="AF38" s="190">
        <f>INDEX(Tab_Def_Flows[[Flow_ID]:[CC_DM_source]],MATCH(Tab_Data_Flows[[#This Row],[Name(EN)]],Tab_Def_Flows[Name(EN)],0),15)</f>
        <v/>
      </c>
      <c r="AG38" s="272">
        <f>IF(K38="Yes",AF38*Tab_Data_Flows[[#This Row],[Flow_Py]],"N.A.")</f>
        <v/>
      </c>
      <c r="AH38" s="272">
        <f>Tab_Data_Flows[[#This Row],[UoM_Flow_Py]]</f>
        <v/>
      </c>
      <c r="AI38" s="190">
        <f>INDEX(Tab_Def_Flows[[Flow_ID]:[CC_DM_source]],MATCH(Tab_Data_Flows[[#This Row],[Name(EN)]],Tab_Def_Flows[Name(EN)],0),17)</f>
        <v/>
      </c>
      <c r="AJ38" s="272">
        <f>IF(L38="Yes",AI38*Tab_Data_Flows[[#This Row],[Flow_Py]]*Tab_Data_Flows[[#This Row],[DM_'[%']]],"N.A.")</f>
        <v/>
      </c>
      <c r="AK38" s="272">
        <f>Tab_Data_Flows[[#This Row],[UoM_Flow_Py]]</f>
        <v/>
      </c>
    </row>
    <row r="39">
      <c r="A39" s="296">
        <f>ROW()-1</f>
        <v/>
      </c>
      <c r="B39" s="272">
        <f>_xlfn.XLOOKUP(C39,Tab_Def_Flows[Name(EN)],Tab_Def_Flows[Flow_ID],,0,)</f>
        <v/>
      </c>
      <c r="C39" s="273" t="inlineStr">
        <is>
          <t>Environment_Input_E</t>
        </is>
      </c>
      <c r="D39" s="272" t="n"/>
      <c r="E39" s="272">
        <f>_xlfn.XLOOKUP(C39,Tab_Def_Flows[Name(EN)],Tab_Def_Flows[Output_Process],,0,)</f>
        <v/>
      </c>
      <c r="F39" s="272">
        <f>_xlfn.XLOOKUP(C39,Tab_Def_Flows[Name(EN)],Tab_Def_Flows[Process_ID_O],,0,)</f>
        <v/>
      </c>
      <c r="G39" s="272">
        <f>_xlfn.XLOOKUP(C39,Tab_Def_Flows[Name(EN)],Tab_Def_Flows[Input_Process],,0,)</f>
        <v/>
      </c>
      <c r="H39" s="17">
        <f>_xlfn.XLOOKUP(C39,Tab_Def_Flows[Name(EN)],Tab_Def_Flows[Process_ID_I],,0,)</f>
        <v/>
      </c>
      <c r="I39" s="272">
        <f>_xlfn.XLOOKUP(C39,Tab_Def_Flows[Name(EN)],#REF!,,0,)</f>
        <v/>
      </c>
      <c r="J39" s="272">
        <f>_xlfn.XLOOKUP(C39,Tab_Def_Flows[Name(EN)],Tab_Def_Flows[WC?],,0,)</f>
        <v/>
      </c>
      <c r="K39" s="272">
        <f>_xlfn.XLOOKUP(C39,Tab_Def_Flows[Name(EN)],Tab_Def_Flows[DM?],,0,)</f>
        <v/>
      </c>
      <c r="L39" s="272">
        <f>_xlfn.XLOOKUP(C39,Tab_Def_Flows[Name(EN)],Tab_Def_Flows[CC?],,0,)</f>
        <v/>
      </c>
      <c r="M39" s="273" t="n">
        <v>2036</v>
      </c>
      <c r="N39" s="273" t="n"/>
      <c r="O39" s="48" t="n">
        <v>455531.34</v>
      </c>
      <c r="P39" s="273" t="n"/>
      <c r="Q39" s="273" t="n"/>
      <c r="R39" s="273">
        <f>INDEX(#REF!,MATCH(Tab_Data_Flows[[#This Row],[Name(EN)]],#REF!,0),12)</f>
        <v/>
      </c>
      <c r="S39" s="273">
        <f>MATCH(Tab_Data_Flows[[#This Row],[Name(EN)]],#REF!,0)</f>
        <v/>
      </c>
      <c r="T39" s="273" t="n"/>
      <c r="U39" s="273" t="n"/>
      <c r="V39" s="273" t="n"/>
      <c r="W39" s="273" t="n"/>
      <c r="X39" s="273" t="inlineStr">
        <is>
          <t>No</t>
        </is>
      </c>
      <c r="Y39" s="273" t="n"/>
      <c r="Z39" s="273" t="n"/>
      <c r="AA39" s="35">
        <f>IF(X39="no",O39,O39*Y39)</f>
        <v/>
      </c>
      <c r="AB39" s="273" t="inlineStr">
        <is>
          <t>Mg</t>
        </is>
      </c>
      <c r="AC39" s="190">
        <f>INDEX(Tab_Def_Flows[[Flow_ID]:[CC_DM_source]],MATCH(Tab_Data_Flows[[#This Row],[Name(EN)]],Tab_Def_Flows[Name(EN)],0),13)</f>
        <v/>
      </c>
      <c r="AD39" s="272">
        <f>IF(J39="Yes",AA39*Tab_Data_Flows[[#This Row],[WC_'[%']]],"N.A.")</f>
        <v/>
      </c>
      <c r="AE39" s="272">
        <f>Tab_Data_Flows[[#This Row],[UoM_Flow_Py]]</f>
        <v/>
      </c>
      <c r="AF39" s="190">
        <f>INDEX(Tab_Def_Flows[[Flow_ID]:[CC_DM_source]],MATCH(Tab_Data_Flows[[#This Row],[Name(EN)]],Tab_Def_Flows[Name(EN)],0),15)</f>
        <v/>
      </c>
      <c r="AG39" s="272">
        <f>IF(K39="Yes",AF39*Tab_Data_Flows[[#This Row],[Flow_Py]],"N.A.")</f>
        <v/>
      </c>
      <c r="AH39" s="272">
        <f>Tab_Data_Flows[[#This Row],[UoM_Flow_Py]]</f>
        <v/>
      </c>
      <c r="AI39" s="190">
        <f>INDEX(Tab_Def_Flows[[Flow_ID]:[CC_DM_source]],MATCH(Tab_Data_Flows[[#This Row],[Name(EN)]],Tab_Def_Flows[Name(EN)],0),17)</f>
        <v/>
      </c>
      <c r="AJ39" s="272">
        <f>IF(L39="Yes",AI39*Tab_Data_Flows[[#This Row],[Flow_Py]]*Tab_Data_Flows[[#This Row],[DM_'[%']]],"N.A.")</f>
        <v/>
      </c>
      <c r="AK39" s="272">
        <f>Tab_Data_Flows[[#This Row],[UoM_Flow_Py]]</f>
        <v/>
      </c>
    </row>
    <row r="40">
      <c r="A40" s="296">
        <f>ROW()-1</f>
        <v/>
      </c>
      <c r="B40" s="272">
        <f>_xlfn.XLOOKUP(C40,Tab_Def_Flows[Name(EN)],Tab_Def_Flows[Flow_ID],,0,)</f>
        <v/>
      </c>
      <c r="C40" s="273" t="inlineStr">
        <is>
          <t>Environment_Input_E</t>
        </is>
      </c>
      <c r="D40" s="272" t="n"/>
      <c r="E40" s="272">
        <f>_xlfn.XLOOKUP(C40,Tab_Def_Flows[Name(EN)],Tab_Def_Flows[Output_Process],,0,)</f>
        <v/>
      </c>
      <c r="F40" s="272">
        <f>_xlfn.XLOOKUP(C40,Tab_Def_Flows[Name(EN)],Tab_Def_Flows[Process_ID_O],,0,)</f>
        <v/>
      </c>
      <c r="G40" s="272">
        <f>_xlfn.XLOOKUP(C40,Tab_Def_Flows[Name(EN)],Tab_Def_Flows[Input_Process],,0,)</f>
        <v/>
      </c>
      <c r="H40" s="17">
        <f>_xlfn.XLOOKUP(C40,Tab_Def_Flows[Name(EN)],Tab_Def_Flows[Process_ID_I],,0,)</f>
        <v/>
      </c>
      <c r="I40" s="272">
        <f>_xlfn.XLOOKUP(C40,Tab_Def_Flows[Name(EN)],#REF!,,0,)</f>
        <v/>
      </c>
      <c r="J40" s="272">
        <f>_xlfn.XLOOKUP(C40,Tab_Def_Flows[Name(EN)],Tab_Def_Flows[WC?],,0,)</f>
        <v/>
      </c>
      <c r="K40" s="272">
        <f>_xlfn.XLOOKUP(C40,Tab_Def_Flows[Name(EN)],Tab_Def_Flows[DM?],,0,)</f>
        <v/>
      </c>
      <c r="L40" s="272">
        <f>_xlfn.XLOOKUP(C40,Tab_Def_Flows[Name(EN)],Tab_Def_Flows[CC?],,0,)</f>
        <v/>
      </c>
      <c r="M40" s="273" t="n">
        <v>2037</v>
      </c>
      <c r="N40" s="273" t="n"/>
      <c r="O40" s="48" t="n">
        <v>540406.1</v>
      </c>
      <c r="P40" s="273" t="n"/>
      <c r="Q40" s="273" t="n"/>
      <c r="R40" s="273">
        <f>INDEX(#REF!,MATCH(Tab_Data_Flows[[#This Row],[Name(EN)]],#REF!,0),12)</f>
        <v/>
      </c>
      <c r="S40" s="273">
        <f>MATCH(Tab_Data_Flows[[#This Row],[Name(EN)]],#REF!,0)</f>
        <v/>
      </c>
      <c r="T40" s="273" t="n"/>
      <c r="U40" s="273" t="n"/>
      <c r="V40" s="273" t="n"/>
      <c r="W40" s="273" t="n"/>
      <c r="X40" s="273" t="inlineStr">
        <is>
          <t>No</t>
        </is>
      </c>
      <c r="Y40" s="273" t="n"/>
      <c r="Z40" s="273" t="n"/>
      <c r="AA40" s="35">
        <f>IF(X40="no",O40,O40*Y40)</f>
        <v/>
      </c>
      <c r="AB40" s="273" t="inlineStr">
        <is>
          <t>Mg</t>
        </is>
      </c>
      <c r="AC40" s="190">
        <f>INDEX(Tab_Def_Flows[[Flow_ID]:[CC_DM_source]],MATCH(Tab_Data_Flows[[#This Row],[Name(EN)]],Tab_Def_Flows[Name(EN)],0),13)</f>
        <v/>
      </c>
      <c r="AD40" s="272">
        <f>IF(J40="Yes",AA40*Tab_Data_Flows[[#This Row],[WC_'[%']]],"N.A.")</f>
        <v/>
      </c>
      <c r="AE40" s="272">
        <f>Tab_Data_Flows[[#This Row],[UoM_Flow_Py]]</f>
        <v/>
      </c>
      <c r="AF40" s="190">
        <f>INDEX(Tab_Def_Flows[[Flow_ID]:[CC_DM_source]],MATCH(Tab_Data_Flows[[#This Row],[Name(EN)]],Tab_Def_Flows[Name(EN)],0),15)</f>
        <v/>
      </c>
      <c r="AG40" s="272">
        <f>IF(K40="Yes",AF40*Tab_Data_Flows[[#This Row],[Flow_Py]],"N.A.")</f>
        <v/>
      </c>
      <c r="AH40" s="272">
        <f>Tab_Data_Flows[[#This Row],[UoM_Flow_Py]]</f>
        <v/>
      </c>
      <c r="AI40" s="190">
        <f>INDEX(Tab_Def_Flows[[Flow_ID]:[CC_DM_source]],MATCH(Tab_Data_Flows[[#This Row],[Name(EN)]],Tab_Def_Flows[Name(EN)],0),17)</f>
        <v/>
      </c>
      <c r="AJ40" s="272">
        <f>IF(L40="Yes",AI40*Tab_Data_Flows[[#This Row],[Flow_Py]]*Tab_Data_Flows[[#This Row],[DM_'[%']]],"N.A.")</f>
        <v/>
      </c>
      <c r="AK40" s="272">
        <f>Tab_Data_Flows[[#This Row],[UoM_Flow_Py]]</f>
        <v/>
      </c>
    </row>
    <row r="41">
      <c r="A41" s="296">
        <f>ROW()-1</f>
        <v/>
      </c>
      <c r="B41" s="272">
        <f>_xlfn.XLOOKUP(C41,Tab_Def_Flows[Name(EN)],Tab_Def_Flows[Flow_ID],,0,)</f>
        <v/>
      </c>
      <c r="C41" s="273" t="inlineStr">
        <is>
          <t>Environment_Input_E</t>
        </is>
      </c>
      <c r="D41" s="272" t="n"/>
      <c r="E41" s="272">
        <f>_xlfn.XLOOKUP(C41,Tab_Def_Flows[Name(EN)],Tab_Def_Flows[Output_Process],,0,)</f>
        <v/>
      </c>
      <c r="F41" s="272">
        <f>_xlfn.XLOOKUP(C41,Tab_Def_Flows[Name(EN)],Tab_Def_Flows[Process_ID_O],,0,)</f>
        <v/>
      </c>
      <c r="G41" s="272">
        <f>_xlfn.XLOOKUP(C41,Tab_Def_Flows[Name(EN)],Tab_Def_Flows[Input_Process],,0,)</f>
        <v/>
      </c>
      <c r="H41" s="17">
        <f>_xlfn.XLOOKUP(C41,Tab_Def_Flows[Name(EN)],Tab_Def_Flows[Process_ID_I],,0,)</f>
        <v/>
      </c>
      <c r="I41" s="272">
        <f>_xlfn.XLOOKUP(C41,Tab_Def_Flows[Name(EN)],#REF!,,0,)</f>
        <v/>
      </c>
      <c r="J41" s="272">
        <f>_xlfn.XLOOKUP(C41,Tab_Def_Flows[Name(EN)],Tab_Def_Flows[WC?],,0,)</f>
        <v/>
      </c>
      <c r="K41" s="272">
        <f>_xlfn.XLOOKUP(C41,Tab_Def_Flows[Name(EN)],Tab_Def_Flows[DM?],,0,)</f>
        <v/>
      </c>
      <c r="L41" s="272">
        <f>_xlfn.XLOOKUP(C41,Tab_Def_Flows[Name(EN)],Tab_Def_Flows[CC?],,0,)</f>
        <v/>
      </c>
      <c r="M41" s="273" t="n">
        <v>2038</v>
      </c>
      <c r="N41" s="273" t="n"/>
      <c r="O41" s="48" t="n">
        <v>519526.92</v>
      </c>
      <c r="P41" s="273" t="n"/>
      <c r="Q41" s="273" t="n"/>
      <c r="R41" s="273">
        <f>INDEX(#REF!,MATCH(Tab_Data_Flows[[#This Row],[Name(EN)]],#REF!,0),12)</f>
        <v/>
      </c>
      <c r="S41" s="273">
        <f>MATCH(Tab_Data_Flows[[#This Row],[Name(EN)]],#REF!,0)</f>
        <v/>
      </c>
      <c r="T41" s="273" t="n"/>
      <c r="U41" s="273" t="n"/>
      <c r="V41" s="273" t="n"/>
      <c r="W41" s="273" t="n"/>
      <c r="X41" s="273" t="inlineStr">
        <is>
          <t>No</t>
        </is>
      </c>
      <c r="Y41" s="273" t="n"/>
      <c r="Z41" s="273" t="n"/>
      <c r="AA41" s="35">
        <f>IF(X41="no",O41,O41*Y41)</f>
        <v/>
      </c>
      <c r="AB41" s="273" t="inlineStr">
        <is>
          <t>Mg</t>
        </is>
      </c>
      <c r="AC41" s="190">
        <f>INDEX(Tab_Def_Flows[[Flow_ID]:[CC_DM_source]],MATCH(Tab_Data_Flows[[#This Row],[Name(EN)]],Tab_Def_Flows[Name(EN)],0),13)</f>
        <v/>
      </c>
      <c r="AD41" s="272">
        <f>IF(J41="Yes",AA41*Tab_Data_Flows[[#This Row],[WC_'[%']]],"N.A.")</f>
        <v/>
      </c>
      <c r="AE41" s="272">
        <f>Tab_Data_Flows[[#This Row],[UoM_Flow_Py]]</f>
        <v/>
      </c>
      <c r="AF41" s="190">
        <f>INDEX(Tab_Def_Flows[[Flow_ID]:[CC_DM_source]],MATCH(Tab_Data_Flows[[#This Row],[Name(EN)]],Tab_Def_Flows[Name(EN)],0),15)</f>
        <v/>
      </c>
      <c r="AG41" s="272">
        <f>IF(K41="Yes",AF41*Tab_Data_Flows[[#This Row],[Flow_Py]],"N.A.")</f>
        <v/>
      </c>
      <c r="AH41" s="272">
        <f>Tab_Data_Flows[[#This Row],[UoM_Flow_Py]]</f>
        <v/>
      </c>
      <c r="AI41" s="190">
        <f>INDEX(Tab_Def_Flows[[Flow_ID]:[CC_DM_source]],MATCH(Tab_Data_Flows[[#This Row],[Name(EN)]],Tab_Def_Flows[Name(EN)],0),17)</f>
        <v/>
      </c>
      <c r="AJ41" s="272">
        <f>IF(L41="Yes",AI41*Tab_Data_Flows[[#This Row],[Flow_Py]]*Tab_Data_Flows[[#This Row],[DM_'[%']]],"N.A.")</f>
        <v/>
      </c>
      <c r="AK41" s="272">
        <f>Tab_Data_Flows[[#This Row],[UoM_Flow_Py]]</f>
        <v/>
      </c>
    </row>
    <row r="42">
      <c r="A42" s="296">
        <f>ROW()-1</f>
        <v/>
      </c>
      <c r="B42" s="272">
        <f>_xlfn.XLOOKUP(C42,Tab_Def_Flows[Name(EN)],Tab_Def_Flows[Flow_ID],,0,)</f>
        <v/>
      </c>
      <c r="C42" s="273" t="inlineStr">
        <is>
          <t>Environment_Input_E</t>
        </is>
      </c>
      <c r="D42" s="272" t="n"/>
      <c r="E42" s="272">
        <f>_xlfn.XLOOKUP(C42,Tab_Def_Flows[Name(EN)],Tab_Def_Flows[Output_Process],,0,)</f>
        <v/>
      </c>
      <c r="F42" s="272">
        <f>_xlfn.XLOOKUP(C42,Tab_Def_Flows[Name(EN)],Tab_Def_Flows[Process_ID_O],,0,)</f>
        <v/>
      </c>
      <c r="G42" s="272">
        <f>_xlfn.XLOOKUP(C42,Tab_Def_Flows[Name(EN)],Tab_Def_Flows[Input_Process],,0,)</f>
        <v/>
      </c>
      <c r="H42" s="17">
        <f>_xlfn.XLOOKUP(C42,Tab_Def_Flows[Name(EN)],Tab_Def_Flows[Process_ID_I],,0,)</f>
        <v/>
      </c>
      <c r="I42" s="272">
        <f>_xlfn.XLOOKUP(C42,Tab_Def_Flows[Name(EN)],#REF!,,0,)</f>
        <v/>
      </c>
      <c r="J42" s="272">
        <f>_xlfn.XLOOKUP(C42,Tab_Def_Flows[Name(EN)],Tab_Def_Flows[WC?],,0,)</f>
        <v/>
      </c>
      <c r="K42" s="272">
        <f>_xlfn.XLOOKUP(C42,Tab_Def_Flows[Name(EN)],Tab_Def_Flows[DM?],,0,)</f>
        <v/>
      </c>
      <c r="L42" s="272">
        <f>_xlfn.XLOOKUP(C42,Tab_Def_Flows[Name(EN)],Tab_Def_Flows[CC?],,0,)</f>
        <v/>
      </c>
      <c r="M42" s="273" t="n">
        <v>2039</v>
      </c>
      <c r="N42" s="273" t="n"/>
      <c r="O42" s="48" t="n">
        <v>452105.41</v>
      </c>
      <c r="P42" s="273" t="n"/>
      <c r="Q42" s="273" t="n"/>
      <c r="R42" s="273">
        <f>INDEX(#REF!,MATCH(Tab_Data_Flows[[#This Row],[Name(EN)]],#REF!,0),12)</f>
        <v/>
      </c>
      <c r="S42" s="273">
        <f>MATCH(Tab_Data_Flows[[#This Row],[Name(EN)]],#REF!,0)</f>
        <v/>
      </c>
      <c r="T42" s="273" t="n"/>
      <c r="U42" s="273" t="n"/>
      <c r="V42" s="273" t="n"/>
      <c r="W42" s="273" t="n"/>
      <c r="X42" s="273" t="inlineStr">
        <is>
          <t>No</t>
        </is>
      </c>
      <c r="Y42" s="273" t="n"/>
      <c r="Z42" s="273" t="n"/>
      <c r="AA42" s="35">
        <f>IF(X42="no",O42,O42*Y42)</f>
        <v/>
      </c>
      <c r="AB42" s="273" t="inlineStr">
        <is>
          <t>Mg</t>
        </is>
      </c>
      <c r="AC42" s="190">
        <f>INDEX(Tab_Def_Flows[[Flow_ID]:[CC_DM_source]],MATCH(Tab_Data_Flows[[#This Row],[Name(EN)]],Tab_Def_Flows[Name(EN)],0),13)</f>
        <v/>
      </c>
      <c r="AD42" s="272">
        <f>IF(J42="Yes",AA42*Tab_Data_Flows[[#This Row],[WC_'[%']]],"N.A.")</f>
        <v/>
      </c>
      <c r="AE42" s="272">
        <f>Tab_Data_Flows[[#This Row],[UoM_Flow_Py]]</f>
        <v/>
      </c>
      <c r="AF42" s="190">
        <f>INDEX(Tab_Def_Flows[[Flow_ID]:[CC_DM_source]],MATCH(Tab_Data_Flows[[#This Row],[Name(EN)]],Tab_Def_Flows[Name(EN)],0),15)</f>
        <v/>
      </c>
      <c r="AG42" s="272">
        <f>IF(K42="Yes",AF42*Tab_Data_Flows[[#This Row],[Flow_Py]],"N.A.")</f>
        <v/>
      </c>
      <c r="AH42" s="272">
        <f>Tab_Data_Flows[[#This Row],[UoM_Flow_Py]]</f>
        <v/>
      </c>
      <c r="AI42" s="190">
        <f>INDEX(Tab_Def_Flows[[Flow_ID]:[CC_DM_source]],MATCH(Tab_Data_Flows[[#This Row],[Name(EN)]],Tab_Def_Flows[Name(EN)],0),17)</f>
        <v/>
      </c>
      <c r="AJ42" s="272">
        <f>IF(L42="Yes",AI42*Tab_Data_Flows[[#This Row],[Flow_Py]]*Tab_Data_Flows[[#This Row],[DM_'[%']]],"N.A.")</f>
        <v/>
      </c>
      <c r="AK42" s="272">
        <f>Tab_Data_Flows[[#This Row],[UoM_Flow_Py]]</f>
        <v/>
      </c>
    </row>
    <row r="43">
      <c r="A43" s="296">
        <f>ROW()-1</f>
        <v/>
      </c>
      <c r="B43" s="272">
        <f>_xlfn.XLOOKUP(C43,Tab_Def_Flows[Name(EN)],Tab_Def_Flows[Flow_ID],,0,)</f>
        <v/>
      </c>
      <c r="C43" s="273" t="inlineStr">
        <is>
          <t>Environment_Input_E</t>
        </is>
      </c>
      <c r="D43" s="272" t="n"/>
      <c r="E43" s="272">
        <f>_xlfn.XLOOKUP(C43,Tab_Def_Flows[Name(EN)],Tab_Def_Flows[Output_Process],,0,)</f>
        <v/>
      </c>
      <c r="F43" s="272">
        <f>_xlfn.XLOOKUP(C43,Tab_Def_Flows[Name(EN)],Tab_Def_Flows[Process_ID_O],,0,)</f>
        <v/>
      </c>
      <c r="G43" s="272">
        <f>_xlfn.XLOOKUP(C43,Tab_Def_Flows[Name(EN)],Tab_Def_Flows[Input_Process],,0,)</f>
        <v/>
      </c>
      <c r="H43" s="17">
        <f>_xlfn.XLOOKUP(C43,Tab_Def_Flows[Name(EN)],Tab_Def_Flows[Process_ID_I],,0,)</f>
        <v/>
      </c>
      <c r="I43" s="272">
        <f>_xlfn.XLOOKUP(C43,Tab_Def_Flows[Name(EN)],#REF!,,0,)</f>
        <v/>
      </c>
      <c r="J43" s="272">
        <f>_xlfn.XLOOKUP(C43,Tab_Def_Flows[Name(EN)],Tab_Def_Flows[WC?],,0,)</f>
        <v/>
      </c>
      <c r="K43" s="272">
        <f>_xlfn.XLOOKUP(C43,Tab_Def_Flows[Name(EN)],Tab_Def_Flows[DM?],,0,)</f>
        <v/>
      </c>
      <c r="L43" s="272">
        <f>_xlfn.XLOOKUP(C43,Tab_Def_Flows[Name(EN)],Tab_Def_Flows[CC?],,0,)</f>
        <v/>
      </c>
      <c r="M43" s="273" t="n">
        <v>2040</v>
      </c>
      <c r="N43" s="273" t="n"/>
      <c r="O43" s="48" t="n">
        <v>563115.84</v>
      </c>
      <c r="P43" s="273" t="n"/>
      <c r="Q43" s="273" t="n"/>
      <c r="R43" s="273">
        <f>INDEX(#REF!,MATCH(Tab_Data_Flows[[#This Row],[Name(EN)]],#REF!,0),12)</f>
        <v/>
      </c>
      <c r="S43" s="273">
        <f>MATCH(Tab_Data_Flows[[#This Row],[Name(EN)]],#REF!,0)</f>
        <v/>
      </c>
      <c r="T43" s="273" t="n"/>
      <c r="U43" s="273" t="n"/>
      <c r="V43" s="273" t="n"/>
      <c r="W43" s="273" t="n"/>
      <c r="X43" s="273" t="inlineStr">
        <is>
          <t>No</t>
        </is>
      </c>
      <c r="Y43" s="273" t="n"/>
      <c r="Z43" s="273" t="n"/>
      <c r="AA43" s="35">
        <f>IF(X43="no",O43,O43*Y43)</f>
        <v/>
      </c>
      <c r="AB43" s="273" t="inlineStr">
        <is>
          <t>Mg</t>
        </is>
      </c>
      <c r="AC43" s="190">
        <f>INDEX(Tab_Def_Flows[[Flow_ID]:[CC_DM_source]],MATCH(Tab_Data_Flows[[#This Row],[Name(EN)]],Tab_Def_Flows[Name(EN)],0),13)</f>
        <v/>
      </c>
      <c r="AD43" s="272">
        <f>IF(J43="Yes",AA43*Tab_Data_Flows[[#This Row],[WC_'[%']]],"N.A.")</f>
        <v/>
      </c>
      <c r="AE43" s="272">
        <f>Tab_Data_Flows[[#This Row],[UoM_Flow_Py]]</f>
        <v/>
      </c>
      <c r="AF43" s="190">
        <f>INDEX(Tab_Def_Flows[[Flow_ID]:[CC_DM_source]],MATCH(Tab_Data_Flows[[#This Row],[Name(EN)]],Tab_Def_Flows[Name(EN)],0),15)</f>
        <v/>
      </c>
      <c r="AG43" s="272">
        <f>IF(K43="Yes",AF43*Tab_Data_Flows[[#This Row],[Flow_Py]],"N.A.")</f>
        <v/>
      </c>
      <c r="AH43" s="272">
        <f>Tab_Data_Flows[[#This Row],[UoM_Flow_Py]]</f>
        <v/>
      </c>
      <c r="AI43" s="190">
        <f>INDEX(Tab_Def_Flows[[Flow_ID]:[CC_DM_source]],MATCH(Tab_Data_Flows[[#This Row],[Name(EN)]],Tab_Def_Flows[Name(EN)],0),17)</f>
        <v/>
      </c>
      <c r="AJ43" s="272">
        <f>IF(L43="Yes",AI43*Tab_Data_Flows[[#This Row],[Flow_Py]]*Tab_Data_Flows[[#This Row],[DM_'[%']]],"N.A.")</f>
        <v/>
      </c>
      <c r="AK43" s="272">
        <f>Tab_Data_Flows[[#This Row],[UoM_Flow_Py]]</f>
        <v/>
      </c>
    </row>
    <row r="44">
      <c r="A44" s="296">
        <f>ROW()-1</f>
        <v/>
      </c>
      <c r="B44" s="272">
        <f>_xlfn.XLOOKUP(C44,Tab_Def_Flows[Name(EN)],Tab_Def_Flows[Flow_ID],,0,)</f>
        <v/>
      </c>
      <c r="C44" s="273" t="inlineStr">
        <is>
          <t>Environment_Input_E</t>
        </is>
      </c>
      <c r="D44" s="272" t="n"/>
      <c r="E44" s="272">
        <f>_xlfn.XLOOKUP(C44,Tab_Def_Flows[Name(EN)],Tab_Def_Flows[Output_Process],,0,)</f>
        <v/>
      </c>
      <c r="F44" s="272">
        <f>_xlfn.XLOOKUP(C44,Tab_Def_Flows[Name(EN)],Tab_Def_Flows[Process_ID_O],,0,)</f>
        <v/>
      </c>
      <c r="G44" s="272">
        <f>_xlfn.XLOOKUP(C44,Tab_Def_Flows[Name(EN)],Tab_Def_Flows[Input_Process],,0,)</f>
        <v/>
      </c>
      <c r="H44" s="17">
        <f>_xlfn.XLOOKUP(C44,Tab_Def_Flows[Name(EN)],Tab_Def_Flows[Process_ID_I],,0,)</f>
        <v/>
      </c>
      <c r="I44" s="272">
        <f>_xlfn.XLOOKUP(C44,Tab_Def_Flows[Name(EN)],#REF!,,0,)</f>
        <v/>
      </c>
      <c r="J44" s="272">
        <f>_xlfn.XLOOKUP(C44,Tab_Def_Flows[Name(EN)],Tab_Def_Flows[WC?],,0,)</f>
        <v/>
      </c>
      <c r="K44" s="272">
        <f>_xlfn.XLOOKUP(C44,Tab_Def_Flows[Name(EN)],Tab_Def_Flows[DM?],,0,)</f>
        <v/>
      </c>
      <c r="L44" s="272">
        <f>_xlfn.XLOOKUP(C44,Tab_Def_Flows[Name(EN)],Tab_Def_Flows[CC?],,0,)</f>
        <v/>
      </c>
      <c r="M44" s="273" t="n">
        <v>2041</v>
      </c>
      <c r="N44" s="273" t="n"/>
      <c r="O44" s="48" t="n">
        <v>461279.88</v>
      </c>
      <c r="P44" s="273" t="n"/>
      <c r="Q44" s="273" t="n"/>
      <c r="R44" s="273">
        <f>INDEX(#REF!,MATCH(Tab_Data_Flows[[#This Row],[Name(EN)]],#REF!,0),12)</f>
        <v/>
      </c>
      <c r="S44" s="273">
        <f>MATCH(Tab_Data_Flows[[#This Row],[Name(EN)]],#REF!,0)</f>
        <v/>
      </c>
      <c r="T44" s="273" t="n"/>
      <c r="U44" s="273" t="n"/>
      <c r="V44" s="273" t="n"/>
      <c r="W44" s="273" t="n"/>
      <c r="X44" s="273" t="inlineStr">
        <is>
          <t>No</t>
        </is>
      </c>
      <c r="Y44" s="273" t="n"/>
      <c r="Z44" s="273" t="n"/>
      <c r="AA44" s="35">
        <f>IF(X44="no",O44,O44*Y44)</f>
        <v/>
      </c>
      <c r="AB44" s="273" t="inlineStr">
        <is>
          <t>Mg</t>
        </is>
      </c>
      <c r="AC44" s="190">
        <f>INDEX(Tab_Def_Flows[[Flow_ID]:[CC_DM_source]],MATCH(Tab_Data_Flows[[#This Row],[Name(EN)]],Tab_Def_Flows[Name(EN)],0),13)</f>
        <v/>
      </c>
      <c r="AD44" s="272">
        <f>IF(J44="Yes",AA44*Tab_Data_Flows[[#This Row],[WC_'[%']]],"N.A.")</f>
        <v/>
      </c>
      <c r="AE44" s="272">
        <f>Tab_Data_Flows[[#This Row],[UoM_Flow_Py]]</f>
        <v/>
      </c>
      <c r="AF44" s="190">
        <f>INDEX(Tab_Def_Flows[[Flow_ID]:[CC_DM_source]],MATCH(Tab_Data_Flows[[#This Row],[Name(EN)]],Tab_Def_Flows[Name(EN)],0),15)</f>
        <v/>
      </c>
      <c r="AG44" s="272">
        <f>IF(K44="Yes",AF44*Tab_Data_Flows[[#This Row],[Flow_Py]],"N.A.")</f>
        <v/>
      </c>
      <c r="AH44" s="272">
        <f>Tab_Data_Flows[[#This Row],[UoM_Flow_Py]]</f>
        <v/>
      </c>
      <c r="AI44" s="190">
        <f>INDEX(Tab_Def_Flows[[Flow_ID]:[CC_DM_source]],MATCH(Tab_Data_Flows[[#This Row],[Name(EN)]],Tab_Def_Flows[Name(EN)],0),17)</f>
        <v/>
      </c>
      <c r="AJ44" s="272">
        <f>IF(L44="Yes",AI44*Tab_Data_Flows[[#This Row],[Flow_Py]]*Tab_Data_Flows[[#This Row],[DM_'[%']]],"N.A.")</f>
        <v/>
      </c>
      <c r="AK44" s="272">
        <f>Tab_Data_Flows[[#This Row],[UoM_Flow_Py]]</f>
        <v/>
      </c>
    </row>
    <row r="45">
      <c r="A45" s="296">
        <f>ROW()-1</f>
        <v/>
      </c>
      <c r="B45" s="272">
        <f>_xlfn.XLOOKUP(C45,Tab_Def_Flows[Name(EN)],Tab_Def_Flows[Flow_ID],,0,)</f>
        <v/>
      </c>
      <c r="C45" s="273" t="inlineStr">
        <is>
          <t>Environment_Input_E</t>
        </is>
      </c>
      <c r="D45" s="272" t="n"/>
      <c r="E45" s="272">
        <f>_xlfn.XLOOKUP(C45,Tab_Def_Flows[Name(EN)],Tab_Def_Flows[Output_Process],,0,)</f>
        <v/>
      </c>
      <c r="F45" s="272">
        <f>_xlfn.XLOOKUP(C45,Tab_Def_Flows[Name(EN)],Tab_Def_Flows[Process_ID_O],,0,)</f>
        <v/>
      </c>
      <c r="G45" s="272">
        <f>_xlfn.XLOOKUP(C45,Tab_Def_Flows[Name(EN)],Tab_Def_Flows[Input_Process],,0,)</f>
        <v/>
      </c>
      <c r="H45" s="17">
        <f>_xlfn.XLOOKUP(C45,Tab_Def_Flows[Name(EN)],Tab_Def_Flows[Process_ID_I],,0,)</f>
        <v/>
      </c>
      <c r="I45" s="272">
        <f>_xlfn.XLOOKUP(C45,Tab_Def_Flows[Name(EN)],#REF!,,0,)</f>
        <v/>
      </c>
      <c r="J45" s="272">
        <f>_xlfn.XLOOKUP(C45,Tab_Def_Flows[Name(EN)],Tab_Def_Flows[WC?],,0,)</f>
        <v/>
      </c>
      <c r="K45" s="272">
        <f>_xlfn.XLOOKUP(C45,Tab_Def_Flows[Name(EN)],Tab_Def_Flows[DM?],,0,)</f>
        <v/>
      </c>
      <c r="L45" s="272">
        <f>_xlfn.XLOOKUP(C45,Tab_Def_Flows[Name(EN)],Tab_Def_Flows[CC?],,0,)</f>
        <v/>
      </c>
      <c r="M45" s="273" t="n">
        <v>2042</v>
      </c>
      <c r="N45" s="273" t="n"/>
      <c r="O45" s="48" t="n">
        <v>506407.15</v>
      </c>
      <c r="P45" s="273" t="n"/>
      <c r="Q45" s="273" t="n"/>
      <c r="R45" s="273">
        <f>INDEX(#REF!,MATCH(Tab_Data_Flows[[#This Row],[Name(EN)]],#REF!,0),12)</f>
        <v/>
      </c>
      <c r="S45" s="273">
        <f>MATCH(Tab_Data_Flows[[#This Row],[Name(EN)]],#REF!,0)</f>
        <v/>
      </c>
      <c r="T45" s="273" t="n"/>
      <c r="U45" s="273" t="n"/>
      <c r="V45" s="273" t="n"/>
      <c r="W45" s="273" t="n"/>
      <c r="X45" s="273" t="inlineStr">
        <is>
          <t>No</t>
        </is>
      </c>
      <c r="Y45" s="273" t="n"/>
      <c r="Z45" s="273" t="n"/>
      <c r="AA45" s="35">
        <f>IF(X45="no",O45,O45*Y45)</f>
        <v/>
      </c>
      <c r="AB45" s="273" t="inlineStr">
        <is>
          <t>Mg</t>
        </is>
      </c>
      <c r="AC45" s="190">
        <f>INDEX(Tab_Def_Flows[[Flow_ID]:[CC_DM_source]],MATCH(Tab_Data_Flows[[#This Row],[Name(EN)]],Tab_Def_Flows[Name(EN)],0),13)</f>
        <v/>
      </c>
      <c r="AD45" s="272">
        <f>IF(J45="Yes",AA45*Tab_Data_Flows[[#This Row],[WC_'[%']]],"N.A.")</f>
        <v/>
      </c>
      <c r="AE45" s="272">
        <f>Tab_Data_Flows[[#This Row],[UoM_Flow_Py]]</f>
        <v/>
      </c>
      <c r="AF45" s="190">
        <f>INDEX(Tab_Def_Flows[[Flow_ID]:[CC_DM_source]],MATCH(Tab_Data_Flows[[#This Row],[Name(EN)]],Tab_Def_Flows[Name(EN)],0),15)</f>
        <v/>
      </c>
      <c r="AG45" s="272">
        <f>IF(K45="Yes",AF45*Tab_Data_Flows[[#This Row],[Flow_Py]],"N.A.")</f>
        <v/>
      </c>
      <c r="AH45" s="272">
        <f>Tab_Data_Flows[[#This Row],[UoM_Flow_Py]]</f>
        <v/>
      </c>
      <c r="AI45" s="190">
        <f>INDEX(Tab_Def_Flows[[Flow_ID]:[CC_DM_source]],MATCH(Tab_Data_Flows[[#This Row],[Name(EN)]],Tab_Def_Flows[Name(EN)],0),17)</f>
        <v/>
      </c>
      <c r="AJ45" s="272">
        <f>IF(L45="Yes",AI45*Tab_Data_Flows[[#This Row],[Flow_Py]]*Tab_Data_Flows[[#This Row],[DM_'[%']]],"N.A.")</f>
        <v/>
      </c>
      <c r="AK45" s="272">
        <f>Tab_Data_Flows[[#This Row],[UoM_Flow_Py]]</f>
        <v/>
      </c>
    </row>
    <row r="46">
      <c r="A46" s="296">
        <f>ROW()-1</f>
        <v/>
      </c>
      <c r="B46" s="272">
        <f>_xlfn.XLOOKUP(C46,Tab_Def_Flows[Name(EN)],Tab_Def_Flows[Flow_ID],,0,)</f>
        <v/>
      </c>
      <c r="C46" s="273" t="inlineStr">
        <is>
          <t>Environment_Input_E</t>
        </is>
      </c>
      <c r="D46" s="272" t="n"/>
      <c r="E46" s="272">
        <f>_xlfn.XLOOKUP(C46,Tab_Def_Flows[Name(EN)],Tab_Def_Flows[Output_Process],,0,)</f>
        <v/>
      </c>
      <c r="F46" s="272">
        <f>_xlfn.XLOOKUP(C46,Tab_Def_Flows[Name(EN)],Tab_Def_Flows[Process_ID_O],,0,)</f>
        <v/>
      </c>
      <c r="G46" s="272">
        <f>_xlfn.XLOOKUP(C46,Tab_Def_Flows[Name(EN)],Tab_Def_Flows[Input_Process],,0,)</f>
        <v/>
      </c>
      <c r="H46" s="17">
        <f>_xlfn.XLOOKUP(C46,Tab_Def_Flows[Name(EN)],Tab_Def_Flows[Process_ID_I],,0,)</f>
        <v/>
      </c>
      <c r="I46" s="272">
        <f>_xlfn.XLOOKUP(C46,Tab_Def_Flows[Name(EN)],#REF!,,0,)</f>
        <v/>
      </c>
      <c r="J46" s="272">
        <f>_xlfn.XLOOKUP(C46,Tab_Def_Flows[Name(EN)],Tab_Def_Flows[WC?],,0,)</f>
        <v/>
      </c>
      <c r="K46" s="272">
        <f>_xlfn.XLOOKUP(C46,Tab_Def_Flows[Name(EN)],Tab_Def_Flows[DM?],,0,)</f>
        <v/>
      </c>
      <c r="L46" s="272">
        <f>_xlfn.XLOOKUP(C46,Tab_Def_Flows[Name(EN)],Tab_Def_Flows[CC?],,0,)</f>
        <v/>
      </c>
      <c r="M46" s="273" t="n">
        <v>2043</v>
      </c>
      <c r="N46" s="273" t="n"/>
      <c r="O46" s="48" t="n">
        <v>490316.29</v>
      </c>
      <c r="P46" s="273" t="n"/>
      <c r="Q46" s="273" t="n"/>
      <c r="R46" s="273">
        <f>INDEX(#REF!,MATCH(Tab_Data_Flows[[#This Row],[Name(EN)]],#REF!,0),12)</f>
        <v/>
      </c>
      <c r="S46" s="273">
        <f>MATCH(Tab_Data_Flows[[#This Row],[Name(EN)]],#REF!,0)</f>
        <v/>
      </c>
      <c r="T46" s="273" t="n"/>
      <c r="U46" s="273" t="n"/>
      <c r="V46" s="273" t="n"/>
      <c r="W46" s="273" t="n"/>
      <c r="X46" s="273" t="inlineStr">
        <is>
          <t>No</t>
        </is>
      </c>
      <c r="Y46" s="273" t="n"/>
      <c r="Z46" s="273" t="n"/>
      <c r="AA46" s="35">
        <f>IF(X46="no",O46,O46*Y46)</f>
        <v/>
      </c>
      <c r="AB46" s="273" t="inlineStr">
        <is>
          <t>Mg</t>
        </is>
      </c>
      <c r="AC46" s="190">
        <f>INDEX(Tab_Def_Flows[[Flow_ID]:[CC_DM_source]],MATCH(Tab_Data_Flows[[#This Row],[Name(EN)]],Tab_Def_Flows[Name(EN)],0),13)</f>
        <v/>
      </c>
      <c r="AD46" s="272">
        <f>IF(J46="Yes",AA46*Tab_Data_Flows[[#This Row],[WC_'[%']]],"N.A.")</f>
        <v/>
      </c>
      <c r="AE46" s="272">
        <f>Tab_Data_Flows[[#This Row],[UoM_Flow_Py]]</f>
        <v/>
      </c>
      <c r="AF46" s="190">
        <f>INDEX(Tab_Def_Flows[[Flow_ID]:[CC_DM_source]],MATCH(Tab_Data_Flows[[#This Row],[Name(EN)]],Tab_Def_Flows[Name(EN)],0),15)</f>
        <v/>
      </c>
      <c r="AG46" s="272">
        <f>IF(K46="Yes",AF46*Tab_Data_Flows[[#This Row],[Flow_Py]],"N.A.")</f>
        <v/>
      </c>
      <c r="AH46" s="272">
        <f>Tab_Data_Flows[[#This Row],[UoM_Flow_Py]]</f>
        <v/>
      </c>
      <c r="AI46" s="190">
        <f>INDEX(Tab_Def_Flows[[Flow_ID]:[CC_DM_source]],MATCH(Tab_Data_Flows[[#This Row],[Name(EN)]],Tab_Def_Flows[Name(EN)],0),17)</f>
        <v/>
      </c>
      <c r="AJ46" s="272">
        <f>IF(L46="Yes",AI46*Tab_Data_Flows[[#This Row],[Flow_Py]]*Tab_Data_Flows[[#This Row],[DM_'[%']]],"N.A.")</f>
        <v/>
      </c>
      <c r="AK46" s="272">
        <f>Tab_Data_Flows[[#This Row],[UoM_Flow_Py]]</f>
        <v/>
      </c>
    </row>
    <row r="47">
      <c r="A47" s="296">
        <f>ROW()-1</f>
        <v/>
      </c>
      <c r="B47" s="272">
        <f>_xlfn.XLOOKUP(C47,Tab_Def_Flows[Name(EN)],Tab_Def_Flows[Flow_ID],,0,)</f>
        <v/>
      </c>
      <c r="C47" s="273" t="inlineStr">
        <is>
          <t>Environment_Input_E</t>
        </is>
      </c>
      <c r="D47" s="272" t="n"/>
      <c r="E47" s="272">
        <f>_xlfn.XLOOKUP(C47,Tab_Def_Flows[Name(EN)],Tab_Def_Flows[Output_Process],,0,)</f>
        <v/>
      </c>
      <c r="F47" s="272">
        <f>_xlfn.XLOOKUP(C47,Tab_Def_Flows[Name(EN)],Tab_Def_Flows[Process_ID_O],,0,)</f>
        <v/>
      </c>
      <c r="G47" s="272">
        <f>_xlfn.XLOOKUP(C47,Tab_Def_Flows[Name(EN)],Tab_Def_Flows[Input_Process],,0,)</f>
        <v/>
      </c>
      <c r="H47" s="17">
        <f>_xlfn.XLOOKUP(C47,Tab_Def_Flows[Name(EN)],Tab_Def_Flows[Process_ID_I],,0,)</f>
        <v/>
      </c>
      <c r="I47" s="272">
        <f>_xlfn.XLOOKUP(C47,Tab_Def_Flows[Name(EN)],#REF!,,0,)</f>
        <v/>
      </c>
      <c r="J47" s="272">
        <f>_xlfn.XLOOKUP(C47,Tab_Def_Flows[Name(EN)],Tab_Def_Flows[WC?],,0,)</f>
        <v/>
      </c>
      <c r="K47" s="272">
        <f>_xlfn.XLOOKUP(C47,Tab_Def_Flows[Name(EN)],Tab_Def_Flows[DM?],,0,)</f>
        <v/>
      </c>
      <c r="L47" s="272">
        <f>_xlfn.XLOOKUP(C47,Tab_Def_Flows[Name(EN)],Tab_Def_Flows[CC?],,0,)</f>
        <v/>
      </c>
      <c r="M47" s="273" t="n">
        <v>2044</v>
      </c>
      <c r="N47" s="273" t="n"/>
      <c r="O47" s="48" t="n">
        <v>437401.65</v>
      </c>
      <c r="P47" s="273" t="n"/>
      <c r="Q47" s="273" t="n"/>
      <c r="R47" s="273">
        <f>INDEX(#REF!,MATCH(Tab_Data_Flows[[#This Row],[Name(EN)]],#REF!,0),12)</f>
        <v/>
      </c>
      <c r="S47" s="273">
        <f>MATCH(Tab_Data_Flows[[#This Row],[Name(EN)]],#REF!,0)</f>
        <v/>
      </c>
      <c r="T47" s="273" t="n"/>
      <c r="U47" s="273" t="n"/>
      <c r="V47" s="273" t="n"/>
      <c r="W47" s="273" t="n"/>
      <c r="X47" s="273" t="inlineStr">
        <is>
          <t>No</t>
        </is>
      </c>
      <c r="Y47" s="273" t="n"/>
      <c r="Z47" s="273" t="n"/>
      <c r="AA47" s="35">
        <f>IF(X47="no",O47,O47*Y47)</f>
        <v/>
      </c>
      <c r="AB47" s="273" t="inlineStr">
        <is>
          <t>Mg</t>
        </is>
      </c>
      <c r="AC47" s="190">
        <f>INDEX(Tab_Def_Flows[[Flow_ID]:[CC_DM_source]],MATCH(Tab_Data_Flows[[#This Row],[Name(EN)]],Tab_Def_Flows[Name(EN)],0),13)</f>
        <v/>
      </c>
      <c r="AD47" s="272">
        <f>IF(J47="Yes",AA47*Tab_Data_Flows[[#This Row],[WC_'[%']]],"N.A.")</f>
        <v/>
      </c>
      <c r="AE47" s="272">
        <f>Tab_Data_Flows[[#This Row],[UoM_Flow_Py]]</f>
        <v/>
      </c>
      <c r="AF47" s="190">
        <f>INDEX(Tab_Def_Flows[[Flow_ID]:[CC_DM_source]],MATCH(Tab_Data_Flows[[#This Row],[Name(EN)]],Tab_Def_Flows[Name(EN)],0),15)</f>
        <v/>
      </c>
      <c r="AG47" s="272">
        <f>IF(K47="Yes",AF47*Tab_Data_Flows[[#This Row],[Flow_Py]],"N.A.")</f>
        <v/>
      </c>
      <c r="AH47" s="272">
        <f>Tab_Data_Flows[[#This Row],[UoM_Flow_Py]]</f>
        <v/>
      </c>
      <c r="AI47" s="190">
        <f>INDEX(Tab_Def_Flows[[Flow_ID]:[CC_DM_source]],MATCH(Tab_Data_Flows[[#This Row],[Name(EN)]],Tab_Def_Flows[Name(EN)],0),17)</f>
        <v/>
      </c>
      <c r="AJ47" s="272">
        <f>IF(L47="Yes",AI47*Tab_Data_Flows[[#This Row],[Flow_Py]]*Tab_Data_Flows[[#This Row],[DM_'[%']]],"N.A.")</f>
        <v/>
      </c>
      <c r="AK47" s="272">
        <f>Tab_Data_Flows[[#This Row],[UoM_Flow_Py]]</f>
        <v/>
      </c>
    </row>
    <row r="48">
      <c r="A48" s="296">
        <f>ROW()-1</f>
        <v/>
      </c>
      <c r="B48" s="272">
        <f>_xlfn.XLOOKUP(C48,Tab_Def_Flows[Name(EN)],Tab_Def_Flows[Flow_ID],,0,)</f>
        <v/>
      </c>
      <c r="C48" s="273" t="inlineStr">
        <is>
          <t>Environment_Input_E</t>
        </is>
      </c>
      <c r="D48" s="272" t="n"/>
      <c r="E48" s="272">
        <f>_xlfn.XLOOKUP(C48,Tab_Def_Flows[Name(EN)],Tab_Def_Flows[Output_Process],,0,)</f>
        <v/>
      </c>
      <c r="F48" s="272">
        <f>_xlfn.XLOOKUP(C48,Tab_Def_Flows[Name(EN)],Tab_Def_Flows[Process_ID_O],,0,)</f>
        <v/>
      </c>
      <c r="G48" s="272">
        <f>_xlfn.XLOOKUP(C48,Tab_Def_Flows[Name(EN)],Tab_Def_Flows[Input_Process],,0,)</f>
        <v/>
      </c>
      <c r="H48" s="17">
        <f>_xlfn.XLOOKUP(C48,Tab_Def_Flows[Name(EN)],Tab_Def_Flows[Process_ID_I],,0,)</f>
        <v/>
      </c>
      <c r="I48" s="272">
        <f>_xlfn.XLOOKUP(C48,Tab_Def_Flows[Name(EN)],#REF!,,0,)</f>
        <v/>
      </c>
      <c r="J48" s="272">
        <f>_xlfn.XLOOKUP(C48,Tab_Def_Flows[Name(EN)],Tab_Def_Flows[WC?],,0,)</f>
        <v/>
      </c>
      <c r="K48" s="272">
        <f>_xlfn.XLOOKUP(C48,Tab_Def_Flows[Name(EN)],Tab_Def_Flows[DM?],,0,)</f>
        <v/>
      </c>
      <c r="L48" s="272">
        <f>_xlfn.XLOOKUP(C48,Tab_Def_Flows[Name(EN)],Tab_Def_Flows[CC?],,0,)</f>
        <v/>
      </c>
      <c r="M48" s="273" t="n">
        <v>2045</v>
      </c>
      <c r="N48" s="273" t="n"/>
      <c r="O48" s="48" t="n">
        <v>450310.06</v>
      </c>
      <c r="P48" s="273" t="n"/>
      <c r="Q48" s="273" t="n"/>
      <c r="R48" s="273">
        <f>INDEX(#REF!,MATCH(Tab_Data_Flows[[#This Row],[Name(EN)]],#REF!,0),12)</f>
        <v/>
      </c>
      <c r="S48" s="273">
        <f>MATCH(Tab_Data_Flows[[#This Row],[Name(EN)]],#REF!,0)</f>
        <v/>
      </c>
      <c r="T48" s="273" t="n"/>
      <c r="U48" s="273" t="n"/>
      <c r="V48" s="273" t="n"/>
      <c r="W48" s="273" t="n"/>
      <c r="X48" s="273" t="inlineStr">
        <is>
          <t>No</t>
        </is>
      </c>
      <c r="Y48" s="273" t="n"/>
      <c r="Z48" s="273" t="n"/>
      <c r="AA48" s="35">
        <f>IF(X48="no",O48,O48*Y48)</f>
        <v/>
      </c>
      <c r="AB48" s="273" t="inlineStr">
        <is>
          <t>Mg</t>
        </is>
      </c>
      <c r="AC48" s="190">
        <f>INDEX(Tab_Def_Flows[[Flow_ID]:[CC_DM_source]],MATCH(Tab_Data_Flows[[#This Row],[Name(EN)]],Tab_Def_Flows[Name(EN)],0),13)</f>
        <v/>
      </c>
      <c r="AD48" s="272">
        <f>IF(J48="Yes",AA48*Tab_Data_Flows[[#This Row],[WC_'[%']]],"N.A.")</f>
        <v/>
      </c>
      <c r="AE48" s="272">
        <f>Tab_Data_Flows[[#This Row],[UoM_Flow_Py]]</f>
        <v/>
      </c>
      <c r="AF48" s="190">
        <f>INDEX(Tab_Def_Flows[[Flow_ID]:[CC_DM_source]],MATCH(Tab_Data_Flows[[#This Row],[Name(EN)]],Tab_Def_Flows[Name(EN)],0),15)</f>
        <v/>
      </c>
      <c r="AG48" s="272">
        <f>IF(K48="Yes",AF48*Tab_Data_Flows[[#This Row],[Flow_Py]],"N.A.")</f>
        <v/>
      </c>
      <c r="AH48" s="272">
        <f>Tab_Data_Flows[[#This Row],[UoM_Flow_Py]]</f>
        <v/>
      </c>
      <c r="AI48" s="190">
        <f>INDEX(Tab_Def_Flows[[Flow_ID]:[CC_DM_source]],MATCH(Tab_Data_Flows[[#This Row],[Name(EN)]],Tab_Def_Flows[Name(EN)],0),17)</f>
        <v/>
      </c>
      <c r="AJ48" s="272">
        <f>IF(L48="Yes",AI48*Tab_Data_Flows[[#This Row],[Flow_Py]]*Tab_Data_Flows[[#This Row],[DM_'[%']]],"N.A.")</f>
        <v/>
      </c>
      <c r="AK48" s="272">
        <f>Tab_Data_Flows[[#This Row],[UoM_Flow_Py]]</f>
        <v/>
      </c>
    </row>
    <row r="49">
      <c r="A49" s="296">
        <f>ROW()-1</f>
        <v/>
      </c>
      <c r="B49" s="272">
        <f>_xlfn.XLOOKUP(C49,Tab_Def_Flows[Name(EN)],Tab_Def_Flows[Flow_ID],,0,)</f>
        <v/>
      </c>
      <c r="C49" s="273" t="inlineStr">
        <is>
          <t>Environment_Input_E</t>
        </is>
      </c>
      <c r="D49" s="272" t="n"/>
      <c r="E49" s="272">
        <f>_xlfn.XLOOKUP(C49,Tab_Def_Flows[Name(EN)],Tab_Def_Flows[Output_Process],,0,)</f>
        <v/>
      </c>
      <c r="F49" s="272">
        <f>_xlfn.XLOOKUP(C49,Tab_Def_Flows[Name(EN)],Tab_Def_Flows[Process_ID_O],,0,)</f>
        <v/>
      </c>
      <c r="G49" s="272">
        <f>_xlfn.XLOOKUP(C49,Tab_Def_Flows[Name(EN)],Tab_Def_Flows[Input_Process],,0,)</f>
        <v/>
      </c>
      <c r="H49" s="17">
        <f>_xlfn.XLOOKUP(C49,Tab_Def_Flows[Name(EN)],Tab_Def_Flows[Process_ID_I],,0,)</f>
        <v/>
      </c>
      <c r="I49" s="272">
        <f>_xlfn.XLOOKUP(C49,Tab_Def_Flows[Name(EN)],#REF!,,0,)</f>
        <v/>
      </c>
      <c r="J49" s="272">
        <f>_xlfn.XLOOKUP(C49,Tab_Def_Flows[Name(EN)],Tab_Def_Flows[WC?],,0,)</f>
        <v/>
      </c>
      <c r="K49" s="272">
        <f>_xlfn.XLOOKUP(C49,Tab_Def_Flows[Name(EN)],Tab_Def_Flows[DM?],,0,)</f>
        <v/>
      </c>
      <c r="L49" s="272">
        <f>_xlfn.XLOOKUP(C49,Tab_Def_Flows[Name(EN)],Tab_Def_Flows[CC?],,0,)</f>
        <v/>
      </c>
      <c r="M49" s="273" t="n">
        <v>2046</v>
      </c>
      <c r="N49" s="273" t="n"/>
      <c r="O49" s="48" t="n">
        <v>494154.02</v>
      </c>
      <c r="P49" s="273" t="n"/>
      <c r="Q49" s="273" t="n"/>
      <c r="R49" s="273">
        <f>INDEX(#REF!,MATCH(Tab_Data_Flows[[#This Row],[Name(EN)]],#REF!,0),12)</f>
        <v/>
      </c>
      <c r="S49" s="273">
        <f>MATCH(Tab_Data_Flows[[#This Row],[Name(EN)]],#REF!,0)</f>
        <v/>
      </c>
      <c r="T49" s="273" t="n"/>
      <c r="U49" s="273" t="n"/>
      <c r="V49" s="273" t="n"/>
      <c r="W49" s="273" t="n"/>
      <c r="X49" s="273" t="inlineStr">
        <is>
          <t>No</t>
        </is>
      </c>
      <c r="Y49" s="273" t="n"/>
      <c r="Z49" s="273" t="n"/>
      <c r="AA49" s="35">
        <f>IF(X49="no",O49,O49*Y49)</f>
        <v/>
      </c>
      <c r="AB49" s="273" t="inlineStr">
        <is>
          <t>Mg</t>
        </is>
      </c>
      <c r="AC49" s="190">
        <f>INDEX(Tab_Def_Flows[[Flow_ID]:[CC_DM_source]],MATCH(Tab_Data_Flows[[#This Row],[Name(EN)]],Tab_Def_Flows[Name(EN)],0),13)</f>
        <v/>
      </c>
      <c r="AD49" s="272">
        <f>IF(J49="Yes",AA49*Tab_Data_Flows[[#This Row],[WC_'[%']]],"N.A.")</f>
        <v/>
      </c>
      <c r="AE49" s="272">
        <f>Tab_Data_Flows[[#This Row],[UoM_Flow_Py]]</f>
        <v/>
      </c>
      <c r="AF49" s="190">
        <f>INDEX(Tab_Def_Flows[[Flow_ID]:[CC_DM_source]],MATCH(Tab_Data_Flows[[#This Row],[Name(EN)]],Tab_Def_Flows[Name(EN)],0),15)</f>
        <v/>
      </c>
      <c r="AG49" s="272">
        <f>IF(K49="Yes",AF49*Tab_Data_Flows[[#This Row],[Flow_Py]],"N.A.")</f>
        <v/>
      </c>
      <c r="AH49" s="272">
        <f>Tab_Data_Flows[[#This Row],[UoM_Flow_Py]]</f>
        <v/>
      </c>
      <c r="AI49" s="190">
        <f>INDEX(Tab_Def_Flows[[Flow_ID]:[CC_DM_source]],MATCH(Tab_Data_Flows[[#This Row],[Name(EN)]],Tab_Def_Flows[Name(EN)],0),17)</f>
        <v/>
      </c>
      <c r="AJ49" s="272">
        <f>IF(L49="Yes",AI49*Tab_Data_Flows[[#This Row],[Flow_Py]]*Tab_Data_Flows[[#This Row],[DM_'[%']]],"N.A.")</f>
        <v/>
      </c>
      <c r="AK49" s="272">
        <f>Tab_Data_Flows[[#This Row],[UoM_Flow_Py]]</f>
        <v/>
      </c>
    </row>
    <row r="50">
      <c r="A50" s="296">
        <f>ROW()-1</f>
        <v/>
      </c>
      <c r="B50" s="272">
        <f>_xlfn.XLOOKUP(C50,Tab_Def_Flows[Name(EN)],Tab_Def_Flows[Flow_ID],,0,)</f>
        <v/>
      </c>
      <c r="C50" s="273" t="inlineStr">
        <is>
          <t>Environment_Input_E</t>
        </is>
      </c>
      <c r="D50" s="272" t="n"/>
      <c r="E50" s="272">
        <f>_xlfn.XLOOKUP(C50,Tab_Def_Flows[Name(EN)],Tab_Def_Flows[Output_Process],,0,)</f>
        <v/>
      </c>
      <c r="F50" s="272">
        <f>_xlfn.XLOOKUP(C50,Tab_Def_Flows[Name(EN)],Tab_Def_Flows[Process_ID_O],,0,)</f>
        <v/>
      </c>
      <c r="G50" s="272">
        <f>_xlfn.XLOOKUP(C50,Tab_Def_Flows[Name(EN)],Tab_Def_Flows[Input_Process],,0,)</f>
        <v/>
      </c>
      <c r="H50" s="17">
        <f>_xlfn.XLOOKUP(C50,Tab_Def_Flows[Name(EN)],Tab_Def_Flows[Process_ID_I],,0,)</f>
        <v/>
      </c>
      <c r="I50" s="272">
        <f>_xlfn.XLOOKUP(C50,Tab_Def_Flows[Name(EN)],#REF!,,0,)</f>
        <v/>
      </c>
      <c r="J50" s="272">
        <f>_xlfn.XLOOKUP(C50,Tab_Def_Flows[Name(EN)],Tab_Def_Flows[WC?],,0,)</f>
        <v/>
      </c>
      <c r="K50" s="272">
        <f>_xlfn.XLOOKUP(C50,Tab_Def_Flows[Name(EN)],Tab_Def_Flows[DM?],,0,)</f>
        <v/>
      </c>
      <c r="L50" s="272">
        <f>_xlfn.XLOOKUP(C50,Tab_Def_Flows[Name(EN)],Tab_Def_Flows[CC?],,0,)</f>
        <v/>
      </c>
      <c r="M50" s="273" t="n">
        <v>2047</v>
      </c>
      <c r="N50" s="273" t="n"/>
      <c r="O50" s="48" t="n">
        <v>503272.69</v>
      </c>
      <c r="P50" s="273" t="n"/>
      <c r="Q50" s="273" t="n"/>
      <c r="R50" s="273">
        <f>INDEX(#REF!,MATCH(Tab_Data_Flows[[#This Row],[Name(EN)]],#REF!,0),12)</f>
        <v/>
      </c>
      <c r="S50" s="273">
        <f>MATCH(Tab_Data_Flows[[#This Row],[Name(EN)]],#REF!,0)</f>
        <v/>
      </c>
      <c r="T50" s="273" t="n"/>
      <c r="U50" s="273" t="n"/>
      <c r="V50" s="273" t="n"/>
      <c r="W50" s="273" t="n"/>
      <c r="X50" s="273" t="inlineStr">
        <is>
          <t>No</t>
        </is>
      </c>
      <c r="Y50" s="273" t="n"/>
      <c r="Z50" s="273" t="n"/>
      <c r="AA50" s="35">
        <f>IF(X50="no",O50,O50*Y50)</f>
        <v/>
      </c>
      <c r="AB50" s="273" t="inlineStr">
        <is>
          <t>Mg</t>
        </is>
      </c>
      <c r="AC50" s="190">
        <f>INDEX(Tab_Def_Flows[[Flow_ID]:[CC_DM_source]],MATCH(Tab_Data_Flows[[#This Row],[Name(EN)]],Tab_Def_Flows[Name(EN)],0),13)</f>
        <v/>
      </c>
      <c r="AD50" s="272">
        <f>IF(J50="Yes",AA50*Tab_Data_Flows[[#This Row],[WC_'[%']]],"N.A.")</f>
        <v/>
      </c>
      <c r="AE50" s="272">
        <f>Tab_Data_Flows[[#This Row],[UoM_Flow_Py]]</f>
        <v/>
      </c>
      <c r="AF50" s="190">
        <f>INDEX(Tab_Def_Flows[[Flow_ID]:[CC_DM_source]],MATCH(Tab_Data_Flows[[#This Row],[Name(EN)]],Tab_Def_Flows[Name(EN)],0),15)</f>
        <v/>
      </c>
      <c r="AG50" s="272">
        <f>IF(K50="Yes",AF50*Tab_Data_Flows[[#This Row],[Flow_Py]],"N.A.")</f>
        <v/>
      </c>
      <c r="AH50" s="272">
        <f>Tab_Data_Flows[[#This Row],[UoM_Flow_Py]]</f>
        <v/>
      </c>
      <c r="AI50" s="190">
        <f>INDEX(Tab_Def_Flows[[Flow_ID]:[CC_DM_source]],MATCH(Tab_Data_Flows[[#This Row],[Name(EN)]],Tab_Def_Flows[Name(EN)],0),17)</f>
        <v/>
      </c>
      <c r="AJ50" s="272">
        <f>IF(L50="Yes",AI50*Tab_Data_Flows[[#This Row],[Flow_Py]]*Tab_Data_Flows[[#This Row],[DM_'[%']]],"N.A.")</f>
        <v/>
      </c>
      <c r="AK50" s="272">
        <f>Tab_Data_Flows[[#This Row],[UoM_Flow_Py]]</f>
        <v/>
      </c>
    </row>
    <row r="51">
      <c r="A51" s="296">
        <f>ROW()-1</f>
        <v/>
      </c>
      <c r="B51" s="272">
        <f>_xlfn.XLOOKUP(C51,Tab_Def_Flows[Name(EN)],Tab_Def_Flows[Flow_ID],,0,)</f>
        <v/>
      </c>
      <c r="C51" s="273" t="inlineStr">
        <is>
          <t>Environment_Input_E</t>
        </is>
      </c>
      <c r="D51" s="272" t="n"/>
      <c r="E51" s="272">
        <f>_xlfn.XLOOKUP(C51,Tab_Def_Flows[Name(EN)],Tab_Def_Flows[Output_Process],,0,)</f>
        <v/>
      </c>
      <c r="F51" s="272">
        <f>_xlfn.XLOOKUP(C51,Tab_Def_Flows[Name(EN)],Tab_Def_Flows[Process_ID_O],,0,)</f>
        <v/>
      </c>
      <c r="G51" s="272">
        <f>_xlfn.XLOOKUP(C51,Tab_Def_Flows[Name(EN)],Tab_Def_Flows[Input_Process],,0,)</f>
        <v/>
      </c>
      <c r="H51" s="17">
        <f>_xlfn.XLOOKUP(C51,Tab_Def_Flows[Name(EN)],Tab_Def_Flows[Process_ID_I],,0,)</f>
        <v/>
      </c>
      <c r="I51" s="272">
        <f>_xlfn.XLOOKUP(C51,Tab_Def_Flows[Name(EN)],#REF!,,0,)</f>
        <v/>
      </c>
      <c r="J51" s="272">
        <f>_xlfn.XLOOKUP(C51,Tab_Def_Flows[Name(EN)],Tab_Def_Flows[WC?],,0,)</f>
        <v/>
      </c>
      <c r="K51" s="272">
        <f>_xlfn.XLOOKUP(C51,Tab_Def_Flows[Name(EN)],Tab_Def_Flows[DM?],,0,)</f>
        <v/>
      </c>
      <c r="L51" s="272">
        <f>_xlfn.XLOOKUP(C51,Tab_Def_Flows[Name(EN)],Tab_Def_Flows[CC?],,0,)</f>
        <v/>
      </c>
      <c r="M51" s="273" t="n">
        <v>2048</v>
      </c>
      <c r="N51" s="273" t="n"/>
      <c r="O51" s="48" t="n">
        <v>411823.51</v>
      </c>
      <c r="P51" s="273" t="n"/>
      <c r="Q51" s="273" t="n"/>
      <c r="R51" s="273">
        <f>INDEX(#REF!,MATCH(Tab_Data_Flows[[#This Row],[Name(EN)]],#REF!,0),12)</f>
        <v/>
      </c>
      <c r="S51" s="273">
        <f>MATCH(Tab_Data_Flows[[#This Row],[Name(EN)]],#REF!,0)</f>
        <v/>
      </c>
      <c r="T51" s="273" t="n"/>
      <c r="U51" s="273" t="n"/>
      <c r="V51" s="273" t="n"/>
      <c r="W51" s="273" t="n"/>
      <c r="X51" s="273" t="inlineStr">
        <is>
          <t>No</t>
        </is>
      </c>
      <c r="Y51" s="273" t="n"/>
      <c r="Z51" s="273" t="n"/>
      <c r="AA51" s="35">
        <f>IF(X51="no",O51,O51*Y51)</f>
        <v/>
      </c>
      <c r="AB51" s="273" t="inlineStr">
        <is>
          <t>Mg</t>
        </is>
      </c>
      <c r="AC51" s="190">
        <f>INDEX(Tab_Def_Flows[[Flow_ID]:[CC_DM_source]],MATCH(Tab_Data_Flows[[#This Row],[Name(EN)]],Tab_Def_Flows[Name(EN)],0),13)</f>
        <v/>
      </c>
      <c r="AD51" s="272">
        <f>IF(J51="Yes",AA51*Tab_Data_Flows[[#This Row],[WC_'[%']]],"N.A.")</f>
        <v/>
      </c>
      <c r="AE51" s="272">
        <f>Tab_Data_Flows[[#This Row],[UoM_Flow_Py]]</f>
        <v/>
      </c>
      <c r="AF51" s="190">
        <f>INDEX(Tab_Def_Flows[[Flow_ID]:[CC_DM_source]],MATCH(Tab_Data_Flows[[#This Row],[Name(EN)]],Tab_Def_Flows[Name(EN)],0),15)</f>
        <v/>
      </c>
      <c r="AG51" s="272">
        <f>IF(K51="Yes",AF51*Tab_Data_Flows[[#This Row],[Flow_Py]],"N.A.")</f>
        <v/>
      </c>
      <c r="AH51" s="272">
        <f>Tab_Data_Flows[[#This Row],[UoM_Flow_Py]]</f>
        <v/>
      </c>
      <c r="AI51" s="190">
        <f>INDEX(Tab_Def_Flows[[Flow_ID]:[CC_DM_source]],MATCH(Tab_Data_Flows[[#This Row],[Name(EN)]],Tab_Def_Flows[Name(EN)],0),17)</f>
        <v/>
      </c>
      <c r="AJ51" s="272">
        <f>IF(L51="Yes",AI51*Tab_Data_Flows[[#This Row],[Flow_Py]]*Tab_Data_Flows[[#This Row],[DM_'[%']]],"N.A.")</f>
        <v/>
      </c>
      <c r="AK51" s="272">
        <f>Tab_Data_Flows[[#This Row],[UoM_Flow_Py]]</f>
        <v/>
      </c>
    </row>
    <row r="52">
      <c r="A52" s="296">
        <f>ROW()-1</f>
        <v/>
      </c>
      <c r="B52" s="272">
        <f>_xlfn.XLOOKUP(C52,Tab_Def_Flows[Name(EN)],Tab_Def_Flows[Flow_ID],,0,)</f>
        <v/>
      </c>
      <c r="C52" s="273" t="inlineStr">
        <is>
          <t>Environment_Input_E</t>
        </is>
      </c>
      <c r="D52" s="272" t="n"/>
      <c r="E52" s="272">
        <f>_xlfn.XLOOKUP(C52,Tab_Def_Flows[Name(EN)],Tab_Def_Flows[Output_Process],,0,)</f>
        <v/>
      </c>
      <c r="F52" s="272">
        <f>_xlfn.XLOOKUP(C52,Tab_Def_Flows[Name(EN)],Tab_Def_Flows[Process_ID_O],,0,)</f>
        <v/>
      </c>
      <c r="G52" s="272">
        <f>_xlfn.XLOOKUP(C52,Tab_Def_Flows[Name(EN)],Tab_Def_Flows[Input_Process],,0,)</f>
        <v/>
      </c>
      <c r="H52" s="17">
        <f>_xlfn.XLOOKUP(C52,Tab_Def_Flows[Name(EN)],Tab_Def_Flows[Process_ID_I],,0,)</f>
        <v/>
      </c>
      <c r="I52" s="272">
        <f>_xlfn.XLOOKUP(C52,Tab_Def_Flows[Name(EN)],#REF!,,0,)</f>
        <v/>
      </c>
      <c r="J52" s="272">
        <f>_xlfn.XLOOKUP(C52,Tab_Def_Flows[Name(EN)],Tab_Def_Flows[WC?],,0,)</f>
        <v/>
      </c>
      <c r="K52" s="272">
        <f>_xlfn.XLOOKUP(C52,Tab_Def_Flows[Name(EN)],Tab_Def_Flows[DM?],,0,)</f>
        <v/>
      </c>
      <c r="L52" s="272">
        <f>_xlfn.XLOOKUP(C52,Tab_Def_Flows[Name(EN)],Tab_Def_Flows[CC?],,0,)</f>
        <v/>
      </c>
      <c r="M52" s="273" t="n">
        <v>2049</v>
      </c>
      <c r="N52" s="273" t="n"/>
      <c r="O52" s="48" t="n">
        <v>486147.05</v>
      </c>
      <c r="P52" s="273" t="n"/>
      <c r="Q52" s="273" t="n"/>
      <c r="R52" s="273">
        <f>INDEX(#REF!,MATCH(Tab_Data_Flows[[#This Row],[Name(EN)]],#REF!,0),12)</f>
        <v/>
      </c>
      <c r="S52" s="273">
        <f>MATCH(Tab_Data_Flows[[#This Row],[Name(EN)]],#REF!,0)</f>
        <v/>
      </c>
      <c r="T52" s="273" t="n"/>
      <c r="U52" s="273" t="n"/>
      <c r="V52" s="273" t="n"/>
      <c r="W52" s="273" t="n"/>
      <c r="X52" s="273" t="inlineStr">
        <is>
          <t>No</t>
        </is>
      </c>
      <c r="Y52" s="273" t="n"/>
      <c r="Z52" s="273" t="n"/>
      <c r="AA52" s="35">
        <f>IF(X52="no",O52,O52*Y52)</f>
        <v/>
      </c>
      <c r="AB52" s="273" t="inlineStr">
        <is>
          <t>Mg</t>
        </is>
      </c>
      <c r="AC52" s="190">
        <f>INDEX(Tab_Def_Flows[[Flow_ID]:[CC_DM_source]],MATCH(Tab_Data_Flows[[#This Row],[Name(EN)]],Tab_Def_Flows[Name(EN)],0),13)</f>
        <v/>
      </c>
      <c r="AD52" s="272">
        <f>IF(J52="Yes",AA52*Tab_Data_Flows[[#This Row],[WC_'[%']]],"N.A.")</f>
        <v/>
      </c>
      <c r="AE52" s="272">
        <f>Tab_Data_Flows[[#This Row],[UoM_Flow_Py]]</f>
        <v/>
      </c>
      <c r="AF52" s="190">
        <f>INDEX(Tab_Def_Flows[[Flow_ID]:[CC_DM_source]],MATCH(Tab_Data_Flows[[#This Row],[Name(EN)]],Tab_Def_Flows[Name(EN)],0),15)</f>
        <v/>
      </c>
      <c r="AG52" s="272">
        <f>IF(K52="Yes",AF52*Tab_Data_Flows[[#This Row],[Flow_Py]],"N.A.")</f>
        <v/>
      </c>
      <c r="AH52" s="272">
        <f>Tab_Data_Flows[[#This Row],[UoM_Flow_Py]]</f>
        <v/>
      </c>
      <c r="AI52" s="190">
        <f>INDEX(Tab_Def_Flows[[Flow_ID]:[CC_DM_source]],MATCH(Tab_Data_Flows[[#This Row],[Name(EN)]],Tab_Def_Flows[Name(EN)],0),17)</f>
        <v/>
      </c>
      <c r="AJ52" s="272">
        <f>IF(L52="Yes",AI52*Tab_Data_Flows[[#This Row],[Flow_Py]]*Tab_Data_Flows[[#This Row],[DM_'[%']]],"N.A.")</f>
        <v/>
      </c>
      <c r="AK52" s="272">
        <f>Tab_Data_Flows[[#This Row],[UoM_Flow_Py]]</f>
        <v/>
      </c>
    </row>
    <row r="53">
      <c r="A53" s="296">
        <f>ROW()-1</f>
        <v/>
      </c>
      <c r="B53" s="272">
        <f>_xlfn.XLOOKUP(C53,Tab_Def_Flows[Name(EN)],Tab_Def_Flows[Flow_ID],,0,)</f>
        <v/>
      </c>
      <c r="C53" s="273" t="inlineStr">
        <is>
          <t>Environment_Input_E</t>
        </is>
      </c>
      <c r="D53" s="272" t="n"/>
      <c r="E53" s="272">
        <f>_xlfn.XLOOKUP(C53,Tab_Def_Flows[Name(EN)],Tab_Def_Flows[Output_Process],,0,)</f>
        <v/>
      </c>
      <c r="F53" s="272">
        <f>_xlfn.XLOOKUP(C53,Tab_Def_Flows[Name(EN)],Tab_Def_Flows[Process_ID_O],,0,)</f>
        <v/>
      </c>
      <c r="G53" s="272">
        <f>_xlfn.XLOOKUP(C53,Tab_Def_Flows[Name(EN)],Tab_Def_Flows[Input_Process],,0,)</f>
        <v/>
      </c>
      <c r="H53" s="17">
        <f>_xlfn.XLOOKUP(C53,Tab_Def_Flows[Name(EN)],Tab_Def_Flows[Process_ID_I],,0,)</f>
        <v/>
      </c>
      <c r="I53" s="272">
        <f>_xlfn.XLOOKUP(C53,Tab_Def_Flows[Name(EN)],#REF!,,0,)</f>
        <v/>
      </c>
      <c r="J53" s="272">
        <f>_xlfn.XLOOKUP(C53,Tab_Def_Flows[Name(EN)],Tab_Def_Flows[WC?],,0,)</f>
        <v/>
      </c>
      <c r="K53" s="272">
        <f>_xlfn.XLOOKUP(C53,Tab_Def_Flows[Name(EN)],Tab_Def_Flows[DM?],,0,)</f>
        <v/>
      </c>
      <c r="L53" s="272">
        <f>_xlfn.XLOOKUP(C53,Tab_Def_Flows[Name(EN)],Tab_Def_Flows[CC?],,0,)</f>
        <v/>
      </c>
      <c r="M53" s="273" t="n">
        <v>2050</v>
      </c>
      <c r="N53" s="273" t="n"/>
      <c r="O53" s="48" t="n">
        <v>477833.02</v>
      </c>
      <c r="P53" s="273" t="n"/>
      <c r="Q53" s="273" t="n"/>
      <c r="R53" s="273">
        <f>INDEX(#REF!,MATCH(Tab_Data_Flows[[#This Row],[Name(EN)]],#REF!,0),12)</f>
        <v/>
      </c>
      <c r="S53" s="273">
        <f>MATCH(Tab_Data_Flows[[#This Row],[Name(EN)]],#REF!,0)</f>
        <v/>
      </c>
      <c r="T53" s="273" t="n"/>
      <c r="U53" s="273" t="n"/>
      <c r="V53" s="273" t="n"/>
      <c r="W53" s="273" t="n"/>
      <c r="X53" s="273" t="inlineStr">
        <is>
          <t>No</t>
        </is>
      </c>
      <c r="Y53" s="273" t="n"/>
      <c r="Z53" s="273" t="n"/>
      <c r="AA53" s="35">
        <f>IF(X53="no",O53,O53*Y53)</f>
        <v/>
      </c>
      <c r="AB53" s="273" t="inlineStr">
        <is>
          <t>Mg</t>
        </is>
      </c>
      <c r="AC53" s="190">
        <f>INDEX(Tab_Def_Flows[[Flow_ID]:[CC_DM_source]],MATCH(Tab_Data_Flows[[#This Row],[Name(EN)]],Tab_Def_Flows[Name(EN)],0),13)</f>
        <v/>
      </c>
      <c r="AD53" s="272">
        <f>IF(J53="Yes",AA53*Tab_Data_Flows[[#This Row],[WC_'[%']]],"N.A.")</f>
        <v/>
      </c>
      <c r="AE53" s="272">
        <f>Tab_Data_Flows[[#This Row],[UoM_Flow_Py]]</f>
        <v/>
      </c>
      <c r="AF53" s="190">
        <f>INDEX(Tab_Def_Flows[[Flow_ID]:[CC_DM_source]],MATCH(Tab_Data_Flows[[#This Row],[Name(EN)]],Tab_Def_Flows[Name(EN)],0),15)</f>
        <v/>
      </c>
      <c r="AG53" s="272">
        <f>IF(K53="Yes",AF53*Tab_Data_Flows[[#This Row],[Flow_Py]],"N.A.")</f>
        <v/>
      </c>
      <c r="AH53" s="272">
        <f>Tab_Data_Flows[[#This Row],[UoM_Flow_Py]]</f>
        <v/>
      </c>
      <c r="AI53" s="190">
        <f>INDEX(Tab_Def_Flows[[Flow_ID]:[CC_DM_source]],MATCH(Tab_Data_Flows[[#This Row],[Name(EN)]],Tab_Def_Flows[Name(EN)],0),17)</f>
        <v/>
      </c>
      <c r="AJ53" s="272">
        <f>IF(L53="Yes",AI53*Tab_Data_Flows[[#This Row],[Flow_Py]]*Tab_Data_Flows[[#This Row],[DM_'[%']]],"N.A.")</f>
        <v/>
      </c>
      <c r="AK53" s="272">
        <f>Tab_Data_Flows[[#This Row],[UoM_Flow_Py]]</f>
        <v/>
      </c>
    </row>
    <row r="54">
      <c r="A54" s="296">
        <f>ROW()-1</f>
        <v/>
      </c>
      <c r="B54" s="272">
        <f>_xlfn.XLOOKUP(C54,Tab_Def_Flows[Name(EN)],Tab_Def_Flows[Flow_ID],,0,)</f>
        <v/>
      </c>
      <c r="C54" s="273" t="inlineStr">
        <is>
          <t>N.A.</t>
        </is>
      </c>
      <c r="D54" s="272" t="n"/>
      <c r="E54" s="272">
        <f>_xlfn.XLOOKUP(C54,Tab_Def_Flows[Name(EN)],Tab_Def_Flows[Output_Process],,0,)</f>
        <v/>
      </c>
      <c r="F54" s="272">
        <f>_xlfn.XLOOKUP(C54,Tab_Def_Flows[Name(EN)],Tab_Def_Flows[Process_ID_O],,0,)</f>
        <v/>
      </c>
      <c r="G54" s="272">
        <f>_xlfn.XLOOKUP(C54,Tab_Def_Flows[Name(EN)],Tab_Def_Flows[Input_Process],,0,)</f>
        <v/>
      </c>
      <c r="H54" s="17">
        <f>_xlfn.XLOOKUP(C54,Tab_Def_Flows[Name(EN)],Tab_Def_Flows[Process_ID_I],,0,)</f>
        <v/>
      </c>
      <c r="I54" s="272">
        <f>_xlfn.XLOOKUP(C54,Tab_Def_Flows[Name(EN)],#REF!,,0,)</f>
        <v/>
      </c>
      <c r="J54" s="272">
        <f>_xlfn.XLOOKUP(C54,Tab_Def_Flows[Name(EN)],Tab_Def_Flows[WC?],,0,)</f>
        <v/>
      </c>
      <c r="K54" s="272">
        <f>_xlfn.XLOOKUP(C54,Tab_Def_Flows[Name(EN)],Tab_Def_Flows[DM?],,0,)</f>
        <v/>
      </c>
      <c r="L54" s="272">
        <f>_xlfn.XLOOKUP(C54,Tab_Def_Flows[Name(EN)],Tab_Def_Flows[CC?],,0,)</f>
        <v/>
      </c>
      <c r="M54" s="273" t="n"/>
      <c r="N54" s="273" t="n"/>
      <c r="O54" s="48" t="n"/>
      <c r="P54" s="273" t="n"/>
      <c r="Q54" s="273" t="n"/>
      <c r="R54" s="273">
        <f>INDEX(#REF!,MATCH(Tab_Data_Flows[[#This Row],[Name(EN)]],#REF!,0),12)</f>
        <v/>
      </c>
      <c r="S54" s="273">
        <f>MATCH(Tab_Data_Flows[[#This Row],[Name(EN)]],#REF!,0)</f>
        <v/>
      </c>
      <c r="T54" s="273" t="n"/>
      <c r="U54" s="273" t="n"/>
      <c r="V54" s="273" t="n"/>
      <c r="W54" s="273" t="n"/>
      <c r="X54" s="273" t="inlineStr">
        <is>
          <t>No</t>
        </is>
      </c>
      <c r="Y54" s="273" t="n"/>
      <c r="Z54" s="273" t="n"/>
      <c r="AA54" s="35">
        <f>IF(X54="no",O54,O54*Y54)</f>
        <v/>
      </c>
      <c r="AB54" s="273" t="inlineStr">
        <is>
          <t>Mg</t>
        </is>
      </c>
      <c r="AC54" s="190">
        <f>INDEX(Tab_Def_Flows[[Flow_ID]:[CC_DM_source]],MATCH(Tab_Data_Flows[[#This Row],[Name(EN)]],Tab_Def_Flows[Name(EN)],0),13)</f>
        <v/>
      </c>
      <c r="AD54" s="272">
        <f>IF(J54="Yes",AA54*Tab_Data_Flows[[#This Row],[WC_'[%']]],"N.A.")</f>
        <v/>
      </c>
      <c r="AE54" s="272">
        <f>Tab_Data_Flows[[#This Row],[UoM_Flow_Py]]</f>
        <v/>
      </c>
      <c r="AF54" s="190">
        <f>INDEX(Tab_Def_Flows[[Flow_ID]:[CC_DM_source]],MATCH(Tab_Data_Flows[[#This Row],[Name(EN)]],Tab_Def_Flows[Name(EN)],0),15)</f>
        <v/>
      </c>
      <c r="AG54" s="272">
        <f>IF(K54="Yes",AF54*Tab_Data_Flows[[#This Row],[Flow_Py]],"N.A.")</f>
        <v/>
      </c>
      <c r="AH54" s="272">
        <f>Tab_Data_Flows[[#This Row],[UoM_Flow_Py]]</f>
        <v/>
      </c>
      <c r="AI54" s="190">
        <f>INDEX(Tab_Def_Flows[[Flow_ID]:[CC_DM_source]],MATCH(Tab_Data_Flows[[#This Row],[Name(EN)]],Tab_Def_Flows[Name(EN)],0),17)</f>
        <v/>
      </c>
      <c r="AJ54" s="272">
        <f>IF(L54="Yes",AI54*Tab_Data_Flows[[#This Row],[Flow_Py]]*Tab_Data_Flows[[#This Row],[DM_'[%']]],"N.A.")</f>
        <v/>
      </c>
      <c r="AK54" s="272">
        <f>Tab_Data_Flows[[#This Row],[UoM_Flow_Py]]</f>
        <v/>
      </c>
    </row>
    <row r="55">
      <c r="A55" s="296">
        <f>ROW()-1</f>
        <v/>
      </c>
      <c r="B55" s="272">
        <f>_xlfn.XLOOKUP(C55,Tab_Def_Flows[Name(EN)],Tab_Def_Flows[Flow_ID],,0,)</f>
        <v/>
      </c>
      <c r="C55" s="273" t="inlineStr">
        <is>
          <t>N.A.</t>
        </is>
      </c>
      <c r="D55" s="272" t="n"/>
      <c r="E55" s="272">
        <f>_xlfn.XLOOKUP(C55,Tab_Def_Flows[Name(EN)],Tab_Def_Flows[Output_Process],,0,)</f>
        <v/>
      </c>
      <c r="F55" s="272">
        <f>_xlfn.XLOOKUP(C55,Tab_Def_Flows[Name(EN)],Tab_Def_Flows[Process_ID_O],,0,)</f>
        <v/>
      </c>
      <c r="G55" s="272">
        <f>_xlfn.XLOOKUP(C55,Tab_Def_Flows[Name(EN)],Tab_Def_Flows[Input_Process],,0,)</f>
        <v/>
      </c>
      <c r="H55" s="17">
        <f>_xlfn.XLOOKUP(C55,Tab_Def_Flows[Name(EN)],Tab_Def_Flows[Process_ID_I],,0,)</f>
        <v/>
      </c>
      <c r="I55" s="272">
        <f>_xlfn.XLOOKUP(C55,Tab_Def_Flows[Name(EN)],#REF!,,0,)</f>
        <v/>
      </c>
      <c r="J55" s="272">
        <f>_xlfn.XLOOKUP(C55,Tab_Def_Flows[Name(EN)],Tab_Def_Flows[WC?],,0,)</f>
        <v/>
      </c>
      <c r="K55" s="272">
        <f>_xlfn.XLOOKUP(C55,Tab_Def_Flows[Name(EN)],Tab_Def_Flows[DM?],,0,)</f>
        <v/>
      </c>
      <c r="L55" s="272">
        <f>_xlfn.XLOOKUP(C55,Tab_Def_Flows[Name(EN)],Tab_Def_Flows[CC?],,0,)</f>
        <v/>
      </c>
      <c r="M55" s="273" t="n"/>
      <c r="N55" s="273" t="n"/>
      <c r="O55" s="48" t="n"/>
      <c r="P55" s="273" t="n"/>
      <c r="Q55" s="273" t="n"/>
      <c r="R55" s="273">
        <f>INDEX(#REF!,MATCH(Tab_Data_Flows[[#This Row],[Name(EN)]],#REF!,0),12)</f>
        <v/>
      </c>
      <c r="S55" s="273">
        <f>MATCH(Tab_Data_Flows[[#This Row],[Name(EN)]],#REF!,0)</f>
        <v/>
      </c>
      <c r="T55" s="273" t="n"/>
      <c r="U55" s="273" t="n"/>
      <c r="V55" s="273" t="n"/>
      <c r="W55" s="273" t="n"/>
      <c r="X55" s="273" t="inlineStr">
        <is>
          <t>No</t>
        </is>
      </c>
      <c r="Y55" s="273" t="n"/>
      <c r="Z55" s="273" t="n"/>
      <c r="AA55" s="35">
        <f>IF(X55="no",O55,O55*Y55)</f>
        <v/>
      </c>
      <c r="AB55" s="273" t="inlineStr">
        <is>
          <t>Mg</t>
        </is>
      </c>
      <c r="AC55" s="190">
        <f>INDEX(Tab_Def_Flows[[Flow_ID]:[CC_DM_source]],MATCH(Tab_Data_Flows[[#This Row],[Name(EN)]],Tab_Def_Flows[Name(EN)],0),13)</f>
        <v/>
      </c>
      <c r="AD55" s="272">
        <f>IF(J55="Yes",AA55*Tab_Data_Flows[[#This Row],[WC_'[%']]],"N.A.")</f>
        <v/>
      </c>
      <c r="AE55" s="272">
        <f>Tab_Data_Flows[[#This Row],[UoM_Flow_Py]]</f>
        <v/>
      </c>
      <c r="AF55" s="190">
        <f>INDEX(Tab_Def_Flows[[Flow_ID]:[CC_DM_source]],MATCH(Tab_Data_Flows[[#This Row],[Name(EN)]],Tab_Def_Flows[Name(EN)],0),15)</f>
        <v/>
      </c>
      <c r="AG55" s="272">
        <f>IF(K55="Yes",AF55*Tab_Data_Flows[[#This Row],[Flow_Py]],"N.A.")</f>
        <v/>
      </c>
      <c r="AH55" s="272">
        <f>Tab_Data_Flows[[#This Row],[UoM_Flow_Py]]</f>
        <v/>
      </c>
      <c r="AI55" s="190">
        <f>INDEX(Tab_Def_Flows[[Flow_ID]:[CC_DM_source]],MATCH(Tab_Data_Flows[[#This Row],[Name(EN)]],Tab_Def_Flows[Name(EN)],0),17)</f>
        <v/>
      </c>
      <c r="AJ55" s="272">
        <f>IF(L55="Yes",AI55*Tab_Data_Flows[[#This Row],[Flow_Py]]*Tab_Data_Flows[[#This Row],[DM_'[%']]],"N.A.")</f>
        <v/>
      </c>
      <c r="AK55" s="272">
        <f>Tab_Data_Flows[[#This Row],[UoM_Flow_Py]]</f>
        <v/>
      </c>
    </row>
    <row r="56">
      <c r="A56" s="296">
        <f>ROW()-1</f>
        <v/>
      </c>
      <c r="B56" s="272">
        <f>_xlfn.XLOOKUP(C56,Tab_Def_Flows[Name(EN)],Tab_Def_Flows[Flow_ID],,0,)</f>
        <v/>
      </c>
      <c r="C56" s="273" t="inlineStr">
        <is>
          <t>N.A.</t>
        </is>
      </c>
      <c r="D56" s="272" t="n"/>
      <c r="E56" s="272">
        <f>_xlfn.XLOOKUP(C56,Tab_Def_Flows[Name(EN)],Tab_Def_Flows[Output_Process],,0,)</f>
        <v/>
      </c>
      <c r="F56" s="272">
        <f>_xlfn.XLOOKUP(C56,Tab_Def_Flows[Name(EN)],Tab_Def_Flows[Process_ID_O],,0,)</f>
        <v/>
      </c>
      <c r="G56" s="272">
        <f>_xlfn.XLOOKUP(C56,Tab_Def_Flows[Name(EN)],Tab_Def_Flows[Input_Process],,0,)</f>
        <v/>
      </c>
      <c r="H56" s="17">
        <f>_xlfn.XLOOKUP(C56,Tab_Def_Flows[Name(EN)],Tab_Def_Flows[Process_ID_I],,0,)</f>
        <v/>
      </c>
      <c r="I56" s="272">
        <f>_xlfn.XLOOKUP(C56,Tab_Def_Flows[Name(EN)],#REF!,,0,)</f>
        <v/>
      </c>
      <c r="J56" s="272">
        <f>_xlfn.XLOOKUP(C56,Tab_Def_Flows[Name(EN)],Tab_Def_Flows[WC?],,0,)</f>
        <v/>
      </c>
      <c r="K56" s="272">
        <f>_xlfn.XLOOKUP(C56,Tab_Def_Flows[Name(EN)],Tab_Def_Flows[DM?],,0,)</f>
        <v/>
      </c>
      <c r="L56" s="272">
        <f>_xlfn.XLOOKUP(C56,Tab_Def_Flows[Name(EN)],Tab_Def_Flows[CC?],,0,)</f>
        <v/>
      </c>
      <c r="M56" s="273" t="n"/>
      <c r="N56" s="273" t="n"/>
      <c r="O56" s="48" t="n"/>
      <c r="P56" s="273" t="n"/>
      <c r="Q56" s="273" t="n"/>
      <c r="R56" s="273">
        <f>INDEX(#REF!,MATCH(Tab_Data_Flows[[#This Row],[Name(EN)]],#REF!,0),12)</f>
        <v/>
      </c>
      <c r="S56" s="273">
        <f>MATCH(Tab_Data_Flows[[#This Row],[Name(EN)]],#REF!,0)</f>
        <v/>
      </c>
      <c r="T56" s="273" t="n"/>
      <c r="U56" s="273" t="n"/>
      <c r="V56" s="273" t="n"/>
      <c r="W56" s="273" t="n"/>
      <c r="X56" s="273" t="inlineStr">
        <is>
          <t>No</t>
        </is>
      </c>
      <c r="Y56" s="273" t="n"/>
      <c r="Z56" s="273" t="n"/>
      <c r="AA56" s="35">
        <f>IF(X56="no",O56,O56*Y56)</f>
        <v/>
      </c>
      <c r="AB56" s="273" t="inlineStr">
        <is>
          <t>Mg</t>
        </is>
      </c>
      <c r="AC56" s="190">
        <f>INDEX(Tab_Def_Flows[[Flow_ID]:[CC_DM_source]],MATCH(Tab_Data_Flows[[#This Row],[Name(EN)]],Tab_Def_Flows[Name(EN)],0),13)</f>
        <v/>
      </c>
      <c r="AD56" s="272">
        <f>IF(J56="Yes",AA56*Tab_Data_Flows[[#This Row],[WC_'[%']]],"N.A.")</f>
        <v/>
      </c>
      <c r="AE56" s="272">
        <f>Tab_Data_Flows[[#This Row],[UoM_Flow_Py]]</f>
        <v/>
      </c>
      <c r="AF56" s="190">
        <f>INDEX(Tab_Def_Flows[[Flow_ID]:[CC_DM_source]],MATCH(Tab_Data_Flows[[#This Row],[Name(EN)]],Tab_Def_Flows[Name(EN)],0),15)</f>
        <v/>
      </c>
      <c r="AG56" s="272">
        <f>IF(K56="Yes",AF56*Tab_Data_Flows[[#This Row],[Flow_Py]],"N.A.")</f>
        <v/>
      </c>
      <c r="AH56" s="272">
        <f>Tab_Data_Flows[[#This Row],[UoM_Flow_Py]]</f>
        <v/>
      </c>
      <c r="AI56" s="190">
        <f>INDEX(Tab_Def_Flows[[Flow_ID]:[CC_DM_source]],MATCH(Tab_Data_Flows[[#This Row],[Name(EN)]],Tab_Def_Flows[Name(EN)],0),17)</f>
        <v/>
      </c>
      <c r="AJ56" s="272">
        <f>IF(L56="Yes",AI56*Tab_Data_Flows[[#This Row],[Flow_Py]]*Tab_Data_Flows[[#This Row],[DM_'[%']]],"N.A.")</f>
        <v/>
      </c>
      <c r="AK56" s="272">
        <f>Tab_Data_Flows[[#This Row],[UoM_Flow_Py]]</f>
        <v/>
      </c>
    </row>
    <row r="57">
      <c r="A57" s="296">
        <f>ROW()-1</f>
        <v/>
      </c>
      <c r="B57" s="272">
        <f>_xlfn.XLOOKUP(C57,Tab_Def_Flows[Name(EN)],Tab_Def_Flows[Flow_ID],,0,)</f>
        <v/>
      </c>
      <c r="C57" s="273" t="inlineStr">
        <is>
          <t>N.A.</t>
        </is>
      </c>
      <c r="D57" s="272" t="n"/>
      <c r="E57" s="272">
        <f>_xlfn.XLOOKUP(C57,Tab_Def_Flows[Name(EN)],Tab_Def_Flows[Output_Process],,0,)</f>
        <v/>
      </c>
      <c r="F57" s="272">
        <f>_xlfn.XLOOKUP(C57,Tab_Def_Flows[Name(EN)],Tab_Def_Flows[Process_ID_O],,0,)</f>
        <v/>
      </c>
      <c r="G57" s="272">
        <f>_xlfn.XLOOKUP(C57,Tab_Def_Flows[Name(EN)],Tab_Def_Flows[Input_Process],,0,)</f>
        <v/>
      </c>
      <c r="H57" s="17">
        <f>_xlfn.XLOOKUP(C57,Tab_Def_Flows[Name(EN)],Tab_Def_Flows[Process_ID_I],,0,)</f>
        <v/>
      </c>
      <c r="I57" s="272">
        <f>_xlfn.XLOOKUP(C57,Tab_Def_Flows[Name(EN)],#REF!,,0,)</f>
        <v/>
      </c>
      <c r="J57" s="272">
        <f>_xlfn.XLOOKUP(C57,Tab_Def_Flows[Name(EN)],Tab_Def_Flows[WC?],,0,)</f>
        <v/>
      </c>
      <c r="K57" s="272">
        <f>_xlfn.XLOOKUP(C57,Tab_Def_Flows[Name(EN)],Tab_Def_Flows[DM?],,0,)</f>
        <v/>
      </c>
      <c r="L57" s="272">
        <f>_xlfn.XLOOKUP(C57,Tab_Def_Flows[Name(EN)],Tab_Def_Flows[CC?],,0,)</f>
        <v/>
      </c>
      <c r="M57" s="273" t="n"/>
      <c r="N57" s="273" t="n"/>
      <c r="O57" s="48" t="n"/>
      <c r="P57" s="273" t="n"/>
      <c r="Q57" s="273" t="n"/>
      <c r="R57" s="273">
        <f>INDEX(#REF!,MATCH(Tab_Data_Flows[[#This Row],[Name(EN)]],#REF!,0),12)</f>
        <v/>
      </c>
      <c r="S57" s="273">
        <f>MATCH(Tab_Data_Flows[[#This Row],[Name(EN)]],#REF!,0)</f>
        <v/>
      </c>
      <c r="T57" s="273" t="n"/>
      <c r="U57" s="273" t="n"/>
      <c r="V57" s="273" t="n"/>
      <c r="W57" s="273" t="n"/>
      <c r="X57" s="273" t="inlineStr">
        <is>
          <t>No</t>
        </is>
      </c>
      <c r="Y57" s="273" t="n"/>
      <c r="Z57" s="273" t="n"/>
      <c r="AA57" s="35">
        <f>IF(X57="no",O57,O57*Y57)</f>
        <v/>
      </c>
      <c r="AB57" s="273" t="inlineStr">
        <is>
          <t>Mg</t>
        </is>
      </c>
      <c r="AC57" s="190">
        <f>INDEX(Tab_Def_Flows[[Flow_ID]:[CC_DM_source]],MATCH(Tab_Data_Flows[[#This Row],[Name(EN)]],Tab_Def_Flows[Name(EN)],0),13)</f>
        <v/>
      </c>
      <c r="AD57" s="272">
        <f>IF(J57="Yes",AA57*Tab_Data_Flows[[#This Row],[WC_'[%']]],"N.A.")</f>
        <v/>
      </c>
      <c r="AE57" s="272">
        <f>Tab_Data_Flows[[#This Row],[UoM_Flow_Py]]</f>
        <v/>
      </c>
      <c r="AF57" s="190">
        <f>INDEX(Tab_Def_Flows[[Flow_ID]:[CC_DM_source]],MATCH(Tab_Data_Flows[[#This Row],[Name(EN)]],Tab_Def_Flows[Name(EN)],0),15)</f>
        <v/>
      </c>
      <c r="AG57" s="272">
        <f>IF(K57="Yes",AF57*Tab_Data_Flows[[#This Row],[Flow_Py]],"N.A.")</f>
        <v/>
      </c>
      <c r="AH57" s="272">
        <f>Tab_Data_Flows[[#This Row],[UoM_Flow_Py]]</f>
        <v/>
      </c>
      <c r="AI57" s="190">
        <f>INDEX(Tab_Def_Flows[[Flow_ID]:[CC_DM_source]],MATCH(Tab_Data_Flows[[#This Row],[Name(EN)]],Tab_Def_Flows[Name(EN)],0),17)</f>
        <v/>
      </c>
      <c r="AJ57" s="272">
        <f>IF(L57="Yes",AI57*Tab_Data_Flows[[#This Row],[Flow_Py]]*Tab_Data_Flows[[#This Row],[DM_'[%']]],"N.A.")</f>
        <v/>
      </c>
      <c r="AK57" s="272">
        <f>Tab_Data_Flows[[#This Row],[UoM_Flow_Py]]</f>
        <v/>
      </c>
    </row>
    <row r="58">
      <c r="A58" s="296">
        <f>ROW()-1</f>
        <v/>
      </c>
      <c r="B58" s="272">
        <f>_xlfn.XLOOKUP(C58,Tab_Def_Flows[Name(EN)],Tab_Def_Flows[Flow_ID],,0,)</f>
        <v/>
      </c>
      <c r="C58" s="273" t="inlineStr">
        <is>
          <t>N.A.</t>
        </is>
      </c>
      <c r="D58" s="272" t="n"/>
      <c r="E58" s="272">
        <f>_xlfn.XLOOKUP(C58,Tab_Def_Flows[Name(EN)],Tab_Def_Flows[Output_Process],,0,)</f>
        <v/>
      </c>
      <c r="F58" s="272">
        <f>_xlfn.XLOOKUP(C58,Tab_Def_Flows[Name(EN)],Tab_Def_Flows[Process_ID_O],,0,)</f>
        <v/>
      </c>
      <c r="G58" s="272">
        <f>_xlfn.XLOOKUP(C58,Tab_Def_Flows[Name(EN)],Tab_Def_Flows[Input_Process],,0,)</f>
        <v/>
      </c>
      <c r="H58" s="17">
        <f>_xlfn.XLOOKUP(C58,Tab_Def_Flows[Name(EN)],Tab_Def_Flows[Process_ID_I],,0,)</f>
        <v/>
      </c>
      <c r="I58" s="272">
        <f>_xlfn.XLOOKUP(C58,Tab_Def_Flows[Name(EN)],#REF!,,0,)</f>
        <v/>
      </c>
      <c r="J58" s="272">
        <f>_xlfn.XLOOKUP(C58,Tab_Def_Flows[Name(EN)],Tab_Def_Flows[WC?],,0,)</f>
        <v/>
      </c>
      <c r="K58" s="272">
        <f>_xlfn.XLOOKUP(C58,Tab_Def_Flows[Name(EN)],Tab_Def_Flows[DM?],,0,)</f>
        <v/>
      </c>
      <c r="L58" s="272">
        <f>_xlfn.XLOOKUP(C58,Tab_Def_Flows[Name(EN)],Tab_Def_Flows[CC?],,0,)</f>
        <v/>
      </c>
      <c r="M58" s="273" t="n"/>
      <c r="N58" s="273" t="n"/>
      <c r="O58" s="48" t="n"/>
      <c r="P58" s="273" t="n"/>
      <c r="Q58" s="273" t="n"/>
      <c r="R58" s="273">
        <f>INDEX(#REF!,MATCH(Tab_Data_Flows[[#This Row],[Name(EN)]],#REF!,0),12)</f>
        <v/>
      </c>
      <c r="S58" s="273">
        <f>MATCH(Tab_Data_Flows[[#This Row],[Name(EN)]],#REF!,0)</f>
        <v/>
      </c>
      <c r="T58" s="273" t="n"/>
      <c r="U58" s="273" t="n"/>
      <c r="V58" s="273" t="n"/>
      <c r="W58" s="273" t="n"/>
      <c r="X58" s="273" t="inlineStr">
        <is>
          <t>No</t>
        </is>
      </c>
      <c r="Y58" s="273" t="n"/>
      <c r="Z58" s="273" t="n"/>
      <c r="AA58" s="35">
        <f>IF(X58="no",O58,O58*Y58)</f>
        <v/>
      </c>
      <c r="AB58" s="273" t="inlineStr">
        <is>
          <t>Mg</t>
        </is>
      </c>
      <c r="AC58" s="190">
        <f>INDEX(Tab_Def_Flows[[Flow_ID]:[CC_DM_source]],MATCH(Tab_Data_Flows[[#This Row],[Name(EN)]],Tab_Def_Flows[Name(EN)],0),13)</f>
        <v/>
      </c>
      <c r="AD58" s="272">
        <f>IF(J58="Yes",AA58*Tab_Data_Flows[[#This Row],[WC_'[%']]],"N.A.")</f>
        <v/>
      </c>
      <c r="AE58" s="272">
        <f>Tab_Data_Flows[[#This Row],[UoM_Flow_Py]]</f>
        <v/>
      </c>
      <c r="AF58" s="190">
        <f>INDEX(Tab_Def_Flows[[Flow_ID]:[CC_DM_source]],MATCH(Tab_Data_Flows[[#This Row],[Name(EN)]],Tab_Def_Flows[Name(EN)],0),15)</f>
        <v/>
      </c>
      <c r="AG58" s="272">
        <f>IF(K58="Yes",AF58*Tab_Data_Flows[[#This Row],[Flow_Py]],"N.A.")</f>
        <v/>
      </c>
      <c r="AH58" s="272">
        <f>Tab_Data_Flows[[#This Row],[UoM_Flow_Py]]</f>
        <v/>
      </c>
      <c r="AI58" s="190">
        <f>INDEX(Tab_Def_Flows[[Flow_ID]:[CC_DM_source]],MATCH(Tab_Data_Flows[[#This Row],[Name(EN)]],Tab_Def_Flows[Name(EN)],0),17)</f>
        <v/>
      </c>
      <c r="AJ58" s="272">
        <f>IF(L58="Yes",AI58*Tab_Data_Flows[[#This Row],[Flow_Py]]*Tab_Data_Flows[[#This Row],[DM_'[%']]],"N.A.")</f>
        <v/>
      </c>
      <c r="AK58" s="272">
        <f>Tab_Data_Flows[[#This Row],[UoM_Flow_Py]]</f>
        <v/>
      </c>
    </row>
    <row r="59">
      <c r="A59" s="296">
        <f>ROW()-1</f>
        <v/>
      </c>
      <c r="B59" s="272">
        <f>_xlfn.XLOOKUP(C59,Tab_Def_Flows[Name(EN)],Tab_Def_Flows[Flow_ID],,0,)</f>
        <v/>
      </c>
      <c r="C59" s="273" t="inlineStr">
        <is>
          <t>N.A.</t>
        </is>
      </c>
      <c r="D59" s="272" t="n"/>
      <c r="E59" s="272">
        <f>_xlfn.XLOOKUP(C59,Tab_Def_Flows[Name(EN)],Tab_Def_Flows[Output_Process],,0,)</f>
        <v/>
      </c>
      <c r="F59" s="272">
        <f>_xlfn.XLOOKUP(C59,Tab_Def_Flows[Name(EN)],Tab_Def_Flows[Process_ID_O],,0,)</f>
        <v/>
      </c>
      <c r="G59" s="272">
        <f>_xlfn.XLOOKUP(C59,Tab_Def_Flows[Name(EN)],Tab_Def_Flows[Input_Process],,0,)</f>
        <v/>
      </c>
      <c r="H59" s="17">
        <f>_xlfn.XLOOKUP(C59,Tab_Def_Flows[Name(EN)],Tab_Def_Flows[Process_ID_I],,0,)</f>
        <v/>
      </c>
      <c r="I59" s="272">
        <f>_xlfn.XLOOKUP(C59,Tab_Def_Flows[Name(EN)],#REF!,,0,)</f>
        <v/>
      </c>
      <c r="J59" s="272">
        <f>_xlfn.XLOOKUP(C59,Tab_Def_Flows[Name(EN)],Tab_Def_Flows[WC?],,0,)</f>
        <v/>
      </c>
      <c r="K59" s="272">
        <f>_xlfn.XLOOKUP(C59,Tab_Def_Flows[Name(EN)],Tab_Def_Flows[DM?],,0,)</f>
        <v/>
      </c>
      <c r="L59" s="272">
        <f>_xlfn.XLOOKUP(C59,Tab_Def_Flows[Name(EN)],Tab_Def_Flows[CC?],,0,)</f>
        <v/>
      </c>
      <c r="M59" s="273" t="n"/>
      <c r="N59" s="273" t="n"/>
      <c r="O59" s="48" t="n"/>
      <c r="P59" s="273" t="n"/>
      <c r="Q59" s="273" t="n"/>
      <c r="R59" s="273">
        <f>INDEX(#REF!,MATCH(Tab_Data_Flows[[#This Row],[Name(EN)]],#REF!,0),12)</f>
        <v/>
      </c>
      <c r="S59" s="273">
        <f>MATCH(Tab_Data_Flows[[#This Row],[Name(EN)]],#REF!,0)</f>
        <v/>
      </c>
      <c r="T59" s="273" t="n"/>
      <c r="U59" s="273" t="n"/>
      <c r="V59" s="273" t="n"/>
      <c r="W59" s="273" t="n"/>
      <c r="X59" s="273" t="inlineStr">
        <is>
          <t>No</t>
        </is>
      </c>
      <c r="Y59" s="273" t="n"/>
      <c r="Z59" s="273" t="n"/>
      <c r="AA59" s="35">
        <f>IF(X59="no",O59,O59*Y59)</f>
        <v/>
      </c>
      <c r="AB59" s="273" t="inlineStr">
        <is>
          <t>Mg</t>
        </is>
      </c>
      <c r="AC59" s="190">
        <f>INDEX(Tab_Def_Flows[[Flow_ID]:[CC_DM_source]],MATCH(Tab_Data_Flows[[#This Row],[Name(EN)]],Tab_Def_Flows[Name(EN)],0),13)</f>
        <v/>
      </c>
      <c r="AD59" s="272">
        <f>IF(J59="Yes",AA59*Tab_Data_Flows[[#This Row],[WC_'[%']]],"N.A.")</f>
        <v/>
      </c>
      <c r="AE59" s="272">
        <f>Tab_Data_Flows[[#This Row],[UoM_Flow_Py]]</f>
        <v/>
      </c>
      <c r="AF59" s="190">
        <f>INDEX(Tab_Def_Flows[[Flow_ID]:[CC_DM_source]],MATCH(Tab_Data_Flows[[#This Row],[Name(EN)]],Tab_Def_Flows[Name(EN)],0),15)</f>
        <v/>
      </c>
      <c r="AG59" s="272">
        <f>IF(K59="Yes",AF59*Tab_Data_Flows[[#This Row],[Flow_Py]],"N.A.")</f>
        <v/>
      </c>
      <c r="AH59" s="272">
        <f>Tab_Data_Flows[[#This Row],[UoM_Flow_Py]]</f>
        <v/>
      </c>
      <c r="AI59" s="190">
        <f>INDEX(Tab_Def_Flows[[Flow_ID]:[CC_DM_source]],MATCH(Tab_Data_Flows[[#This Row],[Name(EN)]],Tab_Def_Flows[Name(EN)],0),17)</f>
        <v/>
      </c>
      <c r="AJ59" s="272">
        <f>IF(L59="Yes",AI59*Tab_Data_Flows[[#This Row],[Flow_Py]]*Tab_Data_Flows[[#This Row],[DM_'[%']]],"N.A.")</f>
        <v/>
      </c>
      <c r="AK59" s="272">
        <f>Tab_Data_Flows[[#This Row],[UoM_Flow_Py]]</f>
        <v/>
      </c>
    </row>
    <row r="60">
      <c r="A60" s="296">
        <f>ROW()-1</f>
        <v/>
      </c>
      <c r="B60" s="272">
        <f>_xlfn.XLOOKUP(C60,Tab_Def_Flows[Name(EN)],Tab_Def_Flows[Flow_ID],,0,)</f>
        <v/>
      </c>
      <c r="C60" s="273" t="inlineStr">
        <is>
          <t>N.A.</t>
        </is>
      </c>
      <c r="D60" s="272">
        <f>_xlfn.XLOOKUP(C60,Tab_Def_Flows[Name(EN)],Tab_Def_Flows[Type_Biomass],,0,)</f>
        <v/>
      </c>
      <c r="E60" s="272">
        <f>_xlfn.XLOOKUP(C60,Tab_Def_Flows[Name(EN)],Tab_Def_Flows[Output_Process],,0,)</f>
        <v/>
      </c>
      <c r="F60" s="272">
        <f>_xlfn.XLOOKUP(C60,Tab_Def_Flows[Name(EN)],Tab_Def_Flows[Process_ID_O],,0,)</f>
        <v/>
      </c>
      <c r="G60" s="272">
        <f>_xlfn.XLOOKUP(C60,Tab_Def_Flows[Name(EN)],Tab_Def_Flows[Input_Process],,0,)</f>
        <v/>
      </c>
      <c r="H60" s="17">
        <f>_xlfn.XLOOKUP(C60,Tab_Def_Flows[Name(EN)],Tab_Def_Flows[Process_ID_I],,0,)</f>
        <v/>
      </c>
      <c r="I60" s="17">
        <f>_xlfn.XLOOKUP(C60,Tab_Def_Flows[Name(EN)],#REF!,,0,)</f>
        <v/>
      </c>
      <c r="J60" s="17">
        <f>_xlfn.XLOOKUP(C60,Tab_Def_Flows[Name(EN)],Tab_Def_Flows[WC?],,0,)</f>
        <v/>
      </c>
      <c r="K60" s="17">
        <f>_xlfn.XLOOKUP(C60,Tab_Def_Flows[Name(EN)],Tab_Def_Flows[DM?],,0,)</f>
        <v/>
      </c>
      <c r="L60" s="17">
        <f>_xlfn.XLOOKUP(C60,Tab_Def_Flows[Name(EN)],Tab_Def_Flows[CC?],,0,)</f>
        <v/>
      </c>
      <c r="M60" s="273" t="n"/>
      <c r="N60" s="273" t="inlineStr">
        <is>
          <t>BB</t>
        </is>
      </c>
      <c r="O60" s="48" t="n"/>
      <c r="P60" s="273" t="n"/>
      <c r="Q60" s="273" t="n"/>
      <c r="R60" s="273" t="n"/>
      <c r="S60" s="273" t="n"/>
      <c r="T60" s="273" t="n"/>
      <c r="U60" s="273" t="n"/>
      <c r="V60" s="273" t="n"/>
      <c r="W60" s="273" t="n"/>
      <c r="X60" s="273" t="inlineStr">
        <is>
          <t>No</t>
        </is>
      </c>
      <c r="Y60" s="41" t="n"/>
      <c r="Z60" s="273" t="n"/>
      <c r="AA60" s="35">
        <f>IF(X60="no",O60,O60*Y60)</f>
        <v/>
      </c>
      <c r="AB60" s="273" t="inlineStr">
        <is>
          <t>Mg</t>
        </is>
      </c>
      <c r="AC60" s="190">
        <f>INDEX(Tab_Def_Flows[[Flow_ID]:[CC_DM_source]],MATCH(Tab_Data_Flows[[#This Row],[Name(EN)]],Tab_Def_Flows[Name(EN)],0),13)</f>
        <v/>
      </c>
      <c r="AD60" s="272">
        <f>IF(J60="Yes",AA60*Tab_Data_Flows[[#This Row],[WC_'[%']]],"N.A.")</f>
        <v/>
      </c>
      <c r="AE60" s="272">
        <f>Tab_Data_Flows[[#This Row],[UoM_Flow_Py]]</f>
        <v/>
      </c>
      <c r="AF60" s="190">
        <f>INDEX(Tab_Def_Flows[[Flow_ID]:[CC_DM_source]],MATCH(Tab_Data_Flows[[#This Row],[Name(EN)]],Tab_Def_Flows[Name(EN)],0),15)</f>
        <v/>
      </c>
      <c r="AG60" s="272">
        <f>IF(K60="Yes",AF60*Tab_Data_Flows[[#This Row],[Flow_Py]],"N.A.")</f>
        <v/>
      </c>
      <c r="AH60" s="272">
        <f>Tab_Data_Flows[[#This Row],[UoM_Flow_Py]]</f>
        <v/>
      </c>
      <c r="AI60" s="190">
        <f>INDEX(Tab_Def_Flows[[Flow_ID]:[CC_DM_source]],MATCH(Tab_Data_Flows[[#This Row],[Name(EN)]],Tab_Def_Flows[Name(EN)],0),17)</f>
        <v/>
      </c>
      <c r="AJ60" s="272">
        <f>IF(L60="Yes",AI60*Tab_Data_Flows[[#This Row],[Flow_Py]]*Tab_Data_Flows[[#This Row],[DM_'[%']]],"N.A.")</f>
        <v/>
      </c>
      <c r="AK60" s="272">
        <f>Tab_Data_Flows[[#This Row],[UoM_Flow_Py]]</f>
        <v/>
      </c>
    </row>
    <row r="61">
      <c r="A61" s="296">
        <f>ROW()-1</f>
        <v/>
      </c>
      <c r="B61" s="272">
        <f>_xlfn.XLOOKUP(C61,Tab_Def_Flows[Name(EN)],Tab_Def_Flows[Flow_ID],,0,)</f>
        <v/>
      </c>
      <c r="C61" s="273" t="inlineStr">
        <is>
          <t>N.A.</t>
        </is>
      </c>
      <c r="D61" s="272">
        <f>_xlfn.XLOOKUP(C61,Tab_Def_Flows[Name(EN)],Tab_Def_Flows[Type_Biomass],,0,)</f>
        <v/>
      </c>
      <c r="E61" s="272">
        <f>_xlfn.XLOOKUP(C61,Tab_Def_Flows[Name(EN)],Tab_Def_Flows[Output_Process],,0,)</f>
        <v/>
      </c>
      <c r="F61" s="272">
        <f>_xlfn.XLOOKUP(C61,Tab_Def_Flows[Name(EN)],Tab_Def_Flows[Process_ID_O],,0,)</f>
        <v/>
      </c>
      <c r="G61" s="272">
        <f>_xlfn.XLOOKUP(C61,Tab_Def_Flows[Name(EN)],Tab_Def_Flows[Input_Process],,0,)</f>
        <v/>
      </c>
      <c r="H61" s="17">
        <f>_xlfn.XLOOKUP(C61,Tab_Def_Flows[Name(EN)],Tab_Def_Flows[Process_ID_I],,0,)</f>
        <v/>
      </c>
      <c r="I61" s="17">
        <f>_xlfn.XLOOKUP(C61,Tab_Def_Flows[Name(EN)],#REF!,,0,)</f>
        <v/>
      </c>
      <c r="J61" s="17">
        <f>_xlfn.XLOOKUP(C61,Tab_Def_Flows[Name(EN)],Tab_Def_Flows[WC?],,0,)</f>
        <v/>
      </c>
      <c r="K61" s="17">
        <f>_xlfn.XLOOKUP(C61,Tab_Def_Flows[Name(EN)],Tab_Def_Flows[DM?],,0,)</f>
        <v/>
      </c>
      <c r="L61" s="17">
        <f>_xlfn.XLOOKUP(C61,Tab_Def_Flows[Name(EN)],Tab_Def_Flows[CC?],,0,)</f>
        <v/>
      </c>
      <c r="M61" s="273" t="n"/>
      <c r="N61" s="273" t="inlineStr">
        <is>
          <t>BB</t>
        </is>
      </c>
      <c r="O61" s="48" t="n"/>
      <c r="P61" s="273" t="n"/>
      <c r="Q61" s="273" t="n"/>
      <c r="R61" s="273" t="n"/>
      <c r="S61" s="273" t="n"/>
      <c r="T61" s="273" t="n"/>
      <c r="U61" s="273" t="n"/>
      <c r="V61" s="273" t="n"/>
      <c r="W61" s="273" t="n"/>
      <c r="X61" s="273" t="inlineStr">
        <is>
          <t>No</t>
        </is>
      </c>
      <c r="Y61" s="41" t="n"/>
      <c r="Z61" s="273" t="n"/>
      <c r="AA61" s="35">
        <f>IF(X61="no",O61,O61*Y61)</f>
        <v/>
      </c>
      <c r="AB61" s="273" t="inlineStr">
        <is>
          <t>Mg</t>
        </is>
      </c>
      <c r="AC61" s="190">
        <f>INDEX(Tab_Def_Flows[[Flow_ID]:[CC_DM_source]],MATCH(Tab_Data_Flows[[#This Row],[Name(EN)]],Tab_Def_Flows[Name(EN)],0),13)</f>
        <v/>
      </c>
      <c r="AD61" s="272">
        <f>IF(J61="Yes",AA61*Tab_Data_Flows[[#This Row],[WC_'[%']]],"N.A.")</f>
        <v/>
      </c>
      <c r="AE61" s="272">
        <f>Tab_Data_Flows[[#This Row],[UoM_Flow_Py]]</f>
        <v/>
      </c>
      <c r="AF61" s="190">
        <f>INDEX(Tab_Def_Flows[[Flow_ID]:[CC_DM_source]],MATCH(Tab_Data_Flows[[#This Row],[Name(EN)]],Tab_Def_Flows[Name(EN)],0),15)</f>
        <v/>
      </c>
      <c r="AG61" s="272">
        <f>IF(K61="Yes",AF61*Tab_Data_Flows[[#This Row],[Flow_Py]],"N.A.")</f>
        <v/>
      </c>
      <c r="AH61" s="272">
        <f>Tab_Data_Flows[[#This Row],[UoM_Flow_Py]]</f>
        <v/>
      </c>
      <c r="AI61" s="190">
        <f>INDEX(Tab_Def_Flows[[Flow_ID]:[CC_DM_source]],MATCH(Tab_Data_Flows[[#This Row],[Name(EN)]],Tab_Def_Flows[Name(EN)],0),17)</f>
        <v/>
      </c>
      <c r="AJ61" s="272">
        <f>IF(L61="Yes",AI61*Tab_Data_Flows[[#This Row],[Flow_Py]]*Tab_Data_Flows[[#This Row],[DM_'[%']]],"N.A.")</f>
        <v/>
      </c>
      <c r="AK61" s="272">
        <f>Tab_Data_Flows[[#This Row],[UoM_Flow_Py]]</f>
        <v/>
      </c>
    </row>
    <row r="62">
      <c r="A62" s="296">
        <f>ROW()-1</f>
        <v/>
      </c>
      <c r="B62" s="272">
        <f>_xlfn.XLOOKUP(C62,Tab_Def_Flows[Name(EN)],Tab_Def_Flows[Flow_ID],,0,)</f>
        <v/>
      </c>
      <c r="C62" s="273" t="inlineStr">
        <is>
          <t>N.A.</t>
        </is>
      </c>
      <c r="D62" s="272">
        <f>_xlfn.XLOOKUP(C62,Tab_Def_Flows[Name(EN)],Tab_Def_Flows[Type_Biomass],,0,)</f>
        <v/>
      </c>
      <c r="E62" s="272">
        <f>_xlfn.XLOOKUP(C62,Tab_Def_Flows[Name(EN)],Tab_Def_Flows[Output_Process],,0,)</f>
        <v/>
      </c>
      <c r="F62" s="272">
        <f>_xlfn.XLOOKUP(C62,Tab_Def_Flows[Name(EN)],Tab_Def_Flows[Process_ID_O],,0,)</f>
        <v/>
      </c>
      <c r="G62" s="272">
        <f>_xlfn.XLOOKUP(C62,Tab_Def_Flows[Name(EN)],Tab_Def_Flows[Input_Process],,0,)</f>
        <v/>
      </c>
      <c r="H62" s="17">
        <f>_xlfn.XLOOKUP(C62,Tab_Def_Flows[Name(EN)],Tab_Def_Flows[Process_ID_I],,0,)</f>
        <v/>
      </c>
      <c r="I62" s="17">
        <f>_xlfn.XLOOKUP(C62,Tab_Def_Flows[Name(EN)],#REF!,,0,)</f>
        <v/>
      </c>
      <c r="J62" s="17">
        <f>_xlfn.XLOOKUP(C62,Tab_Def_Flows[Name(EN)],Tab_Def_Flows[WC?],,0,)</f>
        <v/>
      </c>
      <c r="K62" s="17">
        <f>_xlfn.XLOOKUP(C62,Tab_Def_Flows[Name(EN)],Tab_Def_Flows[DM?],,0,)</f>
        <v/>
      </c>
      <c r="L62" s="17">
        <f>_xlfn.XLOOKUP(C62,Tab_Def_Flows[Name(EN)],Tab_Def_Flows[CC?],,0,)</f>
        <v/>
      </c>
      <c r="M62" s="273" t="n"/>
      <c r="N62" s="273" t="inlineStr">
        <is>
          <t>BB</t>
        </is>
      </c>
      <c r="O62" s="48" t="n"/>
      <c r="P62" s="273" t="n"/>
      <c r="Q62" s="273" t="n"/>
      <c r="R62" s="273" t="n"/>
      <c r="S62" s="273" t="n"/>
      <c r="T62" s="273" t="n"/>
      <c r="U62" s="273" t="n"/>
      <c r="V62" s="273" t="n"/>
      <c r="W62" s="273" t="n"/>
      <c r="X62" s="273" t="inlineStr">
        <is>
          <t>No</t>
        </is>
      </c>
      <c r="Y62" s="41" t="n"/>
      <c r="Z62" s="273" t="n"/>
      <c r="AA62" s="35">
        <f>IF(X62="no",O62,O62*Y62)</f>
        <v/>
      </c>
      <c r="AB62" s="273" t="inlineStr">
        <is>
          <t>Mg</t>
        </is>
      </c>
      <c r="AC62" s="190">
        <f>INDEX(Tab_Def_Flows[[Flow_ID]:[CC_DM_source]],MATCH(Tab_Data_Flows[[#This Row],[Name(EN)]],Tab_Def_Flows[Name(EN)],0),13)</f>
        <v/>
      </c>
      <c r="AD62" s="272">
        <f>IF(J62="Yes",AA62*Tab_Data_Flows[[#This Row],[WC_'[%']]],"N.A.")</f>
        <v/>
      </c>
      <c r="AE62" s="272">
        <f>Tab_Data_Flows[[#This Row],[UoM_Flow_Py]]</f>
        <v/>
      </c>
      <c r="AF62" s="190">
        <f>INDEX(Tab_Def_Flows[[Flow_ID]:[CC_DM_source]],MATCH(Tab_Data_Flows[[#This Row],[Name(EN)]],Tab_Def_Flows[Name(EN)],0),15)</f>
        <v/>
      </c>
      <c r="AG62" s="272">
        <f>IF(K62="Yes",AF62*Tab_Data_Flows[[#This Row],[Flow_Py]],"N.A.")</f>
        <v/>
      </c>
      <c r="AH62" s="272">
        <f>Tab_Data_Flows[[#This Row],[UoM_Flow_Py]]</f>
        <v/>
      </c>
      <c r="AI62" s="190">
        <f>INDEX(Tab_Def_Flows[[Flow_ID]:[CC_DM_source]],MATCH(Tab_Data_Flows[[#This Row],[Name(EN)]],Tab_Def_Flows[Name(EN)],0),17)</f>
        <v/>
      </c>
      <c r="AJ62" s="272">
        <f>IF(L62="Yes",AI62*Tab_Data_Flows[[#This Row],[Flow_Py]]*Tab_Data_Flows[[#This Row],[DM_'[%']]],"N.A.")</f>
        <v/>
      </c>
      <c r="AK62" s="272">
        <f>Tab_Data_Flows[[#This Row],[UoM_Flow_Py]]</f>
        <v/>
      </c>
    </row>
    <row r="63">
      <c r="A63" s="296">
        <f>ROW()-1</f>
        <v/>
      </c>
      <c r="B63" s="272">
        <f>_xlfn.XLOOKUP(C63,Tab_Def_Flows[Name(EN)],Tab_Def_Flows[Flow_ID],,0,)</f>
        <v/>
      </c>
      <c r="C63" s="273" t="inlineStr">
        <is>
          <t>N.A.</t>
        </is>
      </c>
      <c r="D63" s="272">
        <f>_xlfn.XLOOKUP(C63,Tab_Def_Flows[Name(EN)],Tab_Def_Flows[Type_Biomass],,0,)</f>
        <v/>
      </c>
      <c r="E63" s="272">
        <f>_xlfn.XLOOKUP(C63,Tab_Def_Flows[Name(EN)],Tab_Def_Flows[Output_Process],,0,)</f>
        <v/>
      </c>
      <c r="F63" s="272">
        <f>_xlfn.XLOOKUP(C63,Tab_Def_Flows[Name(EN)],Tab_Def_Flows[Process_ID_O],,0,)</f>
        <v/>
      </c>
      <c r="G63" s="272">
        <f>_xlfn.XLOOKUP(C63,Tab_Def_Flows[Name(EN)],Tab_Def_Flows[Input_Process],,0,)</f>
        <v/>
      </c>
      <c r="H63" s="17">
        <f>_xlfn.XLOOKUP(C63,Tab_Def_Flows[Name(EN)],Tab_Def_Flows[Process_ID_I],,0,)</f>
        <v/>
      </c>
      <c r="I63" s="17">
        <f>_xlfn.XLOOKUP(C63,Tab_Def_Flows[Name(EN)],#REF!,,0,)</f>
        <v/>
      </c>
      <c r="J63" s="17">
        <f>_xlfn.XLOOKUP(C63,Tab_Def_Flows[Name(EN)],Tab_Def_Flows[WC?],,0,)</f>
        <v/>
      </c>
      <c r="K63" s="17">
        <f>_xlfn.XLOOKUP(C63,Tab_Def_Flows[Name(EN)],Tab_Def_Flows[DM?],,0,)</f>
        <v/>
      </c>
      <c r="L63" s="17">
        <f>_xlfn.XLOOKUP(C63,Tab_Def_Flows[Name(EN)],Tab_Def_Flows[CC?],,0,)</f>
        <v/>
      </c>
      <c r="M63" s="273" t="n"/>
      <c r="N63" s="273" t="inlineStr">
        <is>
          <t>BB</t>
        </is>
      </c>
      <c r="O63" s="48" t="n"/>
      <c r="P63" s="273" t="n"/>
      <c r="Q63" s="273" t="n"/>
      <c r="R63" s="273" t="n"/>
      <c r="S63" s="273" t="n"/>
      <c r="T63" s="273" t="n"/>
      <c r="U63" s="273" t="n"/>
      <c r="V63" s="273" t="n"/>
      <c r="W63" s="273" t="n"/>
      <c r="X63" s="273" t="inlineStr">
        <is>
          <t>No</t>
        </is>
      </c>
      <c r="Y63" s="41" t="n"/>
      <c r="Z63" s="273" t="n"/>
      <c r="AA63" s="35">
        <f>IF(X63="no",O63,O63*Y63)</f>
        <v/>
      </c>
      <c r="AB63" s="273" t="inlineStr">
        <is>
          <t>Mg</t>
        </is>
      </c>
      <c r="AC63" s="190">
        <f>INDEX(Tab_Def_Flows[[Flow_ID]:[CC_DM_source]],MATCH(Tab_Data_Flows[[#This Row],[Name(EN)]],Tab_Def_Flows[Name(EN)],0),13)</f>
        <v/>
      </c>
      <c r="AD63" s="272">
        <f>IF(J63="Yes",AA63*Tab_Data_Flows[[#This Row],[WC_'[%']]],"N.A.")</f>
        <v/>
      </c>
      <c r="AE63" s="272">
        <f>Tab_Data_Flows[[#This Row],[UoM_Flow_Py]]</f>
        <v/>
      </c>
      <c r="AF63" s="190">
        <f>INDEX(Tab_Def_Flows[[Flow_ID]:[CC_DM_source]],MATCH(Tab_Data_Flows[[#This Row],[Name(EN)]],Tab_Def_Flows[Name(EN)],0),15)</f>
        <v/>
      </c>
      <c r="AG63" s="272">
        <f>IF(K63="Yes",AF63*Tab_Data_Flows[[#This Row],[Flow_Py]],"N.A.")</f>
        <v/>
      </c>
      <c r="AH63" s="272">
        <f>Tab_Data_Flows[[#This Row],[UoM_Flow_Py]]</f>
        <v/>
      </c>
      <c r="AI63" s="190">
        <f>INDEX(Tab_Def_Flows[[Flow_ID]:[CC_DM_source]],MATCH(Tab_Data_Flows[[#This Row],[Name(EN)]],Tab_Def_Flows[Name(EN)],0),17)</f>
        <v/>
      </c>
      <c r="AJ63" s="272">
        <f>IF(L63="Yes",AI63*Tab_Data_Flows[[#This Row],[Flow_Py]]*Tab_Data_Flows[[#This Row],[DM_'[%']]],"N.A.")</f>
        <v/>
      </c>
      <c r="AK63" s="272">
        <f>Tab_Data_Flows[[#This Row],[UoM_Flow_Py]]</f>
        <v/>
      </c>
    </row>
    <row r="64">
      <c r="A64" s="296">
        <f>ROW()-1</f>
        <v/>
      </c>
      <c r="B64" s="272">
        <f>_xlfn.XLOOKUP(C64,Tab_Def_Flows[Name(EN)],Tab_Def_Flows[Flow_ID],,0,)</f>
        <v/>
      </c>
      <c r="C64" s="273" t="inlineStr">
        <is>
          <t>N.A.</t>
        </is>
      </c>
      <c r="D64" s="272">
        <f>_xlfn.XLOOKUP(C64,Tab_Def_Flows[Name(EN)],Tab_Def_Flows[Type_Biomass],,0,)</f>
        <v/>
      </c>
      <c r="E64" s="272">
        <f>_xlfn.XLOOKUP(C64,Tab_Def_Flows[Name(EN)],Tab_Def_Flows[Output_Process],,0,)</f>
        <v/>
      </c>
      <c r="F64" s="272">
        <f>_xlfn.XLOOKUP(C64,Tab_Def_Flows[Name(EN)],Tab_Def_Flows[Process_ID_O],,0,)</f>
        <v/>
      </c>
      <c r="G64" s="272">
        <f>_xlfn.XLOOKUP(C64,Tab_Def_Flows[Name(EN)],Tab_Def_Flows[Input_Process],,0,)</f>
        <v/>
      </c>
      <c r="H64" s="17">
        <f>_xlfn.XLOOKUP(C64,Tab_Def_Flows[Name(EN)],Tab_Def_Flows[Process_ID_I],,0,)</f>
        <v/>
      </c>
      <c r="I64" s="17">
        <f>_xlfn.XLOOKUP(C64,Tab_Def_Flows[Name(EN)],#REF!,,0,)</f>
        <v/>
      </c>
      <c r="J64" s="17">
        <f>_xlfn.XLOOKUP(C64,Tab_Def_Flows[Name(EN)],Tab_Def_Flows[WC?],,0,)</f>
        <v/>
      </c>
      <c r="K64" s="17">
        <f>_xlfn.XLOOKUP(C64,Tab_Def_Flows[Name(EN)],Tab_Def_Flows[DM?],,0,)</f>
        <v/>
      </c>
      <c r="L64" s="17">
        <f>_xlfn.XLOOKUP(C64,Tab_Def_Flows[Name(EN)],Tab_Def_Flows[CC?],,0,)</f>
        <v/>
      </c>
      <c r="M64" s="273" t="n"/>
      <c r="N64" s="273" t="inlineStr">
        <is>
          <t>BB</t>
        </is>
      </c>
      <c r="O64" s="48" t="n"/>
      <c r="P64" s="273" t="n"/>
      <c r="Q64" s="273" t="n"/>
      <c r="R64" s="273" t="n"/>
      <c r="S64" s="273" t="n"/>
      <c r="T64" s="273" t="n"/>
      <c r="U64" s="273" t="n"/>
      <c r="V64" s="273" t="n"/>
      <c r="W64" s="273" t="n"/>
      <c r="X64" s="273" t="inlineStr">
        <is>
          <t>No</t>
        </is>
      </c>
      <c r="Y64" s="41" t="n"/>
      <c r="Z64" s="273" t="n"/>
      <c r="AA64" s="35">
        <f>IF(X64="no",O64,O64*Y64)</f>
        <v/>
      </c>
      <c r="AB64" s="273" t="inlineStr">
        <is>
          <t>Mg</t>
        </is>
      </c>
      <c r="AC64" s="190">
        <f>INDEX(Tab_Def_Flows[[Flow_ID]:[CC_DM_source]],MATCH(Tab_Data_Flows[[#This Row],[Name(EN)]],Tab_Def_Flows[Name(EN)],0),13)</f>
        <v/>
      </c>
      <c r="AD64" s="272">
        <f>IF(J64="Yes",AA64*Tab_Data_Flows[[#This Row],[WC_'[%']]],"N.A.")</f>
        <v/>
      </c>
      <c r="AE64" s="272">
        <f>Tab_Data_Flows[[#This Row],[UoM_Flow_Py]]</f>
        <v/>
      </c>
      <c r="AF64" s="190">
        <f>INDEX(Tab_Def_Flows[[Flow_ID]:[CC_DM_source]],MATCH(Tab_Data_Flows[[#This Row],[Name(EN)]],Tab_Def_Flows[Name(EN)],0),15)</f>
        <v/>
      </c>
      <c r="AG64" s="272">
        <f>IF(K64="Yes",AF64*Tab_Data_Flows[[#This Row],[Flow_Py]],"N.A.")</f>
        <v/>
      </c>
      <c r="AH64" s="272">
        <f>Tab_Data_Flows[[#This Row],[UoM_Flow_Py]]</f>
        <v/>
      </c>
      <c r="AI64" s="190">
        <f>INDEX(Tab_Def_Flows[[Flow_ID]:[CC_DM_source]],MATCH(Tab_Data_Flows[[#This Row],[Name(EN)]],Tab_Def_Flows[Name(EN)],0),17)</f>
        <v/>
      </c>
      <c r="AJ64" s="272">
        <f>IF(L64="Yes",AI64*Tab_Data_Flows[[#This Row],[Flow_Py]]*Tab_Data_Flows[[#This Row],[DM_'[%']]],"N.A.")</f>
        <v/>
      </c>
      <c r="AK64" s="272">
        <f>Tab_Data_Flows[[#This Row],[UoM_Flow_Py]]</f>
        <v/>
      </c>
    </row>
    <row r="65">
      <c r="A65" s="296">
        <f>ROW()-1</f>
        <v/>
      </c>
      <c r="B65" s="272">
        <f>_xlfn.XLOOKUP(C65,Tab_Def_Flows[Name(EN)],Tab_Def_Flows[Flow_ID],,0,)</f>
        <v/>
      </c>
      <c r="C65" s="273" t="inlineStr">
        <is>
          <t>N.A.</t>
        </is>
      </c>
      <c r="D65" s="272">
        <f>_xlfn.XLOOKUP(C65,Tab_Def_Flows[Name(EN)],Tab_Def_Flows[Type_Biomass],,0,)</f>
        <v/>
      </c>
      <c r="E65" s="272">
        <f>_xlfn.XLOOKUP(C65,Tab_Def_Flows[Name(EN)],Tab_Def_Flows[Output_Process],,0,)</f>
        <v/>
      </c>
      <c r="F65" s="272">
        <f>_xlfn.XLOOKUP(C65,Tab_Def_Flows[Name(EN)],Tab_Def_Flows[Process_ID_O],,0,)</f>
        <v/>
      </c>
      <c r="G65" s="272">
        <f>_xlfn.XLOOKUP(C65,Tab_Def_Flows[Name(EN)],Tab_Def_Flows[Input_Process],,0,)</f>
        <v/>
      </c>
      <c r="H65" s="17">
        <f>_xlfn.XLOOKUP(C65,Tab_Def_Flows[Name(EN)],Tab_Def_Flows[Process_ID_I],,0,)</f>
        <v/>
      </c>
      <c r="I65" s="17">
        <f>_xlfn.XLOOKUP(C65,Tab_Def_Flows[Name(EN)],#REF!,,0,)</f>
        <v/>
      </c>
      <c r="J65" s="17">
        <f>_xlfn.XLOOKUP(C65,Tab_Def_Flows[Name(EN)],Tab_Def_Flows[WC?],,0,)</f>
        <v/>
      </c>
      <c r="K65" s="17">
        <f>_xlfn.XLOOKUP(C65,Tab_Def_Flows[Name(EN)],Tab_Def_Flows[DM?],,0,)</f>
        <v/>
      </c>
      <c r="L65" s="17">
        <f>_xlfn.XLOOKUP(C65,Tab_Def_Flows[Name(EN)],Tab_Def_Flows[CC?],,0,)</f>
        <v/>
      </c>
      <c r="M65" s="273" t="n"/>
      <c r="N65" s="273" t="inlineStr">
        <is>
          <t>BB</t>
        </is>
      </c>
      <c r="O65" s="48" t="n"/>
      <c r="P65" s="273" t="n"/>
      <c r="Q65" s="273" t="n"/>
      <c r="R65" s="273" t="n"/>
      <c r="S65" s="273" t="n"/>
      <c r="T65" s="273" t="n"/>
      <c r="U65" s="273" t="n"/>
      <c r="V65" s="273" t="n"/>
      <c r="W65" s="273" t="n"/>
      <c r="X65" s="273" t="inlineStr">
        <is>
          <t>No</t>
        </is>
      </c>
      <c r="Y65" s="41" t="n"/>
      <c r="Z65" s="273" t="n"/>
      <c r="AA65" s="35">
        <f>IF(X65="no",O65,O65*Y65)</f>
        <v/>
      </c>
      <c r="AB65" s="273" t="inlineStr">
        <is>
          <t>Mg</t>
        </is>
      </c>
      <c r="AC65" s="190">
        <f>INDEX(Tab_Def_Flows[[Flow_ID]:[CC_DM_source]],MATCH(Tab_Data_Flows[[#This Row],[Name(EN)]],Tab_Def_Flows[Name(EN)],0),13)</f>
        <v/>
      </c>
      <c r="AD65" s="272">
        <f>IF(J65="Yes",AA65*Tab_Data_Flows[[#This Row],[WC_'[%']]],"N.A.")</f>
        <v/>
      </c>
      <c r="AE65" s="272">
        <f>Tab_Data_Flows[[#This Row],[UoM_Flow_Py]]</f>
        <v/>
      </c>
      <c r="AF65" s="190">
        <f>INDEX(Tab_Def_Flows[[Flow_ID]:[CC_DM_source]],MATCH(Tab_Data_Flows[[#This Row],[Name(EN)]],Tab_Def_Flows[Name(EN)],0),15)</f>
        <v/>
      </c>
      <c r="AG65" s="272">
        <f>IF(K65="Yes",AF65*Tab_Data_Flows[[#This Row],[Flow_Py]],"N.A.")</f>
        <v/>
      </c>
      <c r="AH65" s="272">
        <f>Tab_Data_Flows[[#This Row],[UoM_Flow_Py]]</f>
        <v/>
      </c>
      <c r="AI65" s="190">
        <f>INDEX(Tab_Def_Flows[[Flow_ID]:[CC_DM_source]],MATCH(Tab_Data_Flows[[#This Row],[Name(EN)]],Tab_Def_Flows[Name(EN)],0),17)</f>
        <v/>
      </c>
      <c r="AJ65" s="272">
        <f>IF(L65="Yes",AI65*Tab_Data_Flows[[#This Row],[Flow_Py]]*Tab_Data_Flows[[#This Row],[DM_'[%']]],"N.A.")</f>
        <v/>
      </c>
      <c r="AK65" s="272">
        <f>Tab_Data_Flows[[#This Row],[UoM_Flow_Py]]</f>
        <v/>
      </c>
    </row>
    <row r="66">
      <c r="A66" s="296">
        <f>ROW()-1</f>
        <v/>
      </c>
      <c r="B66" s="272">
        <f>_xlfn.XLOOKUP(C66,Tab_Def_Flows[Name(EN)],Tab_Def_Flows[Flow_ID],,0,)</f>
        <v/>
      </c>
      <c r="C66" s="273" t="inlineStr">
        <is>
          <t>N.A.</t>
        </is>
      </c>
      <c r="D66" s="272">
        <f>_xlfn.XLOOKUP(C66,Tab_Def_Flows[Name(EN)],Tab_Def_Flows[Type_Biomass],,0,)</f>
        <v/>
      </c>
      <c r="E66" s="272">
        <f>_xlfn.XLOOKUP(C66,Tab_Def_Flows[Name(EN)],Tab_Def_Flows[Output_Process],,0,)</f>
        <v/>
      </c>
      <c r="F66" s="272">
        <f>_xlfn.XLOOKUP(C66,Tab_Def_Flows[Name(EN)],Tab_Def_Flows[Process_ID_O],,0,)</f>
        <v/>
      </c>
      <c r="G66" s="272">
        <f>_xlfn.XLOOKUP(C66,Tab_Def_Flows[Name(EN)],Tab_Def_Flows[Input_Process],,0,)</f>
        <v/>
      </c>
      <c r="H66" s="17">
        <f>_xlfn.XLOOKUP(C66,Tab_Def_Flows[Name(EN)],Tab_Def_Flows[Process_ID_I],,0,)</f>
        <v/>
      </c>
      <c r="I66" s="17">
        <f>_xlfn.XLOOKUP(C66,Tab_Def_Flows[Name(EN)],#REF!,,0,)</f>
        <v/>
      </c>
      <c r="J66" s="17">
        <f>_xlfn.XLOOKUP(C66,Tab_Def_Flows[Name(EN)],Tab_Def_Flows[WC?],,0,)</f>
        <v/>
      </c>
      <c r="K66" s="17">
        <f>_xlfn.XLOOKUP(C66,Tab_Def_Flows[Name(EN)],Tab_Def_Flows[DM?],,0,)</f>
        <v/>
      </c>
      <c r="L66" s="17">
        <f>_xlfn.XLOOKUP(C66,Tab_Def_Flows[Name(EN)],Tab_Def_Flows[CC?],,0,)</f>
        <v/>
      </c>
      <c r="M66" s="273" t="n"/>
      <c r="N66" s="273" t="inlineStr">
        <is>
          <t>BB</t>
        </is>
      </c>
      <c r="O66" s="48" t="n"/>
      <c r="P66" s="273" t="n"/>
      <c r="Q66" s="273" t="n"/>
      <c r="R66" s="273" t="n"/>
      <c r="S66" s="273" t="n"/>
      <c r="T66" s="273" t="n"/>
      <c r="U66" s="273" t="n"/>
      <c r="V66" s="273" t="n"/>
      <c r="W66" s="273" t="n"/>
      <c r="X66" s="273" t="inlineStr">
        <is>
          <t>No</t>
        </is>
      </c>
      <c r="Y66" s="41" t="n"/>
      <c r="Z66" s="273" t="n"/>
      <c r="AA66" s="35">
        <f>IF(X66="no",O66,O66*Y66)</f>
        <v/>
      </c>
      <c r="AB66" s="273" t="inlineStr">
        <is>
          <t>Mg</t>
        </is>
      </c>
      <c r="AC66" s="190">
        <f>INDEX(Tab_Def_Flows[[Flow_ID]:[CC_DM_source]],MATCH(Tab_Data_Flows[[#This Row],[Name(EN)]],Tab_Def_Flows[Name(EN)],0),13)</f>
        <v/>
      </c>
      <c r="AD66" s="272">
        <f>IF(J66="Yes",AA66*Tab_Data_Flows[[#This Row],[WC_'[%']]],"N.A.")</f>
        <v/>
      </c>
      <c r="AE66" s="272">
        <f>Tab_Data_Flows[[#This Row],[UoM_Flow_Py]]</f>
        <v/>
      </c>
      <c r="AF66" s="190">
        <f>INDEX(Tab_Def_Flows[[Flow_ID]:[CC_DM_source]],MATCH(Tab_Data_Flows[[#This Row],[Name(EN)]],Tab_Def_Flows[Name(EN)],0),15)</f>
        <v/>
      </c>
      <c r="AG66" s="272">
        <f>IF(K66="Yes",AF66*Tab_Data_Flows[[#This Row],[Flow_Py]],"N.A.")</f>
        <v/>
      </c>
      <c r="AH66" s="272">
        <f>Tab_Data_Flows[[#This Row],[UoM_Flow_Py]]</f>
        <v/>
      </c>
      <c r="AI66" s="190">
        <f>INDEX(Tab_Def_Flows[[Flow_ID]:[CC_DM_source]],MATCH(Tab_Data_Flows[[#This Row],[Name(EN)]],Tab_Def_Flows[Name(EN)],0),17)</f>
        <v/>
      </c>
      <c r="AJ66" s="272">
        <f>IF(L66="Yes",AI66*Tab_Data_Flows[[#This Row],[Flow_Py]]*Tab_Data_Flows[[#This Row],[DM_'[%']]],"N.A.")</f>
        <v/>
      </c>
      <c r="AK66" s="272">
        <f>Tab_Data_Flows[[#This Row],[UoM_Flow_Py]]</f>
        <v/>
      </c>
    </row>
    <row r="67">
      <c r="A67" s="296">
        <f>ROW()-1</f>
        <v/>
      </c>
      <c r="B67" s="272">
        <f>_xlfn.XLOOKUP(C67,Tab_Def_Flows[Name(EN)],Tab_Def_Flows[Flow_ID],,0,)</f>
        <v/>
      </c>
      <c r="C67" s="273" t="inlineStr">
        <is>
          <t>N.A.</t>
        </is>
      </c>
      <c r="D67" s="272" t="n"/>
      <c r="E67" s="272">
        <f>_xlfn.XLOOKUP(C67,Tab_Def_Flows[Name(EN)],Tab_Def_Flows[Output_Process],,0,)</f>
        <v/>
      </c>
      <c r="F67" s="272">
        <f>_xlfn.XLOOKUP(C67,Tab_Def_Flows[Name(EN)],Tab_Def_Flows[Process_ID_O],,0,)</f>
        <v/>
      </c>
      <c r="G67" s="272">
        <f>_xlfn.XLOOKUP(C67,Tab_Def_Flows[Name(EN)],Tab_Def_Flows[Input_Process],,0,)</f>
        <v/>
      </c>
      <c r="H67" s="17">
        <f>_xlfn.XLOOKUP(C67,Tab_Def_Flows[Name(EN)],Tab_Def_Flows[Process_ID_I],,0,)</f>
        <v/>
      </c>
      <c r="I67" s="272">
        <f>_xlfn.XLOOKUP(C67,Tab_Def_Flows[Name(EN)],#REF!,,0,)</f>
        <v/>
      </c>
      <c r="J67" s="272">
        <f>_xlfn.XLOOKUP(C67,Tab_Def_Flows[Name(EN)],Tab_Def_Flows[WC?],,0,)</f>
        <v/>
      </c>
      <c r="K67" s="272">
        <f>_xlfn.XLOOKUP(C67,Tab_Def_Flows[Name(EN)],Tab_Def_Flows[DM?],,0,)</f>
        <v/>
      </c>
      <c r="L67" s="272">
        <f>_xlfn.XLOOKUP(C67,Tab_Def_Flows[Name(EN)],Tab_Def_Flows[CC?],,0,)</f>
        <v/>
      </c>
      <c r="M67" s="273" t="n"/>
      <c r="N67" s="273" t="n"/>
      <c r="O67" s="48" t="n"/>
      <c r="P67" s="273" t="n"/>
      <c r="Q67" s="273" t="n"/>
      <c r="R67" s="273">
        <f>INDEX(#REF!,MATCH(Tab_Data_Flows[[#This Row],[Name(EN)]],#REF!,0),12)</f>
        <v/>
      </c>
      <c r="S67" s="273">
        <f>MATCH(Tab_Data_Flows[[#This Row],[Name(EN)]],#REF!,0)</f>
        <v/>
      </c>
      <c r="T67" s="273" t="n"/>
      <c r="U67" s="273" t="n"/>
      <c r="V67" s="273" t="n"/>
      <c r="W67" s="273" t="n"/>
      <c r="X67" s="273" t="inlineStr">
        <is>
          <t>No</t>
        </is>
      </c>
      <c r="Y67" s="273" t="n"/>
      <c r="Z67" s="273" t="n"/>
      <c r="AA67" s="35">
        <f>IF(X67="no",O67,O67*Y67)</f>
        <v/>
      </c>
      <c r="AB67" s="273" t="inlineStr">
        <is>
          <t>Mg</t>
        </is>
      </c>
      <c r="AC67" s="190">
        <f>INDEX(Tab_Def_Flows[[Flow_ID]:[CC_DM_source]],MATCH(Tab_Data_Flows[[#This Row],[Name(EN)]],Tab_Def_Flows[Name(EN)],0),13)</f>
        <v/>
      </c>
      <c r="AD67" s="272">
        <f>IF(J67="Yes",AA67*Tab_Data_Flows[[#This Row],[WC_'[%']]],"N.A.")</f>
        <v/>
      </c>
      <c r="AE67" s="272">
        <f>Tab_Data_Flows[[#This Row],[UoM_Flow_Py]]</f>
        <v/>
      </c>
      <c r="AF67" s="190">
        <f>INDEX(Tab_Def_Flows[[Flow_ID]:[CC_DM_source]],MATCH(Tab_Data_Flows[[#This Row],[Name(EN)]],Tab_Def_Flows[Name(EN)],0),15)</f>
        <v/>
      </c>
      <c r="AG67" s="272">
        <f>IF(K67="Yes",AF67*Tab_Data_Flows[[#This Row],[Flow_Py]],"N.A.")</f>
        <v/>
      </c>
      <c r="AH67" s="272">
        <f>Tab_Data_Flows[[#This Row],[UoM_Flow_Py]]</f>
        <v/>
      </c>
      <c r="AI67" s="190">
        <f>INDEX(Tab_Def_Flows[[Flow_ID]:[CC_DM_source]],MATCH(Tab_Data_Flows[[#This Row],[Name(EN)]],Tab_Def_Flows[Name(EN)],0),17)</f>
        <v/>
      </c>
      <c r="AJ67" s="272">
        <f>IF(L67="Yes",AI67*Tab_Data_Flows[[#This Row],[Flow_Py]]*Tab_Data_Flows[[#This Row],[DM_'[%']]],"N.A.")</f>
        <v/>
      </c>
      <c r="AK67" s="272">
        <f>Tab_Data_Flows[[#This Row],[UoM_Flow_Py]]</f>
        <v/>
      </c>
    </row>
    <row r="68">
      <c r="A68" s="296">
        <f>ROW()-1</f>
        <v/>
      </c>
      <c r="B68" s="272">
        <f>_xlfn.XLOOKUP(C68,Tab_Def_Flows[Name(EN)],Tab_Def_Flows[Flow_ID],,0,)</f>
        <v/>
      </c>
      <c r="C68" s="273" t="inlineStr">
        <is>
          <t>N.A.</t>
        </is>
      </c>
      <c r="D68" s="272" t="n"/>
      <c r="E68" s="272">
        <f>_xlfn.XLOOKUP(C68,Tab_Def_Flows[Name(EN)],Tab_Def_Flows[Output_Process],,0,)</f>
        <v/>
      </c>
      <c r="F68" s="272">
        <f>_xlfn.XLOOKUP(C68,Tab_Def_Flows[Name(EN)],Tab_Def_Flows[Process_ID_O],,0,)</f>
        <v/>
      </c>
      <c r="G68" s="272">
        <f>_xlfn.XLOOKUP(C68,Tab_Def_Flows[Name(EN)],Tab_Def_Flows[Input_Process],,0,)</f>
        <v/>
      </c>
      <c r="H68" s="17">
        <f>_xlfn.XLOOKUP(C68,Tab_Def_Flows[Name(EN)],Tab_Def_Flows[Process_ID_I],,0,)</f>
        <v/>
      </c>
      <c r="I68" s="272">
        <f>_xlfn.XLOOKUP(C68,Tab_Def_Flows[Name(EN)],#REF!,,0,)</f>
        <v/>
      </c>
      <c r="J68" s="272">
        <f>_xlfn.XLOOKUP(C68,Tab_Def_Flows[Name(EN)],Tab_Def_Flows[WC?],,0,)</f>
        <v/>
      </c>
      <c r="K68" s="272">
        <f>_xlfn.XLOOKUP(C68,Tab_Def_Flows[Name(EN)],Tab_Def_Flows[DM?],,0,)</f>
        <v/>
      </c>
      <c r="L68" s="272">
        <f>_xlfn.XLOOKUP(C68,Tab_Def_Flows[Name(EN)],Tab_Def_Flows[CC?],,0,)</f>
        <v/>
      </c>
      <c r="M68" s="273" t="n"/>
      <c r="N68" s="273" t="n"/>
      <c r="O68" s="48" t="n"/>
      <c r="P68" s="273" t="n"/>
      <c r="Q68" s="273" t="n"/>
      <c r="R68" s="273">
        <f>INDEX(#REF!,MATCH(Tab_Data_Flows[[#This Row],[Name(EN)]],#REF!,0),12)</f>
        <v/>
      </c>
      <c r="S68" s="273">
        <f>MATCH(Tab_Data_Flows[[#This Row],[Name(EN)]],#REF!,0)</f>
        <v/>
      </c>
      <c r="T68" s="273" t="n"/>
      <c r="U68" s="273" t="n"/>
      <c r="V68" s="273" t="n"/>
      <c r="W68" s="273" t="n"/>
      <c r="X68" s="273" t="inlineStr">
        <is>
          <t>No</t>
        </is>
      </c>
      <c r="Y68" s="273" t="n"/>
      <c r="Z68" s="273" t="n"/>
      <c r="AA68" s="35">
        <f>IF(X68="no",O68,O68*Y68)</f>
        <v/>
      </c>
      <c r="AB68" s="273" t="inlineStr">
        <is>
          <t>Mg</t>
        </is>
      </c>
      <c r="AC68" s="190">
        <f>INDEX(Tab_Def_Flows[[Flow_ID]:[CC_DM_source]],MATCH(Tab_Data_Flows[[#This Row],[Name(EN)]],Tab_Def_Flows[Name(EN)],0),13)</f>
        <v/>
      </c>
      <c r="AD68" s="272">
        <f>IF(J68="Yes",AA68*Tab_Data_Flows[[#This Row],[WC_'[%']]],"N.A.")</f>
        <v/>
      </c>
      <c r="AE68" s="272">
        <f>Tab_Data_Flows[[#This Row],[UoM_Flow_Py]]</f>
        <v/>
      </c>
      <c r="AF68" s="190">
        <f>INDEX(Tab_Def_Flows[[Flow_ID]:[CC_DM_source]],MATCH(Tab_Data_Flows[[#This Row],[Name(EN)]],Tab_Def_Flows[Name(EN)],0),15)</f>
        <v/>
      </c>
      <c r="AG68" s="272">
        <f>IF(K68="Yes",AF68*Tab_Data_Flows[[#This Row],[Flow_Py]],"N.A.")</f>
        <v/>
      </c>
      <c r="AH68" s="272">
        <f>Tab_Data_Flows[[#This Row],[UoM_Flow_Py]]</f>
        <v/>
      </c>
      <c r="AI68" s="190">
        <f>INDEX(Tab_Def_Flows[[Flow_ID]:[CC_DM_source]],MATCH(Tab_Data_Flows[[#This Row],[Name(EN)]],Tab_Def_Flows[Name(EN)],0),17)</f>
        <v/>
      </c>
      <c r="AJ68" s="272">
        <f>IF(L68="Yes",AI68*Tab_Data_Flows[[#This Row],[Flow_Py]]*Tab_Data_Flows[[#This Row],[DM_'[%']]],"N.A.")</f>
        <v/>
      </c>
      <c r="AK68" s="272">
        <f>Tab_Data_Flows[[#This Row],[UoM_Flow_Py]]</f>
        <v/>
      </c>
    </row>
    <row r="69">
      <c r="A69" s="296">
        <f>ROW()-1</f>
        <v/>
      </c>
      <c r="B69" s="272">
        <f>_xlfn.XLOOKUP(C69,Tab_Def_Flows[Name(EN)],Tab_Def_Flows[Flow_ID],,0,)</f>
        <v/>
      </c>
      <c r="C69" s="273" t="inlineStr">
        <is>
          <t>N.A.</t>
        </is>
      </c>
      <c r="D69" s="272" t="n"/>
      <c r="E69" s="272">
        <f>_xlfn.XLOOKUP(C69,Tab_Def_Flows[Name(EN)],Tab_Def_Flows[Output_Process],,0,)</f>
        <v/>
      </c>
      <c r="F69" s="272">
        <f>_xlfn.XLOOKUP(C69,Tab_Def_Flows[Name(EN)],Tab_Def_Flows[Process_ID_O],,0,)</f>
        <v/>
      </c>
      <c r="G69" s="272">
        <f>_xlfn.XLOOKUP(C69,Tab_Def_Flows[Name(EN)],Tab_Def_Flows[Input_Process],,0,)</f>
        <v/>
      </c>
      <c r="H69" s="17">
        <f>_xlfn.XLOOKUP(C69,Tab_Def_Flows[Name(EN)],Tab_Def_Flows[Process_ID_I],,0,)</f>
        <v/>
      </c>
      <c r="I69" s="272">
        <f>_xlfn.XLOOKUP(C69,Tab_Def_Flows[Name(EN)],#REF!,,0,)</f>
        <v/>
      </c>
      <c r="J69" s="272">
        <f>_xlfn.XLOOKUP(C69,Tab_Def_Flows[Name(EN)],Tab_Def_Flows[WC?],,0,)</f>
        <v/>
      </c>
      <c r="K69" s="272">
        <f>_xlfn.XLOOKUP(C69,Tab_Def_Flows[Name(EN)],Tab_Def_Flows[DM?],,0,)</f>
        <v/>
      </c>
      <c r="L69" s="272">
        <f>_xlfn.XLOOKUP(C69,Tab_Def_Flows[Name(EN)],Tab_Def_Flows[CC?],,0,)</f>
        <v/>
      </c>
      <c r="M69" s="273" t="n"/>
      <c r="N69" s="273" t="n"/>
      <c r="O69" s="48" t="n"/>
      <c r="P69" s="273" t="n"/>
      <c r="Q69" s="273" t="n"/>
      <c r="R69" s="273">
        <f>INDEX(#REF!,MATCH(Tab_Data_Flows[[#This Row],[Name(EN)]],#REF!,0),12)</f>
        <v/>
      </c>
      <c r="S69" s="273">
        <f>MATCH(Tab_Data_Flows[[#This Row],[Name(EN)]],#REF!,0)</f>
        <v/>
      </c>
      <c r="T69" s="273" t="n"/>
      <c r="U69" s="273" t="n"/>
      <c r="V69" s="273" t="n"/>
      <c r="W69" s="273" t="n"/>
      <c r="X69" s="273" t="inlineStr">
        <is>
          <t>No</t>
        </is>
      </c>
      <c r="Y69" s="273" t="n"/>
      <c r="Z69" s="273" t="n"/>
      <c r="AA69" s="35">
        <f>IF(X69="no",O69,O69*Y69)</f>
        <v/>
      </c>
      <c r="AB69" s="273" t="inlineStr">
        <is>
          <t>Mg</t>
        </is>
      </c>
      <c r="AC69" s="190">
        <f>INDEX(Tab_Def_Flows[[Flow_ID]:[CC_DM_source]],MATCH(Tab_Data_Flows[[#This Row],[Name(EN)]],Tab_Def_Flows[Name(EN)],0),13)</f>
        <v/>
      </c>
      <c r="AD69" s="272">
        <f>IF(J69="Yes",AA69*Tab_Data_Flows[[#This Row],[WC_'[%']]],"N.A.")</f>
        <v/>
      </c>
      <c r="AE69" s="272">
        <f>Tab_Data_Flows[[#This Row],[UoM_Flow_Py]]</f>
        <v/>
      </c>
      <c r="AF69" s="190">
        <f>INDEX(Tab_Def_Flows[[Flow_ID]:[CC_DM_source]],MATCH(Tab_Data_Flows[[#This Row],[Name(EN)]],Tab_Def_Flows[Name(EN)],0),15)</f>
        <v/>
      </c>
      <c r="AG69" s="272">
        <f>IF(K69="Yes",AF69*Tab_Data_Flows[[#This Row],[Flow_Py]],"N.A.")</f>
        <v/>
      </c>
      <c r="AH69" s="272">
        <f>Tab_Data_Flows[[#This Row],[UoM_Flow_Py]]</f>
        <v/>
      </c>
      <c r="AI69" s="190">
        <f>INDEX(Tab_Def_Flows[[Flow_ID]:[CC_DM_source]],MATCH(Tab_Data_Flows[[#This Row],[Name(EN)]],Tab_Def_Flows[Name(EN)],0),17)</f>
        <v/>
      </c>
      <c r="AJ69" s="272">
        <f>IF(L69="Yes",AI69*Tab_Data_Flows[[#This Row],[Flow_Py]]*Tab_Data_Flows[[#This Row],[DM_'[%']]],"N.A.")</f>
        <v/>
      </c>
      <c r="AK69" s="272">
        <f>Tab_Data_Flows[[#This Row],[UoM_Flow_Py]]</f>
        <v/>
      </c>
    </row>
    <row r="70">
      <c r="A70" s="296">
        <f>ROW()-1</f>
        <v/>
      </c>
      <c r="B70" s="272">
        <f>_xlfn.XLOOKUP(C70,Tab_Def_Flows[Name(EN)],Tab_Def_Flows[Flow_ID],,0,)</f>
        <v/>
      </c>
      <c r="C70" s="273" t="inlineStr">
        <is>
          <t>N.A.</t>
        </is>
      </c>
      <c r="D70" s="272" t="n"/>
      <c r="E70" s="272">
        <f>_xlfn.XLOOKUP(C70,Tab_Def_Flows[Name(EN)],Tab_Def_Flows[Output_Process],,0,)</f>
        <v/>
      </c>
      <c r="F70" s="272">
        <f>_xlfn.XLOOKUP(C70,Tab_Def_Flows[Name(EN)],Tab_Def_Flows[Process_ID_O],,0,)</f>
        <v/>
      </c>
      <c r="G70" s="272">
        <f>_xlfn.XLOOKUP(C70,Tab_Def_Flows[Name(EN)],Tab_Def_Flows[Input_Process],,0,)</f>
        <v/>
      </c>
      <c r="H70" s="17">
        <f>_xlfn.XLOOKUP(C70,Tab_Def_Flows[Name(EN)],Tab_Def_Flows[Process_ID_I],,0,)</f>
        <v/>
      </c>
      <c r="I70" s="272">
        <f>_xlfn.XLOOKUP(C70,Tab_Def_Flows[Name(EN)],#REF!,,0,)</f>
        <v/>
      </c>
      <c r="J70" s="272">
        <f>_xlfn.XLOOKUP(C70,Tab_Def_Flows[Name(EN)],Tab_Def_Flows[WC?],,0,)</f>
        <v/>
      </c>
      <c r="K70" s="272">
        <f>_xlfn.XLOOKUP(C70,Tab_Def_Flows[Name(EN)],Tab_Def_Flows[DM?],,0,)</f>
        <v/>
      </c>
      <c r="L70" s="272">
        <f>_xlfn.XLOOKUP(C70,Tab_Def_Flows[Name(EN)],Tab_Def_Flows[CC?],,0,)</f>
        <v/>
      </c>
      <c r="M70" s="273" t="n"/>
      <c r="N70" s="273" t="n"/>
      <c r="O70" s="48" t="n"/>
      <c r="P70" s="273" t="n"/>
      <c r="Q70" s="273" t="n"/>
      <c r="R70" s="273">
        <f>INDEX(#REF!,MATCH(Tab_Data_Flows[[#This Row],[Name(EN)]],#REF!,0),12)</f>
        <v/>
      </c>
      <c r="S70" s="273">
        <f>MATCH(Tab_Data_Flows[[#This Row],[Name(EN)]],#REF!,0)</f>
        <v/>
      </c>
      <c r="T70" s="273" t="n"/>
      <c r="U70" s="273" t="n"/>
      <c r="V70" s="273" t="n"/>
      <c r="W70" s="273" t="n"/>
      <c r="X70" s="273" t="inlineStr">
        <is>
          <t>No</t>
        </is>
      </c>
      <c r="Y70" s="273" t="n"/>
      <c r="Z70" s="273" t="n"/>
      <c r="AA70" s="35">
        <f>IF(X70="no",O70,O70*Y70)</f>
        <v/>
      </c>
      <c r="AB70" s="273" t="inlineStr">
        <is>
          <t>Mg</t>
        </is>
      </c>
      <c r="AC70" s="190">
        <f>INDEX(Tab_Def_Flows[[Flow_ID]:[CC_DM_source]],MATCH(Tab_Data_Flows[[#This Row],[Name(EN)]],Tab_Def_Flows[Name(EN)],0),13)</f>
        <v/>
      </c>
      <c r="AD70" s="272">
        <f>IF(J70="Yes",AA70*Tab_Data_Flows[[#This Row],[WC_'[%']]],"N.A.")</f>
        <v/>
      </c>
      <c r="AE70" s="272">
        <f>Tab_Data_Flows[[#This Row],[UoM_Flow_Py]]</f>
        <v/>
      </c>
      <c r="AF70" s="190">
        <f>INDEX(Tab_Def_Flows[[Flow_ID]:[CC_DM_source]],MATCH(Tab_Data_Flows[[#This Row],[Name(EN)]],Tab_Def_Flows[Name(EN)],0),15)</f>
        <v/>
      </c>
      <c r="AG70" s="272">
        <f>IF(K70="Yes",AF70*Tab_Data_Flows[[#This Row],[Flow_Py]],"N.A.")</f>
        <v/>
      </c>
      <c r="AH70" s="272">
        <f>Tab_Data_Flows[[#This Row],[UoM_Flow_Py]]</f>
        <v/>
      </c>
      <c r="AI70" s="190">
        <f>INDEX(Tab_Def_Flows[[Flow_ID]:[CC_DM_source]],MATCH(Tab_Data_Flows[[#This Row],[Name(EN)]],Tab_Def_Flows[Name(EN)],0),17)</f>
        <v/>
      </c>
      <c r="AJ70" s="272">
        <f>IF(L70="Yes",AI70*Tab_Data_Flows[[#This Row],[Flow_Py]]*Tab_Data_Flows[[#This Row],[DM_'[%']]],"N.A.")</f>
        <v/>
      </c>
      <c r="AK70" s="272">
        <f>Tab_Data_Flows[[#This Row],[UoM_Flow_Py]]</f>
        <v/>
      </c>
    </row>
    <row r="71">
      <c r="A71" s="296">
        <f>ROW()-1</f>
        <v/>
      </c>
      <c r="B71" s="272">
        <f>_xlfn.XLOOKUP(C71,Tab_Def_Flows[Name(EN)],Tab_Def_Flows[Flow_ID],,0,)</f>
        <v/>
      </c>
      <c r="C71" s="273" t="inlineStr">
        <is>
          <t>N.A.</t>
        </is>
      </c>
      <c r="D71" s="272" t="n"/>
      <c r="E71" s="272">
        <f>_xlfn.XLOOKUP(C71,Tab_Def_Flows[Name(EN)],Tab_Def_Flows[Output_Process],,0,)</f>
        <v/>
      </c>
      <c r="F71" s="272">
        <f>_xlfn.XLOOKUP(C71,Tab_Def_Flows[Name(EN)],Tab_Def_Flows[Process_ID_O],,0,)</f>
        <v/>
      </c>
      <c r="G71" s="272">
        <f>_xlfn.XLOOKUP(C71,Tab_Def_Flows[Name(EN)],Tab_Def_Flows[Input_Process],,0,)</f>
        <v/>
      </c>
      <c r="H71" s="17">
        <f>_xlfn.XLOOKUP(C71,Tab_Def_Flows[Name(EN)],Tab_Def_Flows[Process_ID_I],,0,)</f>
        <v/>
      </c>
      <c r="I71" s="272">
        <f>_xlfn.XLOOKUP(C71,Tab_Def_Flows[Name(EN)],#REF!,,0,)</f>
        <v/>
      </c>
      <c r="J71" s="272">
        <f>_xlfn.XLOOKUP(C71,Tab_Def_Flows[Name(EN)],Tab_Def_Flows[WC?],,0,)</f>
        <v/>
      </c>
      <c r="K71" s="272">
        <f>_xlfn.XLOOKUP(C71,Tab_Def_Flows[Name(EN)],Tab_Def_Flows[DM?],,0,)</f>
        <v/>
      </c>
      <c r="L71" s="272">
        <f>_xlfn.XLOOKUP(C71,Tab_Def_Flows[Name(EN)],Tab_Def_Flows[CC?],,0,)</f>
        <v/>
      </c>
      <c r="M71" s="273" t="n"/>
      <c r="N71" s="273" t="n"/>
      <c r="O71" s="48" t="n"/>
      <c r="P71" s="273" t="n"/>
      <c r="Q71" s="273" t="n"/>
      <c r="R71" s="273">
        <f>INDEX(#REF!,MATCH(Tab_Data_Flows[[#This Row],[Name(EN)]],#REF!,0),12)</f>
        <v/>
      </c>
      <c r="S71" s="273">
        <f>MATCH(Tab_Data_Flows[[#This Row],[Name(EN)]],#REF!,0)</f>
        <v/>
      </c>
      <c r="T71" s="273" t="n"/>
      <c r="U71" s="273" t="n"/>
      <c r="V71" s="273" t="n"/>
      <c r="W71" s="273" t="n"/>
      <c r="X71" s="273" t="inlineStr">
        <is>
          <t>No</t>
        </is>
      </c>
      <c r="Y71" s="273" t="n"/>
      <c r="Z71" s="273" t="n"/>
      <c r="AA71" s="35">
        <f>IF(X71="no",O71,O71*Y71)</f>
        <v/>
      </c>
      <c r="AB71" s="273" t="inlineStr">
        <is>
          <t>Mg</t>
        </is>
      </c>
      <c r="AC71" s="190">
        <f>INDEX(Tab_Def_Flows[[Flow_ID]:[CC_DM_source]],MATCH(Tab_Data_Flows[[#This Row],[Name(EN)]],Tab_Def_Flows[Name(EN)],0),13)</f>
        <v/>
      </c>
      <c r="AD71" s="272">
        <f>IF(J71="Yes",AA71*Tab_Data_Flows[[#This Row],[WC_'[%']]],"N.A.")</f>
        <v/>
      </c>
      <c r="AE71" s="272">
        <f>Tab_Data_Flows[[#This Row],[UoM_Flow_Py]]</f>
        <v/>
      </c>
      <c r="AF71" s="190">
        <f>INDEX(Tab_Def_Flows[[Flow_ID]:[CC_DM_source]],MATCH(Tab_Data_Flows[[#This Row],[Name(EN)]],Tab_Def_Flows[Name(EN)],0),15)</f>
        <v/>
      </c>
      <c r="AG71" s="272">
        <f>IF(K71="Yes",AF71*Tab_Data_Flows[[#This Row],[Flow_Py]],"N.A.")</f>
        <v/>
      </c>
      <c r="AH71" s="272">
        <f>Tab_Data_Flows[[#This Row],[UoM_Flow_Py]]</f>
        <v/>
      </c>
      <c r="AI71" s="190">
        <f>INDEX(Tab_Def_Flows[[Flow_ID]:[CC_DM_source]],MATCH(Tab_Data_Flows[[#This Row],[Name(EN)]],Tab_Def_Flows[Name(EN)],0),17)</f>
        <v/>
      </c>
      <c r="AJ71" s="272">
        <f>IF(L71="Yes",AI71*Tab_Data_Flows[[#This Row],[Flow_Py]]*Tab_Data_Flows[[#This Row],[DM_'[%']]],"N.A.")</f>
        <v/>
      </c>
      <c r="AK71" s="272">
        <f>Tab_Data_Flows[[#This Row],[UoM_Flow_Py]]</f>
        <v/>
      </c>
    </row>
    <row r="72">
      <c r="A72" s="296">
        <f>ROW()-1</f>
        <v/>
      </c>
      <c r="B72" s="272">
        <f>_xlfn.XLOOKUP(C72,Tab_Def_Flows[Name(EN)],Tab_Def_Flows[Flow_ID],,0,)</f>
        <v/>
      </c>
      <c r="C72" s="273" t="inlineStr">
        <is>
          <t>N.A.</t>
        </is>
      </c>
      <c r="D72" s="272" t="n"/>
      <c r="E72" s="272">
        <f>_xlfn.XLOOKUP(C72,Tab_Def_Flows[Name(EN)],Tab_Def_Flows[Output_Process],,0,)</f>
        <v/>
      </c>
      <c r="F72" s="272">
        <f>_xlfn.XLOOKUP(C72,Tab_Def_Flows[Name(EN)],Tab_Def_Flows[Process_ID_O],,0,)</f>
        <v/>
      </c>
      <c r="G72" s="272">
        <f>_xlfn.XLOOKUP(C72,Tab_Def_Flows[Name(EN)],Tab_Def_Flows[Input_Process],,0,)</f>
        <v/>
      </c>
      <c r="H72" s="17">
        <f>_xlfn.XLOOKUP(C72,Tab_Def_Flows[Name(EN)],Tab_Def_Flows[Process_ID_I],,0,)</f>
        <v/>
      </c>
      <c r="I72" s="272">
        <f>_xlfn.XLOOKUP(C72,Tab_Def_Flows[Name(EN)],#REF!,,0,)</f>
        <v/>
      </c>
      <c r="J72" s="272">
        <f>_xlfn.XLOOKUP(C72,Tab_Def_Flows[Name(EN)],Tab_Def_Flows[WC?],,0,)</f>
        <v/>
      </c>
      <c r="K72" s="272">
        <f>_xlfn.XLOOKUP(C72,Tab_Def_Flows[Name(EN)],Tab_Def_Flows[DM?],,0,)</f>
        <v/>
      </c>
      <c r="L72" s="272">
        <f>_xlfn.XLOOKUP(C72,Tab_Def_Flows[Name(EN)],Tab_Def_Flows[CC?],,0,)</f>
        <v/>
      </c>
      <c r="M72" s="273" t="n"/>
      <c r="N72" s="273" t="n"/>
      <c r="O72" s="48" t="n"/>
      <c r="P72" s="273" t="n"/>
      <c r="Q72" s="273" t="n"/>
      <c r="R72" s="273">
        <f>INDEX(#REF!,MATCH(Tab_Data_Flows[[#This Row],[Name(EN)]],#REF!,0),12)</f>
        <v/>
      </c>
      <c r="S72" s="273">
        <f>MATCH(Tab_Data_Flows[[#This Row],[Name(EN)]],#REF!,0)</f>
        <v/>
      </c>
      <c r="T72" s="273" t="n"/>
      <c r="U72" s="273" t="n"/>
      <c r="V72" s="273" t="n"/>
      <c r="W72" s="273" t="n"/>
      <c r="X72" s="273" t="inlineStr">
        <is>
          <t>No</t>
        </is>
      </c>
      <c r="Y72" s="273" t="n"/>
      <c r="Z72" s="273" t="n"/>
      <c r="AA72" s="35">
        <f>IF(X72="no",O72,O72*Y72)</f>
        <v/>
      </c>
      <c r="AB72" s="273" t="inlineStr">
        <is>
          <t>Mg</t>
        </is>
      </c>
      <c r="AC72" s="190">
        <f>INDEX(Tab_Def_Flows[[Flow_ID]:[CC_DM_source]],MATCH(Tab_Data_Flows[[#This Row],[Name(EN)]],Tab_Def_Flows[Name(EN)],0),13)</f>
        <v/>
      </c>
      <c r="AD72" s="272">
        <f>IF(J72="Yes",AA72*Tab_Data_Flows[[#This Row],[WC_'[%']]],"N.A.")</f>
        <v/>
      </c>
      <c r="AE72" s="272">
        <f>Tab_Data_Flows[[#This Row],[UoM_Flow_Py]]</f>
        <v/>
      </c>
      <c r="AF72" s="190">
        <f>INDEX(Tab_Def_Flows[[Flow_ID]:[CC_DM_source]],MATCH(Tab_Data_Flows[[#This Row],[Name(EN)]],Tab_Def_Flows[Name(EN)],0),15)</f>
        <v/>
      </c>
      <c r="AG72" s="272">
        <f>IF(K72="Yes",AF72*Tab_Data_Flows[[#This Row],[Flow_Py]],"N.A.")</f>
        <v/>
      </c>
      <c r="AH72" s="272">
        <f>Tab_Data_Flows[[#This Row],[UoM_Flow_Py]]</f>
        <v/>
      </c>
      <c r="AI72" s="190">
        <f>INDEX(Tab_Def_Flows[[Flow_ID]:[CC_DM_source]],MATCH(Tab_Data_Flows[[#This Row],[Name(EN)]],Tab_Def_Flows[Name(EN)],0),17)</f>
        <v/>
      </c>
      <c r="AJ72" s="272">
        <f>IF(L72="Yes",AI72*Tab_Data_Flows[[#This Row],[Flow_Py]]*Tab_Data_Flows[[#This Row],[DM_'[%']]],"N.A.")</f>
        <v/>
      </c>
      <c r="AK72" s="272">
        <f>Tab_Data_Flows[[#This Row],[UoM_Flow_Py]]</f>
        <v/>
      </c>
    </row>
    <row r="73">
      <c r="A73" s="296">
        <f>ROW()-1</f>
        <v/>
      </c>
      <c r="B73" s="272">
        <f>_xlfn.XLOOKUP(C73,Tab_Def_Flows[Name(EN)],Tab_Def_Flows[Flow_ID],,0,)</f>
        <v/>
      </c>
      <c r="C73" s="273" t="inlineStr">
        <is>
          <t>N.A.</t>
        </is>
      </c>
      <c r="D73" s="272" t="n"/>
      <c r="E73" s="272">
        <f>_xlfn.XLOOKUP(C73,Tab_Def_Flows[Name(EN)],Tab_Def_Flows[Output_Process],,0,)</f>
        <v/>
      </c>
      <c r="F73" s="272">
        <f>_xlfn.XLOOKUP(C73,Tab_Def_Flows[Name(EN)],Tab_Def_Flows[Process_ID_O],,0,)</f>
        <v/>
      </c>
      <c r="G73" s="272">
        <f>_xlfn.XLOOKUP(C73,Tab_Def_Flows[Name(EN)],Tab_Def_Flows[Input_Process],,0,)</f>
        <v/>
      </c>
      <c r="H73" s="17">
        <f>_xlfn.XLOOKUP(C73,Tab_Def_Flows[Name(EN)],Tab_Def_Flows[Process_ID_I],,0,)</f>
        <v/>
      </c>
      <c r="I73" s="272">
        <f>_xlfn.XLOOKUP(C73,Tab_Def_Flows[Name(EN)],#REF!,,0,)</f>
        <v/>
      </c>
      <c r="J73" s="272">
        <f>_xlfn.XLOOKUP(C73,Tab_Def_Flows[Name(EN)],Tab_Def_Flows[WC?],,0,)</f>
        <v/>
      </c>
      <c r="K73" s="272">
        <f>_xlfn.XLOOKUP(C73,Tab_Def_Flows[Name(EN)],Tab_Def_Flows[DM?],,0,)</f>
        <v/>
      </c>
      <c r="L73" s="272">
        <f>_xlfn.XLOOKUP(C73,Tab_Def_Flows[Name(EN)],Tab_Def_Flows[CC?],,0,)</f>
        <v/>
      </c>
      <c r="M73" s="273" t="n"/>
      <c r="N73" s="273" t="n"/>
      <c r="O73" s="48" t="n"/>
      <c r="P73" s="273" t="n"/>
      <c r="Q73" s="273" t="n"/>
      <c r="R73" s="273">
        <f>INDEX(#REF!,MATCH(Tab_Data_Flows[[#This Row],[Name(EN)]],#REF!,0),12)</f>
        <v/>
      </c>
      <c r="S73" s="273">
        <f>MATCH(Tab_Data_Flows[[#This Row],[Name(EN)]],#REF!,0)</f>
        <v/>
      </c>
      <c r="T73" s="273" t="n"/>
      <c r="U73" s="273" t="n"/>
      <c r="V73" s="273" t="n"/>
      <c r="W73" s="273" t="n"/>
      <c r="X73" s="273" t="inlineStr">
        <is>
          <t>No</t>
        </is>
      </c>
      <c r="Y73" s="273" t="n"/>
      <c r="Z73" s="273" t="n"/>
      <c r="AA73" s="35">
        <f>IF(X73="no",O73,O73*Y73)</f>
        <v/>
      </c>
      <c r="AB73" s="273" t="inlineStr">
        <is>
          <t>Mg</t>
        </is>
      </c>
      <c r="AC73" s="190">
        <f>INDEX(Tab_Def_Flows[[Flow_ID]:[CC_DM_source]],MATCH(Tab_Data_Flows[[#This Row],[Name(EN)]],Tab_Def_Flows[Name(EN)],0),13)</f>
        <v/>
      </c>
      <c r="AD73" s="272">
        <f>IF(J73="Yes",AA73*Tab_Data_Flows[[#This Row],[WC_'[%']]],"N.A.")</f>
        <v/>
      </c>
      <c r="AE73" s="272">
        <f>Tab_Data_Flows[[#This Row],[UoM_Flow_Py]]</f>
        <v/>
      </c>
      <c r="AF73" s="190">
        <f>INDEX(Tab_Def_Flows[[Flow_ID]:[CC_DM_source]],MATCH(Tab_Data_Flows[[#This Row],[Name(EN)]],Tab_Def_Flows[Name(EN)],0),15)</f>
        <v/>
      </c>
      <c r="AG73" s="272">
        <f>IF(K73="Yes",AF73*Tab_Data_Flows[[#This Row],[Flow_Py]],"N.A.")</f>
        <v/>
      </c>
      <c r="AH73" s="272">
        <f>Tab_Data_Flows[[#This Row],[UoM_Flow_Py]]</f>
        <v/>
      </c>
      <c r="AI73" s="190">
        <f>INDEX(Tab_Def_Flows[[Flow_ID]:[CC_DM_source]],MATCH(Tab_Data_Flows[[#This Row],[Name(EN)]],Tab_Def_Flows[Name(EN)],0),17)</f>
        <v/>
      </c>
      <c r="AJ73" s="272">
        <f>IF(L73="Yes",AI73*Tab_Data_Flows[[#This Row],[Flow_Py]]*Tab_Data_Flows[[#This Row],[DM_'[%']]],"N.A.")</f>
        <v/>
      </c>
      <c r="AK73" s="272">
        <f>Tab_Data_Flows[[#This Row],[UoM_Flow_Py]]</f>
        <v/>
      </c>
    </row>
    <row r="74">
      <c r="A74" s="296">
        <f>ROW()-1</f>
        <v/>
      </c>
      <c r="B74" s="272">
        <f>_xlfn.XLOOKUP(C74,Tab_Def_Flows[Name(EN)],Tab_Def_Flows[Flow_ID],,0,)</f>
        <v/>
      </c>
      <c r="C74" s="273" t="inlineStr">
        <is>
          <t>N.A.</t>
        </is>
      </c>
      <c r="D74" s="272" t="n"/>
      <c r="E74" s="272">
        <f>_xlfn.XLOOKUP(C74,Tab_Def_Flows[Name(EN)],Tab_Def_Flows[Output_Process],,0,)</f>
        <v/>
      </c>
      <c r="F74" s="272">
        <f>_xlfn.XLOOKUP(C74,Tab_Def_Flows[Name(EN)],Tab_Def_Flows[Process_ID_O],,0,)</f>
        <v/>
      </c>
      <c r="G74" s="272">
        <f>_xlfn.XLOOKUP(C74,Tab_Def_Flows[Name(EN)],Tab_Def_Flows[Input_Process],,0,)</f>
        <v/>
      </c>
      <c r="H74" s="17">
        <f>_xlfn.XLOOKUP(C74,Tab_Def_Flows[Name(EN)],Tab_Def_Flows[Process_ID_I],,0,)</f>
        <v/>
      </c>
      <c r="I74" s="272">
        <f>_xlfn.XLOOKUP(C74,Tab_Def_Flows[Name(EN)],#REF!,,0,)</f>
        <v/>
      </c>
      <c r="J74" s="272">
        <f>_xlfn.XLOOKUP(C74,Tab_Def_Flows[Name(EN)],Tab_Def_Flows[WC?],,0,)</f>
        <v/>
      </c>
      <c r="K74" s="272">
        <f>_xlfn.XLOOKUP(C74,Tab_Def_Flows[Name(EN)],Tab_Def_Flows[DM?],,0,)</f>
        <v/>
      </c>
      <c r="L74" s="272">
        <f>_xlfn.XLOOKUP(C74,Tab_Def_Flows[Name(EN)],Tab_Def_Flows[CC?],,0,)</f>
        <v/>
      </c>
      <c r="M74" s="273" t="n"/>
      <c r="N74" s="273" t="n"/>
      <c r="O74" s="48" t="n"/>
      <c r="P74" s="273" t="n"/>
      <c r="Q74" s="273" t="n"/>
      <c r="R74" s="273">
        <f>INDEX(#REF!,MATCH(Tab_Data_Flows[[#This Row],[Name(EN)]],#REF!,0),12)</f>
        <v/>
      </c>
      <c r="S74" s="273">
        <f>MATCH(Tab_Data_Flows[[#This Row],[Name(EN)]],#REF!,0)</f>
        <v/>
      </c>
      <c r="T74" s="273" t="n"/>
      <c r="U74" s="273" t="n"/>
      <c r="V74" s="273" t="n"/>
      <c r="W74" s="273" t="n"/>
      <c r="X74" s="273" t="inlineStr">
        <is>
          <t>No</t>
        </is>
      </c>
      <c r="Y74" s="273" t="n"/>
      <c r="Z74" s="273" t="n"/>
      <c r="AA74" s="35">
        <f>IF(X74="no",O74,O74*Y74)</f>
        <v/>
      </c>
      <c r="AB74" s="273" t="inlineStr">
        <is>
          <t>Mg</t>
        </is>
      </c>
      <c r="AC74" s="190">
        <f>INDEX(Tab_Def_Flows[[Flow_ID]:[CC_DM_source]],MATCH(Tab_Data_Flows[[#This Row],[Name(EN)]],Tab_Def_Flows[Name(EN)],0),13)</f>
        <v/>
      </c>
      <c r="AD74" s="272">
        <f>IF(J74="Yes",AA74*Tab_Data_Flows[[#This Row],[WC_'[%']]],"N.A.")</f>
        <v/>
      </c>
      <c r="AE74" s="272">
        <f>Tab_Data_Flows[[#This Row],[UoM_Flow_Py]]</f>
        <v/>
      </c>
      <c r="AF74" s="190">
        <f>INDEX(Tab_Def_Flows[[Flow_ID]:[CC_DM_source]],MATCH(Tab_Data_Flows[[#This Row],[Name(EN)]],Tab_Def_Flows[Name(EN)],0),15)</f>
        <v/>
      </c>
      <c r="AG74" s="272">
        <f>IF(K74="Yes",AF74*Tab_Data_Flows[[#This Row],[Flow_Py]],"N.A.")</f>
        <v/>
      </c>
      <c r="AH74" s="272">
        <f>Tab_Data_Flows[[#This Row],[UoM_Flow_Py]]</f>
        <v/>
      </c>
      <c r="AI74" s="190">
        <f>INDEX(Tab_Def_Flows[[Flow_ID]:[CC_DM_source]],MATCH(Tab_Data_Flows[[#This Row],[Name(EN)]],Tab_Def_Flows[Name(EN)],0),17)</f>
        <v/>
      </c>
      <c r="AJ74" s="272">
        <f>IF(L74="Yes",AI74*Tab_Data_Flows[[#This Row],[Flow_Py]]*Tab_Data_Flows[[#This Row],[DM_'[%']]],"N.A.")</f>
        <v/>
      </c>
      <c r="AK74" s="272">
        <f>Tab_Data_Flows[[#This Row],[UoM_Flow_Py]]</f>
        <v/>
      </c>
    </row>
    <row r="75">
      <c r="A75" s="296">
        <f>ROW()-1</f>
        <v/>
      </c>
      <c r="B75" s="272">
        <f>_xlfn.XLOOKUP(C75,Tab_Def_Flows[Name(EN)],Tab_Def_Flows[Flow_ID],,0,)</f>
        <v/>
      </c>
      <c r="C75" s="273" t="inlineStr">
        <is>
          <t>N.A.</t>
        </is>
      </c>
      <c r="D75" s="272" t="n"/>
      <c r="E75" s="272">
        <f>_xlfn.XLOOKUP(C75,Tab_Def_Flows[Name(EN)],Tab_Def_Flows[Output_Process],,0,)</f>
        <v/>
      </c>
      <c r="F75" s="272">
        <f>_xlfn.XLOOKUP(C75,Tab_Def_Flows[Name(EN)],Tab_Def_Flows[Process_ID_O],,0,)</f>
        <v/>
      </c>
      <c r="G75" s="272">
        <f>_xlfn.XLOOKUP(C75,Tab_Def_Flows[Name(EN)],Tab_Def_Flows[Input_Process],,0,)</f>
        <v/>
      </c>
      <c r="H75" s="17">
        <f>_xlfn.XLOOKUP(C75,Tab_Def_Flows[Name(EN)],Tab_Def_Flows[Process_ID_I],,0,)</f>
        <v/>
      </c>
      <c r="I75" s="272">
        <f>_xlfn.XLOOKUP(C75,Tab_Def_Flows[Name(EN)],#REF!,,0,)</f>
        <v/>
      </c>
      <c r="J75" s="272">
        <f>_xlfn.XLOOKUP(C75,Tab_Def_Flows[Name(EN)],Tab_Def_Flows[WC?],,0,)</f>
        <v/>
      </c>
      <c r="K75" s="272">
        <f>_xlfn.XLOOKUP(C75,Tab_Def_Flows[Name(EN)],Tab_Def_Flows[DM?],,0,)</f>
        <v/>
      </c>
      <c r="L75" s="272">
        <f>_xlfn.XLOOKUP(C75,Tab_Def_Flows[Name(EN)],Tab_Def_Flows[CC?],,0,)</f>
        <v/>
      </c>
      <c r="M75" s="273" t="n"/>
      <c r="N75" s="273" t="n"/>
      <c r="O75" s="48" t="n"/>
      <c r="P75" s="273" t="n"/>
      <c r="Q75" s="273" t="n"/>
      <c r="R75" s="273">
        <f>INDEX(#REF!,MATCH(Tab_Data_Flows[[#This Row],[Name(EN)]],#REF!,0),12)</f>
        <v/>
      </c>
      <c r="S75" s="273">
        <f>MATCH(Tab_Data_Flows[[#This Row],[Name(EN)]],#REF!,0)</f>
        <v/>
      </c>
      <c r="T75" s="273" t="n"/>
      <c r="U75" s="273" t="n"/>
      <c r="V75" s="273" t="n"/>
      <c r="W75" s="273" t="n"/>
      <c r="X75" s="273" t="inlineStr">
        <is>
          <t>No</t>
        </is>
      </c>
      <c r="Y75" s="273" t="n"/>
      <c r="Z75" s="273" t="n"/>
      <c r="AA75" s="35">
        <f>IF(X75="no",O75,O75*Y75)</f>
        <v/>
      </c>
      <c r="AB75" s="273" t="inlineStr">
        <is>
          <t>Mg</t>
        </is>
      </c>
      <c r="AC75" s="190">
        <f>INDEX(Tab_Def_Flows[[Flow_ID]:[CC_DM_source]],MATCH(Tab_Data_Flows[[#This Row],[Name(EN)]],Tab_Def_Flows[Name(EN)],0),13)</f>
        <v/>
      </c>
      <c r="AD75" s="272">
        <f>IF(J75="Yes",AA75*Tab_Data_Flows[[#This Row],[WC_'[%']]],"N.A.")</f>
        <v/>
      </c>
      <c r="AE75" s="272">
        <f>Tab_Data_Flows[[#This Row],[UoM_Flow_Py]]</f>
        <v/>
      </c>
      <c r="AF75" s="190">
        <f>INDEX(Tab_Def_Flows[[Flow_ID]:[CC_DM_source]],MATCH(Tab_Data_Flows[[#This Row],[Name(EN)]],Tab_Def_Flows[Name(EN)],0),15)</f>
        <v/>
      </c>
      <c r="AG75" s="272">
        <f>IF(K75="Yes",AF75*Tab_Data_Flows[[#This Row],[Flow_Py]],"N.A.")</f>
        <v/>
      </c>
      <c r="AH75" s="272">
        <f>Tab_Data_Flows[[#This Row],[UoM_Flow_Py]]</f>
        <v/>
      </c>
      <c r="AI75" s="190">
        <f>INDEX(Tab_Def_Flows[[Flow_ID]:[CC_DM_source]],MATCH(Tab_Data_Flows[[#This Row],[Name(EN)]],Tab_Def_Flows[Name(EN)],0),17)</f>
        <v/>
      </c>
      <c r="AJ75" s="272">
        <f>IF(L75="Yes",AI75*Tab_Data_Flows[[#This Row],[Flow_Py]]*Tab_Data_Flows[[#This Row],[DM_'[%']]],"N.A.")</f>
        <v/>
      </c>
      <c r="AK75" s="272">
        <f>Tab_Data_Flows[[#This Row],[UoM_Flow_Py]]</f>
        <v/>
      </c>
    </row>
    <row r="76">
      <c r="A76" s="296">
        <f>ROW()-1</f>
        <v/>
      </c>
      <c r="B76" s="272">
        <f>_xlfn.XLOOKUP(C76,Tab_Def_Flows[Name(EN)],Tab_Def_Flows[Flow_ID],,0,)</f>
        <v/>
      </c>
      <c r="C76" s="273" t="inlineStr">
        <is>
          <t>N.A.</t>
        </is>
      </c>
      <c r="D76" s="272" t="n"/>
      <c r="E76" s="272">
        <f>_xlfn.XLOOKUP(C76,Tab_Def_Flows[Name(EN)],Tab_Def_Flows[Output_Process],,0,)</f>
        <v/>
      </c>
      <c r="F76" s="272">
        <f>_xlfn.XLOOKUP(C76,Tab_Def_Flows[Name(EN)],Tab_Def_Flows[Process_ID_O],,0,)</f>
        <v/>
      </c>
      <c r="G76" s="272">
        <f>_xlfn.XLOOKUP(C76,Tab_Def_Flows[Name(EN)],Tab_Def_Flows[Input_Process],,0,)</f>
        <v/>
      </c>
      <c r="H76" s="17">
        <f>_xlfn.XLOOKUP(C76,Tab_Def_Flows[Name(EN)],Tab_Def_Flows[Process_ID_I],,0,)</f>
        <v/>
      </c>
      <c r="I76" s="272">
        <f>_xlfn.XLOOKUP(C76,Tab_Def_Flows[Name(EN)],#REF!,,0,)</f>
        <v/>
      </c>
      <c r="J76" s="272">
        <f>_xlfn.XLOOKUP(C76,Tab_Def_Flows[Name(EN)],Tab_Def_Flows[WC?],,0,)</f>
        <v/>
      </c>
      <c r="K76" s="272">
        <f>_xlfn.XLOOKUP(C76,Tab_Def_Flows[Name(EN)],Tab_Def_Flows[DM?],,0,)</f>
        <v/>
      </c>
      <c r="L76" s="272">
        <f>_xlfn.XLOOKUP(C76,Tab_Def_Flows[Name(EN)],Tab_Def_Flows[CC?],,0,)</f>
        <v/>
      </c>
      <c r="M76" s="273" t="n"/>
      <c r="N76" s="273" t="n"/>
      <c r="O76" s="48" t="n"/>
      <c r="P76" s="273" t="n"/>
      <c r="Q76" s="273" t="n"/>
      <c r="R76" s="273">
        <f>INDEX(#REF!,MATCH(Tab_Data_Flows[[#This Row],[Name(EN)]],#REF!,0),12)</f>
        <v/>
      </c>
      <c r="S76" s="273">
        <f>MATCH(Tab_Data_Flows[[#This Row],[Name(EN)]],#REF!,0)</f>
        <v/>
      </c>
      <c r="T76" s="273" t="n"/>
      <c r="U76" s="273" t="n"/>
      <c r="V76" s="273" t="n"/>
      <c r="W76" s="273" t="n"/>
      <c r="X76" s="273" t="inlineStr">
        <is>
          <t>No</t>
        </is>
      </c>
      <c r="Y76" s="273" t="n"/>
      <c r="Z76" s="273" t="n"/>
      <c r="AA76" s="35">
        <f>IF(X76="no",O76,O76*Y76)</f>
        <v/>
      </c>
      <c r="AB76" s="273" t="inlineStr">
        <is>
          <t>Mg</t>
        </is>
      </c>
      <c r="AC76" s="190">
        <f>INDEX(Tab_Def_Flows[[Flow_ID]:[CC_DM_source]],MATCH(Tab_Data_Flows[[#This Row],[Name(EN)]],Tab_Def_Flows[Name(EN)],0),13)</f>
        <v/>
      </c>
      <c r="AD76" s="272">
        <f>IF(J76="Yes",AA76*Tab_Data_Flows[[#This Row],[WC_'[%']]],"N.A.")</f>
        <v/>
      </c>
      <c r="AE76" s="272">
        <f>Tab_Data_Flows[[#This Row],[UoM_Flow_Py]]</f>
        <v/>
      </c>
      <c r="AF76" s="190">
        <f>INDEX(Tab_Def_Flows[[Flow_ID]:[CC_DM_source]],MATCH(Tab_Data_Flows[[#This Row],[Name(EN)]],Tab_Def_Flows[Name(EN)],0),15)</f>
        <v/>
      </c>
      <c r="AG76" s="272">
        <f>IF(K76="Yes",AF76*Tab_Data_Flows[[#This Row],[Flow_Py]],"N.A.")</f>
        <v/>
      </c>
      <c r="AH76" s="272">
        <f>Tab_Data_Flows[[#This Row],[UoM_Flow_Py]]</f>
        <v/>
      </c>
      <c r="AI76" s="190">
        <f>INDEX(Tab_Def_Flows[[Flow_ID]:[CC_DM_source]],MATCH(Tab_Data_Flows[[#This Row],[Name(EN)]],Tab_Def_Flows[Name(EN)],0),17)</f>
        <v/>
      </c>
      <c r="AJ76" s="272">
        <f>IF(L76="Yes",AI76*Tab_Data_Flows[[#This Row],[Flow_Py]]*Tab_Data_Flows[[#This Row],[DM_'[%']]],"N.A.")</f>
        <v/>
      </c>
      <c r="AK76" s="272">
        <f>Tab_Data_Flows[[#This Row],[UoM_Flow_Py]]</f>
        <v/>
      </c>
    </row>
    <row r="77">
      <c r="A77" s="296">
        <f>ROW()-1</f>
        <v/>
      </c>
      <c r="B77" s="272">
        <f>_xlfn.XLOOKUP(C77,Tab_Def_Flows[Name(EN)],Tab_Def_Flows[Flow_ID],,0,)</f>
        <v/>
      </c>
      <c r="C77" s="273" t="inlineStr">
        <is>
          <t>N.A.</t>
        </is>
      </c>
      <c r="D77" s="272" t="n"/>
      <c r="E77" s="272">
        <f>_xlfn.XLOOKUP(C77,Tab_Def_Flows[Name(EN)],Tab_Def_Flows[Output_Process],,0,)</f>
        <v/>
      </c>
      <c r="F77" s="272">
        <f>_xlfn.XLOOKUP(C77,Tab_Def_Flows[Name(EN)],Tab_Def_Flows[Process_ID_O],,0,)</f>
        <v/>
      </c>
      <c r="G77" s="272">
        <f>_xlfn.XLOOKUP(C77,Tab_Def_Flows[Name(EN)],Tab_Def_Flows[Input_Process],,0,)</f>
        <v/>
      </c>
      <c r="H77" s="17">
        <f>_xlfn.XLOOKUP(C77,Tab_Def_Flows[Name(EN)],Tab_Def_Flows[Process_ID_I],,0,)</f>
        <v/>
      </c>
      <c r="I77" s="272">
        <f>_xlfn.XLOOKUP(C77,Tab_Def_Flows[Name(EN)],#REF!,,0,)</f>
        <v/>
      </c>
      <c r="J77" s="272">
        <f>_xlfn.XLOOKUP(C77,Tab_Def_Flows[Name(EN)],Tab_Def_Flows[WC?],,0,)</f>
        <v/>
      </c>
      <c r="K77" s="272">
        <f>_xlfn.XLOOKUP(C77,Tab_Def_Flows[Name(EN)],Tab_Def_Flows[DM?],,0,)</f>
        <v/>
      </c>
      <c r="L77" s="272">
        <f>_xlfn.XLOOKUP(C77,Tab_Def_Flows[Name(EN)],Tab_Def_Flows[CC?],,0,)</f>
        <v/>
      </c>
      <c r="M77" s="273" t="n"/>
      <c r="N77" s="273" t="n"/>
      <c r="O77" s="48" t="n"/>
      <c r="P77" s="273" t="n"/>
      <c r="Q77" s="273" t="n"/>
      <c r="R77" s="273">
        <f>INDEX(#REF!,MATCH(Tab_Data_Flows[[#This Row],[Name(EN)]],#REF!,0),12)</f>
        <v/>
      </c>
      <c r="S77" s="273">
        <f>MATCH(Tab_Data_Flows[[#This Row],[Name(EN)]],#REF!,0)</f>
        <v/>
      </c>
      <c r="T77" s="273" t="n"/>
      <c r="U77" s="273" t="n"/>
      <c r="V77" s="273" t="n"/>
      <c r="W77" s="273" t="n"/>
      <c r="X77" s="273" t="inlineStr">
        <is>
          <t>No</t>
        </is>
      </c>
      <c r="Y77" s="273" t="n"/>
      <c r="Z77" s="273" t="n"/>
      <c r="AA77" s="35">
        <f>IF(X77="no",O77,O77*Y77)</f>
        <v/>
      </c>
      <c r="AB77" s="273" t="inlineStr">
        <is>
          <t>Mg</t>
        </is>
      </c>
      <c r="AC77" s="190">
        <f>INDEX(Tab_Def_Flows[[Flow_ID]:[CC_DM_source]],MATCH(Tab_Data_Flows[[#This Row],[Name(EN)]],Tab_Def_Flows[Name(EN)],0),13)</f>
        <v/>
      </c>
      <c r="AD77" s="272">
        <f>IF(J77="Yes",AA77*Tab_Data_Flows[[#This Row],[WC_'[%']]],"N.A.")</f>
        <v/>
      </c>
      <c r="AE77" s="272">
        <f>Tab_Data_Flows[[#This Row],[UoM_Flow_Py]]</f>
        <v/>
      </c>
      <c r="AF77" s="190">
        <f>INDEX(Tab_Def_Flows[[Flow_ID]:[CC_DM_source]],MATCH(Tab_Data_Flows[[#This Row],[Name(EN)]],Tab_Def_Flows[Name(EN)],0),15)</f>
        <v/>
      </c>
      <c r="AG77" s="272">
        <f>IF(K77="Yes",AF77*Tab_Data_Flows[[#This Row],[Flow_Py]],"N.A.")</f>
        <v/>
      </c>
      <c r="AH77" s="272">
        <f>Tab_Data_Flows[[#This Row],[UoM_Flow_Py]]</f>
        <v/>
      </c>
      <c r="AI77" s="190">
        <f>INDEX(Tab_Def_Flows[[Flow_ID]:[CC_DM_source]],MATCH(Tab_Data_Flows[[#This Row],[Name(EN)]],Tab_Def_Flows[Name(EN)],0),17)</f>
        <v/>
      </c>
      <c r="AJ77" s="272">
        <f>IF(L77="Yes",AI77*Tab_Data_Flows[[#This Row],[Flow_Py]]*Tab_Data_Flows[[#This Row],[DM_'[%']]],"N.A.")</f>
        <v/>
      </c>
      <c r="AK77" s="272">
        <f>Tab_Data_Flows[[#This Row],[UoM_Flow_Py]]</f>
        <v/>
      </c>
    </row>
    <row r="78">
      <c r="A78" s="296">
        <f>ROW()-1</f>
        <v/>
      </c>
      <c r="B78" s="272">
        <f>_xlfn.XLOOKUP(C78,Tab_Def_Flows[Name(EN)],Tab_Def_Flows[Flow_ID],,0,)</f>
        <v/>
      </c>
      <c r="C78" s="273" t="inlineStr">
        <is>
          <t>N.A.</t>
        </is>
      </c>
      <c r="D78" s="272" t="n"/>
      <c r="E78" s="272">
        <f>_xlfn.XLOOKUP(C78,Tab_Def_Flows[Name(EN)],Tab_Def_Flows[Output_Process],,0,)</f>
        <v/>
      </c>
      <c r="F78" s="272">
        <f>_xlfn.XLOOKUP(C78,Tab_Def_Flows[Name(EN)],Tab_Def_Flows[Process_ID_O],,0,)</f>
        <v/>
      </c>
      <c r="G78" s="272">
        <f>_xlfn.XLOOKUP(C78,Tab_Def_Flows[Name(EN)],Tab_Def_Flows[Input_Process],,0,)</f>
        <v/>
      </c>
      <c r="H78" s="17">
        <f>_xlfn.XLOOKUP(C78,Tab_Def_Flows[Name(EN)],Tab_Def_Flows[Process_ID_I],,0,)</f>
        <v/>
      </c>
      <c r="I78" s="272">
        <f>_xlfn.XLOOKUP(C78,Tab_Def_Flows[Name(EN)],#REF!,,0,)</f>
        <v/>
      </c>
      <c r="J78" s="272">
        <f>_xlfn.XLOOKUP(C78,Tab_Def_Flows[Name(EN)],Tab_Def_Flows[WC?],,0,)</f>
        <v/>
      </c>
      <c r="K78" s="272">
        <f>_xlfn.XLOOKUP(C78,Tab_Def_Flows[Name(EN)],Tab_Def_Flows[DM?],,0,)</f>
        <v/>
      </c>
      <c r="L78" s="272">
        <f>_xlfn.XLOOKUP(C78,Tab_Def_Flows[Name(EN)],Tab_Def_Flows[CC?],,0,)</f>
        <v/>
      </c>
      <c r="M78" s="273" t="n"/>
      <c r="N78" s="273" t="n"/>
      <c r="O78" s="48" t="n"/>
      <c r="P78" s="273" t="n"/>
      <c r="Q78" s="273" t="n"/>
      <c r="R78" s="273">
        <f>INDEX(#REF!,MATCH(Tab_Data_Flows[[#This Row],[Name(EN)]],#REF!,0),12)</f>
        <v/>
      </c>
      <c r="S78" s="273">
        <f>MATCH(Tab_Data_Flows[[#This Row],[Name(EN)]],#REF!,0)</f>
        <v/>
      </c>
      <c r="T78" s="273" t="n"/>
      <c r="U78" s="273" t="n"/>
      <c r="V78" s="273" t="n"/>
      <c r="W78" s="273" t="n"/>
      <c r="X78" s="273" t="inlineStr">
        <is>
          <t>No</t>
        </is>
      </c>
      <c r="Y78" s="273" t="n"/>
      <c r="Z78" s="273" t="n"/>
      <c r="AA78" s="35">
        <f>IF(X78="no",O78,O78*Y78)</f>
        <v/>
      </c>
      <c r="AB78" s="273" t="inlineStr">
        <is>
          <t>Mg</t>
        </is>
      </c>
      <c r="AC78" s="190">
        <f>INDEX(Tab_Def_Flows[[Flow_ID]:[CC_DM_source]],MATCH(Tab_Data_Flows[[#This Row],[Name(EN)]],Tab_Def_Flows[Name(EN)],0),13)</f>
        <v/>
      </c>
      <c r="AD78" s="272">
        <f>IF(J78="Yes",AA78*Tab_Data_Flows[[#This Row],[WC_'[%']]],"N.A.")</f>
        <v/>
      </c>
      <c r="AE78" s="272">
        <f>Tab_Data_Flows[[#This Row],[UoM_Flow_Py]]</f>
        <v/>
      </c>
      <c r="AF78" s="190">
        <f>INDEX(Tab_Def_Flows[[Flow_ID]:[CC_DM_source]],MATCH(Tab_Data_Flows[[#This Row],[Name(EN)]],Tab_Def_Flows[Name(EN)],0),15)</f>
        <v/>
      </c>
      <c r="AG78" s="272">
        <f>IF(K78="Yes",AF78*Tab_Data_Flows[[#This Row],[Flow_Py]],"N.A.")</f>
        <v/>
      </c>
      <c r="AH78" s="272">
        <f>Tab_Data_Flows[[#This Row],[UoM_Flow_Py]]</f>
        <v/>
      </c>
      <c r="AI78" s="190">
        <f>INDEX(Tab_Def_Flows[[Flow_ID]:[CC_DM_source]],MATCH(Tab_Data_Flows[[#This Row],[Name(EN)]],Tab_Def_Flows[Name(EN)],0),17)</f>
        <v/>
      </c>
      <c r="AJ78" s="272">
        <f>IF(L78="Yes",AI78*Tab_Data_Flows[[#This Row],[Flow_Py]]*Tab_Data_Flows[[#This Row],[DM_'[%']]],"N.A.")</f>
        <v/>
      </c>
      <c r="AK78" s="272">
        <f>Tab_Data_Flows[[#This Row],[UoM_Flow_Py]]</f>
        <v/>
      </c>
    </row>
    <row r="79">
      <c r="A79" s="296">
        <f>ROW()-1</f>
        <v/>
      </c>
      <c r="B79" s="272">
        <f>_xlfn.XLOOKUP(C79,Tab_Def_Flows[Name(EN)],Tab_Def_Flows[Flow_ID],,0,)</f>
        <v/>
      </c>
      <c r="C79" s="273" t="inlineStr">
        <is>
          <t>N.A.</t>
        </is>
      </c>
      <c r="D79" s="272" t="n"/>
      <c r="E79" s="272">
        <f>_xlfn.XLOOKUP(C79,Tab_Def_Flows[Name(EN)],Tab_Def_Flows[Output_Process],,0,)</f>
        <v/>
      </c>
      <c r="F79" s="272">
        <f>_xlfn.XLOOKUP(C79,Tab_Def_Flows[Name(EN)],Tab_Def_Flows[Process_ID_O],,0,)</f>
        <v/>
      </c>
      <c r="G79" s="272">
        <f>_xlfn.XLOOKUP(C79,Tab_Def_Flows[Name(EN)],Tab_Def_Flows[Input_Process],,0,)</f>
        <v/>
      </c>
      <c r="H79" s="17">
        <f>_xlfn.XLOOKUP(C79,Tab_Def_Flows[Name(EN)],Tab_Def_Flows[Process_ID_I],,0,)</f>
        <v/>
      </c>
      <c r="I79" s="272">
        <f>_xlfn.XLOOKUP(C79,Tab_Def_Flows[Name(EN)],#REF!,,0,)</f>
        <v/>
      </c>
      <c r="J79" s="272">
        <f>_xlfn.XLOOKUP(C79,Tab_Def_Flows[Name(EN)],Tab_Def_Flows[WC?],,0,)</f>
        <v/>
      </c>
      <c r="K79" s="272">
        <f>_xlfn.XLOOKUP(C79,Tab_Def_Flows[Name(EN)],Tab_Def_Flows[DM?],,0,)</f>
        <v/>
      </c>
      <c r="L79" s="272">
        <f>_xlfn.XLOOKUP(C79,Tab_Def_Flows[Name(EN)],Tab_Def_Flows[CC?],,0,)</f>
        <v/>
      </c>
      <c r="M79" s="273" t="n"/>
      <c r="N79" s="273" t="n"/>
      <c r="O79" s="48" t="n"/>
      <c r="P79" s="273" t="n"/>
      <c r="Q79" s="273" t="n"/>
      <c r="R79" s="273">
        <f>INDEX(#REF!,MATCH(Tab_Data_Flows[[#This Row],[Name(EN)]],#REF!,0),12)</f>
        <v/>
      </c>
      <c r="S79" s="273">
        <f>MATCH(Tab_Data_Flows[[#This Row],[Name(EN)]],#REF!,0)</f>
        <v/>
      </c>
      <c r="T79" s="273" t="n"/>
      <c r="U79" s="273" t="n"/>
      <c r="V79" s="273" t="n"/>
      <c r="W79" s="273" t="n"/>
      <c r="X79" s="273" t="inlineStr">
        <is>
          <t>No</t>
        </is>
      </c>
      <c r="Y79" s="273" t="n"/>
      <c r="Z79" s="273" t="n"/>
      <c r="AA79" s="35">
        <f>IF(X79="no",O79,O79*Y79)</f>
        <v/>
      </c>
      <c r="AB79" s="273" t="inlineStr">
        <is>
          <t>Mg</t>
        </is>
      </c>
      <c r="AC79" s="190">
        <f>INDEX(Tab_Def_Flows[[Flow_ID]:[CC_DM_source]],MATCH(Tab_Data_Flows[[#This Row],[Name(EN)]],Tab_Def_Flows[Name(EN)],0),13)</f>
        <v/>
      </c>
      <c r="AD79" s="272">
        <f>IF(J79="Yes",AA79*Tab_Data_Flows[[#This Row],[WC_'[%']]],"N.A.")</f>
        <v/>
      </c>
      <c r="AE79" s="272">
        <f>Tab_Data_Flows[[#This Row],[UoM_Flow_Py]]</f>
        <v/>
      </c>
      <c r="AF79" s="190">
        <f>INDEX(Tab_Def_Flows[[Flow_ID]:[CC_DM_source]],MATCH(Tab_Data_Flows[[#This Row],[Name(EN)]],Tab_Def_Flows[Name(EN)],0),15)</f>
        <v/>
      </c>
      <c r="AG79" s="272">
        <f>IF(K79="Yes",AF79*Tab_Data_Flows[[#This Row],[Flow_Py]],"N.A.")</f>
        <v/>
      </c>
      <c r="AH79" s="272">
        <f>Tab_Data_Flows[[#This Row],[UoM_Flow_Py]]</f>
        <v/>
      </c>
      <c r="AI79" s="190">
        <f>INDEX(Tab_Def_Flows[[Flow_ID]:[CC_DM_source]],MATCH(Tab_Data_Flows[[#This Row],[Name(EN)]],Tab_Def_Flows[Name(EN)],0),17)</f>
        <v/>
      </c>
      <c r="AJ79" s="272">
        <f>IF(L79="Yes",AI79*Tab_Data_Flows[[#This Row],[Flow_Py]]*Tab_Data_Flows[[#This Row],[DM_'[%']]],"N.A.")</f>
        <v/>
      </c>
      <c r="AK79" s="272">
        <f>Tab_Data_Flows[[#This Row],[UoM_Flow_Py]]</f>
        <v/>
      </c>
    </row>
    <row r="80">
      <c r="A80" s="296">
        <f>ROW()-1</f>
        <v/>
      </c>
      <c r="B80" s="272">
        <f>_xlfn.XLOOKUP(C80,Tab_Def_Flows[Name(EN)],Tab_Def_Flows[Flow_ID],,0,)</f>
        <v/>
      </c>
      <c r="C80" s="273" t="inlineStr">
        <is>
          <t>N.A.</t>
        </is>
      </c>
      <c r="D80" s="272" t="n"/>
      <c r="E80" s="272">
        <f>_xlfn.XLOOKUP(C80,Tab_Def_Flows[Name(EN)],Tab_Def_Flows[Output_Process],,0,)</f>
        <v/>
      </c>
      <c r="F80" s="272">
        <f>_xlfn.XLOOKUP(C80,Tab_Def_Flows[Name(EN)],Tab_Def_Flows[Process_ID_O],,0,)</f>
        <v/>
      </c>
      <c r="G80" s="272">
        <f>_xlfn.XLOOKUP(C80,Tab_Def_Flows[Name(EN)],Tab_Def_Flows[Input_Process],,0,)</f>
        <v/>
      </c>
      <c r="H80" s="17">
        <f>_xlfn.XLOOKUP(C80,Tab_Def_Flows[Name(EN)],Tab_Def_Flows[Process_ID_I],,0,)</f>
        <v/>
      </c>
      <c r="I80" s="272">
        <f>_xlfn.XLOOKUP(C80,Tab_Def_Flows[Name(EN)],#REF!,,0,)</f>
        <v/>
      </c>
      <c r="J80" s="272">
        <f>_xlfn.XLOOKUP(C80,Tab_Def_Flows[Name(EN)],Tab_Def_Flows[WC?],,0,)</f>
        <v/>
      </c>
      <c r="K80" s="272">
        <f>_xlfn.XLOOKUP(C80,Tab_Def_Flows[Name(EN)],Tab_Def_Flows[DM?],,0,)</f>
        <v/>
      </c>
      <c r="L80" s="272">
        <f>_xlfn.XLOOKUP(C80,Tab_Def_Flows[Name(EN)],Tab_Def_Flows[CC?],,0,)</f>
        <v/>
      </c>
      <c r="M80" s="273" t="n"/>
      <c r="N80" s="273" t="n"/>
      <c r="O80" s="48" t="n"/>
      <c r="P80" s="273" t="n"/>
      <c r="Q80" s="273" t="n"/>
      <c r="R80" s="273">
        <f>INDEX(#REF!,MATCH(Tab_Data_Flows[[#This Row],[Name(EN)]],#REF!,0),12)</f>
        <v/>
      </c>
      <c r="S80" s="273">
        <f>MATCH(Tab_Data_Flows[[#This Row],[Name(EN)]],#REF!,0)</f>
        <v/>
      </c>
      <c r="T80" s="273" t="n"/>
      <c r="U80" s="273" t="n"/>
      <c r="V80" s="273" t="n"/>
      <c r="W80" s="273" t="n"/>
      <c r="X80" s="273" t="inlineStr">
        <is>
          <t>No</t>
        </is>
      </c>
      <c r="Y80" s="273" t="n"/>
      <c r="Z80" s="273" t="n"/>
      <c r="AA80" s="35">
        <f>IF(X80="no",O80,O80*Y80)</f>
        <v/>
      </c>
      <c r="AB80" s="273" t="inlineStr">
        <is>
          <t>Mg</t>
        </is>
      </c>
      <c r="AC80" s="190">
        <f>INDEX(Tab_Def_Flows[[Flow_ID]:[CC_DM_source]],MATCH(Tab_Data_Flows[[#This Row],[Name(EN)]],Tab_Def_Flows[Name(EN)],0),13)</f>
        <v/>
      </c>
      <c r="AD80" s="272">
        <f>IF(J80="Yes",AA80*Tab_Data_Flows[[#This Row],[WC_'[%']]],"N.A.")</f>
        <v/>
      </c>
      <c r="AE80" s="272">
        <f>Tab_Data_Flows[[#This Row],[UoM_Flow_Py]]</f>
        <v/>
      </c>
      <c r="AF80" s="190">
        <f>INDEX(Tab_Def_Flows[[Flow_ID]:[CC_DM_source]],MATCH(Tab_Data_Flows[[#This Row],[Name(EN)]],Tab_Def_Flows[Name(EN)],0),15)</f>
        <v/>
      </c>
      <c r="AG80" s="272">
        <f>IF(K80="Yes",AF80*Tab_Data_Flows[[#This Row],[Flow_Py]],"N.A.")</f>
        <v/>
      </c>
      <c r="AH80" s="272">
        <f>Tab_Data_Flows[[#This Row],[UoM_Flow_Py]]</f>
        <v/>
      </c>
      <c r="AI80" s="190">
        <f>INDEX(Tab_Def_Flows[[Flow_ID]:[CC_DM_source]],MATCH(Tab_Data_Flows[[#This Row],[Name(EN)]],Tab_Def_Flows[Name(EN)],0),17)</f>
        <v/>
      </c>
      <c r="AJ80" s="272">
        <f>IF(L80="Yes",AI80*Tab_Data_Flows[[#This Row],[Flow_Py]]*Tab_Data_Flows[[#This Row],[DM_'[%']]],"N.A.")</f>
        <v/>
      </c>
      <c r="AK80" s="272">
        <f>Tab_Data_Flows[[#This Row],[UoM_Flow_Py]]</f>
        <v/>
      </c>
    </row>
    <row r="81">
      <c r="A81" s="296">
        <f>ROW()-1</f>
        <v/>
      </c>
      <c r="B81" s="272">
        <f>_xlfn.XLOOKUP(C81,Tab_Def_Flows[Name(EN)],Tab_Def_Flows[Flow_ID],,0,)</f>
        <v/>
      </c>
      <c r="C81" s="273" t="inlineStr">
        <is>
          <t>N.A.</t>
        </is>
      </c>
      <c r="D81" s="272" t="n"/>
      <c r="E81" s="272">
        <f>_xlfn.XLOOKUP(C81,Tab_Def_Flows[Name(EN)],Tab_Def_Flows[Output_Process],,0,)</f>
        <v/>
      </c>
      <c r="F81" s="272">
        <f>_xlfn.XLOOKUP(C81,Tab_Def_Flows[Name(EN)],Tab_Def_Flows[Process_ID_O],,0,)</f>
        <v/>
      </c>
      <c r="G81" s="272">
        <f>_xlfn.XLOOKUP(C81,Tab_Def_Flows[Name(EN)],Tab_Def_Flows[Input_Process],,0,)</f>
        <v/>
      </c>
      <c r="H81" s="17">
        <f>_xlfn.XLOOKUP(C81,Tab_Def_Flows[Name(EN)],Tab_Def_Flows[Process_ID_I],,0,)</f>
        <v/>
      </c>
      <c r="I81" s="272">
        <f>_xlfn.XLOOKUP(C81,Tab_Def_Flows[Name(EN)],#REF!,,0,)</f>
        <v/>
      </c>
      <c r="J81" s="272">
        <f>_xlfn.XLOOKUP(C81,Tab_Def_Flows[Name(EN)],Tab_Def_Flows[WC?],,0,)</f>
        <v/>
      </c>
      <c r="K81" s="272">
        <f>_xlfn.XLOOKUP(C81,Tab_Def_Flows[Name(EN)],Tab_Def_Flows[DM?],,0,)</f>
        <v/>
      </c>
      <c r="L81" s="272">
        <f>_xlfn.XLOOKUP(C81,Tab_Def_Flows[Name(EN)],Tab_Def_Flows[CC?],,0,)</f>
        <v/>
      </c>
      <c r="M81" s="273" t="n"/>
      <c r="N81" s="273" t="n"/>
      <c r="O81" s="48" t="n"/>
      <c r="P81" s="273" t="n"/>
      <c r="Q81" s="273" t="n"/>
      <c r="R81" s="273">
        <f>INDEX(#REF!,MATCH(Tab_Data_Flows[[#This Row],[Name(EN)]],#REF!,0),12)</f>
        <v/>
      </c>
      <c r="S81" s="273">
        <f>MATCH(Tab_Data_Flows[[#This Row],[Name(EN)]],#REF!,0)</f>
        <v/>
      </c>
      <c r="T81" s="273" t="n"/>
      <c r="U81" s="273" t="n"/>
      <c r="V81" s="273" t="n"/>
      <c r="W81" s="273" t="n"/>
      <c r="X81" s="273" t="inlineStr">
        <is>
          <t>No</t>
        </is>
      </c>
      <c r="Y81" s="273" t="n"/>
      <c r="Z81" s="273" t="n"/>
      <c r="AA81" s="35">
        <f>IF(X81="no",O81,O81*Y81)</f>
        <v/>
      </c>
      <c r="AB81" s="273" t="inlineStr">
        <is>
          <t>Mg</t>
        </is>
      </c>
      <c r="AC81" s="190">
        <f>INDEX(Tab_Def_Flows[[Flow_ID]:[CC_DM_source]],MATCH(Tab_Data_Flows[[#This Row],[Name(EN)]],Tab_Def_Flows[Name(EN)],0),13)</f>
        <v/>
      </c>
      <c r="AD81" s="272">
        <f>IF(J81="Yes",AA81*Tab_Data_Flows[[#This Row],[WC_'[%']]],"N.A.")</f>
        <v/>
      </c>
      <c r="AE81" s="272">
        <f>Tab_Data_Flows[[#This Row],[UoM_Flow_Py]]</f>
        <v/>
      </c>
      <c r="AF81" s="190">
        <f>INDEX(Tab_Def_Flows[[Flow_ID]:[CC_DM_source]],MATCH(Tab_Data_Flows[[#This Row],[Name(EN)]],Tab_Def_Flows[Name(EN)],0),15)</f>
        <v/>
      </c>
      <c r="AG81" s="272">
        <f>IF(K81="Yes",AF81*Tab_Data_Flows[[#This Row],[Flow_Py]],"N.A.")</f>
        <v/>
      </c>
      <c r="AH81" s="272">
        <f>Tab_Data_Flows[[#This Row],[UoM_Flow_Py]]</f>
        <v/>
      </c>
      <c r="AI81" s="190">
        <f>INDEX(Tab_Def_Flows[[Flow_ID]:[CC_DM_source]],MATCH(Tab_Data_Flows[[#This Row],[Name(EN)]],Tab_Def_Flows[Name(EN)],0),17)</f>
        <v/>
      </c>
      <c r="AJ81" s="272">
        <f>IF(L81="Yes",AI81*Tab_Data_Flows[[#This Row],[Flow_Py]]*Tab_Data_Flows[[#This Row],[DM_'[%']]],"N.A.")</f>
        <v/>
      </c>
      <c r="AK81" s="272">
        <f>Tab_Data_Flows[[#This Row],[UoM_Flow_Py]]</f>
        <v/>
      </c>
    </row>
    <row r="82">
      <c r="A82" s="296">
        <f>ROW()-1</f>
        <v/>
      </c>
      <c r="B82" s="272">
        <f>_xlfn.XLOOKUP(C82,Tab_Def_Flows[Name(EN)],Tab_Def_Flows[Flow_ID],,0,)</f>
        <v/>
      </c>
      <c r="C82" s="273" t="inlineStr">
        <is>
          <t>N.A.</t>
        </is>
      </c>
      <c r="D82" s="272" t="n"/>
      <c r="E82" s="272">
        <f>_xlfn.XLOOKUP(C82,Tab_Def_Flows[Name(EN)],Tab_Def_Flows[Output_Process],,0,)</f>
        <v/>
      </c>
      <c r="F82" s="272">
        <f>_xlfn.XLOOKUP(C82,Tab_Def_Flows[Name(EN)],Tab_Def_Flows[Process_ID_O],,0,)</f>
        <v/>
      </c>
      <c r="G82" s="272">
        <f>_xlfn.XLOOKUP(C82,Tab_Def_Flows[Name(EN)],Tab_Def_Flows[Input_Process],,0,)</f>
        <v/>
      </c>
      <c r="H82" s="17">
        <f>_xlfn.XLOOKUP(C82,Tab_Def_Flows[Name(EN)],Tab_Def_Flows[Process_ID_I],,0,)</f>
        <v/>
      </c>
      <c r="I82" s="272">
        <f>_xlfn.XLOOKUP(C82,Tab_Def_Flows[Name(EN)],#REF!,,0,)</f>
        <v/>
      </c>
      <c r="J82" s="272">
        <f>_xlfn.XLOOKUP(C82,Tab_Def_Flows[Name(EN)],Tab_Def_Flows[WC?],,0,)</f>
        <v/>
      </c>
      <c r="K82" s="272">
        <f>_xlfn.XLOOKUP(C82,Tab_Def_Flows[Name(EN)],Tab_Def_Flows[DM?],,0,)</f>
        <v/>
      </c>
      <c r="L82" s="272">
        <f>_xlfn.XLOOKUP(C82,Tab_Def_Flows[Name(EN)],Tab_Def_Flows[CC?],,0,)</f>
        <v/>
      </c>
      <c r="M82" s="273" t="n"/>
      <c r="N82" s="273" t="n"/>
      <c r="O82" s="48" t="n"/>
      <c r="P82" s="273" t="n"/>
      <c r="Q82" s="273" t="n"/>
      <c r="R82" s="273">
        <f>INDEX(#REF!,MATCH(Tab_Data_Flows[[#This Row],[Name(EN)]],#REF!,0),12)</f>
        <v/>
      </c>
      <c r="S82" s="273">
        <f>MATCH(Tab_Data_Flows[[#This Row],[Name(EN)]],#REF!,0)</f>
        <v/>
      </c>
      <c r="T82" s="273" t="n"/>
      <c r="U82" s="273" t="n"/>
      <c r="V82" s="273" t="n"/>
      <c r="W82" s="273" t="n"/>
      <c r="X82" s="273" t="inlineStr">
        <is>
          <t>No</t>
        </is>
      </c>
      <c r="Y82" s="273" t="n"/>
      <c r="Z82" s="273" t="n"/>
      <c r="AA82" s="35">
        <f>IF(X82="no",O82,O82*Y82)</f>
        <v/>
      </c>
      <c r="AB82" s="273" t="inlineStr">
        <is>
          <t>Mg</t>
        </is>
      </c>
      <c r="AC82" s="190">
        <f>INDEX(Tab_Def_Flows[[Flow_ID]:[CC_DM_source]],MATCH(Tab_Data_Flows[[#This Row],[Name(EN)]],Tab_Def_Flows[Name(EN)],0),13)</f>
        <v/>
      </c>
      <c r="AD82" s="272">
        <f>IF(J82="Yes",AA82*Tab_Data_Flows[[#This Row],[WC_'[%']]],"N.A.")</f>
        <v/>
      </c>
      <c r="AE82" s="272">
        <f>Tab_Data_Flows[[#This Row],[UoM_Flow_Py]]</f>
        <v/>
      </c>
      <c r="AF82" s="190">
        <f>INDEX(Tab_Def_Flows[[Flow_ID]:[CC_DM_source]],MATCH(Tab_Data_Flows[[#This Row],[Name(EN)]],Tab_Def_Flows[Name(EN)],0),15)</f>
        <v/>
      </c>
      <c r="AG82" s="272">
        <f>IF(K82="Yes",AF82*Tab_Data_Flows[[#This Row],[Flow_Py]],"N.A.")</f>
        <v/>
      </c>
      <c r="AH82" s="272">
        <f>Tab_Data_Flows[[#This Row],[UoM_Flow_Py]]</f>
        <v/>
      </c>
      <c r="AI82" s="190">
        <f>INDEX(Tab_Def_Flows[[Flow_ID]:[CC_DM_source]],MATCH(Tab_Data_Flows[[#This Row],[Name(EN)]],Tab_Def_Flows[Name(EN)],0),17)</f>
        <v/>
      </c>
      <c r="AJ82" s="272">
        <f>IF(L82="Yes",AI82*Tab_Data_Flows[[#This Row],[Flow_Py]]*Tab_Data_Flows[[#This Row],[DM_'[%']]],"N.A.")</f>
        <v/>
      </c>
      <c r="AK82" s="272">
        <f>Tab_Data_Flows[[#This Row],[UoM_Flow_Py]]</f>
        <v/>
      </c>
    </row>
    <row r="83">
      <c r="A83" s="296">
        <f>ROW()-1</f>
        <v/>
      </c>
      <c r="B83" s="272">
        <f>_xlfn.XLOOKUP(C83,Tab_Def_Flows[Name(EN)],Tab_Def_Flows[Flow_ID],,0,)</f>
        <v/>
      </c>
      <c r="C83" s="273" t="inlineStr">
        <is>
          <t>N.A.</t>
        </is>
      </c>
      <c r="D83" s="272" t="n"/>
      <c r="E83" s="272">
        <f>_xlfn.XLOOKUP(C83,Tab_Def_Flows[Name(EN)],Tab_Def_Flows[Output_Process],,0,)</f>
        <v/>
      </c>
      <c r="F83" s="272">
        <f>_xlfn.XLOOKUP(C83,Tab_Def_Flows[Name(EN)],Tab_Def_Flows[Process_ID_O],,0,)</f>
        <v/>
      </c>
      <c r="G83" s="272">
        <f>_xlfn.XLOOKUP(C83,Tab_Def_Flows[Name(EN)],Tab_Def_Flows[Input_Process],,0,)</f>
        <v/>
      </c>
      <c r="H83" s="17">
        <f>_xlfn.XLOOKUP(C83,Tab_Def_Flows[Name(EN)],Tab_Def_Flows[Process_ID_I],,0,)</f>
        <v/>
      </c>
      <c r="I83" s="272">
        <f>_xlfn.XLOOKUP(C83,Tab_Def_Flows[Name(EN)],#REF!,,0,)</f>
        <v/>
      </c>
      <c r="J83" s="272">
        <f>_xlfn.XLOOKUP(C83,Tab_Def_Flows[Name(EN)],Tab_Def_Flows[WC?],,0,)</f>
        <v/>
      </c>
      <c r="K83" s="272">
        <f>_xlfn.XLOOKUP(C83,Tab_Def_Flows[Name(EN)],Tab_Def_Flows[DM?],,0,)</f>
        <v/>
      </c>
      <c r="L83" s="272">
        <f>_xlfn.XLOOKUP(C83,Tab_Def_Flows[Name(EN)],Tab_Def_Flows[CC?],,0,)</f>
        <v/>
      </c>
      <c r="M83" s="273" t="n"/>
      <c r="N83" s="273" t="n"/>
      <c r="O83" s="48" t="n"/>
      <c r="P83" s="273" t="n"/>
      <c r="Q83" s="273" t="n"/>
      <c r="R83" s="273">
        <f>INDEX(#REF!,MATCH(Tab_Data_Flows[[#This Row],[Name(EN)]],#REF!,0),12)</f>
        <v/>
      </c>
      <c r="S83" s="273">
        <f>MATCH(Tab_Data_Flows[[#This Row],[Name(EN)]],#REF!,0)</f>
        <v/>
      </c>
      <c r="T83" s="273" t="n"/>
      <c r="U83" s="273" t="n"/>
      <c r="V83" s="273" t="n"/>
      <c r="W83" s="273" t="n"/>
      <c r="X83" s="273" t="inlineStr">
        <is>
          <t>No</t>
        </is>
      </c>
      <c r="Y83" s="273" t="n"/>
      <c r="Z83" s="273" t="n"/>
      <c r="AA83" s="35">
        <f>IF(X83="no",O83,O83*Y83)</f>
        <v/>
      </c>
      <c r="AB83" s="273" t="inlineStr">
        <is>
          <t>Mg</t>
        </is>
      </c>
      <c r="AC83" s="190">
        <f>INDEX(Tab_Def_Flows[[Flow_ID]:[CC_DM_source]],MATCH(Tab_Data_Flows[[#This Row],[Name(EN)]],Tab_Def_Flows[Name(EN)],0),13)</f>
        <v/>
      </c>
      <c r="AD83" s="272">
        <f>IF(J83="Yes",AA83*Tab_Data_Flows[[#This Row],[WC_'[%']]],"N.A.")</f>
        <v/>
      </c>
      <c r="AE83" s="272">
        <f>Tab_Data_Flows[[#This Row],[UoM_Flow_Py]]</f>
        <v/>
      </c>
      <c r="AF83" s="190">
        <f>INDEX(Tab_Def_Flows[[Flow_ID]:[CC_DM_source]],MATCH(Tab_Data_Flows[[#This Row],[Name(EN)]],Tab_Def_Flows[Name(EN)],0),15)</f>
        <v/>
      </c>
      <c r="AG83" s="272">
        <f>IF(K83="Yes",AF83*Tab_Data_Flows[[#This Row],[Flow_Py]],"N.A.")</f>
        <v/>
      </c>
      <c r="AH83" s="272">
        <f>Tab_Data_Flows[[#This Row],[UoM_Flow_Py]]</f>
        <v/>
      </c>
      <c r="AI83" s="190">
        <f>INDEX(Tab_Def_Flows[[Flow_ID]:[CC_DM_source]],MATCH(Tab_Data_Flows[[#This Row],[Name(EN)]],Tab_Def_Flows[Name(EN)],0),17)</f>
        <v/>
      </c>
      <c r="AJ83" s="272">
        <f>IF(L83="Yes",AI83*Tab_Data_Flows[[#This Row],[Flow_Py]]*Tab_Data_Flows[[#This Row],[DM_'[%']]],"N.A.")</f>
        <v/>
      </c>
      <c r="AK83" s="272">
        <f>Tab_Data_Flows[[#This Row],[UoM_Flow_Py]]</f>
        <v/>
      </c>
    </row>
    <row r="84">
      <c r="A84" s="296">
        <f>ROW()-1</f>
        <v/>
      </c>
      <c r="B84" s="272">
        <f>_xlfn.XLOOKUP(C84,Tab_Def_Flows[Name(EN)],Tab_Def_Flows[Flow_ID],,0,)</f>
        <v/>
      </c>
      <c r="C84" s="273" t="inlineStr">
        <is>
          <t>N.A.</t>
        </is>
      </c>
      <c r="D84" s="272" t="n"/>
      <c r="E84" s="272">
        <f>_xlfn.XLOOKUP(C84,Tab_Def_Flows[Name(EN)],Tab_Def_Flows[Output_Process],,0,)</f>
        <v/>
      </c>
      <c r="F84" s="272">
        <f>_xlfn.XLOOKUP(C84,Tab_Def_Flows[Name(EN)],Tab_Def_Flows[Process_ID_O],,0,)</f>
        <v/>
      </c>
      <c r="G84" s="272">
        <f>_xlfn.XLOOKUP(C84,Tab_Def_Flows[Name(EN)],Tab_Def_Flows[Input_Process],,0,)</f>
        <v/>
      </c>
      <c r="H84" s="17">
        <f>_xlfn.XLOOKUP(C84,Tab_Def_Flows[Name(EN)],Tab_Def_Flows[Process_ID_I],,0,)</f>
        <v/>
      </c>
      <c r="I84" s="272">
        <f>_xlfn.XLOOKUP(C84,Tab_Def_Flows[Name(EN)],#REF!,,0,)</f>
        <v/>
      </c>
      <c r="J84" s="272">
        <f>_xlfn.XLOOKUP(C84,Tab_Def_Flows[Name(EN)],Tab_Def_Flows[WC?],,0,)</f>
        <v/>
      </c>
      <c r="K84" s="272">
        <f>_xlfn.XLOOKUP(C84,Tab_Def_Flows[Name(EN)],Tab_Def_Flows[DM?],,0,)</f>
        <v/>
      </c>
      <c r="L84" s="272">
        <f>_xlfn.XLOOKUP(C84,Tab_Def_Flows[Name(EN)],Tab_Def_Flows[CC?],,0,)</f>
        <v/>
      </c>
      <c r="M84" s="273" t="n"/>
      <c r="N84" s="273" t="n"/>
      <c r="O84" s="48" t="n"/>
      <c r="P84" s="273" t="n"/>
      <c r="Q84" s="273" t="n"/>
      <c r="R84" s="273">
        <f>INDEX(#REF!,MATCH(Tab_Data_Flows[[#This Row],[Name(EN)]],#REF!,0),12)</f>
        <v/>
      </c>
      <c r="S84" s="273">
        <f>MATCH(Tab_Data_Flows[[#This Row],[Name(EN)]],#REF!,0)</f>
        <v/>
      </c>
      <c r="T84" s="273" t="n"/>
      <c r="U84" s="273" t="n"/>
      <c r="V84" s="273" t="n"/>
      <c r="W84" s="273" t="n"/>
      <c r="X84" s="273" t="inlineStr">
        <is>
          <t>No</t>
        </is>
      </c>
      <c r="Y84" s="273" t="n"/>
      <c r="Z84" s="273" t="n"/>
      <c r="AA84" s="35">
        <f>IF(X84="no",O84,O84*Y84)</f>
        <v/>
      </c>
      <c r="AB84" s="273" t="inlineStr">
        <is>
          <t>Mg</t>
        </is>
      </c>
      <c r="AC84" s="190">
        <f>INDEX(Tab_Def_Flows[[Flow_ID]:[CC_DM_source]],MATCH(Tab_Data_Flows[[#This Row],[Name(EN)]],Tab_Def_Flows[Name(EN)],0),13)</f>
        <v/>
      </c>
      <c r="AD84" s="272">
        <f>IF(J84="Yes",AA84*Tab_Data_Flows[[#This Row],[WC_'[%']]],"N.A.")</f>
        <v/>
      </c>
      <c r="AE84" s="272">
        <f>Tab_Data_Flows[[#This Row],[UoM_Flow_Py]]</f>
        <v/>
      </c>
      <c r="AF84" s="190">
        <f>INDEX(Tab_Def_Flows[[Flow_ID]:[CC_DM_source]],MATCH(Tab_Data_Flows[[#This Row],[Name(EN)]],Tab_Def_Flows[Name(EN)],0),15)</f>
        <v/>
      </c>
      <c r="AG84" s="272">
        <f>IF(K84="Yes",AF84*Tab_Data_Flows[[#This Row],[Flow_Py]],"N.A.")</f>
        <v/>
      </c>
      <c r="AH84" s="272">
        <f>Tab_Data_Flows[[#This Row],[UoM_Flow_Py]]</f>
        <v/>
      </c>
      <c r="AI84" s="190">
        <f>INDEX(Tab_Def_Flows[[Flow_ID]:[CC_DM_source]],MATCH(Tab_Data_Flows[[#This Row],[Name(EN)]],Tab_Def_Flows[Name(EN)],0),17)</f>
        <v/>
      </c>
      <c r="AJ84" s="272">
        <f>IF(L84="Yes",AI84*Tab_Data_Flows[[#This Row],[Flow_Py]]*Tab_Data_Flows[[#This Row],[DM_'[%']]],"N.A.")</f>
        <v/>
      </c>
      <c r="AK84" s="272">
        <f>Tab_Data_Flows[[#This Row],[UoM_Flow_Py]]</f>
        <v/>
      </c>
    </row>
    <row r="85">
      <c r="A85" s="296">
        <f>ROW()-1</f>
        <v/>
      </c>
      <c r="B85" s="272">
        <f>_xlfn.XLOOKUP(C85,Tab_Def_Flows[Name(EN)],Tab_Def_Flows[Flow_ID],,0,)</f>
        <v/>
      </c>
      <c r="C85" s="273" t="inlineStr">
        <is>
          <t>N.A.</t>
        </is>
      </c>
      <c r="D85" s="272" t="n"/>
      <c r="E85" s="272">
        <f>_xlfn.XLOOKUP(C85,Tab_Def_Flows[Name(EN)],Tab_Def_Flows[Output_Process],,0,)</f>
        <v/>
      </c>
      <c r="F85" s="272">
        <f>_xlfn.XLOOKUP(C85,Tab_Def_Flows[Name(EN)],Tab_Def_Flows[Process_ID_O],,0,)</f>
        <v/>
      </c>
      <c r="G85" s="272">
        <f>_xlfn.XLOOKUP(C85,Tab_Def_Flows[Name(EN)],Tab_Def_Flows[Input_Process],,0,)</f>
        <v/>
      </c>
      <c r="H85" s="17">
        <f>_xlfn.XLOOKUP(C85,Tab_Def_Flows[Name(EN)],Tab_Def_Flows[Process_ID_I],,0,)</f>
        <v/>
      </c>
      <c r="I85" s="272">
        <f>_xlfn.XLOOKUP(C85,Tab_Def_Flows[Name(EN)],#REF!,,0,)</f>
        <v/>
      </c>
      <c r="J85" s="272">
        <f>_xlfn.XLOOKUP(C85,Tab_Def_Flows[Name(EN)],Tab_Def_Flows[WC?],,0,)</f>
        <v/>
      </c>
      <c r="K85" s="272">
        <f>_xlfn.XLOOKUP(C85,Tab_Def_Flows[Name(EN)],Tab_Def_Flows[DM?],,0,)</f>
        <v/>
      </c>
      <c r="L85" s="272">
        <f>_xlfn.XLOOKUP(C85,Tab_Def_Flows[Name(EN)],Tab_Def_Flows[CC?],,0,)</f>
        <v/>
      </c>
      <c r="M85" s="273" t="n"/>
      <c r="N85" s="273" t="n"/>
      <c r="O85" s="48" t="n"/>
      <c r="P85" s="273" t="n"/>
      <c r="Q85" s="273" t="n"/>
      <c r="R85" s="273">
        <f>INDEX(#REF!,MATCH(Tab_Data_Flows[[#This Row],[Name(EN)]],#REF!,0),12)</f>
        <v/>
      </c>
      <c r="S85" s="273">
        <f>MATCH(Tab_Data_Flows[[#This Row],[Name(EN)]],#REF!,0)</f>
        <v/>
      </c>
      <c r="T85" s="273" t="n"/>
      <c r="U85" s="273" t="n"/>
      <c r="V85" s="273" t="n"/>
      <c r="W85" s="273" t="n"/>
      <c r="X85" s="273" t="inlineStr">
        <is>
          <t>No</t>
        </is>
      </c>
      <c r="Y85" s="273" t="n"/>
      <c r="Z85" s="273" t="n"/>
      <c r="AA85" s="35">
        <f>IF(X85="no",O85,O85*Y85)</f>
        <v/>
      </c>
      <c r="AB85" s="273" t="inlineStr">
        <is>
          <t>Mg</t>
        </is>
      </c>
      <c r="AC85" s="190">
        <f>INDEX(Tab_Def_Flows[[Flow_ID]:[CC_DM_source]],MATCH(Tab_Data_Flows[[#This Row],[Name(EN)]],Tab_Def_Flows[Name(EN)],0),13)</f>
        <v/>
      </c>
      <c r="AD85" s="272">
        <f>IF(J85="Yes",AA85*Tab_Data_Flows[[#This Row],[WC_'[%']]],"N.A.")</f>
        <v/>
      </c>
      <c r="AE85" s="272">
        <f>Tab_Data_Flows[[#This Row],[UoM_Flow_Py]]</f>
        <v/>
      </c>
      <c r="AF85" s="190">
        <f>INDEX(Tab_Def_Flows[[Flow_ID]:[CC_DM_source]],MATCH(Tab_Data_Flows[[#This Row],[Name(EN)]],Tab_Def_Flows[Name(EN)],0),15)</f>
        <v/>
      </c>
      <c r="AG85" s="272">
        <f>IF(K85="Yes",AF85*Tab_Data_Flows[[#This Row],[Flow_Py]],"N.A.")</f>
        <v/>
      </c>
      <c r="AH85" s="272">
        <f>Tab_Data_Flows[[#This Row],[UoM_Flow_Py]]</f>
        <v/>
      </c>
      <c r="AI85" s="190">
        <f>INDEX(Tab_Def_Flows[[Flow_ID]:[CC_DM_source]],MATCH(Tab_Data_Flows[[#This Row],[Name(EN)]],Tab_Def_Flows[Name(EN)],0),17)</f>
        <v/>
      </c>
      <c r="AJ85" s="272">
        <f>IF(L85="Yes",AI85*Tab_Data_Flows[[#This Row],[Flow_Py]]*Tab_Data_Flows[[#This Row],[DM_'[%']]],"N.A.")</f>
        <v/>
      </c>
      <c r="AK85" s="272">
        <f>Tab_Data_Flows[[#This Row],[UoM_Flow_Py]]</f>
        <v/>
      </c>
    </row>
    <row r="86">
      <c r="A86" s="296">
        <f>ROW()-1</f>
        <v/>
      </c>
      <c r="B86" s="272">
        <f>_xlfn.XLOOKUP(C86,Tab_Def_Flows[Name(EN)],Tab_Def_Flows[Flow_ID],,0,)</f>
        <v/>
      </c>
      <c r="C86" s="273" t="inlineStr">
        <is>
          <t>N.A.</t>
        </is>
      </c>
      <c r="D86" s="272" t="n"/>
      <c r="E86" s="272">
        <f>_xlfn.XLOOKUP(C86,Tab_Def_Flows[Name(EN)],Tab_Def_Flows[Output_Process],,0,)</f>
        <v/>
      </c>
      <c r="F86" s="272">
        <f>_xlfn.XLOOKUP(C86,Tab_Def_Flows[Name(EN)],Tab_Def_Flows[Process_ID_O],,0,)</f>
        <v/>
      </c>
      <c r="G86" s="272">
        <f>_xlfn.XLOOKUP(C86,Tab_Def_Flows[Name(EN)],Tab_Def_Flows[Input_Process],,0,)</f>
        <v/>
      </c>
      <c r="H86" s="17">
        <f>_xlfn.XLOOKUP(C86,Tab_Def_Flows[Name(EN)],Tab_Def_Flows[Process_ID_I],,0,)</f>
        <v/>
      </c>
      <c r="I86" s="272">
        <f>_xlfn.XLOOKUP(C86,Tab_Def_Flows[Name(EN)],#REF!,,0,)</f>
        <v/>
      </c>
      <c r="J86" s="272">
        <f>_xlfn.XLOOKUP(C86,Tab_Def_Flows[Name(EN)],Tab_Def_Flows[WC?],,0,)</f>
        <v/>
      </c>
      <c r="K86" s="272">
        <f>_xlfn.XLOOKUP(C86,Tab_Def_Flows[Name(EN)],Tab_Def_Flows[DM?],,0,)</f>
        <v/>
      </c>
      <c r="L86" s="272">
        <f>_xlfn.XLOOKUP(C86,Tab_Def_Flows[Name(EN)],Tab_Def_Flows[CC?],,0,)</f>
        <v/>
      </c>
      <c r="M86" s="273" t="n"/>
      <c r="N86" s="273" t="n"/>
      <c r="O86" s="48" t="n"/>
      <c r="P86" s="273" t="n"/>
      <c r="Q86" s="273" t="n"/>
      <c r="R86" s="273">
        <f>INDEX(#REF!,MATCH(Tab_Data_Flows[[#This Row],[Name(EN)]],#REF!,0),12)</f>
        <v/>
      </c>
      <c r="S86" s="273">
        <f>MATCH(Tab_Data_Flows[[#This Row],[Name(EN)]],#REF!,0)</f>
        <v/>
      </c>
      <c r="T86" s="273" t="n"/>
      <c r="U86" s="273" t="n"/>
      <c r="V86" s="273" t="n"/>
      <c r="W86" s="273" t="n"/>
      <c r="X86" s="273" t="inlineStr">
        <is>
          <t>No</t>
        </is>
      </c>
      <c r="Y86" s="273" t="n"/>
      <c r="Z86" s="273" t="n"/>
      <c r="AA86" s="35">
        <f>IF(X86="no",O86,O86*Y86)</f>
        <v/>
      </c>
      <c r="AB86" s="273" t="inlineStr">
        <is>
          <t>Mg</t>
        </is>
      </c>
      <c r="AC86" s="190">
        <f>INDEX(Tab_Def_Flows[[Flow_ID]:[CC_DM_source]],MATCH(Tab_Data_Flows[[#This Row],[Name(EN)]],Tab_Def_Flows[Name(EN)],0),13)</f>
        <v/>
      </c>
      <c r="AD86" s="272">
        <f>IF(J86="Yes",AA86*Tab_Data_Flows[[#This Row],[WC_'[%']]],"N.A.")</f>
        <v/>
      </c>
      <c r="AE86" s="272">
        <f>Tab_Data_Flows[[#This Row],[UoM_Flow_Py]]</f>
        <v/>
      </c>
      <c r="AF86" s="190">
        <f>INDEX(Tab_Def_Flows[[Flow_ID]:[CC_DM_source]],MATCH(Tab_Data_Flows[[#This Row],[Name(EN)]],Tab_Def_Flows[Name(EN)],0),15)</f>
        <v/>
      </c>
      <c r="AG86" s="272">
        <f>IF(K86="Yes",AF86*Tab_Data_Flows[[#This Row],[Flow_Py]],"N.A.")</f>
        <v/>
      </c>
      <c r="AH86" s="272">
        <f>Tab_Data_Flows[[#This Row],[UoM_Flow_Py]]</f>
        <v/>
      </c>
      <c r="AI86" s="190">
        <f>INDEX(Tab_Def_Flows[[Flow_ID]:[CC_DM_source]],MATCH(Tab_Data_Flows[[#This Row],[Name(EN)]],Tab_Def_Flows[Name(EN)],0),17)</f>
        <v/>
      </c>
      <c r="AJ86" s="272">
        <f>IF(L86="Yes",AI86*Tab_Data_Flows[[#This Row],[Flow_Py]]*Tab_Data_Flows[[#This Row],[DM_'[%']]],"N.A.")</f>
        <v/>
      </c>
      <c r="AK86" s="272">
        <f>Tab_Data_Flows[[#This Row],[UoM_Flow_Py]]</f>
        <v/>
      </c>
    </row>
    <row r="87">
      <c r="A87" s="296">
        <f>ROW()-1</f>
        <v/>
      </c>
      <c r="B87" s="272">
        <f>_xlfn.XLOOKUP(C87,Tab_Def_Flows[Name(EN)],Tab_Def_Flows[Flow_ID],,0,)</f>
        <v/>
      </c>
      <c r="C87" s="273" t="inlineStr">
        <is>
          <t>N.A.</t>
        </is>
      </c>
      <c r="D87" s="272" t="n"/>
      <c r="E87" s="272">
        <f>_xlfn.XLOOKUP(C87,Tab_Def_Flows[Name(EN)],Tab_Def_Flows[Output_Process],,0,)</f>
        <v/>
      </c>
      <c r="F87" s="272">
        <f>_xlfn.XLOOKUP(C87,Tab_Def_Flows[Name(EN)],Tab_Def_Flows[Process_ID_O],,0,)</f>
        <v/>
      </c>
      <c r="G87" s="272">
        <f>_xlfn.XLOOKUP(C87,Tab_Def_Flows[Name(EN)],Tab_Def_Flows[Input_Process],,0,)</f>
        <v/>
      </c>
      <c r="H87" s="17">
        <f>_xlfn.XLOOKUP(C87,Tab_Def_Flows[Name(EN)],Tab_Def_Flows[Process_ID_I],,0,)</f>
        <v/>
      </c>
      <c r="I87" s="272">
        <f>_xlfn.XLOOKUP(C87,Tab_Def_Flows[Name(EN)],#REF!,,0,)</f>
        <v/>
      </c>
      <c r="J87" s="272">
        <f>_xlfn.XLOOKUP(C87,Tab_Def_Flows[Name(EN)],Tab_Def_Flows[WC?],,0,)</f>
        <v/>
      </c>
      <c r="K87" s="272">
        <f>_xlfn.XLOOKUP(C87,Tab_Def_Flows[Name(EN)],Tab_Def_Flows[DM?],,0,)</f>
        <v/>
      </c>
      <c r="L87" s="272">
        <f>_xlfn.XLOOKUP(C87,Tab_Def_Flows[Name(EN)],Tab_Def_Flows[CC?],,0,)</f>
        <v/>
      </c>
      <c r="M87" s="273" t="n"/>
      <c r="N87" s="273" t="n"/>
      <c r="O87" s="48" t="n"/>
      <c r="P87" s="273" t="n"/>
      <c r="Q87" s="273" t="n"/>
      <c r="R87" s="273">
        <f>INDEX(#REF!,MATCH(Tab_Data_Flows[[#This Row],[Name(EN)]],#REF!,0),12)</f>
        <v/>
      </c>
      <c r="S87" s="273">
        <f>MATCH(Tab_Data_Flows[[#This Row],[Name(EN)]],#REF!,0)</f>
        <v/>
      </c>
      <c r="T87" s="273" t="n"/>
      <c r="U87" s="273" t="n"/>
      <c r="V87" s="273" t="n"/>
      <c r="W87" s="273" t="n"/>
      <c r="X87" s="273" t="inlineStr">
        <is>
          <t>No</t>
        </is>
      </c>
      <c r="Y87" s="273" t="n"/>
      <c r="Z87" s="273" t="n"/>
      <c r="AA87" s="35">
        <f>IF(X87="no",O87,O87*Y87)</f>
        <v/>
      </c>
      <c r="AB87" s="273" t="inlineStr">
        <is>
          <t>Mg</t>
        </is>
      </c>
      <c r="AC87" s="190">
        <f>INDEX(Tab_Def_Flows[[Flow_ID]:[CC_DM_source]],MATCH(Tab_Data_Flows[[#This Row],[Name(EN)]],Tab_Def_Flows[Name(EN)],0),13)</f>
        <v/>
      </c>
      <c r="AD87" s="272">
        <f>IF(J87="Yes",AA87*Tab_Data_Flows[[#This Row],[WC_'[%']]],"N.A.")</f>
        <v/>
      </c>
      <c r="AE87" s="272">
        <f>Tab_Data_Flows[[#This Row],[UoM_Flow_Py]]</f>
        <v/>
      </c>
      <c r="AF87" s="190">
        <f>INDEX(Tab_Def_Flows[[Flow_ID]:[CC_DM_source]],MATCH(Tab_Data_Flows[[#This Row],[Name(EN)]],Tab_Def_Flows[Name(EN)],0),15)</f>
        <v/>
      </c>
      <c r="AG87" s="272">
        <f>IF(K87="Yes",AF87*Tab_Data_Flows[[#This Row],[Flow_Py]],"N.A.")</f>
        <v/>
      </c>
      <c r="AH87" s="272">
        <f>Tab_Data_Flows[[#This Row],[UoM_Flow_Py]]</f>
        <v/>
      </c>
      <c r="AI87" s="190">
        <f>INDEX(Tab_Def_Flows[[Flow_ID]:[CC_DM_source]],MATCH(Tab_Data_Flows[[#This Row],[Name(EN)]],Tab_Def_Flows[Name(EN)],0),17)</f>
        <v/>
      </c>
      <c r="AJ87" s="272">
        <f>IF(L87="Yes",AI87*Tab_Data_Flows[[#This Row],[Flow_Py]]*Tab_Data_Flows[[#This Row],[DM_'[%']]],"N.A.")</f>
        <v/>
      </c>
      <c r="AK87" s="272">
        <f>Tab_Data_Flows[[#This Row],[UoM_Flow_Py]]</f>
        <v/>
      </c>
    </row>
    <row r="88">
      <c r="A88" s="296">
        <f>ROW()-1</f>
        <v/>
      </c>
      <c r="B88" s="272">
        <f>_xlfn.XLOOKUP(C88,Tab_Def_Flows[Name(EN)],Tab_Def_Flows[Flow_ID],,0,)</f>
        <v/>
      </c>
      <c r="C88" s="273" t="inlineStr">
        <is>
          <t>N.A.</t>
        </is>
      </c>
      <c r="D88" s="272" t="n"/>
      <c r="E88" s="272">
        <f>_xlfn.XLOOKUP(C88,Tab_Def_Flows[Name(EN)],Tab_Def_Flows[Output_Process],,0,)</f>
        <v/>
      </c>
      <c r="F88" s="272">
        <f>_xlfn.XLOOKUP(C88,Tab_Def_Flows[Name(EN)],Tab_Def_Flows[Process_ID_O],,0,)</f>
        <v/>
      </c>
      <c r="G88" s="272">
        <f>_xlfn.XLOOKUP(C88,Tab_Def_Flows[Name(EN)],Tab_Def_Flows[Input_Process],,0,)</f>
        <v/>
      </c>
      <c r="H88" s="17">
        <f>_xlfn.XLOOKUP(C88,Tab_Def_Flows[Name(EN)],Tab_Def_Flows[Process_ID_I],,0,)</f>
        <v/>
      </c>
      <c r="I88" s="272">
        <f>_xlfn.XLOOKUP(C88,Tab_Def_Flows[Name(EN)],#REF!,,0,)</f>
        <v/>
      </c>
      <c r="J88" s="272">
        <f>_xlfn.XLOOKUP(C88,Tab_Def_Flows[Name(EN)],Tab_Def_Flows[WC?],,0,)</f>
        <v/>
      </c>
      <c r="K88" s="272">
        <f>_xlfn.XLOOKUP(C88,Tab_Def_Flows[Name(EN)],Tab_Def_Flows[DM?],,0,)</f>
        <v/>
      </c>
      <c r="L88" s="272">
        <f>_xlfn.XLOOKUP(C88,Tab_Def_Flows[Name(EN)],Tab_Def_Flows[CC?],,0,)</f>
        <v/>
      </c>
      <c r="M88" s="273" t="n"/>
      <c r="N88" s="273" t="n"/>
      <c r="O88" s="48" t="n"/>
      <c r="P88" s="273" t="n"/>
      <c r="Q88" s="273" t="n"/>
      <c r="R88" s="273">
        <f>INDEX(#REF!,MATCH(Tab_Data_Flows[[#This Row],[Name(EN)]],#REF!,0),12)</f>
        <v/>
      </c>
      <c r="S88" s="273">
        <f>MATCH(Tab_Data_Flows[[#This Row],[Name(EN)]],#REF!,0)</f>
        <v/>
      </c>
      <c r="T88" s="273" t="n"/>
      <c r="U88" s="273" t="n"/>
      <c r="V88" s="273" t="n"/>
      <c r="W88" s="273" t="n"/>
      <c r="X88" s="273" t="inlineStr">
        <is>
          <t>No</t>
        </is>
      </c>
      <c r="Y88" s="273" t="n"/>
      <c r="Z88" s="273" t="n"/>
      <c r="AA88" s="35">
        <f>IF(X88="no",O88,O88*Y88)</f>
        <v/>
      </c>
      <c r="AB88" s="273" t="inlineStr">
        <is>
          <t>Mg</t>
        </is>
      </c>
      <c r="AC88" s="190">
        <f>INDEX(Tab_Def_Flows[[Flow_ID]:[CC_DM_source]],MATCH(Tab_Data_Flows[[#This Row],[Name(EN)]],Tab_Def_Flows[Name(EN)],0),13)</f>
        <v/>
      </c>
      <c r="AD88" s="272">
        <f>IF(J88="Yes",AA88*Tab_Data_Flows[[#This Row],[WC_'[%']]],"N.A.")</f>
        <v/>
      </c>
      <c r="AE88" s="272">
        <f>Tab_Data_Flows[[#This Row],[UoM_Flow_Py]]</f>
        <v/>
      </c>
      <c r="AF88" s="190">
        <f>INDEX(Tab_Def_Flows[[Flow_ID]:[CC_DM_source]],MATCH(Tab_Data_Flows[[#This Row],[Name(EN)]],Tab_Def_Flows[Name(EN)],0),15)</f>
        <v/>
      </c>
      <c r="AG88" s="272">
        <f>IF(K88="Yes",AF88*Tab_Data_Flows[[#This Row],[Flow_Py]],"N.A.")</f>
        <v/>
      </c>
      <c r="AH88" s="272">
        <f>Tab_Data_Flows[[#This Row],[UoM_Flow_Py]]</f>
        <v/>
      </c>
      <c r="AI88" s="190">
        <f>INDEX(Tab_Def_Flows[[Flow_ID]:[CC_DM_source]],MATCH(Tab_Data_Flows[[#This Row],[Name(EN)]],Tab_Def_Flows[Name(EN)],0),17)</f>
        <v/>
      </c>
      <c r="AJ88" s="272">
        <f>IF(L88="Yes",AI88*Tab_Data_Flows[[#This Row],[Flow_Py]]*Tab_Data_Flows[[#This Row],[DM_'[%']]],"N.A.")</f>
        <v/>
      </c>
      <c r="AK88" s="272">
        <f>Tab_Data_Flows[[#This Row],[UoM_Flow_Py]]</f>
        <v/>
      </c>
    </row>
    <row r="89">
      <c r="A89" s="296">
        <f>ROW()-1</f>
        <v/>
      </c>
      <c r="B89" s="272">
        <f>_xlfn.XLOOKUP(C89,Tab_Def_Flows[Name(EN)],Tab_Def_Flows[Flow_ID],,0,)</f>
        <v/>
      </c>
      <c r="C89" s="273" t="inlineStr">
        <is>
          <t>N.A.</t>
        </is>
      </c>
      <c r="D89" s="272">
        <f>_xlfn.XLOOKUP(C89,Tab_Def_Flows[Name(EN)],Tab_Def_Flows[Type_Biomass],,0,)</f>
        <v/>
      </c>
      <c r="E89" s="272">
        <f>_xlfn.XLOOKUP(C89,Tab_Def_Flows[Name(EN)],Tab_Def_Flows[Output_Process],,0,)</f>
        <v/>
      </c>
      <c r="F89" s="272">
        <f>_xlfn.XLOOKUP(C89,Tab_Def_Flows[Name(EN)],Tab_Def_Flows[Process_ID_O],,0,)</f>
        <v/>
      </c>
      <c r="G89" s="272">
        <f>_xlfn.XLOOKUP(C89,Tab_Def_Flows[Name(EN)],Tab_Def_Flows[Input_Process],,0,)</f>
        <v/>
      </c>
      <c r="H89" s="17">
        <f>_xlfn.XLOOKUP(C89,Tab_Def_Flows[Name(EN)],Tab_Def_Flows[Process_ID_I],,0,)</f>
        <v/>
      </c>
      <c r="I89" s="17">
        <f>_xlfn.XLOOKUP(C89,Tab_Def_Flows[Name(EN)],#REF!,,0,)</f>
        <v/>
      </c>
      <c r="J89" s="17">
        <f>_xlfn.XLOOKUP(C89,Tab_Def_Flows[Name(EN)],Tab_Def_Flows[WC?],,0,)</f>
        <v/>
      </c>
      <c r="K89" s="17">
        <f>_xlfn.XLOOKUP(C89,Tab_Def_Flows[Name(EN)],Tab_Def_Flows[DM?],,0,)</f>
        <v/>
      </c>
      <c r="L89" s="17">
        <f>_xlfn.XLOOKUP(C89,Tab_Def_Flows[Name(EN)],Tab_Def_Flows[CC?],,0,)</f>
        <v/>
      </c>
      <c r="M89" s="273" t="n"/>
      <c r="N89" s="273" t="inlineStr">
        <is>
          <t>BB</t>
        </is>
      </c>
      <c r="O89" s="48" t="n"/>
      <c r="P89" s="273" t="n"/>
      <c r="Q89" s="273" t="n"/>
      <c r="R89" s="273" t="n"/>
      <c r="S89" s="273" t="n"/>
      <c r="T89" s="273" t="n"/>
      <c r="U89" s="273" t="n"/>
      <c r="V89" s="273" t="n"/>
      <c r="W89" s="273" t="n"/>
      <c r="X89" s="273" t="inlineStr">
        <is>
          <t>No</t>
        </is>
      </c>
      <c r="Y89" s="41" t="n"/>
      <c r="Z89" s="273" t="n"/>
      <c r="AA89" s="35">
        <f>IF(X89="no",O89,O89*Y89)</f>
        <v/>
      </c>
      <c r="AB89" s="273" t="inlineStr">
        <is>
          <t>Mg</t>
        </is>
      </c>
      <c r="AC89" s="190">
        <f>INDEX(Tab_Def_Flows[[Flow_ID]:[CC_DM_source]],MATCH(Tab_Data_Flows[[#This Row],[Name(EN)]],Tab_Def_Flows[Name(EN)],0),13)</f>
        <v/>
      </c>
      <c r="AD89" s="272">
        <f>IF(J89="Yes",AA89*Tab_Data_Flows[[#This Row],[WC_'[%']]],"N.A.")</f>
        <v/>
      </c>
      <c r="AE89" s="272">
        <f>Tab_Data_Flows[[#This Row],[UoM_Flow_Py]]</f>
        <v/>
      </c>
      <c r="AF89" s="190">
        <f>INDEX(Tab_Def_Flows[[Flow_ID]:[CC_DM_source]],MATCH(Tab_Data_Flows[[#This Row],[Name(EN)]],Tab_Def_Flows[Name(EN)],0),15)</f>
        <v/>
      </c>
      <c r="AG89" s="272">
        <f>IF(K89="Yes",AF89*Tab_Data_Flows[[#This Row],[Flow_Py]],"N.A.")</f>
        <v/>
      </c>
      <c r="AH89" s="272">
        <f>Tab_Data_Flows[[#This Row],[UoM_Flow_Py]]</f>
        <v/>
      </c>
      <c r="AI89" s="190">
        <f>INDEX(Tab_Def_Flows[[Flow_ID]:[CC_DM_source]],MATCH(Tab_Data_Flows[[#This Row],[Name(EN)]],Tab_Def_Flows[Name(EN)],0),17)</f>
        <v/>
      </c>
      <c r="AJ89" s="272">
        <f>IF(L89="Yes",AI89*Tab_Data_Flows[[#This Row],[Flow_Py]]*Tab_Data_Flows[[#This Row],[DM_'[%']]],"N.A.")</f>
        <v/>
      </c>
      <c r="AK89" s="272">
        <f>Tab_Data_Flows[[#This Row],[UoM_Flow_Py]]</f>
        <v/>
      </c>
    </row>
    <row r="90">
      <c r="A90" s="296">
        <f>ROW()-1</f>
        <v/>
      </c>
      <c r="B90" s="272">
        <f>_xlfn.XLOOKUP(C90,Tab_Def_Flows[Name(EN)],Tab_Def_Flows[Flow_ID],,0,)</f>
        <v/>
      </c>
      <c r="C90" s="273" t="inlineStr">
        <is>
          <t>N.A.</t>
        </is>
      </c>
      <c r="D90" s="272">
        <f>_xlfn.XLOOKUP(C90,Tab_Def_Flows[Name(EN)],Tab_Def_Flows[Type_Biomass],,0,)</f>
        <v/>
      </c>
      <c r="E90" s="272">
        <f>_xlfn.XLOOKUP(C90,Tab_Def_Flows[Name(EN)],Tab_Def_Flows[Output_Process],,0,)</f>
        <v/>
      </c>
      <c r="F90" s="272">
        <f>_xlfn.XLOOKUP(C90,Tab_Def_Flows[Name(EN)],Tab_Def_Flows[Process_ID_O],,0,)</f>
        <v/>
      </c>
      <c r="G90" s="272">
        <f>_xlfn.XLOOKUP(C90,Tab_Def_Flows[Name(EN)],Tab_Def_Flows[Input_Process],,0,)</f>
        <v/>
      </c>
      <c r="H90" s="17">
        <f>_xlfn.XLOOKUP(C90,Tab_Def_Flows[Name(EN)],Tab_Def_Flows[Process_ID_I],,0,)</f>
        <v/>
      </c>
      <c r="I90" s="17">
        <f>_xlfn.XLOOKUP(C90,Tab_Def_Flows[Name(EN)],#REF!,,0,)</f>
        <v/>
      </c>
      <c r="J90" s="17">
        <f>_xlfn.XLOOKUP(C90,Tab_Def_Flows[Name(EN)],Tab_Def_Flows[WC?],,0,)</f>
        <v/>
      </c>
      <c r="K90" s="17">
        <f>_xlfn.XLOOKUP(C90,Tab_Def_Flows[Name(EN)],Tab_Def_Flows[DM?],,0,)</f>
        <v/>
      </c>
      <c r="L90" s="17">
        <f>_xlfn.XLOOKUP(C90,Tab_Def_Flows[Name(EN)],Tab_Def_Flows[CC?],,0,)</f>
        <v/>
      </c>
      <c r="M90" s="273" t="n"/>
      <c r="N90" s="273" t="inlineStr">
        <is>
          <t>BB</t>
        </is>
      </c>
      <c r="O90" s="48" t="n"/>
      <c r="P90" s="273" t="n"/>
      <c r="Q90" s="273" t="n"/>
      <c r="R90" s="273" t="n"/>
      <c r="S90" s="273" t="n"/>
      <c r="T90" s="273" t="n"/>
      <c r="U90" s="273" t="n"/>
      <c r="V90" s="273" t="n"/>
      <c r="W90" s="273" t="n"/>
      <c r="X90" s="273" t="inlineStr">
        <is>
          <t>No</t>
        </is>
      </c>
      <c r="Y90" s="41" t="n"/>
      <c r="Z90" s="273" t="n"/>
      <c r="AA90" s="35">
        <f>IF(X90="no",O90,O90*Y90)</f>
        <v/>
      </c>
      <c r="AB90" s="273" t="inlineStr">
        <is>
          <t>Mg</t>
        </is>
      </c>
      <c r="AC90" s="190">
        <f>INDEX(Tab_Def_Flows[[Flow_ID]:[CC_DM_source]],MATCH(Tab_Data_Flows[[#This Row],[Name(EN)]],Tab_Def_Flows[Name(EN)],0),13)</f>
        <v/>
      </c>
      <c r="AD90" s="272">
        <f>IF(J90="Yes",AA90*Tab_Data_Flows[[#This Row],[WC_'[%']]],"N.A.")</f>
        <v/>
      </c>
      <c r="AE90" s="272">
        <f>Tab_Data_Flows[[#This Row],[UoM_Flow_Py]]</f>
        <v/>
      </c>
      <c r="AF90" s="190">
        <f>INDEX(Tab_Def_Flows[[Flow_ID]:[CC_DM_source]],MATCH(Tab_Data_Flows[[#This Row],[Name(EN)]],Tab_Def_Flows[Name(EN)],0),15)</f>
        <v/>
      </c>
      <c r="AG90" s="272">
        <f>IF(K90="Yes",AF90*Tab_Data_Flows[[#This Row],[Flow_Py]],"N.A.")</f>
        <v/>
      </c>
      <c r="AH90" s="272">
        <f>Tab_Data_Flows[[#This Row],[UoM_Flow_Py]]</f>
        <v/>
      </c>
      <c r="AI90" s="190">
        <f>INDEX(Tab_Def_Flows[[Flow_ID]:[CC_DM_source]],MATCH(Tab_Data_Flows[[#This Row],[Name(EN)]],Tab_Def_Flows[Name(EN)],0),17)</f>
        <v/>
      </c>
      <c r="AJ90" s="272">
        <f>IF(L90="Yes",AI90*Tab_Data_Flows[[#This Row],[Flow_Py]]*Tab_Data_Flows[[#This Row],[DM_'[%']]],"N.A.")</f>
        <v/>
      </c>
      <c r="AK90" s="272">
        <f>Tab_Data_Flows[[#This Row],[UoM_Flow_Py]]</f>
        <v/>
      </c>
    </row>
    <row r="91">
      <c r="A91" s="296">
        <f>ROW()-1</f>
        <v/>
      </c>
      <c r="B91" s="272">
        <f>_xlfn.XLOOKUP(C91,Tab_Def_Flows[Name(EN)],Tab_Def_Flows[Flow_ID],,0,)</f>
        <v/>
      </c>
      <c r="C91" s="273" t="inlineStr">
        <is>
          <t>N.A.</t>
        </is>
      </c>
      <c r="D91" s="272">
        <f>_xlfn.XLOOKUP(C91,Tab_Def_Flows[Name(EN)],Tab_Def_Flows[Type_Biomass],,0,)</f>
        <v/>
      </c>
      <c r="E91" s="272">
        <f>_xlfn.XLOOKUP(C91,Tab_Def_Flows[Name(EN)],Tab_Def_Flows[Output_Process],,0,)</f>
        <v/>
      </c>
      <c r="F91" s="272">
        <f>_xlfn.XLOOKUP(C91,Tab_Def_Flows[Name(EN)],Tab_Def_Flows[Process_ID_O],,0,)</f>
        <v/>
      </c>
      <c r="G91" s="272">
        <f>_xlfn.XLOOKUP(C91,Tab_Def_Flows[Name(EN)],Tab_Def_Flows[Input_Process],,0,)</f>
        <v/>
      </c>
      <c r="H91" s="17">
        <f>_xlfn.XLOOKUP(C91,Tab_Def_Flows[Name(EN)],Tab_Def_Flows[Process_ID_I],,0,)</f>
        <v/>
      </c>
      <c r="I91" s="17">
        <f>_xlfn.XLOOKUP(C91,Tab_Def_Flows[Name(EN)],#REF!,,0,)</f>
        <v/>
      </c>
      <c r="J91" s="17">
        <f>_xlfn.XLOOKUP(C91,Tab_Def_Flows[Name(EN)],Tab_Def_Flows[WC?],,0,)</f>
        <v/>
      </c>
      <c r="K91" s="17">
        <f>_xlfn.XLOOKUP(C91,Tab_Def_Flows[Name(EN)],Tab_Def_Flows[DM?],,0,)</f>
        <v/>
      </c>
      <c r="L91" s="17">
        <f>_xlfn.XLOOKUP(C91,Tab_Def_Flows[Name(EN)],Tab_Def_Flows[CC?],,0,)</f>
        <v/>
      </c>
      <c r="M91" s="273" t="n"/>
      <c r="N91" s="273" t="inlineStr">
        <is>
          <t>BB</t>
        </is>
      </c>
      <c r="O91" s="48" t="n"/>
      <c r="P91" s="273" t="n"/>
      <c r="Q91" s="273" t="n"/>
      <c r="R91" s="273" t="n"/>
      <c r="S91" s="273" t="n"/>
      <c r="T91" s="273" t="n"/>
      <c r="U91" s="273" t="n"/>
      <c r="V91" s="273" t="n"/>
      <c r="W91" s="273" t="n"/>
      <c r="X91" s="273" t="inlineStr">
        <is>
          <t>No</t>
        </is>
      </c>
      <c r="Y91" s="41" t="n"/>
      <c r="Z91" s="273" t="n"/>
      <c r="AA91" s="35">
        <f>IF(X91="no",O91,O91*Y91)</f>
        <v/>
      </c>
      <c r="AB91" s="273" t="inlineStr">
        <is>
          <t>Mg</t>
        </is>
      </c>
      <c r="AC91" s="190">
        <f>INDEX(Tab_Def_Flows[[Flow_ID]:[CC_DM_source]],MATCH(Tab_Data_Flows[[#This Row],[Name(EN)]],Tab_Def_Flows[Name(EN)],0),13)</f>
        <v/>
      </c>
      <c r="AD91" s="272">
        <f>IF(J91="Yes",AA91*Tab_Data_Flows[[#This Row],[WC_'[%']]],"N.A.")</f>
        <v/>
      </c>
      <c r="AE91" s="272">
        <f>Tab_Data_Flows[[#This Row],[UoM_Flow_Py]]</f>
        <v/>
      </c>
      <c r="AF91" s="190">
        <f>INDEX(Tab_Def_Flows[[Flow_ID]:[CC_DM_source]],MATCH(Tab_Data_Flows[[#This Row],[Name(EN)]],Tab_Def_Flows[Name(EN)],0),15)</f>
        <v/>
      </c>
      <c r="AG91" s="272">
        <f>IF(K91="Yes",AF91*Tab_Data_Flows[[#This Row],[Flow_Py]],"N.A.")</f>
        <v/>
      </c>
      <c r="AH91" s="272">
        <f>Tab_Data_Flows[[#This Row],[UoM_Flow_Py]]</f>
        <v/>
      </c>
      <c r="AI91" s="190">
        <f>INDEX(Tab_Def_Flows[[Flow_ID]:[CC_DM_source]],MATCH(Tab_Data_Flows[[#This Row],[Name(EN)]],Tab_Def_Flows[Name(EN)],0),17)</f>
        <v/>
      </c>
      <c r="AJ91" s="272">
        <f>IF(L91="Yes",AI91*Tab_Data_Flows[[#This Row],[Flow_Py]]*Tab_Data_Flows[[#This Row],[DM_'[%']]],"N.A.")</f>
        <v/>
      </c>
      <c r="AK91" s="272">
        <f>Tab_Data_Flows[[#This Row],[UoM_Flow_Py]]</f>
        <v/>
      </c>
    </row>
    <row r="92">
      <c r="A92" s="296">
        <f>ROW()-1</f>
        <v/>
      </c>
      <c r="B92" s="272">
        <f>_xlfn.XLOOKUP(C92,Tab_Def_Flows[Name(EN)],Tab_Def_Flows[Flow_ID],,0,)</f>
        <v/>
      </c>
      <c r="C92" s="273" t="inlineStr">
        <is>
          <t>N.A.</t>
        </is>
      </c>
      <c r="D92" s="272">
        <f>_xlfn.XLOOKUP(C92,Tab_Def_Flows[Name(EN)],Tab_Def_Flows[Type_Biomass],,0,)</f>
        <v/>
      </c>
      <c r="E92" s="272">
        <f>_xlfn.XLOOKUP(C92,Tab_Def_Flows[Name(EN)],Tab_Def_Flows[Output_Process],,0,)</f>
        <v/>
      </c>
      <c r="F92" s="272">
        <f>_xlfn.XLOOKUP(C92,Tab_Def_Flows[Name(EN)],Tab_Def_Flows[Process_ID_O],,0,)</f>
        <v/>
      </c>
      <c r="G92" s="272">
        <f>_xlfn.XLOOKUP(C92,Tab_Def_Flows[Name(EN)],Tab_Def_Flows[Input_Process],,0,)</f>
        <v/>
      </c>
      <c r="H92" s="17">
        <f>_xlfn.XLOOKUP(C92,Tab_Def_Flows[Name(EN)],Tab_Def_Flows[Process_ID_I],,0,)</f>
        <v/>
      </c>
      <c r="I92" s="17">
        <f>_xlfn.XLOOKUP(C92,Tab_Def_Flows[Name(EN)],#REF!,,0,)</f>
        <v/>
      </c>
      <c r="J92" s="17">
        <f>_xlfn.XLOOKUP(C92,Tab_Def_Flows[Name(EN)],Tab_Def_Flows[WC?],,0,)</f>
        <v/>
      </c>
      <c r="K92" s="17">
        <f>_xlfn.XLOOKUP(C92,Tab_Def_Flows[Name(EN)],Tab_Def_Flows[DM?],,0,)</f>
        <v/>
      </c>
      <c r="L92" s="17">
        <f>_xlfn.XLOOKUP(C92,Tab_Def_Flows[Name(EN)],Tab_Def_Flows[CC?],,0,)</f>
        <v/>
      </c>
      <c r="M92" s="273" t="n"/>
      <c r="N92" s="273" t="inlineStr">
        <is>
          <t>BB</t>
        </is>
      </c>
      <c r="O92" s="48" t="n"/>
      <c r="P92" s="273" t="n"/>
      <c r="Q92" s="273" t="n"/>
      <c r="R92" s="273" t="n"/>
      <c r="S92" s="273" t="n"/>
      <c r="T92" s="273" t="n"/>
      <c r="U92" s="273" t="n"/>
      <c r="V92" s="273" t="n"/>
      <c r="W92" s="273" t="n"/>
      <c r="X92" s="273" t="inlineStr">
        <is>
          <t>No</t>
        </is>
      </c>
      <c r="Y92" s="41" t="n"/>
      <c r="Z92" s="273" t="n"/>
      <c r="AA92" s="35">
        <f>IF(X92="no",O92,O92*Y92)</f>
        <v/>
      </c>
      <c r="AB92" s="273" t="inlineStr">
        <is>
          <t>Mg</t>
        </is>
      </c>
      <c r="AC92" s="190">
        <f>INDEX(Tab_Def_Flows[[Flow_ID]:[CC_DM_source]],MATCH(Tab_Data_Flows[[#This Row],[Name(EN)]],Tab_Def_Flows[Name(EN)],0),13)</f>
        <v/>
      </c>
      <c r="AD92" s="272">
        <f>IF(J92="Yes",AA92*Tab_Data_Flows[[#This Row],[WC_'[%']]],"N.A.")</f>
        <v/>
      </c>
      <c r="AE92" s="272">
        <f>Tab_Data_Flows[[#This Row],[UoM_Flow_Py]]</f>
        <v/>
      </c>
      <c r="AF92" s="190">
        <f>INDEX(Tab_Def_Flows[[Flow_ID]:[CC_DM_source]],MATCH(Tab_Data_Flows[[#This Row],[Name(EN)]],Tab_Def_Flows[Name(EN)],0),15)</f>
        <v/>
      </c>
      <c r="AG92" s="272">
        <f>IF(K92="Yes",AF92*Tab_Data_Flows[[#This Row],[Flow_Py]],"N.A.")</f>
        <v/>
      </c>
      <c r="AH92" s="272">
        <f>Tab_Data_Flows[[#This Row],[UoM_Flow_Py]]</f>
        <v/>
      </c>
      <c r="AI92" s="190">
        <f>INDEX(Tab_Def_Flows[[Flow_ID]:[CC_DM_source]],MATCH(Tab_Data_Flows[[#This Row],[Name(EN)]],Tab_Def_Flows[Name(EN)],0),17)</f>
        <v/>
      </c>
      <c r="AJ92" s="272">
        <f>IF(L92="Yes",AI92*Tab_Data_Flows[[#This Row],[Flow_Py]]*Tab_Data_Flows[[#This Row],[DM_'[%']]],"N.A.")</f>
        <v/>
      </c>
      <c r="AK92" s="272">
        <f>Tab_Data_Flows[[#This Row],[UoM_Flow_Py]]</f>
        <v/>
      </c>
    </row>
    <row r="93">
      <c r="A93" s="296">
        <f>ROW()-1</f>
        <v/>
      </c>
      <c r="B93" s="272">
        <f>_xlfn.XLOOKUP(C93,Tab_Def_Flows[Name(EN)],Tab_Def_Flows[Flow_ID],,0,)</f>
        <v/>
      </c>
      <c r="C93" s="273" t="inlineStr">
        <is>
          <t>N.A.</t>
        </is>
      </c>
      <c r="D93" s="272">
        <f>_xlfn.XLOOKUP(C93,Tab_Def_Flows[Name(EN)],Tab_Def_Flows[Type_Biomass],,0,)</f>
        <v/>
      </c>
      <c r="E93" s="272">
        <f>_xlfn.XLOOKUP(C93,Tab_Def_Flows[Name(EN)],Tab_Def_Flows[Output_Process],,0,)</f>
        <v/>
      </c>
      <c r="F93" s="272">
        <f>_xlfn.XLOOKUP(C93,Tab_Def_Flows[Name(EN)],Tab_Def_Flows[Process_ID_O],,0,)</f>
        <v/>
      </c>
      <c r="G93" s="272">
        <f>_xlfn.XLOOKUP(C93,Tab_Def_Flows[Name(EN)],Tab_Def_Flows[Input_Process],,0,)</f>
        <v/>
      </c>
      <c r="H93" s="17">
        <f>_xlfn.XLOOKUP(C93,Tab_Def_Flows[Name(EN)],Tab_Def_Flows[Process_ID_I],,0,)</f>
        <v/>
      </c>
      <c r="I93" s="17">
        <f>_xlfn.XLOOKUP(C93,Tab_Def_Flows[Name(EN)],#REF!,,0,)</f>
        <v/>
      </c>
      <c r="J93" s="17">
        <f>_xlfn.XLOOKUP(C93,Tab_Def_Flows[Name(EN)],Tab_Def_Flows[WC?],,0,)</f>
        <v/>
      </c>
      <c r="K93" s="17">
        <f>_xlfn.XLOOKUP(C93,Tab_Def_Flows[Name(EN)],Tab_Def_Flows[DM?],,0,)</f>
        <v/>
      </c>
      <c r="L93" s="17">
        <f>_xlfn.XLOOKUP(C93,Tab_Def_Flows[Name(EN)],Tab_Def_Flows[CC?],,0,)</f>
        <v/>
      </c>
      <c r="M93" s="273" t="n"/>
      <c r="N93" s="273" t="inlineStr">
        <is>
          <t>BB</t>
        </is>
      </c>
      <c r="O93" s="48" t="n"/>
      <c r="P93" s="273" t="n"/>
      <c r="Q93" s="273" t="n"/>
      <c r="R93" s="273" t="n"/>
      <c r="S93" s="273" t="n"/>
      <c r="T93" s="273" t="n"/>
      <c r="U93" s="273" t="n"/>
      <c r="V93" s="273" t="n"/>
      <c r="W93" s="273" t="n"/>
      <c r="X93" s="273" t="inlineStr">
        <is>
          <t>No</t>
        </is>
      </c>
      <c r="Y93" s="41" t="n"/>
      <c r="Z93" s="273" t="n"/>
      <c r="AA93" s="35">
        <f>IF(X93="no",O93,O93*Y93)</f>
        <v/>
      </c>
      <c r="AB93" s="273" t="inlineStr">
        <is>
          <t>Mg</t>
        </is>
      </c>
      <c r="AC93" s="190">
        <f>INDEX(Tab_Def_Flows[[Flow_ID]:[CC_DM_source]],MATCH(Tab_Data_Flows[[#This Row],[Name(EN)]],Tab_Def_Flows[Name(EN)],0),13)</f>
        <v/>
      </c>
      <c r="AD93" s="272">
        <f>IF(J93="Yes",AA93*Tab_Data_Flows[[#This Row],[WC_'[%']]],"N.A.")</f>
        <v/>
      </c>
      <c r="AE93" s="272">
        <f>Tab_Data_Flows[[#This Row],[UoM_Flow_Py]]</f>
        <v/>
      </c>
      <c r="AF93" s="190">
        <f>INDEX(Tab_Def_Flows[[Flow_ID]:[CC_DM_source]],MATCH(Tab_Data_Flows[[#This Row],[Name(EN)]],Tab_Def_Flows[Name(EN)],0),15)</f>
        <v/>
      </c>
      <c r="AG93" s="272">
        <f>IF(K93="Yes",AF93*Tab_Data_Flows[[#This Row],[Flow_Py]],"N.A.")</f>
        <v/>
      </c>
      <c r="AH93" s="272">
        <f>Tab_Data_Flows[[#This Row],[UoM_Flow_Py]]</f>
        <v/>
      </c>
      <c r="AI93" s="190">
        <f>INDEX(Tab_Def_Flows[[Flow_ID]:[CC_DM_source]],MATCH(Tab_Data_Flows[[#This Row],[Name(EN)]],Tab_Def_Flows[Name(EN)],0),17)</f>
        <v/>
      </c>
      <c r="AJ93" s="272">
        <f>IF(L93="Yes",AI93*Tab_Data_Flows[[#This Row],[Flow_Py]]*Tab_Data_Flows[[#This Row],[DM_'[%']]],"N.A.")</f>
        <v/>
      </c>
      <c r="AK93" s="272">
        <f>Tab_Data_Flows[[#This Row],[UoM_Flow_Py]]</f>
        <v/>
      </c>
    </row>
    <row r="94">
      <c r="A94" s="296">
        <f>ROW()-1</f>
        <v/>
      </c>
      <c r="B94" s="272">
        <f>_xlfn.XLOOKUP(C94,Tab_Def_Flows[Name(EN)],Tab_Def_Flows[Flow_ID],,0,)</f>
        <v/>
      </c>
      <c r="C94" s="273" t="inlineStr">
        <is>
          <t>N.A.</t>
        </is>
      </c>
      <c r="D94" s="272">
        <f>_xlfn.XLOOKUP(C94,Tab_Def_Flows[Name(EN)],Tab_Def_Flows[Type_Biomass],,0,)</f>
        <v/>
      </c>
      <c r="E94" s="272">
        <f>_xlfn.XLOOKUP(C94,Tab_Def_Flows[Name(EN)],Tab_Def_Flows[Output_Process],,0,)</f>
        <v/>
      </c>
      <c r="F94" s="272">
        <f>_xlfn.XLOOKUP(C94,Tab_Def_Flows[Name(EN)],Tab_Def_Flows[Process_ID_O],,0,)</f>
        <v/>
      </c>
      <c r="G94" s="272">
        <f>_xlfn.XLOOKUP(C94,Tab_Def_Flows[Name(EN)],Tab_Def_Flows[Input_Process],,0,)</f>
        <v/>
      </c>
      <c r="H94" s="17">
        <f>_xlfn.XLOOKUP(C94,Tab_Def_Flows[Name(EN)],Tab_Def_Flows[Process_ID_I],,0,)</f>
        <v/>
      </c>
      <c r="I94" s="17">
        <f>_xlfn.XLOOKUP(C94,Tab_Def_Flows[Name(EN)],#REF!,,0,)</f>
        <v/>
      </c>
      <c r="J94" s="17">
        <f>_xlfn.XLOOKUP(C94,Tab_Def_Flows[Name(EN)],Tab_Def_Flows[WC?],,0,)</f>
        <v/>
      </c>
      <c r="K94" s="17">
        <f>_xlfn.XLOOKUP(C94,Tab_Def_Flows[Name(EN)],Tab_Def_Flows[DM?],,0,)</f>
        <v/>
      </c>
      <c r="L94" s="17">
        <f>_xlfn.XLOOKUP(C94,Tab_Def_Flows[Name(EN)],Tab_Def_Flows[CC?],,0,)</f>
        <v/>
      </c>
      <c r="M94" s="273" t="n"/>
      <c r="N94" s="273" t="inlineStr">
        <is>
          <t>BB</t>
        </is>
      </c>
      <c r="O94" s="48" t="n"/>
      <c r="P94" s="273" t="n"/>
      <c r="Q94" s="273" t="n"/>
      <c r="R94" s="273" t="n"/>
      <c r="S94" s="273" t="n"/>
      <c r="T94" s="273" t="n"/>
      <c r="U94" s="273" t="n"/>
      <c r="V94" s="273" t="n"/>
      <c r="W94" s="273" t="n"/>
      <c r="X94" s="273" t="inlineStr">
        <is>
          <t>No</t>
        </is>
      </c>
      <c r="Y94" s="41" t="n"/>
      <c r="Z94" s="273" t="n"/>
      <c r="AA94" s="35">
        <f>IF(X94="no",O94,O94*Y94)</f>
        <v/>
      </c>
      <c r="AB94" s="273" t="inlineStr">
        <is>
          <t>Mg</t>
        </is>
      </c>
      <c r="AC94" s="190">
        <f>INDEX(Tab_Def_Flows[[Flow_ID]:[CC_DM_source]],MATCH(Tab_Data_Flows[[#This Row],[Name(EN)]],Tab_Def_Flows[Name(EN)],0),13)</f>
        <v/>
      </c>
      <c r="AD94" s="272">
        <f>IF(J94="Yes",AA94*Tab_Data_Flows[[#This Row],[WC_'[%']]],"N.A.")</f>
        <v/>
      </c>
      <c r="AE94" s="272">
        <f>Tab_Data_Flows[[#This Row],[UoM_Flow_Py]]</f>
        <v/>
      </c>
      <c r="AF94" s="190">
        <f>INDEX(Tab_Def_Flows[[Flow_ID]:[CC_DM_source]],MATCH(Tab_Data_Flows[[#This Row],[Name(EN)]],Tab_Def_Flows[Name(EN)],0),15)</f>
        <v/>
      </c>
      <c r="AG94" s="272">
        <f>IF(K94="Yes",AF94*Tab_Data_Flows[[#This Row],[Flow_Py]],"N.A.")</f>
        <v/>
      </c>
      <c r="AH94" s="272">
        <f>Tab_Data_Flows[[#This Row],[UoM_Flow_Py]]</f>
        <v/>
      </c>
      <c r="AI94" s="190">
        <f>INDEX(Tab_Def_Flows[[Flow_ID]:[CC_DM_source]],MATCH(Tab_Data_Flows[[#This Row],[Name(EN)]],Tab_Def_Flows[Name(EN)],0),17)</f>
        <v/>
      </c>
      <c r="AJ94" s="272">
        <f>IF(L94="Yes",AI94*Tab_Data_Flows[[#This Row],[Flow_Py]]*Tab_Data_Flows[[#This Row],[DM_'[%']]],"N.A.")</f>
        <v/>
      </c>
      <c r="AK94" s="272">
        <f>Tab_Data_Flows[[#This Row],[UoM_Flow_Py]]</f>
        <v/>
      </c>
    </row>
    <row r="95">
      <c r="A95" s="296">
        <f>ROW()-1</f>
        <v/>
      </c>
      <c r="B95" s="272">
        <f>_xlfn.XLOOKUP(C95,Tab_Def_Flows[Name(EN)],Tab_Def_Flows[Flow_ID],,0,)</f>
        <v/>
      </c>
      <c r="C95" s="273" t="inlineStr">
        <is>
          <t>N.A.</t>
        </is>
      </c>
      <c r="D95" s="272">
        <f>_xlfn.XLOOKUP(C95,Tab_Def_Flows[Name(EN)],Tab_Def_Flows[Type_Biomass],,0,)</f>
        <v/>
      </c>
      <c r="E95" s="272">
        <f>_xlfn.XLOOKUP(C95,Tab_Def_Flows[Name(EN)],Tab_Def_Flows[Output_Process],,0,)</f>
        <v/>
      </c>
      <c r="F95" s="272">
        <f>_xlfn.XLOOKUP(C95,Tab_Def_Flows[Name(EN)],Tab_Def_Flows[Process_ID_O],,0,)</f>
        <v/>
      </c>
      <c r="G95" s="272">
        <f>_xlfn.XLOOKUP(C95,Tab_Def_Flows[Name(EN)],Tab_Def_Flows[Input_Process],,0,)</f>
        <v/>
      </c>
      <c r="H95" s="17">
        <f>_xlfn.XLOOKUP(C95,Tab_Def_Flows[Name(EN)],Tab_Def_Flows[Process_ID_I],,0,)</f>
        <v/>
      </c>
      <c r="I95" s="17">
        <f>_xlfn.XLOOKUP(C95,Tab_Def_Flows[Name(EN)],#REF!,,0,)</f>
        <v/>
      </c>
      <c r="J95" s="17">
        <f>_xlfn.XLOOKUP(C95,Tab_Def_Flows[Name(EN)],Tab_Def_Flows[WC?],,0,)</f>
        <v/>
      </c>
      <c r="K95" s="17">
        <f>_xlfn.XLOOKUP(C95,Tab_Def_Flows[Name(EN)],Tab_Def_Flows[DM?],,0,)</f>
        <v/>
      </c>
      <c r="L95" s="17">
        <f>_xlfn.XLOOKUP(C95,Tab_Def_Flows[Name(EN)],Tab_Def_Flows[CC?],,0,)</f>
        <v/>
      </c>
      <c r="M95" s="273" t="n"/>
      <c r="N95" s="273" t="inlineStr">
        <is>
          <t>BB</t>
        </is>
      </c>
      <c r="O95" s="48" t="n"/>
      <c r="P95" s="273" t="n"/>
      <c r="Q95" s="273" t="n"/>
      <c r="R95" s="273" t="n"/>
      <c r="S95" s="273" t="n"/>
      <c r="T95" s="273" t="n"/>
      <c r="U95" s="273" t="n"/>
      <c r="V95" s="273" t="n"/>
      <c r="W95" s="273" t="n"/>
      <c r="X95" s="273" t="inlineStr">
        <is>
          <t>No</t>
        </is>
      </c>
      <c r="Y95" s="41" t="n"/>
      <c r="Z95" s="273" t="n"/>
      <c r="AA95" s="35">
        <f>IF(X95="no",O95,O95*Y95)</f>
        <v/>
      </c>
      <c r="AB95" s="273" t="inlineStr">
        <is>
          <t>Mg</t>
        </is>
      </c>
      <c r="AC95" s="190">
        <f>INDEX(Tab_Def_Flows[[Flow_ID]:[CC_DM_source]],MATCH(Tab_Data_Flows[[#This Row],[Name(EN)]],Tab_Def_Flows[Name(EN)],0),13)</f>
        <v/>
      </c>
      <c r="AD95" s="272">
        <f>IF(J95="Yes",AA95*Tab_Data_Flows[[#This Row],[WC_'[%']]],"N.A.")</f>
        <v/>
      </c>
      <c r="AE95" s="272">
        <f>Tab_Data_Flows[[#This Row],[UoM_Flow_Py]]</f>
        <v/>
      </c>
      <c r="AF95" s="190">
        <f>INDEX(Tab_Def_Flows[[Flow_ID]:[CC_DM_source]],MATCH(Tab_Data_Flows[[#This Row],[Name(EN)]],Tab_Def_Flows[Name(EN)],0),15)</f>
        <v/>
      </c>
      <c r="AG95" s="272">
        <f>IF(K95="Yes",AF95*Tab_Data_Flows[[#This Row],[Flow_Py]],"N.A.")</f>
        <v/>
      </c>
      <c r="AH95" s="272">
        <f>Tab_Data_Flows[[#This Row],[UoM_Flow_Py]]</f>
        <v/>
      </c>
      <c r="AI95" s="190">
        <f>INDEX(Tab_Def_Flows[[Flow_ID]:[CC_DM_source]],MATCH(Tab_Data_Flows[[#This Row],[Name(EN)]],Tab_Def_Flows[Name(EN)],0),17)</f>
        <v/>
      </c>
      <c r="AJ95" s="272">
        <f>IF(L95="Yes",AI95*Tab_Data_Flows[[#This Row],[Flow_Py]]*Tab_Data_Flows[[#This Row],[DM_'[%']]],"N.A.")</f>
        <v/>
      </c>
      <c r="AK95" s="272">
        <f>Tab_Data_Flows[[#This Row],[UoM_Flow_Py]]</f>
        <v/>
      </c>
    </row>
    <row r="96">
      <c r="A96" s="296">
        <f>ROW()-1</f>
        <v/>
      </c>
      <c r="B96" s="272">
        <f>_xlfn.XLOOKUP(C96,Tab_Def_Flows[Name(EN)],Tab_Def_Flows[Flow_ID],,0,)</f>
        <v/>
      </c>
      <c r="C96" s="273" t="inlineStr">
        <is>
          <t>N.A.</t>
        </is>
      </c>
      <c r="D96" s="272" t="n"/>
      <c r="E96" s="272">
        <f>_xlfn.XLOOKUP(C96,Tab_Def_Flows[Name(EN)],Tab_Def_Flows[Output_Process],,0,)</f>
        <v/>
      </c>
      <c r="F96" s="272">
        <f>_xlfn.XLOOKUP(C96,Tab_Def_Flows[Name(EN)],Tab_Def_Flows[Process_ID_O],,0,)</f>
        <v/>
      </c>
      <c r="G96" s="272">
        <f>_xlfn.XLOOKUP(C96,Tab_Def_Flows[Name(EN)],Tab_Def_Flows[Input_Process],,0,)</f>
        <v/>
      </c>
      <c r="H96" s="17">
        <f>_xlfn.XLOOKUP(C96,Tab_Def_Flows[Name(EN)],Tab_Def_Flows[Process_ID_I],,0,)</f>
        <v/>
      </c>
      <c r="I96" s="272">
        <f>_xlfn.XLOOKUP(C96,Tab_Def_Flows[Name(EN)],#REF!,,0,)</f>
        <v/>
      </c>
      <c r="J96" s="272">
        <f>_xlfn.XLOOKUP(C96,Tab_Def_Flows[Name(EN)],Tab_Def_Flows[WC?],,0,)</f>
        <v/>
      </c>
      <c r="K96" s="272">
        <f>_xlfn.XLOOKUP(C96,Tab_Def_Flows[Name(EN)],Tab_Def_Flows[DM?],,0,)</f>
        <v/>
      </c>
      <c r="L96" s="272">
        <f>_xlfn.XLOOKUP(C96,Tab_Def_Flows[Name(EN)],Tab_Def_Flows[CC?],,0,)</f>
        <v/>
      </c>
      <c r="M96" s="273" t="n"/>
      <c r="N96" s="273" t="n"/>
      <c r="O96" s="48" t="n"/>
      <c r="P96" s="273" t="n"/>
      <c r="Q96" s="273" t="n"/>
      <c r="R96" s="273">
        <f>INDEX(#REF!,MATCH(Tab_Data_Flows[[#This Row],[Name(EN)]],#REF!,0),12)</f>
        <v/>
      </c>
      <c r="S96" s="273">
        <f>MATCH(Tab_Data_Flows[[#This Row],[Name(EN)]],#REF!,0)</f>
        <v/>
      </c>
      <c r="T96" s="273" t="n"/>
      <c r="U96" s="273" t="n"/>
      <c r="V96" s="273" t="n"/>
      <c r="W96" s="273" t="n"/>
      <c r="X96" s="273" t="inlineStr">
        <is>
          <t>No</t>
        </is>
      </c>
      <c r="Y96" s="273" t="n"/>
      <c r="Z96" s="273" t="n"/>
      <c r="AA96" s="35">
        <f>IF(X96="no",O96,O96*Y96)</f>
        <v/>
      </c>
      <c r="AB96" s="273" t="inlineStr">
        <is>
          <t>Mg</t>
        </is>
      </c>
      <c r="AC96" s="190">
        <f>INDEX(Tab_Def_Flows[[Flow_ID]:[CC_DM_source]],MATCH(Tab_Data_Flows[[#This Row],[Name(EN)]],Tab_Def_Flows[Name(EN)],0),13)</f>
        <v/>
      </c>
      <c r="AD96" s="272">
        <f>IF(J96="Yes",AA96*Tab_Data_Flows[[#This Row],[WC_'[%']]],"N.A.")</f>
        <v/>
      </c>
      <c r="AE96" s="272">
        <f>Tab_Data_Flows[[#This Row],[UoM_Flow_Py]]</f>
        <v/>
      </c>
      <c r="AF96" s="190">
        <f>INDEX(Tab_Def_Flows[[Flow_ID]:[CC_DM_source]],MATCH(Tab_Data_Flows[[#This Row],[Name(EN)]],Tab_Def_Flows[Name(EN)],0),15)</f>
        <v/>
      </c>
      <c r="AG96" s="272">
        <f>IF(K96="Yes",AF96*Tab_Data_Flows[[#This Row],[Flow_Py]],"N.A.")</f>
        <v/>
      </c>
      <c r="AH96" s="272">
        <f>Tab_Data_Flows[[#This Row],[UoM_Flow_Py]]</f>
        <v/>
      </c>
      <c r="AI96" s="190">
        <f>INDEX(Tab_Def_Flows[[Flow_ID]:[CC_DM_source]],MATCH(Tab_Data_Flows[[#This Row],[Name(EN)]],Tab_Def_Flows[Name(EN)],0),17)</f>
        <v/>
      </c>
      <c r="AJ96" s="272">
        <f>IF(L96="Yes",AI96*Tab_Data_Flows[[#This Row],[Flow_Py]]*Tab_Data_Flows[[#This Row],[DM_'[%']]],"N.A.")</f>
        <v/>
      </c>
      <c r="AK96" s="272">
        <f>Tab_Data_Flows[[#This Row],[UoM_Flow_Py]]</f>
        <v/>
      </c>
    </row>
    <row r="97">
      <c r="A97" s="296">
        <f>ROW()-1</f>
        <v/>
      </c>
      <c r="B97" s="272">
        <f>_xlfn.XLOOKUP(C97,Tab_Def_Flows[Name(EN)],Tab_Def_Flows[Flow_ID],,0,)</f>
        <v/>
      </c>
      <c r="C97" s="273" t="inlineStr">
        <is>
          <t>N.A.</t>
        </is>
      </c>
      <c r="D97" s="272" t="n"/>
      <c r="E97" s="272">
        <f>_xlfn.XLOOKUP(C97,Tab_Def_Flows[Name(EN)],Tab_Def_Flows[Output_Process],,0,)</f>
        <v/>
      </c>
      <c r="F97" s="272">
        <f>_xlfn.XLOOKUP(C97,Tab_Def_Flows[Name(EN)],Tab_Def_Flows[Process_ID_O],,0,)</f>
        <v/>
      </c>
      <c r="G97" s="272">
        <f>_xlfn.XLOOKUP(C97,Tab_Def_Flows[Name(EN)],Tab_Def_Flows[Input_Process],,0,)</f>
        <v/>
      </c>
      <c r="H97" s="17">
        <f>_xlfn.XLOOKUP(C97,Tab_Def_Flows[Name(EN)],Tab_Def_Flows[Process_ID_I],,0,)</f>
        <v/>
      </c>
      <c r="I97" s="272">
        <f>_xlfn.XLOOKUP(C97,Tab_Def_Flows[Name(EN)],#REF!,,0,)</f>
        <v/>
      </c>
      <c r="J97" s="272">
        <f>_xlfn.XLOOKUP(C97,Tab_Def_Flows[Name(EN)],Tab_Def_Flows[WC?],,0,)</f>
        <v/>
      </c>
      <c r="K97" s="272">
        <f>_xlfn.XLOOKUP(C97,Tab_Def_Flows[Name(EN)],Tab_Def_Flows[DM?],,0,)</f>
        <v/>
      </c>
      <c r="L97" s="272">
        <f>_xlfn.XLOOKUP(C97,Tab_Def_Flows[Name(EN)],Tab_Def_Flows[CC?],,0,)</f>
        <v/>
      </c>
      <c r="M97" s="273" t="n"/>
      <c r="N97" s="273" t="n"/>
      <c r="O97" s="48" t="n"/>
      <c r="P97" s="273" t="n"/>
      <c r="Q97" s="273" t="n"/>
      <c r="R97" s="273">
        <f>INDEX(#REF!,MATCH(Tab_Data_Flows[[#This Row],[Name(EN)]],#REF!,0),12)</f>
        <v/>
      </c>
      <c r="S97" s="273">
        <f>MATCH(Tab_Data_Flows[[#This Row],[Name(EN)]],#REF!,0)</f>
        <v/>
      </c>
      <c r="T97" s="273" t="n"/>
      <c r="U97" s="273" t="n"/>
      <c r="V97" s="273" t="n"/>
      <c r="W97" s="273" t="n"/>
      <c r="X97" s="273" t="inlineStr">
        <is>
          <t>No</t>
        </is>
      </c>
      <c r="Y97" s="273" t="n"/>
      <c r="Z97" s="273" t="n"/>
      <c r="AA97" s="35">
        <f>IF(X97="no",O97,O97*Y97)</f>
        <v/>
      </c>
      <c r="AB97" s="273" t="inlineStr">
        <is>
          <t>Mg</t>
        </is>
      </c>
      <c r="AC97" s="190">
        <f>INDEX(Tab_Def_Flows[[Flow_ID]:[CC_DM_source]],MATCH(Tab_Data_Flows[[#This Row],[Name(EN)]],Tab_Def_Flows[Name(EN)],0),13)</f>
        <v/>
      </c>
      <c r="AD97" s="272">
        <f>IF(J97="Yes",AA97*Tab_Data_Flows[[#This Row],[WC_'[%']]],"N.A.")</f>
        <v/>
      </c>
      <c r="AE97" s="272">
        <f>Tab_Data_Flows[[#This Row],[UoM_Flow_Py]]</f>
        <v/>
      </c>
      <c r="AF97" s="190">
        <f>INDEX(Tab_Def_Flows[[Flow_ID]:[CC_DM_source]],MATCH(Tab_Data_Flows[[#This Row],[Name(EN)]],Tab_Def_Flows[Name(EN)],0),15)</f>
        <v/>
      </c>
      <c r="AG97" s="272">
        <f>IF(K97="Yes",AF97*Tab_Data_Flows[[#This Row],[Flow_Py]],"N.A.")</f>
        <v/>
      </c>
      <c r="AH97" s="272">
        <f>Tab_Data_Flows[[#This Row],[UoM_Flow_Py]]</f>
        <v/>
      </c>
      <c r="AI97" s="190">
        <f>INDEX(Tab_Def_Flows[[Flow_ID]:[CC_DM_source]],MATCH(Tab_Data_Flows[[#This Row],[Name(EN)]],Tab_Def_Flows[Name(EN)],0),17)</f>
        <v/>
      </c>
      <c r="AJ97" s="272">
        <f>IF(L97="Yes",AI97*Tab_Data_Flows[[#This Row],[Flow_Py]]*Tab_Data_Flows[[#This Row],[DM_'[%']]],"N.A.")</f>
        <v/>
      </c>
      <c r="AK97" s="272">
        <f>Tab_Data_Flows[[#This Row],[UoM_Flow_Py]]</f>
        <v/>
      </c>
    </row>
    <row r="98">
      <c r="A98" s="296">
        <f>ROW()-1</f>
        <v/>
      </c>
      <c r="B98" s="272">
        <f>_xlfn.XLOOKUP(C98,Tab_Def_Flows[Name(EN)],Tab_Def_Flows[Flow_ID],,0,)</f>
        <v/>
      </c>
      <c r="C98" s="273" t="inlineStr">
        <is>
          <t>N.A.</t>
        </is>
      </c>
      <c r="D98" s="272" t="n"/>
      <c r="E98" s="272">
        <f>_xlfn.XLOOKUP(C98,Tab_Def_Flows[Name(EN)],Tab_Def_Flows[Output_Process],,0,)</f>
        <v/>
      </c>
      <c r="F98" s="272">
        <f>_xlfn.XLOOKUP(C98,Tab_Def_Flows[Name(EN)],Tab_Def_Flows[Process_ID_O],,0,)</f>
        <v/>
      </c>
      <c r="G98" s="272">
        <f>_xlfn.XLOOKUP(C98,Tab_Def_Flows[Name(EN)],Tab_Def_Flows[Input_Process],,0,)</f>
        <v/>
      </c>
      <c r="H98" s="17">
        <f>_xlfn.XLOOKUP(C98,Tab_Def_Flows[Name(EN)],Tab_Def_Flows[Process_ID_I],,0,)</f>
        <v/>
      </c>
      <c r="I98" s="272">
        <f>_xlfn.XLOOKUP(C98,Tab_Def_Flows[Name(EN)],#REF!,,0,)</f>
        <v/>
      </c>
      <c r="J98" s="272">
        <f>_xlfn.XLOOKUP(C98,Tab_Def_Flows[Name(EN)],Tab_Def_Flows[WC?],,0,)</f>
        <v/>
      </c>
      <c r="K98" s="272">
        <f>_xlfn.XLOOKUP(C98,Tab_Def_Flows[Name(EN)],Tab_Def_Flows[DM?],,0,)</f>
        <v/>
      </c>
      <c r="L98" s="272">
        <f>_xlfn.XLOOKUP(C98,Tab_Def_Flows[Name(EN)],Tab_Def_Flows[CC?],,0,)</f>
        <v/>
      </c>
      <c r="M98" s="273" t="n"/>
      <c r="N98" s="273" t="n"/>
      <c r="O98" s="48" t="n"/>
      <c r="P98" s="273" t="n"/>
      <c r="Q98" s="273" t="n"/>
      <c r="R98" s="273">
        <f>INDEX(#REF!,MATCH(Tab_Data_Flows[[#This Row],[Name(EN)]],#REF!,0),12)</f>
        <v/>
      </c>
      <c r="S98" s="273">
        <f>MATCH(Tab_Data_Flows[[#This Row],[Name(EN)]],#REF!,0)</f>
        <v/>
      </c>
      <c r="T98" s="273" t="n"/>
      <c r="U98" s="273" t="n"/>
      <c r="V98" s="273" t="n"/>
      <c r="W98" s="273" t="n"/>
      <c r="X98" s="273" t="inlineStr">
        <is>
          <t>No</t>
        </is>
      </c>
      <c r="Y98" s="273" t="n"/>
      <c r="Z98" s="273" t="n"/>
      <c r="AA98" s="35">
        <f>IF(X98="no",O98,O98*Y98)</f>
        <v/>
      </c>
      <c r="AB98" s="273" t="inlineStr">
        <is>
          <t>Mg</t>
        </is>
      </c>
      <c r="AC98" s="190">
        <f>INDEX(Tab_Def_Flows[[Flow_ID]:[CC_DM_source]],MATCH(Tab_Data_Flows[[#This Row],[Name(EN)]],Tab_Def_Flows[Name(EN)],0),13)</f>
        <v/>
      </c>
      <c r="AD98" s="272">
        <f>IF(J98="Yes",AA98*Tab_Data_Flows[[#This Row],[WC_'[%']]],"N.A.")</f>
        <v/>
      </c>
      <c r="AE98" s="272">
        <f>Tab_Data_Flows[[#This Row],[UoM_Flow_Py]]</f>
        <v/>
      </c>
      <c r="AF98" s="190">
        <f>INDEX(Tab_Def_Flows[[Flow_ID]:[CC_DM_source]],MATCH(Tab_Data_Flows[[#This Row],[Name(EN)]],Tab_Def_Flows[Name(EN)],0),15)</f>
        <v/>
      </c>
      <c r="AG98" s="272">
        <f>IF(K98="Yes",AF98*Tab_Data_Flows[[#This Row],[Flow_Py]],"N.A.")</f>
        <v/>
      </c>
      <c r="AH98" s="272">
        <f>Tab_Data_Flows[[#This Row],[UoM_Flow_Py]]</f>
        <v/>
      </c>
      <c r="AI98" s="190">
        <f>INDEX(Tab_Def_Flows[[Flow_ID]:[CC_DM_source]],MATCH(Tab_Data_Flows[[#This Row],[Name(EN)]],Tab_Def_Flows[Name(EN)],0),17)</f>
        <v/>
      </c>
      <c r="AJ98" s="272">
        <f>IF(L98="Yes",AI98*Tab_Data_Flows[[#This Row],[Flow_Py]]*Tab_Data_Flows[[#This Row],[DM_'[%']]],"N.A.")</f>
        <v/>
      </c>
      <c r="AK98" s="272">
        <f>Tab_Data_Flows[[#This Row],[UoM_Flow_Py]]</f>
        <v/>
      </c>
    </row>
    <row r="99">
      <c r="A99" s="296">
        <f>ROW()-1</f>
        <v/>
      </c>
      <c r="B99" s="272">
        <f>_xlfn.XLOOKUP(C99,Tab_Def_Flows[Name(EN)],Tab_Def_Flows[Flow_ID],,0,)</f>
        <v/>
      </c>
      <c r="C99" s="273" t="inlineStr">
        <is>
          <t>N.A.</t>
        </is>
      </c>
      <c r="D99" s="272" t="n"/>
      <c r="E99" s="272">
        <f>_xlfn.XLOOKUP(C99,Tab_Def_Flows[Name(EN)],Tab_Def_Flows[Output_Process],,0,)</f>
        <v/>
      </c>
      <c r="F99" s="272">
        <f>_xlfn.XLOOKUP(C99,Tab_Def_Flows[Name(EN)],Tab_Def_Flows[Process_ID_O],,0,)</f>
        <v/>
      </c>
      <c r="G99" s="272">
        <f>_xlfn.XLOOKUP(C99,Tab_Def_Flows[Name(EN)],Tab_Def_Flows[Input_Process],,0,)</f>
        <v/>
      </c>
      <c r="H99" s="17">
        <f>_xlfn.XLOOKUP(C99,Tab_Def_Flows[Name(EN)],Tab_Def_Flows[Process_ID_I],,0,)</f>
        <v/>
      </c>
      <c r="I99" s="272">
        <f>_xlfn.XLOOKUP(C99,Tab_Def_Flows[Name(EN)],#REF!,,0,)</f>
        <v/>
      </c>
      <c r="J99" s="272">
        <f>_xlfn.XLOOKUP(C99,Tab_Def_Flows[Name(EN)],Tab_Def_Flows[WC?],,0,)</f>
        <v/>
      </c>
      <c r="K99" s="272">
        <f>_xlfn.XLOOKUP(C99,Tab_Def_Flows[Name(EN)],Tab_Def_Flows[DM?],,0,)</f>
        <v/>
      </c>
      <c r="L99" s="272">
        <f>_xlfn.XLOOKUP(C99,Tab_Def_Flows[Name(EN)],Tab_Def_Flows[CC?],,0,)</f>
        <v/>
      </c>
      <c r="M99" s="273" t="n"/>
      <c r="N99" s="273" t="n"/>
      <c r="O99" s="48" t="n"/>
      <c r="P99" s="273" t="n"/>
      <c r="Q99" s="273" t="n"/>
      <c r="R99" s="273">
        <f>INDEX(#REF!,MATCH(Tab_Data_Flows[[#This Row],[Name(EN)]],#REF!,0),12)</f>
        <v/>
      </c>
      <c r="S99" s="273">
        <f>MATCH(Tab_Data_Flows[[#This Row],[Name(EN)]],#REF!,0)</f>
        <v/>
      </c>
      <c r="T99" s="273" t="n"/>
      <c r="U99" s="273" t="n"/>
      <c r="V99" s="273" t="n"/>
      <c r="W99" s="273" t="n"/>
      <c r="X99" s="273" t="inlineStr">
        <is>
          <t>No</t>
        </is>
      </c>
      <c r="Y99" s="273" t="n"/>
      <c r="Z99" s="273" t="n"/>
      <c r="AA99" s="35">
        <f>IF(X99="no",O99,O99*Y99)</f>
        <v/>
      </c>
      <c r="AB99" s="273" t="inlineStr">
        <is>
          <t>Mg</t>
        </is>
      </c>
      <c r="AC99" s="190">
        <f>INDEX(Tab_Def_Flows[[Flow_ID]:[CC_DM_source]],MATCH(Tab_Data_Flows[[#This Row],[Name(EN)]],Tab_Def_Flows[Name(EN)],0),13)</f>
        <v/>
      </c>
      <c r="AD99" s="272">
        <f>IF(J99="Yes",AA99*Tab_Data_Flows[[#This Row],[WC_'[%']]],"N.A.")</f>
        <v/>
      </c>
      <c r="AE99" s="272">
        <f>Tab_Data_Flows[[#This Row],[UoM_Flow_Py]]</f>
        <v/>
      </c>
      <c r="AF99" s="190">
        <f>INDEX(Tab_Def_Flows[[Flow_ID]:[CC_DM_source]],MATCH(Tab_Data_Flows[[#This Row],[Name(EN)]],Tab_Def_Flows[Name(EN)],0),15)</f>
        <v/>
      </c>
      <c r="AG99" s="272">
        <f>IF(K99="Yes",AF99*Tab_Data_Flows[[#This Row],[Flow_Py]],"N.A.")</f>
        <v/>
      </c>
      <c r="AH99" s="272">
        <f>Tab_Data_Flows[[#This Row],[UoM_Flow_Py]]</f>
        <v/>
      </c>
      <c r="AI99" s="190">
        <f>INDEX(Tab_Def_Flows[[Flow_ID]:[CC_DM_source]],MATCH(Tab_Data_Flows[[#This Row],[Name(EN)]],Tab_Def_Flows[Name(EN)],0),17)</f>
        <v/>
      </c>
      <c r="AJ99" s="272">
        <f>IF(L99="Yes",AI99*Tab_Data_Flows[[#This Row],[Flow_Py]]*Tab_Data_Flows[[#This Row],[DM_'[%']]],"N.A.")</f>
        <v/>
      </c>
      <c r="AK99" s="272">
        <f>Tab_Data_Flows[[#This Row],[UoM_Flow_Py]]</f>
        <v/>
      </c>
    </row>
    <row r="100">
      <c r="A100" s="296">
        <f>ROW()-1</f>
        <v/>
      </c>
      <c r="B100" s="272">
        <f>_xlfn.XLOOKUP(C100,Tab_Def_Flows[Name(EN)],Tab_Def_Flows[Flow_ID],,0,)</f>
        <v/>
      </c>
      <c r="C100" s="273" t="inlineStr">
        <is>
          <t>N.A.</t>
        </is>
      </c>
      <c r="D100" s="272" t="n"/>
      <c r="E100" s="272">
        <f>_xlfn.XLOOKUP(C100,Tab_Def_Flows[Name(EN)],Tab_Def_Flows[Output_Process],,0,)</f>
        <v/>
      </c>
      <c r="F100" s="272">
        <f>_xlfn.XLOOKUP(C100,Tab_Def_Flows[Name(EN)],Tab_Def_Flows[Process_ID_O],,0,)</f>
        <v/>
      </c>
      <c r="G100" s="272">
        <f>_xlfn.XLOOKUP(C100,Tab_Def_Flows[Name(EN)],Tab_Def_Flows[Input_Process],,0,)</f>
        <v/>
      </c>
      <c r="H100" s="17">
        <f>_xlfn.XLOOKUP(C100,Tab_Def_Flows[Name(EN)],Tab_Def_Flows[Process_ID_I],,0,)</f>
        <v/>
      </c>
      <c r="I100" s="272">
        <f>_xlfn.XLOOKUP(C100,Tab_Def_Flows[Name(EN)],#REF!,,0,)</f>
        <v/>
      </c>
      <c r="J100" s="272">
        <f>_xlfn.XLOOKUP(C100,Tab_Def_Flows[Name(EN)],Tab_Def_Flows[WC?],,0,)</f>
        <v/>
      </c>
      <c r="K100" s="272">
        <f>_xlfn.XLOOKUP(C100,Tab_Def_Flows[Name(EN)],Tab_Def_Flows[DM?],,0,)</f>
        <v/>
      </c>
      <c r="L100" s="272">
        <f>_xlfn.XLOOKUP(C100,Tab_Def_Flows[Name(EN)],Tab_Def_Flows[CC?],,0,)</f>
        <v/>
      </c>
      <c r="M100" s="273" t="n"/>
      <c r="N100" s="273" t="n"/>
      <c r="O100" s="48" t="n"/>
      <c r="P100" s="273" t="n"/>
      <c r="Q100" s="273" t="n"/>
      <c r="R100" s="273">
        <f>INDEX(#REF!,MATCH(Tab_Data_Flows[[#This Row],[Name(EN)]],#REF!,0),12)</f>
        <v/>
      </c>
      <c r="S100" s="273">
        <f>MATCH(Tab_Data_Flows[[#This Row],[Name(EN)]],#REF!,0)</f>
        <v/>
      </c>
      <c r="T100" s="273" t="n"/>
      <c r="U100" s="273" t="n"/>
      <c r="V100" s="273" t="n"/>
      <c r="W100" s="273" t="n"/>
      <c r="X100" s="273" t="inlineStr">
        <is>
          <t>No</t>
        </is>
      </c>
      <c r="Y100" s="273" t="n"/>
      <c r="Z100" s="273" t="n"/>
      <c r="AA100" s="35">
        <f>IF(X100="no",O100,O100*Y100)</f>
        <v/>
      </c>
      <c r="AB100" s="273" t="inlineStr">
        <is>
          <t>Mg</t>
        </is>
      </c>
      <c r="AC100" s="190">
        <f>INDEX(Tab_Def_Flows[[Flow_ID]:[CC_DM_source]],MATCH(Tab_Data_Flows[[#This Row],[Name(EN)]],Tab_Def_Flows[Name(EN)],0),13)</f>
        <v/>
      </c>
      <c r="AD100" s="272">
        <f>IF(J100="Yes",AA100*Tab_Data_Flows[[#This Row],[WC_'[%']]],"N.A.")</f>
        <v/>
      </c>
      <c r="AE100" s="272">
        <f>Tab_Data_Flows[[#This Row],[UoM_Flow_Py]]</f>
        <v/>
      </c>
      <c r="AF100" s="190">
        <f>INDEX(Tab_Def_Flows[[Flow_ID]:[CC_DM_source]],MATCH(Tab_Data_Flows[[#This Row],[Name(EN)]],Tab_Def_Flows[Name(EN)],0),15)</f>
        <v/>
      </c>
      <c r="AG100" s="272">
        <f>IF(K100="Yes",AF100*Tab_Data_Flows[[#This Row],[Flow_Py]],"N.A.")</f>
        <v/>
      </c>
      <c r="AH100" s="272">
        <f>Tab_Data_Flows[[#This Row],[UoM_Flow_Py]]</f>
        <v/>
      </c>
      <c r="AI100" s="190">
        <f>INDEX(Tab_Def_Flows[[Flow_ID]:[CC_DM_source]],MATCH(Tab_Data_Flows[[#This Row],[Name(EN)]],Tab_Def_Flows[Name(EN)],0),17)</f>
        <v/>
      </c>
      <c r="AJ100" s="272">
        <f>IF(L100="Yes",AI100*Tab_Data_Flows[[#This Row],[Flow_Py]]*Tab_Data_Flows[[#This Row],[DM_'[%']]],"N.A.")</f>
        <v/>
      </c>
      <c r="AK100" s="272">
        <f>Tab_Data_Flows[[#This Row],[UoM_Flow_Py]]</f>
        <v/>
      </c>
    </row>
    <row r="101">
      <c r="A101" s="296">
        <f>ROW()-1</f>
        <v/>
      </c>
      <c r="B101" s="272">
        <f>_xlfn.XLOOKUP(C101,Tab_Def_Flows[Name(EN)],Tab_Def_Flows[Flow_ID],,0,)</f>
        <v/>
      </c>
      <c r="C101" s="273" t="inlineStr">
        <is>
          <t>N.A.</t>
        </is>
      </c>
      <c r="D101" s="272" t="n"/>
      <c r="E101" s="272">
        <f>_xlfn.XLOOKUP(C101,Tab_Def_Flows[Name(EN)],Tab_Def_Flows[Output_Process],,0,)</f>
        <v/>
      </c>
      <c r="F101" s="272">
        <f>_xlfn.XLOOKUP(C101,Tab_Def_Flows[Name(EN)],Tab_Def_Flows[Process_ID_O],,0,)</f>
        <v/>
      </c>
      <c r="G101" s="272">
        <f>_xlfn.XLOOKUP(C101,Tab_Def_Flows[Name(EN)],Tab_Def_Flows[Input_Process],,0,)</f>
        <v/>
      </c>
      <c r="H101" s="17">
        <f>_xlfn.XLOOKUP(C101,Tab_Def_Flows[Name(EN)],Tab_Def_Flows[Process_ID_I],,0,)</f>
        <v/>
      </c>
      <c r="I101" s="272">
        <f>_xlfn.XLOOKUP(C101,Tab_Def_Flows[Name(EN)],#REF!,,0,)</f>
        <v/>
      </c>
      <c r="J101" s="272">
        <f>_xlfn.XLOOKUP(C101,Tab_Def_Flows[Name(EN)],Tab_Def_Flows[WC?],,0,)</f>
        <v/>
      </c>
      <c r="K101" s="272">
        <f>_xlfn.XLOOKUP(C101,Tab_Def_Flows[Name(EN)],Tab_Def_Flows[DM?],,0,)</f>
        <v/>
      </c>
      <c r="L101" s="272">
        <f>_xlfn.XLOOKUP(C101,Tab_Def_Flows[Name(EN)],Tab_Def_Flows[CC?],,0,)</f>
        <v/>
      </c>
      <c r="M101" s="273" t="n"/>
      <c r="N101" s="273" t="n"/>
      <c r="O101" s="48" t="n"/>
      <c r="P101" s="273" t="n"/>
      <c r="Q101" s="273" t="n"/>
      <c r="R101" s="273">
        <f>INDEX(#REF!,MATCH(Tab_Data_Flows[[#This Row],[Name(EN)]],#REF!,0),12)</f>
        <v/>
      </c>
      <c r="S101" s="273">
        <f>MATCH(Tab_Data_Flows[[#This Row],[Name(EN)]],#REF!,0)</f>
        <v/>
      </c>
      <c r="T101" s="273" t="n"/>
      <c r="U101" s="273" t="n"/>
      <c r="V101" s="273" t="n"/>
      <c r="W101" s="273" t="n"/>
      <c r="X101" s="273" t="inlineStr">
        <is>
          <t>No</t>
        </is>
      </c>
      <c r="Y101" s="273" t="n"/>
      <c r="Z101" s="273" t="n"/>
      <c r="AA101" s="35">
        <f>IF(X101="no",O101,O101*Y101)</f>
        <v/>
      </c>
      <c r="AB101" s="273" t="inlineStr">
        <is>
          <t>Mg</t>
        </is>
      </c>
      <c r="AC101" s="190">
        <f>INDEX(Tab_Def_Flows[[Flow_ID]:[CC_DM_source]],MATCH(Tab_Data_Flows[[#This Row],[Name(EN)]],Tab_Def_Flows[Name(EN)],0),13)</f>
        <v/>
      </c>
      <c r="AD101" s="272">
        <f>IF(J101="Yes",AA101*Tab_Data_Flows[[#This Row],[WC_'[%']]],"N.A.")</f>
        <v/>
      </c>
      <c r="AE101" s="272">
        <f>Tab_Data_Flows[[#This Row],[UoM_Flow_Py]]</f>
        <v/>
      </c>
      <c r="AF101" s="190">
        <f>INDEX(Tab_Def_Flows[[Flow_ID]:[CC_DM_source]],MATCH(Tab_Data_Flows[[#This Row],[Name(EN)]],Tab_Def_Flows[Name(EN)],0),15)</f>
        <v/>
      </c>
      <c r="AG101" s="272">
        <f>IF(K101="Yes",AF101*Tab_Data_Flows[[#This Row],[Flow_Py]],"N.A.")</f>
        <v/>
      </c>
      <c r="AH101" s="272">
        <f>Tab_Data_Flows[[#This Row],[UoM_Flow_Py]]</f>
        <v/>
      </c>
      <c r="AI101" s="190">
        <f>INDEX(Tab_Def_Flows[[Flow_ID]:[CC_DM_source]],MATCH(Tab_Data_Flows[[#This Row],[Name(EN)]],Tab_Def_Flows[Name(EN)],0),17)</f>
        <v/>
      </c>
      <c r="AJ101" s="272">
        <f>IF(L101="Yes",AI101*Tab_Data_Flows[[#This Row],[Flow_Py]]*Tab_Data_Flows[[#This Row],[DM_'[%']]],"N.A.")</f>
        <v/>
      </c>
      <c r="AK101" s="272">
        <f>Tab_Data_Flows[[#This Row],[UoM_Flow_Py]]</f>
        <v/>
      </c>
    </row>
    <row r="102">
      <c r="A102" s="296">
        <f>ROW()-1</f>
        <v/>
      </c>
      <c r="B102" s="272">
        <f>_xlfn.XLOOKUP(C102,Tab_Def_Flows[Name(EN)],Tab_Def_Flows[Flow_ID],,0,)</f>
        <v/>
      </c>
      <c r="C102" s="273" t="inlineStr">
        <is>
          <t>N.A.</t>
        </is>
      </c>
      <c r="D102" s="272" t="n"/>
      <c r="E102" s="272">
        <f>_xlfn.XLOOKUP(C102,Tab_Def_Flows[Name(EN)],Tab_Def_Flows[Output_Process],,0,)</f>
        <v/>
      </c>
      <c r="F102" s="272">
        <f>_xlfn.XLOOKUP(C102,Tab_Def_Flows[Name(EN)],Tab_Def_Flows[Process_ID_O],,0,)</f>
        <v/>
      </c>
      <c r="G102" s="272">
        <f>_xlfn.XLOOKUP(C102,Tab_Def_Flows[Name(EN)],Tab_Def_Flows[Input_Process],,0,)</f>
        <v/>
      </c>
      <c r="H102" s="17">
        <f>_xlfn.XLOOKUP(C102,Tab_Def_Flows[Name(EN)],Tab_Def_Flows[Process_ID_I],,0,)</f>
        <v/>
      </c>
      <c r="I102" s="272">
        <f>_xlfn.XLOOKUP(C102,Tab_Def_Flows[Name(EN)],#REF!,,0,)</f>
        <v/>
      </c>
      <c r="J102" s="272">
        <f>_xlfn.XLOOKUP(C102,Tab_Def_Flows[Name(EN)],Tab_Def_Flows[WC?],,0,)</f>
        <v/>
      </c>
      <c r="K102" s="272">
        <f>_xlfn.XLOOKUP(C102,Tab_Def_Flows[Name(EN)],Tab_Def_Flows[DM?],,0,)</f>
        <v/>
      </c>
      <c r="L102" s="272">
        <f>_xlfn.XLOOKUP(C102,Tab_Def_Flows[Name(EN)],Tab_Def_Flows[CC?],,0,)</f>
        <v/>
      </c>
      <c r="M102" s="273" t="n"/>
      <c r="N102" s="273" t="n"/>
      <c r="O102" s="48" t="n"/>
      <c r="P102" s="273" t="n"/>
      <c r="Q102" s="273" t="n"/>
      <c r="R102" s="273">
        <f>INDEX(#REF!,MATCH(Tab_Data_Flows[[#This Row],[Name(EN)]],#REF!,0),12)</f>
        <v/>
      </c>
      <c r="S102" s="273">
        <f>MATCH(Tab_Data_Flows[[#This Row],[Name(EN)]],#REF!,0)</f>
        <v/>
      </c>
      <c r="T102" s="273" t="n"/>
      <c r="U102" s="273" t="n"/>
      <c r="V102" s="273" t="n"/>
      <c r="W102" s="273" t="n"/>
      <c r="X102" s="273" t="inlineStr">
        <is>
          <t>No</t>
        </is>
      </c>
      <c r="Y102" s="273" t="n"/>
      <c r="Z102" s="273" t="n"/>
      <c r="AA102" s="35">
        <f>IF(X102="no",O102,O102*Y102)</f>
        <v/>
      </c>
      <c r="AB102" s="273" t="inlineStr">
        <is>
          <t>Mg</t>
        </is>
      </c>
      <c r="AC102" s="190">
        <f>INDEX(Tab_Def_Flows[[Flow_ID]:[CC_DM_source]],MATCH(Tab_Data_Flows[[#This Row],[Name(EN)]],Tab_Def_Flows[Name(EN)],0),13)</f>
        <v/>
      </c>
      <c r="AD102" s="272">
        <f>IF(J102="Yes",AA102*Tab_Data_Flows[[#This Row],[WC_'[%']]],"N.A.")</f>
        <v/>
      </c>
      <c r="AE102" s="272">
        <f>Tab_Data_Flows[[#This Row],[UoM_Flow_Py]]</f>
        <v/>
      </c>
      <c r="AF102" s="190">
        <f>INDEX(Tab_Def_Flows[[Flow_ID]:[CC_DM_source]],MATCH(Tab_Data_Flows[[#This Row],[Name(EN)]],Tab_Def_Flows[Name(EN)],0),15)</f>
        <v/>
      </c>
      <c r="AG102" s="272">
        <f>IF(K102="Yes",AF102*Tab_Data_Flows[[#This Row],[Flow_Py]],"N.A.")</f>
        <v/>
      </c>
      <c r="AH102" s="272">
        <f>Tab_Data_Flows[[#This Row],[UoM_Flow_Py]]</f>
        <v/>
      </c>
      <c r="AI102" s="190">
        <f>INDEX(Tab_Def_Flows[[Flow_ID]:[CC_DM_source]],MATCH(Tab_Data_Flows[[#This Row],[Name(EN)]],Tab_Def_Flows[Name(EN)],0),17)</f>
        <v/>
      </c>
      <c r="AJ102" s="272">
        <f>IF(L102="Yes",AI102*Tab_Data_Flows[[#This Row],[Flow_Py]]*Tab_Data_Flows[[#This Row],[DM_'[%']]],"N.A.")</f>
        <v/>
      </c>
      <c r="AK102" s="272">
        <f>Tab_Data_Flows[[#This Row],[UoM_Flow_Py]]</f>
        <v/>
      </c>
    </row>
    <row r="103">
      <c r="A103" s="296">
        <f>ROW()-1</f>
        <v/>
      </c>
      <c r="B103" s="272">
        <f>_xlfn.XLOOKUP(C103,Tab_Def_Flows[Name(EN)],Tab_Def_Flows[Flow_ID],,0,)</f>
        <v/>
      </c>
      <c r="C103" s="273" t="inlineStr">
        <is>
          <t>N.A.</t>
        </is>
      </c>
      <c r="D103" s="272" t="n"/>
      <c r="E103" s="272">
        <f>_xlfn.XLOOKUP(C103,Tab_Def_Flows[Name(EN)],Tab_Def_Flows[Output_Process],,0,)</f>
        <v/>
      </c>
      <c r="F103" s="272">
        <f>_xlfn.XLOOKUP(C103,Tab_Def_Flows[Name(EN)],Tab_Def_Flows[Process_ID_O],,0,)</f>
        <v/>
      </c>
      <c r="G103" s="272">
        <f>_xlfn.XLOOKUP(C103,Tab_Def_Flows[Name(EN)],Tab_Def_Flows[Input_Process],,0,)</f>
        <v/>
      </c>
      <c r="H103" s="17">
        <f>_xlfn.XLOOKUP(C103,Tab_Def_Flows[Name(EN)],Tab_Def_Flows[Process_ID_I],,0,)</f>
        <v/>
      </c>
      <c r="I103" s="272">
        <f>_xlfn.XLOOKUP(C103,Tab_Def_Flows[Name(EN)],#REF!,,0,)</f>
        <v/>
      </c>
      <c r="J103" s="272">
        <f>_xlfn.XLOOKUP(C103,Tab_Def_Flows[Name(EN)],Tab_Def_Flows[WC?],,0,)</f>
        <v/>
      </c>
      <c r="K103" s="272">
        <f>_xlfn.XLOOKUP(C103,Tab_Def_Flows[Name(EN)],Tab_Def_Flows[DM?],,0,)</f>
        <v/>
      </c>
      <c r="L103" s="272">
        <f>_xlfn.XLOOKUP(C103,Tab_Def_Flows[Name(EN)],Tab_Def_Flows[CC?],,0,)</f>
        <v/>
      </c>
      <c r="M103" s="273" t="n"/>
      <c r="N103" s="273" t="n"/>
      <c r="O103" s="48" t="n"/>
      <c r="P103" s="273" t="n"/>
      <c r="Q103" s="273" t="n"/>
      <c r="R103" s="273">
        <f>INDEX(#REF!,MATCH(Tab_Data_Flows[[#This Row],[Name(EN)]],#REF!,0),12)</f>
        <v/>
      </c>
      <c r="S103" s="273">
        <f>MATCH(Tab_Data_Flows[[#This Row],[Name(EN)]],#REF!,0)</f>
        <v/>
      </c>
      <c r="T103" s="273" t="n"/>
      <c r="U103" s="273" t="n"/>
      <c r="V103" s="273" t="n"/>
      <c r="W103" s="273" t="n"/>
      <c r="X103" s="273" t="inlineStr">
        <is>
          <t>No</t>
        </is>
      </c>
      <c r="Y103" s="273" t="n"/>
      <c r="Z103" s="273" t="n"/>
      <c r="AA103" s="35">
        <f>IF(X103="no",O103,O103*Y103)</f>
        <v/>
      </c>
      <c r="AB103" s="273" t="inlineStr">
        <is>
          <t>Mg</t>
        </is>
      </c>
      <c r="AC103" s="190">
        <f>INDEX(Tab_Def_Flows[[Flow_ID]:[CC_DM_source]],MATCH(Tab_Data_Flows[[#This Row],[Name(EN)]],Tab_Def_Flows[Name(EN)],0),13)</f>
        <v/>
      </c>
      <c r="AD103" s="272">
        <f>IF(J103="Yes",AA103*Tab_Data_Flows[[#This Row],[WC_'[%']]],"N.A.")</f>
        <v/>
      </c>
      <c r="AE103" s="272">
        <f>Tab_Data_Flows[[#This Row],[UoM_Flow_Py]]</f>
        <v/>
      </c>
      <c r="AF103" s="190">
        <f>INDEX(Tab_Def_Flows[[Flow_ID]:[CC_DM_source]],MATCH(Tab_Data_Flows[[#This Row],[Name(EN)]],Tab_Def_Flows[Name(EN)],0),15)</f>
        <v/>
      </c>
      <c r="AG103" s="272">
        <f>IF(K103="Yes",AF103*Tab_Data_Flows[[#This Row],[Flow_Py]],"N.A.")</f>
        <v/>
      </c>
      <c r="AH103" s="272">
        <f>Tab_Data_Flows[[#This Row],[UoM_Flow_Py]]</f>
        <v/>
      </c>
      <c r="AI103" s="190">
        <f>INDEX(Tab_Def_Flows[[Flow_ID]:[CC_DM_source]],MATCH(Tab_Data_Flows[[#This Row],[Name(EN)]],Tab_Def_Flows[Name(EN)],0),17)</f>
        <v/>
      </c>
      <c r="AJ103" s="272">
        <f>IF(L103="Yes",AI103*Tab_Data_Flows[[#This Row],[Flow_Py]]*Tab_Data_Flows[[#This Row],[DM_'[%']]],"N.A.")</f>
        <v/>
      </c>
      <c r="AK103" s="272">
        <f>Tab_Data_Flows[[#This Row],[UoM_Flow_Py]]</f>
        <v/>
      </c>
    </row>
    <row r="104">
      <c r="A104" s="296">
        <f>ROW()-1</f>
        <v/>
      </c>
      <c r="B104" s="272">
        <f>_xlfn.XLOOKUP(C104,Tab_Def_Flows[Name(EN)],Tab_Def_Flows[Flow_ID],,0,)</f>
        <v/>
      </c>
      <c r="C104" s="273" t="inlineStr">
        <is>
          <t>N.A.</t>
        </is>
      </c>
      <c r="D104" s="272" t="n"/>
      <c r="E104" s="272">
        <f>_xlfn.XLOOKUP(C104,Tab_Def_Flows[Name(EN)],Tab_Def_Flows[Output_Process],,0,)</f>
        <v/>
      </c>
      <c r="F104" s="272">
        <f>_xlfn.XLOOKUP(C104,Tab_Def_Flows[Name(EN)],Tab_Def_Flows[Process_ID_O],,0,)</f>
        <v/>
      </c>
      <c r="G104" s="272">
        <f>_xlfn.XLOOKUP(C104,Tab_Def_Flows[Name(EN)],Tab_Def_Flows[Input_Process],,0,)</f>
        <v/>
      </c>
      <c r="H104" s="17">
        <f>_xlfn.XLOOKUP(C104,Tab_Def_Flows[Name(EN)],Tab_Def_Flows[Process_ID_I],,0,)</f>
        <v/>
      </c>
      <c r="I104" s="272">
        <f>_xlfn.XLOOKUP(C104,Tab_Def_Flows[Name(EN)],#REF!,,0,)</f>
        <v/>
      </c>
      <c r="J104" s="272">
        <f>_xlfn.XLOOKUP(C104,Tab_Def_Flows[Name(EN)],Tab_Def_Flows[WC?],,0,)</f>
        <v/>
      </c>
      <c r="K104" s="272">
        <f>_xlfn.XLOOKUP(C104,Tab_Def_Flows[Name(EN)],Tab_Def_Flows[DM?],,0,)</f>
        <v/>
      </c>
      <c r="L104" s="272">
        <f>_xlfn.XLOOKUP(C104,Tab_Def_Flows[Name(EN)],Tab_Def_Flows[CC?],,0,)</f>
        <v/>
      </c>
      <c r="M104" s="273" t="n"/>
      <c r="N104" s="273" t="n"/>
      <c r="O104" s="48" t="n"/>
      <c r="P104" s="273" t="n"/>
      <c r="Q104" s="273" t="n"/>
      <c r="R104" s="273">
        <f>INDEX(#REF!,MATCH(Tab_Data_Flows[[#This Row],[Name(EN)]],#REF!,0),12)</f>
        <v/>
      </c>
      <c r="S104" s="273">
        <f>MATCH(Tab_Data_Flows[[#This Row],[Name(EN)]],#REF!,0)</f>
        <v/>
      </c>
      <c r="T104" s="273" t="n"/>
      <c r="U104" s="273" t="n"/>
      <c r="V104" s="273" t="n"/>
      <c r="W104" s="273" t="n"/>
      <c r="X104" s="273" t="inlineStr">
        <is>
          <t>No</t>
        </is>
      </c>
      <c r="Y104" s="273" t="n"/>
      <c r="Z104" s="273" t="n"/>
      <c r="AA104" s="35">
        <f>IF(X104="no",O104,O104*Y104)</f>
        <v/>
      </c>
      <c r="AB104" s="273" t="inlineStr">
        <is>
          <t>Mg</t>
        </is>
      </c>
      <c r="AC104" s="190">
        <f>INDEX(Tab_Def_Flows[[Flow_ID]:[CC_DM_source]],MATCH(Tab_Data_Flows[[#This Row],[Name(EN)]],Tab_Def_Flows[Name(EN)],0),13)</f>
        <v/>
      </c>
      <c r="AD104" s="272">
        <f>IF(J104="Yes",AA104*Tab_Data_Flows[[#This Row],[WC_'[%']]],"N.A.")</f>
        <v/>
      </c>
      <c r="AE104" s="272">
        <f>Tab_Data_Flows[[#This Row],[UoM_Flow_Py]]</f>
        <v/>
      </c>
      <c r="AF104" s="190">
        <f>INDEX(Tab_Def_Flows[[Flow_ID]:[CC_DM_source]],MATCH(Tab_Data_Flows[[#This Row],[Name(EN)]],Tab_Def_Flows[Name(EN)],0),15)</f>
        <v/>
      </c>
      <c r="AG104" s="272">
        <f>IF(K104="Yes",AF104*Tab_Data_Flows[[#This Row],[Flow_Py]],"N.A.")</f>
        <v/>
      </c>
      <c r="AH104" s="272">
        <f>Tab_Data_Flows[[#This Row],[UoM_Flow_Py]]</f>
        <v/>
      </c>
      <c r="AI104" s="190">
        <f>INDEX(Tab_Def_Flows[[Flow_ID]:[CC_DM_source]],MATCH(Tab_Data_Flows[[#This Row],[Name(EN)]],Tab_Def_Flows[Name(EN)],0),17)</f>
        <v/>
      </c>
      <c r="AJ104" s="272">
        <f>IF(L104="Yes",AI104*Tab_Data_Flows[[#This Row],[Flow_Py]]*Tab_Data_Flows[[#This Row],[DM_'[%']]],"N.A.")</f>
        <v/>
      </c>
      <c r="AK104" s="272">
        <f>Tab_Data_Flows[[#This Row],[UoM_Flow_Py]]</f>
        <v/>
      </c>
    </row>
    <row r="105">
      <c r="A105" s="296">
        <f>ROW()-1</f>
        <v/>
      </c>
      <c r="B105" s="272">
        <f>_xlfn.XLOOKUP(C105,Tab_Def_Flows[Name(EN)],Tab_Def_Flows[Flow_ID],,0,)</f>
        <v/>
      </c>
      <c r="C105" s="273" t="inlineStr">
        <is>
          <t>N.A.</t>
        </is>
      </c>
      <c r="D105" s="272" t="n"/>
      <c r="E105" s="272">
        <f>_xlfn.XLOOKUP(C105,Tab_Def_Flows[Name(EN)],Tab_Def_Flows[Output_Process],,0,)</f>
        <v/>
      </c>
      <c r="F105" s="272">
        <f>_xlfn.XLOOKUP(C105,Tab_Def_Flows[Name(EN)],Tab_Def_Flows[Process_ID_O],,0,)</f>
        <v/>
      </c>
      <c r="G105" s="272">
        <f>_xlfn.XLOOKUP(C105,Tab_Def_Flows[Name(EN)],Tab_Def_Flows[Input_Process],,0,)</f>
        <v/>
      </c>
      <c r="H105" s="17">
        <f>_xlfn.XLOOKUP(C105,Tab_Def_Flows[Name(EN)],Tab_Def_Flows[Process_ID_I],,0,)</f>
        <v/>
      </c>
      <c r="I105" s="272">
        <f>_xlfn.XLOOKUP(C105,Tab_Def_Flows[Name(EN)],#REF!,,0,)</f>
        <v/>
      </c>
      <c r="J105" s="272">
        <f>_xlfn.XLOOKUP(C105,Tab_Def_Flows[Name(EN)],Tab_Def_Flows[WC?],,0,)</f>
        <v/>
      </c>
      <c r="K105" s="272">
        <f>_xlfn.XLOOKUP(C105,Tab_Def_Flows[Name(EN)],Tab_Def_Flows[DM?],,0,)</f>
        <v/>
      </c>
      <c r="L105" s="272">
        <f>_xlfn.XLOOKUP(C105,Tab_Def_Flows[Name(EN)],Tab_Def_Flows[CC?],,0,)</f>
        <v/>
      </c>
      <c r="M105" s="273" t="n"/>
      <c r="N105" s="273" t="n"/>
      <c r="O105" s="48" t="n"/>
      <c r="P105" s="273" t="n"/>
      <c r="Q105" s="273" t="n"/>
      <c r="R105" s="273">
        <f>INDEX(#REF!,MATCH(Tab_Data_Flows[[#This Row],[Name(EN)]],#REF!,0),12)</f>
        <v/>
      </c>
      <c r="S105" s="273">
        <f>MATCH(Tab_Data_Flows[[#This Row],[Name(EN)]],#REF!,0)</f>
        <v/>
      </c>
      <c r="T105" s="273" t="n"/>
      <c r="U105" s="273" t="n"/>
      <c r="V105" s="273" t="n"/>
      <c r="W105" s="273" t="n"/>
      <c r="X105" s="273" t="inlineStr">
        <is>
          <t>No</t>
        </is>
      </c>
      <c r="Y105" s="273" t="n"/>
      <c r="Z105" s="273" t="n"/>
      <c r="AA105" s="35">
        <f>IF(X105="no",O105,O105*Y105)</f>
        <v/>
      </c>
      <c r="AB105" s="273" t="inlineStr">
        <is>
          <t>Mg</t>
        </is>
      </c>
      <c r="AC105" s="190">
        <f>INDEX(Tab_Def_Flows[[Flow_ID]:[CC_DM_source]],MATCH(Tab_Data_Flows[[#This Row],[Name(EN)]],Tab_Def_Flows[Name(EN)],0),13)</f>
        <v/>
      </c>
      <c r="AD105" s="272">
        <f>IF(J105="Yes",AA105*Tab_Data_Flows[[#This Row],[WC_'[%']]],"N.A.")</f>
        <v/>
      </c>
      <c r="AE105" s="272">
        <f>Tab_Data_Flows[[#This Row],[UoM_Flow_Py]]</f>
        <v/>
      </c>
      <c r="AF105" s="190">
        <f>INDEX(Tab_Def_Flows[[Flow_ID]:[CC_DM_source]],MATCH(Tab_Data_Flows[[#This Row],[Name(EN)]],Tab_Def_Flows[Name(EN)],0),15)</f>
        <v/>
      </c>
      <c r="AG105" s="272">
        <f>IF(K105="Yes",AF105*Tab_Data_Flows[[#This Row],[Flow_Py]],"N.A.")</f>
        <v/>
      </c>
      <c r="AH105" s="272">
        <f>Tab_Data_Flows[[#This Row],[UoM_Flow_Py]]</f>
        <v/>
      </c>
      <c r="AI105" s="190">
        <f>INDEX(Tab_Def_Flows[[Flow_ID]:[CC_DM_source]],MATCH(Tab_Data_Flows[[#This Row],[Name(EN)]],Tab_Def_Flows[Name(EN)],0),17)</f>
        <v/>
      </c>
      <c r="AJ105" s="272">
        <f>IF(L105="Yes",AI105*Tab_Data_Flows[[#This Row],[Flow_Py]]*Tab_Data_Flows[[#This Row],[DM_'[%']]],"N.A.")</f>
        <v/>
      </c>
      <c r="AK105" s="272">
        <f>Tab_Data_Flows[[#This Row],[UoM_Flow_Py]]</f>
        <v/>
      </c>
    </row>
    <row r="106">
      <c r="A106" s="296">
        <f>ROW()-1</f>
        <v/>
      </c>
      <c r="B106" s="272">
        <f>_xlfn.XLOOKUP(C106,Tab_Def_Flows[Name(EN)],Tab_Def_Flows[Flow_ID],,0,)</f>
        <v/>
      </c>
      <c r="C106" s="273" t="inlineStr">
        <is>
          <t>N.A.</t>
        </is>
      </c>
      <c r="D106" s="272" t="n"/>
      <c r="E106" s="272">
        <f>_xlfn.XLOOKUP(C106,Tab_Def_Flows[Name(EN)],Tab_Def_Flows[Output_Process],,0,)</f>
        <v/>
      </c>
      <c r="F106" s="272">
        <f>_xlfn.XLOOKUP(C106,Tab_Def_Flows[Name(EN)],Tab_Def_Flows[Process_ID_O],,0,)</f>
        <v/>
      </c>
      <c r="G106" s="272">
        <f>_xlfn.XLOOKUP(C106,Tab_Def_Flows[Name(EN)],Tab_Def_Flows[Input_Process],,0,)</f>
        <v/>
      </c>
      <c r="H106" s="17">
        <f>_xlfn.XLOOKUP(C106,Tab_Def_Flows[Name(EN)],Tab_Def_Flows[Process_ID_I],,0,)</f>
        <v/>
      </c>
      <c r="I106" s="272">
        <f>_xlfn.XLOOKUP(C106,Tab_Def_Flows[Name(EN)],#REF!,,0,)</f>
        <v/>
      </c>
      <c r="J106" s="272">
        <f>_xlfn.XLOOKUP(C106,Tab_Def_Flows[Name(EN)],Tab_Def_Flows[WC?],,0,)</f>
        <v/>
      </c>
      <c r="K106" s="272">
        <f>_xlfn.XLOOKUP(C106,Tab_Def_Flows[Name(EN)],Tab_Def_Flows[DM?],,0,)</f>
        <v/>
      </c>
      <c r="L106" s="272">
        <f>_xlfn.XLOOKUP(C106,Tab_Def_Flows[Name(EN)],Tab_Def_Flows[CC?],,0,)</f>
        <v/>
      </c>
      <c r="M106" s="273" t="n"/>
      <c r="N106" s="273" t="n"/>
      <c r="O106" s="48" t="n"/>
      <c r="P106" s="273" t="n"/>
      <c r="Q106" s="273" t="n"/>
      <c r="R106" s="273">
        <f>INDEX(#REF!,MATCH(Tab_Data_Flows[[#This Row],[Name(EN)]],#REF!,0),12)</f>
        <v/>
      </c>
      <c r="S106" s="273">
        <f>MATCH(Tab_Data_Flows[[#This Row],[Name(EN)]],#REF!,0)</f>
        <v/>
      </c>
      <c r="T106" s="273" t="n"/>
      <c r="U106" s="273" t="n"/>
      <c r="V106" s="273" t="n"/>
      <c r="W106" s="273" t="n"/>
      <c r="X106" s="273" t="inlineStr">
        <is>
          <t>No</t>
        </is>
      </c>
      <c r="Y106" s="273" t="n"/>
      <c r="Z106" s="273" t="n"/>
      <c r="AA106" s="35">
        <f>IF(X106="no",O106,O106*Y106)</f>
        <v/>
      </c>
      <c r="AB106" s="273" t="inlineStr">
        <is>
          <t>Mg</t>
        </is>
      </c>
      <c r="AC106" s="190">
        <f>INDEX(Tab_Def_Flows[[Flow_ID]:[CC_DM_source]],MATCH(Tab_Data_Flows[[#This Row],[Name(EN)]],Tab_Def_Flows[Name(EN)],0),13)</f>
        <v/>
      </c>
      <c r="AD106" s="272">
        <f>IF(J106="Yes",AA106*Tab_Data_Flows[[#This Row],[WC_'[%']]],"N.A.")</f>
        <v/>
      </c>
      <c r="AE106" s="272">
        <f>Tab_Data_Flows[[#This Row],[UoM_Flow_Py]]</f>
        <v/>
      </c>
      <c r="AF106" s="190">
        <f>INDEX(Tab_Def_Flows[[Flow_ID]:[CC_DM_source]],MATCH(Tab_Data_Flows[[#This Row],[Name(EN)]],Tab_Def_Flows[Name(EN)],0),15)</f>
        <v/>
      </c>
      <c r="AG106" s="272">
        <f>IF(K106="Yes",AF106*Tab_Data_Flows[[#This Row],[Flow_Py]],"N.A.")</f>
        <v/>
      </c>
      <c r="AH106" s="272">
        <f>Tab_Data_Flows[[#This Row],[UoM_Flow_Py]]</f>
        <v/>
      </c>
      <c r="AI106" s="190">
        <f>INDEX(Tab_Def_Flows[[Flow_ID]:[CC_DM_source]],MATCH(Tab_Data_Flows[[#This Row],[Name(EN)]],Tab_Def_Flows[Name(EN)],0),17)</f>
        <v/>
      </c>
      <c r="AJ106" s="272">
        <f>IF(L106="Yes",AI106*Tab_Data_Flows[[#This Row],[Flow_Py]]*Tab_Data_Flows[[#This Row],[DM_'[%']]],"N.A.")</f>
        <v/>
      </c>
      <c r="AK106" s="272">
        <f>Tab_Data_Flows[[#This Row],[UoM_Flow_Py]]</f>
        <v/>
      </c>
    </row>
    <row r="107">
      <c r="A107" s="296">
        <f>ROW()-1</f>
        <v/>
      </c>
      <c r="B107" s="272">
        <f>_xlfn.XLOOKUP(C107,Tab_Def_Flows[Name(EN)],Tab_Def_Flows[Flow_ID],,0,)</f>
        <v/>
      </c>
      <c r="C107" s="273" t="inlineStr">
        <is>
          <t>N.A.</t>
        </is>
      </c>
      <c r="D107" s="272" t="n"/>
      <c r="E107" s="272">
        <f>_xlfn.XLOOKUP(C107,Tab_Def_Flows[Name(EN)],Tab_Def_Flows[Output_Process],,0,)</f>
        <v/>
      </c>
      <c r="F107" s="272">
        <f>_xlfn.XLOOKUP(C107,Tab_Def_Flows[Name(EN)],Tab_Def_Flows[Process_ID_O],,0,)</f>
        <v/>
      </c>
      <c r="G107" s="272">
        <f>_xlfn.XLOOKUP(C107,Tab_Def_Flows[Name(EN)],Tab_Def_Flows[Input_Process],,0,)</f>
        <v/>
      </c>
      <c r="H107" s="17">
        <f>_xlfn.XLOOKUP(C107,Tab_Def_Flows[Name(EN)],Tab_Def_Flows[Process_ID_I],,0,)</f>
        <v/>
      </c>
      <c r="I107" s="272">
        <f>_xlfn.XLOOKUP(C107,Tab_Def_Flows[Name(EN)],#REF!,,0,)</f>
        <v/>
      </c>
      <c r="J107" s="272">
        <f>_xlfn.XLOOKUP(C107,Tab_Def_Flows[Name(EN)],Tab_Def_Flows[WC?],,0,)</f>
        <v/>
      </c>
      <c r="K107" s="272">
        <f>_xlfn.XLOOKUP(C107,Tab_Def_Flows[Name(EN)],Tab_Def_Flows[DM?],,0,)</f>
        <v/>
      </c>
      <c r="L107" s="272">
        <f>_xlfn.XLOOKUP(C107,Tab_Def_Flows[Name(EN)],Tab_Def_Flows[CC?],,0,)</f>
        <v/>
      </c>
      <c r="M107" s="273" t="n"/>
      <c r="N107" s="273" t="n"/>
      <c r="O107" s="48" t="n"/>
      <c r="P107" s="273" t="n"/>
      <c r="Q107" s="273" t="n"/>
      <c r="R107" s="273">
        <f>INDEX(#REF!,MATCH(Tab_Data_Flows[[#This Row],[Name(EN)]],#REF!,0),12)</f>
        <v/>
      </c>
      <c r="S107" s="273">
        <f>MATCH(Tab_Data_Flows[[#This Row],[Name(EN)]],#REF!,0)</f>
        <v/>
      </c>
      <c r="T107" s="273" t="n"/>
      <c r="U107" s="273" t="n"/>
      <c r="V107" s="273" t="n"/>
      <c r="W107" s="273" t="n"/>
      <c r="X107" s="273" t="inlineStr">
        <is>
          <t>No</t>
        </is>
      </c>
      <c r="Y107" s="273" t="n"/>
      <c r="Z107" s="273" t="n"/>
      <c r="AA107" s="35">
        <f>IF(X107="no",O107,O107*Y107)</f>
        <v/>
      </c>
      <c r="AB107" s="273" t="inlineStr">
        <is>
          <t>Mg</t>
        </is>
      </c>
      <c r="AC107" s="190">
        <f>INDEX(Tab_Def_Flows[[Flow_ID]:[CC_DM_source]],MATCH(Tab_Data_Flows[[#This Row],[Name(EN)]],Tab_Def_Flows[Name(EN)],0),13)</f>
        <v/>
      </c>
      <c r="AD107" s="272">
        <f>IF(J107="Yes",AA107*Tab_Data_Flows[[#This Row],[WC_'[%']]],"N.A.")</f>
        <v/>
      </c>
      <c r="AE107" s="272">
        <f>Tab_Data_Flows[[#This Row],[UoM_Flow_Py]]</f>
        <v/>
      </c>
      <c r="AF107" s="190">
        <f>INDEX(Tab_Def_Flows[[Flow_ID]:[CC_DM_source]],MATCH(Tab_Data_Flows[[#This Row],[Name(EN)]],Tab_Def_Flows[Name(EN)],0),15)</f>
        <v/>
      </c>
      <c r="AG107" s="272">
        <f>IF(K107="Yes",AF107*Tab_Data_Flows[[#This Row],[Flow_Py]],"N.A.")</f>
        <v/>
      </c>
      <c r="AH107" s="272">
        <f>Tab_Data_Flows[[#This Row],[UoM_Flow_Py]]</f>
        <v/>
      </c>
      <c r="AI107" s="190">
        <f>INDEX(Tab_Def_Flows[[Flow_ID]:[CC_DM_source]],MATCH(Tab_Data_Flows[[#This Row],[Name(EN)]],Tab_Def_Flows[Name(EN)],0),17)</f>
        <v/>
      </c>
      <c r="AJ107" s="272">
        <f>IF(L107="Yes",AI107*Tab_Data_Flows[[#This Row],[Flow_Py]]*Tab_Data_Flows[[#This Row],[DM_'[%']]],"N.A.")</f>
        <v/>
      </c>
      <c r="AK107" s="272">
        <f>Tab_Data_Flows[[#This Row],[UoM_Flow_Py]]</f>
        <v/>
      </c>
    </row>
    <row r="108">
      <c r="A108" s="296">
        <f>ROW()-1</f>
        <v/>
      </c>
      <c r="B108" s="272">
        <f>_xlfn.XLOOKUP(C108,Tab_Def_Flows[Name(EN)],Tab_Def_Flows[Flow_ID],,0,)</f>
        <v/>
      </c>
      <c r="C108" s="273" t="inlineStr">
        <is>
          <t>N.A.</t>
        </is>
      </c>
      <c r="D108" s="272" t="n"/>
      <c r="E108" s="272">
        <f>_xlfn.XLOOKUP(C108,Tab_Def_Flows[Name(EN)],Tab_Def_Flows[Output_Process],,0,)</f>
        <v/>
      </c>
      <c r="F108" s="272">
        <f>_xlfn.XLOOKUP(C108,Tab_Def_Flows[Name(EN)],Tab_Def_Flows[Process_ID_O],,0,)</f>
        <v/>
      </c>
      <c r="G108" s="272">
        <f>_xlfn.XLOOKUP(C108,Tab_Def_Flows[Name(EN)],Tab_Def_Flows[Input_Process],,0,)</f>
        <v/>
      </c>
      <c r="H108" s="17">
        <f>_xlfn.XLOOKUP(C108,Tab_Def_Flows[Name(EN)],Tab_Def_Flows[Process_ID_I],,0,)</f>
        <v/>
      </c>
      <c r="I108" s="272">
        <f>_xlfn.XLOOKUP(C108,Tab_Def_Flows[Name(EN)],#REF!,,0,)</f>
        <v/>
      </c>
      <c r="J108" s="272">
        <f>_xlfn.XLOOKUP(C108,Tab_Def_Flows[Name(EN)],Tab_Def_Flows[WC?],,0,)</f>
        <v/>
      </c>
      <c r="K108" s="272">
        <f>_xlfn.XLOOKUP(C108,Tab_Def_Flows[Name(EN)],Tab_Def_Flows[DM?],,0,)</f>
        <v/>
      </c>
      <c r="L108" s="272">
        <f>_xlfn.XLOOKUP(C108,Tab_Def_Flows[Name(EN)],Tab_Def_Flows[CC?],,0,)</f>
        <v/>
      </c>
      <c r="M108" s="273" t="n"/>
      <c r="N108" s="273" t="n"/>
      <c r="O108" s="48" t="n"/>
      <c r="P108" s="273" t="n"/>
      <c r="Q108" s="273" t="n"/>
      <c r="R108" s="273">
        <f>INDEX(#REF!,MATCH(Tab_Data_Flows[[#This Row],[Name(EN)]],#REF!,0),12)</f>
        <v/>
      </c>
      <c r="S108" s="273">
        <f>MATCH(Tab_Data_Flows[[#This Row],[Name(EN)]],#REF!,0)</f>
        <v/>
      </c>
      <c r="T108" s="273" t="n"/>
      <c r="U108" s="273" t="n"/>
      <c r="V108" s="273" t="n"/>
      <c r="W108" s="273" t="n"/>
      <c r="X108" s="273" t="inlineStr">
        <is>
          <t>No</t>
        </is>
      </c>
      <c r="Y108" s="273" t="n"/>
      <c r="Z108" s="273" t="n"/>
      <c r="AA108" s="35">
        <f>IF(X108="no",O108,O108*Y108)</f>
        <v/>
      </c>
      <c r="AB108" s="273" t="inlineStr">
        <is>
          <t>Mg</t>
        </is>
      </c>
      <c r="AC108" s="190">
        <f>INDEX(Tab_Def_Flows[[Flow_ID]:[CC_DM_source]],MATCH(Tab_Data_Flows[[#This Row],[Name(EN)]],Tab_Def_Flows[Name(EN)],0),13)</f>
        <v/>
      </c>
      <c r="AD108" s="272">
        <f>IF(J108="Yes",AA108*Tab_Data_Flows[[#This Row],[WC_'[%']]],"N.A.")</f>
        <v/>
      </c>
      <c r="AE108" s="272">
        <f>Tab_Data_Flows[[#This Row],[UoM_Flow_Py]]</f>
        <v/>
      </c>
      <c r="AF108" s="190">
        <f>INDEX(Tab_Def_Flows[[Flow_ID]:[CC_DM_source]],MATCH(Tab_Data_Flows[[#This Row],[Name(EN)]],Tab_Def_Flows[Name(EN)],0),15)</f>
        <v/>
      </c>
      <c r="AG108" s="272">
        <f>IF(K108="Yes",AF108*Tab_Data_Flows[[#This Row],[Flow_Py]],"N.A.")</f>
        <v/>
      </c>
      <c r="AH108" s="272">
        <f>Tab_Data_Flows[[#This Row],[UoM_Flow_Py]]</f>
        <v/>
      </c>
      <c r="AI108" s="190">
        <f>INDEX(Tab_Def_Flows[[Flow_ID]:[CC_DM_source]],MATCH(Tab_Data_Flows[[#This Row],[Name(EN)]],Tab_Def_Flows[Name(EN)],0),17)</f>
        <v/>
      </c>
      <c r="AJ108" s="272">
        <f>IF(L108="Yes",AI108*Tab_Data_Flows[[#This Row],[Flow_Py]]*Tab_Data_Flows[[#This Row],[DM_'[%']]],"N.A.")</f>
        <v/>
      </c>
      <c r="AK108" s="272">
        <f>Tab_Data_Flows[[#This Row],[UoM_Flow_Py]]</f>
        <v/>
      </c>
    </row>
    <row r="109">
      <c r="A109" s="296">
        <f>ROW()-1</f>
        <v/>
      </c>
      <c r="B109" s="272">
        <f>_xlfn.XLOOKUP(C109,Tab_Def_Flows[Name(EN)],Tab_Def_Flows[Flow_ID],,0,)</f>
        <v/>
      </c>
      <c r="C109" s="273" t="inlineStr">
        <is>
          <t>N.A.</t>
        </is>
      </c>
      <c r="D109" s="272" t="n"/>
      <c r="E109" s="272">
        <f>_xlfn.XLOOKUP(C109,Tab_Def_Flows[Name(EN)],Tab_Def_Flows[Output_Process],,0,)</f>
        <v/>
      </c>
      <c r="F109" s="272">
        <f>_xlfn.XLOOKUP(C109,Tab_Def_Flows[Name(EN)],Tab_Def_Flows[Process_ID_O],,0,)</f>
        <v/>
      </c>
      <c r="G109" s="272">
        <f>_xlfn.XLOOKUP(C109,Tab_Def_Flows[Name(EN)],Tab_Def_Flows[Input_Process],,0,)</f>
        <v/>
      </c>
      <c r="H109" s="17">
        <f>_xlfn.XLOOKUP(C109,Tab_Def_Flows[Name(EN)],Tab_Def_Flows[Process_ID_I],,0,)</f>
        <v/>
      </c>
      <c r="I109" s="272">
        <f>_xlfn.XLOOKUP(C109,Tab_Def_Flows[Name(EN)],#REF!,,0,)</f>
        <v/>
      </c>
      <c r="J109" s="272">
        <f>_xlfn.XLOOKUP(C109,Tab_Def_Flows[Name(EN)],Tab_Def_Flows[WC?],,0,)</f>
        <v/>
      </c>
      <c r="K109" s="272">
        <f>_xlfn.XLOOKUP(C109,Tab_Def_Flows[Name(EN)],Tab_Def_Flows[DM?],,0,)</f>
        <v/>
      </c>
      <c r="L109" s="272">
        <f>_xlfn.XLOOKUP(C109,Tab_Def_Flows[Name(EN)],Tab_Def_Flows[CC?],,0,)</f>
        <v/>
      </c>
      <c r="M109" s="273" t="n"/>
      <c r="N109" s="273" t="n"/>
      <c r="O109" s="48" t="n"/>
      <c r="P109" s="273" t="n"/>
      <c r="Q109" s="273" t="n"/>
      <c r="R109" s="273">
        <f>INDEX(#REF!,MATCH(Tab_Data_Flows[[#This Row],[Name(EN)]],#REF!,0),12)</f>
        <v/>
      </c>
      <c r="S109" s="273">
        <f>MATCH(Tab_Data_Flows[[#This Row],[Name(EN)]],#REF!,0)</f>
        <v/>
      </c>
      <c r="T109" s="273" t="n"/>
      <c r="U109" s="273" t="n"/>
      <c r="V109" s="273" t="n"/>
      <c r="W109" s="273" t="n"/>
      <c r="X109" s="273" t="inlineStr">
        <is>
          <t>No</t>
        </is>
      </c>
      <c r="Y109" s="273" t="n"/>
      <c r="Z109" s="273" t="n"/>
      <c r="AA109" s="35">
        <f>IF(X109="no",O109,O109*Y109)</f>
        <v/>
      </c>
      <c r="AB109" s="273" t="inlineStr">
        <is>
          <t>Mg</t>
        </is>
      </c>
      <c r="AC109" s="190">
        <f>INDEX(Tab_Def_Flows[[Flow_ID]:[CC_DM_source]],MATCH(Tab_Data_Flows[[#This Row],[Name(EN)]],Tab_Def_Flows[Name(EN)],0),13)</f>
        <v/>
      </c>
      <c r="AD109" s="272">
        <f>IF(J109="Yes",AA109*Tab_Data_Flows[[#This Row],[WC_'[%']]],"N.A.")</f>
        <v/>
      </c>
      <c r="AE109" s="272">
        <f>Tab_Data_Flows[[#This Row],[UoM_Flow_Py]]</f>
        <v/>
      </c>
      <c r="AF109" s="190">
        <f>INDEX(Tab_Def_Flows[[Flow_ID]:[CC_DM_source]],MATCH(Tab_Data_Flows[[#This Row],[Name(EN)]],Tab_Def_Flows[Name(EN)],0),15)</f>
        <v/>
      </c>
      <c r="AG109" s="272">
        <f>IF(K109="Yes",AF109*Tab_Data_Flows[[#This Row],[Flow_Py]],"N.A.")</f>
        <v/>
      </c>
      <c r="AH109" s="272">
        <f>Tab_Data_Flows[[#This Row],[UoM_Flow_Py]]</f>
        <v/>
      </c>
      <c r="AI109" s="190">
        <f>INDEX(Tab_Def_Flows[[Flow_ID]:[CC_DM_source]],MATCH(Tab_Data_Flows[[#This Row],[Name(EN)]],Tab_Def_Flows[Name(EN)],0),17)</f>
        <v/>
      </c>
      <c r="AJ109" s="272">
        <f>IF(L109="Yes",AI109*Tab_Data_Flows[[#This Row],[Flow_Py]]*Tab_Data_Flows[[#This Row],[DM_'[%']]],"N.A.")</f>
        <v/>
      </c>
      <c r="AK109" s="272">
        <f>Tab_Data_Flows[[#This Row],[UoM_Flow_Py]]</f>
        <v/>
      </c>
    </row>
    <row r="110">
      <c r="A110" s="296">
        <f>ROW()-1</f>
        <v/>
      </c>
      <c r="B110" s="272">
        <f>_xlfn.XLOOKUP(C110,Tab_Def_Flows[Name(EN)],Tab_Def_Flows[Flow_ID],,0,)</f>
        <v/>
      </c>
      <c r="C110" s="273" t="inlineStr">
        <is>
          <t>N.A.</t>
        </is>
      </c>
      <c r="D110" s="272" t="n"/>
      <c r="E110" s="272">
        <f>_xlfn.XLOOKUP(C110,Tab_Def_Flows[Name(EN)],Tab_Def_Flows[Output_Process],,0,)</f>
        <v/>
      </c>
      <c r="F110" s="272">
        <f>_xlfn.XLOOKUP(C110,Tab_Def_Flows[Name(EN)],Tab_Def_Flows[Process_ID_O],,0,)</f>
        <v/>
      </c>
      <c r="G110" s="272">
        <f>_xlfn.XLOOKUP(C110,Tab_Def_Flows[Name(EN)],Tab_Def_Flows[Input_Process],,0,)</f>
        <v/>
      </c>
      <c r="H110" s="17">
        <f>_xlfn.XLOOKUP(C110,Tab_Def_Flows[Name(EN)],Tab_Def_Flows[Process_ID_I],,0,)</f>
        <v/>
      </c>
      <c r="I110" s="272">
        <f>_xlfn.XLOOKUP(C110,Tab_Def_Flows[Name(EN)],#REF!,,0,)</f>
        <v/>
      </c>
      <c r="J110" s="272">
        <f>_xlfn.XLOOKUP(C110,Tab_Def_Flows[Name(EN)],Tab_Def_Flows[WC?],,0,)</f>
        <v/>
      </c>
      <c r="K110" s="272">
        <f>_xlfn.XLOOKUP(C110,Tab_Def_Flows[Name(EN)],Tab_Def_Flows[DM?],,0,)</f>
        <v/>
      </c>
      <c r="L110" s="272">
        <f>_xlfn.XLOOKUP(C110,Tab_Def_Flows[Name(EN)],Tab_Def_Flows[CC?],,0,)</f>
        <v/>
      </c>
      <c r="M110" s="273" t="n"/>
      <c r="N110" s="273" t="n"/>
      <c r="O110" s="48" t="n"/>
      <c r="P110" s="273" t="n"/>
      <c r="Q110" s="273" t="n"/>
      <c r="R110" s="273">
        <f>INDEX(#REF!,MATCH(Tab_Data_Flows[[#This Row],[Name(EN)]],#REF!,0),12)</f>
        <v/>
      </c>
      <c r="S110" s="273">
        <f>MATCH(Tab_Data_Flows[[#This Row],[Name(EN)]],#REF!,0)</f>
        <v/>
      </c>
      <c r="T110" s="273" t="n"/>
      <c r="U110" s="273" t="n"/>
      <c r="V110" s="273" t="n"/>
      <c r="W110" s="273" t="n"/>
      <c r="X110" s="273" t="inlineStr">
        <is>
          <t>No</t>
        </is>
      </c>
      <c r="Y110" s="273" t="n"/>
      <c r="Z110" s="273" t="n"/>
      <c r="AA110" s="35">
        <f>IF(X110="no",O110,O110*Y110)</f>
        <v/>
      </c>
      <c r="AB110" s="273" t="inlineStr">
        <is>
          <t>Mg</t>
        </is>
      </c>
      <c r="AC110" s="190">
        <f>INDEX(Tab_Def_Flows[[Flow_ID]:[CC_DM_source]],MATCH(Tab_Data_Flows[[#This Row],[Name(EN)]],Tab_Def_Flows[Name(EN)],0),13)</f>
        <v/>
      </c>
      <c r="AD110" s="272">
        <f>IF(J110="Yes",AA110*Tab_Data_Flows[[#This Row],[WC_'[%']]],"N.A.")</f>
        <v/>
      </c>
      <c r="AE110" s="272">
        <f>Tab_Data_Flows[[#This Row],[UoM_Flow_Py]]</f>
        <v/>
      </c>
      <c r="AF110" s="190">
        <f>INDEX(Tab_Def_Flows[[Flow_ID]:[CC_DM_source]],MATCH(Tab_Data_Flows[[#This Row],[Name(EN)]],Tab_Def_Flows[Name(EN)],0),15)</f>
        <v/>
      </c>
      <c r="AG110" s="272">
        <f>IF(K110="Yes",AF110*Tab_Data_Flows[[#This Row],[Flow_Py]],"N.A.")</f>
        <v/>
      </c>
      <c r="AH110" s="272">
        <f>Tab_Data_Flows[[#This Row],[UoM_Flow_Py]]</f>
        <v/>
      </c>
      <c r="AI110" s="190">
        <f>INDEX(Tab_Def_Flows[[Flow_ID]:[CC_DM_source]],MATCH(Tab_Data_Flows[[#This Row],[Name(EN)]],Tab_Def_Flows[Name(EN)],0),17)</f>
        <v/>
      </c>
      <c r="AJ110" s="272">
        <f>IF(L110="Yes",AI110*Tab_Data_Flows[[#This Row],[Flow_Py]]*Tab_Data_Flows[[#This Row],[DM_'[%']]],"N.A.")</f>
        <v/>
      </c>
      <c r="AK110" s="272">
        <f>Tab_Data_Flows[[#This Row],[UoM_Flow_Py]]</f>
        <v/>
      </c>
    </row>
    <row r="111">
      <c r="A111" s="296">
        <f>ROW()-1</f>
        <v/>
      </c>
      <c r="B111" s="272">
        <f>_xlfn.XLOOKUP(C111,Tab_Def_Flows[Name(EN)],Tab_Def_Flows[Flow_ID],,0,)</f>
        <v/>
      </c>
      <c r="C111" s="273" t="inlineStr">
        <is>
          <t>N.A.</t>
        </is>
      </c>
      <c r="D111" s="272" t="n"/>
      <c r="E111" s="272">
        <f>_xlfn.XLOOKUP(C111,Tab_Def_Flows[Name(EN)],Tab_Def_Flows[Output_Process],,0,)</f>
        <v/>
      </c>
      <c r="F111" s="272">
        <f>_xlfn.XLOOKUP(C111,Tab_Def_Flows[Name(EN)],Tab_Def_Flows[Process_ID_O],,0,)</f>
        <v/>
      </c>
      <c r="G111" s="272">
        <f>_xlfn.XLOOKUP(C111,Tab_Def_Flows[Name(EN)],Tab_Def_Flows[Input_Process],,0,)</f>
        <v/>
      </c>
      <c r="H111" s="17">
        <f>_xlfn.XLOOKUP(C111,Tab_Def_Flows[Name(EN)],Tab_Def_Flows[Process_ID_I],,0,)</f>
        <v/>
      </c>
      <c r="I111" s="272">
        <f>_xlfn.XLOOKUP(C111,Tab_Def_Flows[Name(EN)],#REF!,,0,)</f>
        <v/>
      </c>
      <c r="J111" s="272">
        <f>_xlfn.XLOOKUP(C111,Tab_Def_Flows[Name(EN)],Tab_Def_Flows[WC?],,0,)</f>
        <v/>
      </c>
      <c r="K111" s="272">
        <f>_xlfn.XLOOKUP(C111,Tab_Def_Flows[Name(EN)],Tab_Def_Flows[DM?],,0,)</f>
        <v/>
      </c>
      <c r="L111" s="272">
        <f>_xlfn.XLOOKUP(C111,Tab_Def_Flows[Name(EN)],Tab_Def_Flows[CC?],,0,)</f>
        <v/>
      </c>
      <c r="M111" s="273" t="n"/>
      <c r="N111" s="273" t="n"/>
      <c r="O111" s="48" t="n"/>
      <c r="P111" s="273" t="n"/>
      <c r="Q111" s="273" t="n"/>
      <c r="R111" s="273">
        <f>INDEX(#REF!,MATCH(Tab_Data_Flows[[#This Row],[Name(EN)]],#REF!,0),12)</f>
        <v/>
      </c>
      <c r="S111" s="273">
        <f>MATCH(Tab_Data_Flows[[#This Row],[Name(EN)]],#REF!,0)</f>
        <v/>
      </c>
      <c r="T111" s="273" t="n"/>
      <c r="U111" s="273" t="n"/>
      <c r="V111" s="273" t="n"/>
      <c r="W111" s="273" t="n"/>
      <c r="X111" s="273" t="inlineStr">
        <is>
          <t>No</t>
        </is>
      </c>
      <c r="Y111" s="273" t="n"/>
      <c r="Z111" s="273" t="n"/>
      <c r="AA111" s="35">
        <f>IF(X111="no",O111,O111*Y111)</f>
        <v/>
      </c>
      <c r="AB111" s="273" t="inlineStr">
        <is>
          <t>Mg</t>
        </is>
      </c>
      <c r="AC111" s="190">
        <f>INDEX(Tab_Def_Flows[[Flow_ID]:[CC_DM_source]],MATCH(Tab_Data_Flows[[#This Row],[Name(EN)]],Tab_Def_Flows[Name(EN)],0),13)</f>
        <v/>
      </c>
      <c r="AD111" s="272">
        <f>IF(J111="Yes",AA111*Tab_Data_Flows[[#This Row],[WC_'[%']]],"N.A.")</f>
        <v/>
      </c>
      <c r="AE111" s="272">
        <f>Tab_Data_Flows[[#This Row],[UoM_Flow_Py]]</f>
        <v/>
      </c>
      <c r="AF111" s="190">
        <f>INDEX(Tab_Def_Flows[[Flow_ID]:[CC_DM_source]],MATCH(Tab_Data_Flows[[#This Row],[Name(EN)]],Tab_Def_Flows[Name(EN)],0),15)</f>
        <v/>
      </c>
      <c r="AG111" s="272">
        <f>IF(K111="Yes",AF111*Tab_Data_Flows[[#This Row],[Flow_Py]],"N.A.")</f>
        <v/>
      </c>
      <c r="AH111" s="272">
        <f>Tab_Data_Flows[[#This Row],[UoM_Flow_Py]]</f>
        <v/>
      </c>
      <c r="AI111" s="190">
        <f>INDEX(Tab_Def_Flows[[Flow_ID]:[CC_DM_source]],MATCH(Tab_Data_Flows[[#This Row],[Name(EN)]],Tab_Def_Flows[Name(EN)],0),17)</f>
        <v/>
      </c>
      <c r="AJ111" s="272">
        <f>IF(L111="Yes",AI111*Tab_Data_Flows[[#This Row],[Flow_Py]]*Tab_Data_Flows[[#This Row],[DM_'[%']]],"N.A.")</f>
        <v/>
      </c>
      <c r="AK111" s="272">
        <f>Tab_Data_Flows[[#This Row],[UoM_Flow_Py]]</f>
        <v/>
      </c>
    </row>
    <row r="112">
      <c r="A112" s="296">
        <f>ROW()-1</f>
        <v/>
      </c>
      <c r="B112" s="272">
        <f>_xlfn.XLOOKUP(C112,Tab_Def_Flows[Name(EN)],Tab_Def_Flows[Flow_ID],,0,)</f>
        <v/>
      </c>
      <c r="C112" s="273" t="inlineStr">
        <is>
          <t>N.A.</t>
        </is>
      </c>
      <c r="D112" s="272" t="n"/>
      <c r="E112" s="272">
        <f>_xlfn.XLOOKUP(C112,Tab_Def_Flows[Name(EN)],Tab_Def_Flows[Output_Process],,0,)</f>
        <v/>
      </c>
      <c r="F112" s="272">
        <f>_xlfn.XLOOKUP(C112,Tab_Def_Flows[Name(EN)],Tab_Def_Flows[Process_ID_O],,0,)</f>
        <v/>
      </c>
      <c r="G112" s="272">
        <f>_xlfn.XLOOKUP(C112,Tab_Def_Flows[Name(EN)],Tab_Def_Flows[Input_Process],,0,)</f>
        <v/>
      </c>
      <c r="H112" s="17">
        <f>_xlfn.XLOOKUP(C112,Tab_Def_Flows[Name(EN)],Tab_Def_Flows[Process_ID_I],,0,)</f>
        <v/>
      </c>
      <c r="I112" s="272">
        <f>_xlfn.XLOOKUP(C112,Tab_Def_Flows[Name(EN)],#REF!,,0,)</f>
        <v/>
      </c>
      <c r="J112" s="272">
        <f>_xlfn.XLOOKUP(C112,Tab_Def_Flows[Name(EN)],Tab_Def_Flows[WC?],,0,)</f>
        <v/>
      </c>
      <c r="K112" s="272">
        <f>_xlfn.XLOOKUP(C112,Tab_Def_Flows[Name(EN)],Tab_Def_Flows[DM?],,0,)</f>
        <v/>
      </c>
      <c r="L112" s="272">
        <f>_xlfn.XLOOKUP(C112,Tab_Def_Flows[Name(EN)],Tab_Def_Flows[CC?],,0,)</f>
        <v/>
      </c>
      <c r="M112" s="273" t="n"/>
      <c r="N112" s="273" t="n"/>
      <c r="O112" s="48" t="n"/>
      <c r="P112" s="273" t="n"/>
      <c r="Q112" s="273" t="n"/>
      <c r="R112" s="273">
        <f>INDEX(#REF!,MATCH(Tab_Data_Flows[[#This Row],[Name(EN)]],#REF!,0),12)</f>
        <v/>
      </c>
      <c r="S112" s="273">
        <f>MATCH(Tab_Data_Flows[[#This Row],[Name(EN)]],#REF!,0)</f>
        <v/>
      </c>
      <c r="T112" s="273" t="n"/>
      <c r="U112" s="273" t="n"/>
      <c r="V112" s="273" t="n"/>
      <c r="W112" s="273" t="n"/>
      <c r="X112" s="273" t="inlineStr">
        <is>
          <t>No</t>
        </is>
      </c>
      <c r="Y112" s="273" t="n"/>
      <c r="Z112" s="273" t="n"/>
      <c r="AA112" s="35">
        <f>IF(X112="no",O112,O112*Y112)</f>
        <v/>
      </c>
      <c r="AB112" s="273" t="inlineStr">
        <is>
          <t>Mg</t>
        </is>
      </c>
      <c r="AC112" s="190">
        <f>INDEX(Tab_Def_Flows[[Flow_ID]:[CC_DM_source]],MATCH(Tab_Data_Flows[[#This Row],[Name(EN)]],Tab_Def_Flows[Name(EN)],0),13)</f>
        <v/>
      </c>
      <c r="AD112" s="272">
        <f>IF(J112="Yes",AA112*Tab_Data_Flows[[#This Row],[WC_'[%']]],"N.A.")</f>
        <v/>
      </c>
      <c r="AE112" s="272">
        <f>Tab_Data_Flows[[#This Row],[UoM_Flow_Py]]</f>
        <v/>
      </c>
      <c r="AF112" s="190">
        <f>INDEX(Tab_Def_Flows[[Flow_ID]:[CC_DM_source]],MATCH(Tab_Data_Flows[[#This Row],[Name(EN)]],Tab_Def_Flows[Name(EN)],0),15)</f>
        <v/>
      </c>
      <c r="AG112" s="272">
        <f>IF(K112="Yes",AF112*Tab_Data_Flows[[#This Row],[Flow_Py]],"N.A.")</f>
        <v/>
      </c>
      <c r="AH112" s="272">
        <f>Tab_Data_Flows[[#This Row],[UoM_Flow_Py]]</f>
        <v/>
      </c>
      <c r="AI112" s="190">
        <f>INDEX(Tab_Def_Flows[[Flow_ID]:[CC_DM_source]],MATCH(Tab_Data_Flows[[#This Row],[Name(EN)]],Tab_Def_Flows[Name(EN)],0),17)</f>
        <v/>
      </c>
      <c r="AJ112" s="272">
        <f>IF(L112="Yes",AI112*Tab_Data_Flows[[#This Row],[Flow_Py]]*Tab_Data_Flows[[#This Row],[DM_'[%']]],"N.A.")</f>
        <v/>
      </c>
      <c r="AK112" s="272">
        <f>Tab_Data_Flows[[#This Row],[UoM_Flow_Py]]</f>
        <v/>
      </c>
    </row>
    <row r="113">
      <c r="A113" s="296">
        <f>ROW()-1</f>
        <v/>
      </c>
      <c r="B113" s="272">
        <f>_xlfn.XLOOKUP(C113,Tab_Def_Flows[Name(EN)],Tab_Def_Flows[Flow_ID],,0,)</f>
        <v/>
      </c>
      <c r="C113" s="273" t="inlineStr">
        <is>
          <t>N.A.</t>
        </is>
      </c>
      <c r="D113" s="272" t="n"/>
      <c r="E113" s="272">
        <f>_xlfn.XLOOKUP(C113,Tab_Def_Flows[Name(EN)],Tab_Def_Flows[Output_Process],,0,)</f>
        <v/>
      </c>
      <c r="F113" s="272">
        <f>_xlfn.XLOOKUP(C113,Tab_Def_Flows[Name(EN)],Tab_Def_Flows[Process_ID_O],,0,)</f>
        <v/>
      </c>
      <c r="G113" s="272">
        <f>_xlfn.XLOOKUP(C113,Tab_Def_Flows[Name(EN)],Tab_Def_Flows[Input_Process],,0,)</f>
        <v/>
      </c>
      <c r="H113" s="17">
        <f>_xlfn.XLOOKUP(C113,Tab_Def_Flows[Name(EN)],Tab_Def_Flows[Process_ID_I],,0,)</f>
        <v/>
      </c>
      <c r="I113" s="272">
        <f>_xlfn.XLOOKUP(C113,Tab_Def_Flows[Name(EN)],#REF!,,0,)</f>
        <v/>
      </c>
      <c r="J113" s="272">
        <f>_xlfn.XLOOKUP(C113,Tab_Def_Flows[Name(EN)],Tab_Def_Flows[WC?],,0,)</f>
        <v/>
      </c>
      <c r="K113" s="272">
        <f>_xlfn.XLOOKUP(C113,Tab_Def_Flows[Name(EN)],Tab_Def_Flows[DM?],,0,)</f>
        <v/>
      </c>
      <c r="L113" s="272">
        <f>_xlfn.XLOOKUP(C113,Tab_Def_Flows[Name(EN)],Tab_Def_Flows[CC?],,0,)</f>
        <v/>
      </c>
      <c r="M113" s="273" t="n"/>
      <c r="N113" s="273" t="n"/>
      <c r="O113" s="48" t="n"/>
      <c r="P113" s="273" t="n"/>
      <c r="Q113" s="273" t="n"/>
      <c r="R113" s="273">
        <f>INDEX(#REF!,MATCH(Tab_Data_Flows[[#This Row],[Name(EN)]],#REF!,0),12)</f>
        <v/>
      </c>
      <c r="S113" s="273">
        <f>MATCH(Tab_Data_Flows[[#This Row],[Name(EN)]],#REF!,0)</f>
        <v/>
      </c>
      <c r="T113" s="273" t="n"/>
      <c r="U113" s="273" t="n"/>
      <c r="V113" s="273" t="n"/>
      <c r="W113" s="273" t="n"/>
      <c r="X113" s="273" t="inlineStr">
        <is>
          <t>No</t>
        </is>
      </c>
      <c r="Y113" s="273" t="n"/>
      <c r="Z113" s="273" t="n"/>
      <c r="AA113" s="35">
        <f>IF(X113="no",O113,O113*Y113)</f>
        <v/>
      </c>
      <c r="AB113" s="273" t="inlineStr">
        <is>
          <t>Mg</t>
        </is>
      </c>
      <c r="AC113" s="190">
        <f>INDEX(Tab_Def_Flows[[Flow_ID]:[CC_DM_source]],MATCH(Tab_Data_Flows[[#This Row],[Name(EN)]],Tab_Def_Flows[Name(EN)],0),13)</f>
        <v/>
      </c>
      <c r="AD113" s="272">
        <f>IF(J113="Yes",AA113*Tab_Data_Flows[[#This Row],[WC_'[%']]],"N.A.")</f>
        <v/>
      </c>
      <c r="AE113" s="272">
        <f>Tab_Data_Flows[[#This Row],[UoM_Flow_Py]]</f>
        <v/>
      </c>
      <c r="AF113" s="190">
        <f>INDEX(Tab_Def_Flows[[Flow_ID]:[CC_DM_source]],MATCH(Tab_Data_Flows[[#This Row],[Name(EN)]],Tab_Def_Flows[Name(EN)],0),15)</f>
        <v/>
      </c>
      <c r="AG113" s="272">
        <f>IF(K113="Yes",AF113*Tab_Data_Flows[[#This Row],[Flow_Py]],"N.A.")</f>
        <v/>
      </c>
      <c r="AH113" s="272">
        <f>Tab_Data_Flows[[#This Row],[UoM_Flow_Py]]</f>
        <v/>
      </c>
      <c r="AI113" s="190">
        <f>INDEX(Tab_Def_Flows[[Flow_ID]:[CC_DM_source]],MATCH(Tab_Data_Flows[[#This Row],[Name(EN)]],Tab_Def_Flows[Name(EN)],0),17)</f>
        <v/>
      </c>
      <c r="AJ113" s="272">
        <f>IF(L113="Yes",AI113*Tab_Data_Flows[[#This Row],[Flow_Py]]*Tab_Data_Flows[[#This Row],[DM_'[%']]],"N.A.")</f>
        <v/>
      </c>
      <c r="AK113" s="272">
        <f>Tab_Data_Flows[[#This Row],[UoM_Flow_Py]]</f>
        <v/>
      </c>
    </row>
    <row r="114">
      <c r="A114" s="296">
        <f>ROW()-1</f>
        <v/>
      </c>
      <c r="B114" s="272">
        <f>_xlfn.XLOOKUP(C114,Tab_Def_Flows[Name(EN)],Tab_Def_Flows[Flow_ID],,0,)</f>
        <v/>
      </c>
      <c r="C114" s="273" t="inlineStr">
        <is>
          <t>N.A.</t>
        </is>
      </c>
      <c r="D114" s="272" t="n"/>
      <c r="E114" s="272">
        <f>_xlfn.XLOOKUP(C114,Tab_Def_Flows[Name(EN)],Tab_Def_Flows[Output_Process],,0,)</f>
        <v/>
      </c>
      <c r="F114" s="272">
        <f>_xlfn.XLOOKUP(C114,Tab_Def_Flows[Name(EN)],Tab_Def_Flows[Process_ID_O],,0,)</f>
        <v/>
      </c>
      <c r="G114" s="272">
        <f>_xlfn.XLOOKUP(C114,Tab_Def_Flows[Name(EN)],Tab_Def_Flows[Input_Process],,0,)</f>
        <v/>
      </c>
      <c r="H114" s="17">
        <f>_xlfn.XLOOKUP(C114,Tab_Def_Flows[Name(EN)],Tab_Def_Flows[Process_ID_I],,0,)</f>
        <v/>
      </c>
      <c r="I114" s="272">
        <f>_xlfn.XLOOKUP(C114,Tab_Def_Flows[Name(EN)],#REF!,,0,)</f>
        <v/>
      </c>
      <c r="J114" s="272">
        <f>_xlfn.XLOOKUP(C114,Tab_Def_Flows[Name(EN)],Tab_Def_Flows[WC?],,0,)</f>
        <v/>
      </c>
      <c r="K114" s="272">
        <f>_xlfn.XLOOKUP(C114,Tab_Def_Flows[Name(EN)],Tab_Def_Flows[DM?],,0,)</f>
        <v/>
      </c>
      <c r="L114" s="272">
        <f>_xlfn.XLOOKUP(C114,Tab_Def_Flows[Name(EN)],Tab_Def_Flows[CC?],,0,)</f>
        <v/>
      </c>
      <c r="M114" s="273" t="n"/>
      <c r="N114" s="273" t="n"/>
      <c r="O114" s="48" t="n"/>
      <c r="P114" s="273" t="n"/>
      <c r="Q114" s="273" t="n"/>
      <c r="R114" s="273">
        <f>INDEX(#REF!,MATCH(Tab_Data_Flows[[#This Row],[Name(EN)]],#REF!,0),12)</f>
        <v/>
      </c>
      <c r="S114" s="273">
        <f>MATCH(Tab_Data_Flows[[#This Row],[Name(EN)]],#REF!,0)</f>
        <v/>
      </c>
      <c r="T114" s="273" t="n"/>
      <c r="U114" s="273" t="n"/>
      <c r="V114" s="273" t="n"/>
      <c r="W114" s="273" t="n"/>
      <c r="X114" s="273" t="inlineStr">
        <is>
          <t>No</t>
        </is>
      </c>
      <c r="Y114" s="273" t="n"/>
      <c r="Z114" s="273" t="n"/>
      <c r="AA114" s="35">
        <f>IF(X114="no",O114,O114*Y114)</f>
        <v/>
      </c>
      <c r="AB114" s="273" t="inlineStr">
        <is>
          <t>Mg</t>
        </is>
      </c>
      <c r="AC114" s="190">
        <f>INDEX(Tab_Def_Flows[[Flow_ID]:[CC_DM_source]],MATCH(Tab_Data_Flows[[#This Row],[Name(EN)]],Tab_Def_Flows[Name(EN)],0),13)</f>
        <v/>
      </c>
      <c r="AD114" s="272">
        <f>IF(J114="Yes",AA114*Tab_Data_Flows[[#This Row],[WC_'[%']]],"N.A.")</f>
        <v/>
      </c>
      <c r="AE114" s="272">
        <f>Tab_Data_Flows[[#This Row],[UoM_Flow_Py]]</f>
        <v/>
      </c>
      <c r="AF114" s="190">
        <f>INDEX(Tab_Def_Flows[[Flow_ID]:[CC_DM_source]],MATCH(Tab_Data_Flows[[#This Row],[Name(EN)]],Tab_Def_Flows[Name(EN)],0),15)</f>
        <v/>
      </c>
      <c r="AG114" s="272">
        <f>IF(K114="Yes",AF114*Tab_Data_Flows[[#This Row],[Flow_Py]],"N.A.")</f>
        <v/>
      </c>
      <c r="AH114" s="272">
        <f>Tab_Data_Flows[[#This Row],[UoM_Flow_Py]]</f>
        <v/>
      </c>
      <c r="AI114" s="190">
        <f>INDEX(Tab_Def_Flows[[Flow_ID]:[CC_DM_source]],MATCH(Tab_Data_Flows[[#This Row],[Name(EN)]],Tab_Def_Flows[Name(EN)],0),17)</f>
        <v/>
      </c>
      <c r="AJ114" s="272">
        <f>IF(L114="Yes",AI114*Tab_Data_Flows[[#This Row],[Flow_Py]]*Tab_Data_Flows[[#This Row],[DM_'[%']]],"N.A.")</f>
        <v/>
      </c>
      <c r="AK114" s="272">
        <f>Tab_Data_Flows[[#This Row],[UoM_Flow_Py]]</f>
        <v/>
      </c>
    </row>
    <row r="115">
      <c r="A115" s="296">
        <f>ROW()-1</f>
        <v/>
      </c>
      <c r="B115" s="272">
        <f>_xlfn.XLOOKUP(C115,Tab_Def_Flows[Name(EN)],Tab_Def_Flows[Flow_ID],,0,)</f>
        <v/>
      </c>
      <c r="C115" s="273" t="inlineStr">
        <is>
          <t>N.A.</t>
        </is>
      </c>
      <c r="D115" s="272" t="n"/>
      <c r="E115" s="272">
        <f>_xlfn.XLOOKUP(C115,Tab_Def_Flows[Name(EN)],Tab_Def_Flows[Output_Process],,0,)</f>
        <v/>
      </c>
      <c r="F115" s="272">
        <f>_xlfn.XLOOKUP(C115,Tab_Def_Flows[Name(EN)],Tab_Def_Flows[Process_ID_O],,0,)</f>
        <v/>
      </c>
      <c r="G115" s="272">
        <f>_xlfn.XLOOKUP(C115,Tab_Def_Flows[Name(EN)],Tab_Def_Flows[Input_Process],,0,)</f>
        <v/>
      </c>
      <c r="H115" s="17">
        <f>_xlfn.XLOOKUP(C115,Tab_Def_Flows[Name(EN)],Tab_Def_Flows[Process_ID_I],,0,)</f>
        <v/>
      </c>
      <c r="I115" s="272">
        <f>_xlfn.XLOOKUP(C115,Tab_Def_Flows[Name(EN)],#REF!,,0,)</f>
        <v/>
      </c>
      <c r="J115" s="272">
        <f>_xlfn.XLOOKUP(C115,Tab_Def_Flows[Name(EN)],Tab_Def_Flows[WC?],,0,)</f>
        <v/>
      </c>
      <c r="K115" s="272">
        <f>_xlfn.XLOOKUP(C115,Tab_Def_Flows[Name(EN)],Tab_Def_Flows[DM?],,0,)</f>
        <v/>
      </c>
      <c r="L115" s="272">
        <f>_xlfn.XLOOKUP(C115,Tab_Def_Flows[Name(EN)],Tab_Def_Flows[CC?],,0,)</f>
        <v/>
      </c>
      <c r="M115" s="273" t="n"/>
      <c r="N115" s="273" t="n"/>
      <c r="O115" s="48" t="n"/>
      <c r="P115" s="273" t="n"/>
      <c r="Q115" s="273" t="n"/>
      <c r="R115" s="273">
        <f>INDEX(#REF!,MATCH(Tab_Data_Flows[[#This Row],[Name(EN)]],#REF!,0),12)</f>
        <v/>
      </c>
      <c r="S115" s="273">
        <f>MATCH(Tab_Data_Flows[[#This Row],[Name(EN)]],#REF!,0)</f>
        <v/>
      </c>
      <c r="T115" s="273" t="n"/>
      <c r="U115" s="273" t="n"/>
      <c r="V115" s="273" t="n"/>
      <c r="W115" s="273" t="n"/>
      <c r="X115" s="273" t="inlineStr">
        <is>
          <t>No</t>
        </is>
      </c>
      <c r="Y115" s="273" t="n"/>
      <c r="Z115" s="273" t="n"/>
      <c r="AA115" s="35">
        <f>IF(X115="no",O115,O115*Y115)</f>
        <v/>
      </c>
      <c r="AB115" s="273" t="inlineStr">
        <is>
          <t>Mg</t>
        </is>
      </c>
      <c r="AC115" s="190">
        <f>INDEX(Tab_Def_Flows[[Flow_ID]:[CC_DM_source]],MATCH(Tab_Data_Flows[[#This Row],[Name(EN)]],Tab_Def_Flows[Name(EN)],0),13)</f>
        <v/>
      </c>
      <c r="AD115" s="272">
        <f>IF(J115="Yes",AA115*Tab_Data_Flows[[#This Row],[WC_'[%']]],"N.A.")</f>
        <v/>
      </c>
      <c r="AE115" s="272">
        <f>Tab_Data_Flows[[#This Row],[UoM_Flow_Py]]</f>
        <v/>
      </c>
      <c r="AF115" s="190">
        <f>INDEX(Tab_Def_Flows[[Flow_ID]:[CC_DM_source]],MATCH(Tab_Data_Flows[[#This Row],[Name(EN)]],Tab_Def_Flows[Name(EN)],0),15)</f>
        <v/>
      </c>
      <c r="AG115" s="272">
        <f>IF(K115="Yes",AF115*Tab_Data_Flows[[#This Row],[Flow_Py]],"N.A.")</f>
        <v/>
      </c>
      <c r="AH115" s="272">
        <f>Tab_Data_Flows[[#This Row],[UoM_Flow_Py]]</f>
        <v/>
      </c>
      <c r="AI115" s="190">
        <f>INDEX(Tab_Def_Flows[[Flow_ID]:[CC_DM_source]],MATCH(Tab_Data_Flows[[#This Row],[Name(EN)]],Tab_Def_Flows[Name(EN)],0),17)</f>
        <v/>
      </c>
      <c r="AJ115" s="272">
        <f>IF(L115="Yes",AI115*Tab_Data_Flows[[#This Row],[Flow_Py]]*Tab_Data_Flows[[#This Row],[DM_'[%']]],"N.A.")</f>
        <v/>
      </c>
      <c r="AK115" s="272">
        <f>Tab_Data_Flows[[#This Row],[UoM_Flow_Py]]</f>
        <v/>
      </c>
    </row>
    <row r="116">
      <c r="A116" s="296">
        <f>ROW()-1</f>
        <v/>
      </c>
      <c r="B116" s="272">
        <f>_xlfn.XLOOKUP(C116,Tab_Def_Flows[Name(EN)],Tab_Def_Flows[Flow_ID],,0,)</f>
        <v/>
      </c>
      <c r="C116" s="273" t="inlineStr">
        <is>
          <t>N.A.</t>
        </is>
      </c>
      <c r="D116" s="272" t="n"/>
      <c r="E116" s="272">
        <f>_xlfn.XLOOKUP(C116,Tab_Def_Flows[Name(EN)],Tab_Def_Flows[Output_Process],,0,)</f>
        <v/>
      </c>
      <c r="F116" s="272">
        <f>_xlfn.XLOOKUP(C116,Tab_Def_Flows[Name(EN)],Tab_Def_Flows[Process_ID_O],,0,)</f>
        <v/>
      </c>
      <c r="G116" s="272">
        <f>_xlfn.XLOOKUP(C116,Tab_Def_Flows[Name(EN)],Tab_Def_Flows[Input_Process],,0,)</f>
        <v/>
      </c>
      <c r="H116" s="17">
        <f>_xlfn.XLOOKUP(C116,Tab_Def_Flows[Name(EN)],Tab_Def_Flows[Process_ID_I],,0,)</f>
        <v/>
      </c>
      <c r="I116" s="272">
        <f>_xlfn.XLOOKUP(C116,Tab_Def_Flows[Name(EN)],#REF!,,0,)</f>
        <v/>
      </c>
      <c r="J116" s="272">
        <f>_xlfn.XLOOKUP(C116,Tab_Def_Flows[Name(EN)],Tab_Def_Flows[WC?],,0,)</f>
        <v/>
      </c>
      <c r="K116" s="272">
        <f>_xlfn.XLOOKUP(C116,Tab_Def_Flows[Name(EN)],Tab_Def_Flows[DM?],,0,)</f>
        <v/>
      </c>
      <c r="L116" s="272">
        <f>_xlfn.XLOOKUP(C116,Tab_Def_Flows[Name(EN)],Tab_Def_Flows[CC?],,0,)</f>
        <v/>
      </c>
      <c r="M116" s="273" t="n"/>
      <c r="N116" s="273" t="n"/>
      <c r="O116" s="48" t="n"/>
      <c r="P116" s="273" t="n"/>
      <c r="Q116" s="273" t="n"/>
      <c r="R116" s="273">
        <f>INDEX(#REF!,MATCH(Tab_Data_Flows[[#This Row],[Name(EN)]],#REF!,0),12)</f>
        <v/>
      </c>
      <c r="S116" s="273">
        <f>MATCH(Tab_Data_Flows[[#This Row],[Name(EN)]],#REF!,0)</f>
        <v/>
      </c>
      <c r="T116" s="273" t="n"/>
      <c r="U116" s="273" t="n"/>
      <c r="V116" s="273" t="n"/>
      <c r="W116" s="273" t="n"/>
      <c r="X116" s="273" t="inlineStr">
        <is>
          <t>No</t>
        </is>
      </c>
      <c r="Y116" s="273" t="n"/>
      <c r="Z116" s="273" t="n"/>
      <c r="AA116" s="35">
        <f>IF(X116="no",O116,O116*Y116)</f>
        <v/>
      </c>
      <c r="AB116" s="273" t="inlineStr">
        <is>
          <t>Mg</t>
        </is>
      </c>
      <c r="AC116" s="190">
        <f>INDEX(Tab_Def_Flows[[Flow_ID]:[CC_DM_source]],MATCH(Tab_Data_Flows[[#This Row],[Name(EN)]],Tab_Def_Flows[Name(EN)],0),13)</f>
        <v/>
      </c>
      <c r="AD116" s="272">
        <f>IF(J116="Yes",AA116*Tab_Data_Flows[[#This Row],[WC_'[%']]],"N.A.")</f>
        <v/>
      </c>
      <c r="AE116" s="272">
        <f>Tab_Data_Flows[[#This Row],[UoM_Flow_Py]]</f>
        <v/>
      </c>
      <c r="AF116" s="190">
        <f>INDEX(Tab_Def_Flows[[Flow_ID]:[CC_DM_source]],MATCH(Tab_Data_Flows[[#This Row],[Name(EN)]],Tab_Def_Flows[Name(EN)],0),15)</f>
        <v/>
      </c>
      <c r="AG116" s="272">
        <f>IF(K116="Yes",AF116*Tab_Data_Flows[[#This Row],[Flow_Py]],"N.A.")</f>
        <v/>
      </c>
      <c r="AH116" s="272">
        <f>Tab_Data_Flows[[#This Row],[UoM_Flow_Py]]</f>
        <v/>
      </c>
      <c r="AI116" s="190">
        <f>INDEX(Tab_Def_Flows[[Flow_ID]:[CC_DM_source]],MATCH(Tab_Data_Flows[[#This Row],[Name(EN)]],Tab_Def_Flows[Name(EN)],0),17)</f>
        <v/>
      </c>
      <c r="AJ116" s="272">
        <f>IF(L116="Yes",AI116*Tab_Data_Flows[[#This Row],[Flow_Py]]*Tab_Data_Flows[[#This Row],[DM_'[%']]],"N.A.")</f>
        <v/>
      </c>
      <c r="AK116" s="272">
        <f>Tab_Data_Flows[[#This Row],[UoM_Flow_Py]]</f>
        <v/>
      </c>
    </row>
    <row r="117">
      <c r="A117" s="296">
        <f>ROW()-1</f>
        <v/>
      </c>
      <c r="B117" s="272">
        <f>_xlfn.XLOOKUP(C117,Tab_Def_Flows[Name(EN)],Tab_Def_Flows[Flow_ID],,0,)</f>
        <v/>
      </c>
      <c r="C117" s="273" t="inlineStr">
        <is>
          <t>N.A.</t>
        </is>
      </c>
      <c r="D117" s="272" t="n"/>
      <c r="E117" s="272">
        <f>_xlfn.XLOOKUP(C117,Tab_Def_Flows[Name(EN)],Tab_Def_Flows[Output_Process],,0,)</f>
        <v/>
      </c>
      <c r="F117" s="272">
        <f>_xlfn.XLOOKUP(C117,Tab_Def_Flows[Name(EN)],Tab_Def_Flows[Process_ID_O],,0,)</f>
        <v/>
      </c>
      <c r="G117" s="272">
        <f>_xlfn.XLOOKUP(C117,Tab_Def_Flows[Name(EN)],Tab_Def_Flows[Input_Process],,0,)</f>
        <v/>
      </c>
      <c r="H117" s="17">
        <f>_xlfn.XLOOKUP(C117,Tab_Def_Flows[Name(EN)],Tab_Def_Flows[Process_ID_I],,0,)</f>
        <v/>
      </c>
      <c r="I117" s="272">
        <f>_xlfn.XLOOKUP(C117,Tab_Def_Flows[Name(EN)],#REF!,,0,)</f>
        <v/>
      </c>
      <c r="J117" s="272">
        <f>_xlfn.XLOOKUP(C117,Tab_Def_Flows[Name(EN)],Tab_Def_Flows[WC?],,0,)</f>
        <v/>
      </c>
      <c r="K117" s="272">
        <f>_xlfn.XLOOKUP(C117,Tab_Def_Flows[Name(EN)],Tab_Def_Flows[DM?],,0,)</f>
        <v/>
      </c>
      <c r="L117" s="272">
        <f>_xlfn.XLOOKUP(C117,Tab_Def_Flows[Name(EN)],Tab_Def_Flows[CC?],,0,)</f>
        <v/>
      </c>
      <c r="M117" s="273" t="n"/>
      <c r="N117" s="273" t="n"/>
      <c r="O117" s="48" t="n"/>
      <c r="P117" s="273" t="n"/>
      <c r="Q117" s="273" t="n"/>
      <c r="R117" s="273">
        <f>INDEX(#REF!,MATCH(Tab_Data_Flows[[#This Row],[Name(EN)]],#REF!,0),12)</f>
        <v/>
      </c>
      <c r="S117" s="273">
        <f>MATCH(Tab_Data_Flows[[#This Row],[Name(EN)]],#REF!,0)</f>
        <v/>
      </c>
      <c r="T117" s="273" t="n"/>
      <c r="U117" s="273" t="n"/>
      <c r="V117" s="273" t="n"/>
      <c r="W117" s="273" t="n"/>
      <c r="X117" s="273" t="inlineStr">
        <is>
          <t>No</t>
        </is>
      </c>
      <c r="Y117" s="273" t="n"/>
      <c r="Z117" s="273" t="n"/>
      <c r="AA117" s="35">
        <f>IF(X117="no",O117,O117*Y117)</f>
        <v/>
      </c>
      <c r="AB117" s="273" t="inlineStr">
        <is>
          <t>Mg</t>
        </is>
      </c>
      <c r="AC117" s="190">
        <f>INDEX(Tab_Def_Flows[[Flow_ID]:[CC_DM_source]],MATCH(Tab_Data_Flows[[#This Row],[Name(EN)]],Tab_Def_Flows[Name(EN)],0),13)</f>
        <v/>
      </c>
      <c r="AD117" s="272">
        <f>IF(J117="Yes",AA117*Tab_Data_Flows[[#This Row],[WC_'[%']]],"N.A.")</f>
        <v/>
      </c>
      <c r="AE117" s="272">
        <f>Tab_Data_Flows[[#This Row],[UoM_Flow_Py]]</f>
        <v/>
      </c>
      <c r="AF117" s="190">
        <f>INDEX(Tab_Def_Flows[[Flow_ID]:[CC_DM_source]],MATCH(Tab_Data_Flows[[#This Row],[Name(EN)]],Tab_Def_Flows[Name(EN)],0),15)</f>
        <v/>
      </c>
      <c r="AG117" s="272">
        <f>IF(K117="Yes",AF117*Tab_Data_Flows[[#This Row],[Flow_Py]],"N.A.")</f>
        <v/>
      </c>
      <c r="AH117" s="272">
        <f>Tab_Data_Flows[[#This Row],[UoM_Flow_Py]]</f>
        <v/>
      </c>
      <c r="AI117" s="190">
        <f>INDEX(Tab_Def_Flows[[Flow_ID]:[CC_DM_source]],MATCH(Tab_Data_Flows[[#This Row],[Name(EN)]],Tab_Def_Flows[Name(EN)],0),17)</f>
        <v/>
      </c>
      <c r="AJ117" s="272">
        <f>IF(L117="Yes",AI117*Tab_Data_Flows[[#This Row],[Flow_Py]]*Tab_Data_Flows[[#This Row],[DM_'[%']]],"N.A.")</f>
        <v/>
      </c>
      <c r="AK117" s="272">
        <f>Tab_Data_Flows[[#This Row],[UoM_Flow_Py]]</f>
        <v/>
      </c>
    </row>
    <row r="118">
      <c r="A118" s="296">
        <f>ROW()-1</f>
        <v/>
      </c>
      <c r="B118" s="272">
        <f>_xlfn.XLOOKUP(C118,Tab_Def_Flows[Name(EN)],Tab_Def_Flows[Flow_ID],,0,)</f>
        <v/>
      </c>
      <c r="C118" s="273" t="inlineStr">
        <is>
          <t>N.A.</t>
        </is>
      </c>
      <c r="D118" s="272">
        <f>_xlfn.XLOOKUP(C118,Tab_Def_Flows[Name(EN)],Tab_Def_Flows[Type_Biomass],,0,)</f>
        <v/>
      </c>
      <c r="E118" s="272">
        <f>_xlfn.XLOOKUP(C118,Tab_Def_Flows[Name(EN)],Tab_Def_Flows[Output_Process],,0,)</f>
        <v/>
      </c>
      <c r="F118" s="272">
        <f>_xlfn.XLOOKUP(C118,Tab_Def_Flows[Name(EN)],Tab_Def_Flows[Process_ID_O],,0,)</f>
        <v/>
      </c>
      <c r="G118" s="272">
        <f>_xlfn.XLOOKUP(C118,Tab_Def_Flows[Name(EN)],Tab_Def_Flows[Input_Process],,0,)</f>
        <v/>
      </c>
      <c r="H118" s="17">
        <f>_xlfn.XLOOKUP(C118,Tab_Def_Flows[Name(EN)],Tab_Def_Flows[Process_ID_I],,0,)</f>
        <v/>
      </c>
      <c r="I118" s="17">
        <f>_xlfn.XLOOKUP(C118,Tab_Def_Flows[Name(EN)],#REF!,,0,)</f>
        <v/>
      </c>
      <c r="J118" s="17">
        <f>_xlfn.XLOOKUP(C118,Tab_Def_Flows[Name(EN)],Tab_Def_Flows[WC?],,0,)</f>
        <v/>
      </c>
      <c r="K118" s="17">
        <f>_xlfn.XLOOKUP(C118,Tab_Def_Flows[Name(EN)],Tab_Def_Flows[DM?],,0,)</f>
        <v/>
      </c>
      <c r="L118" s="17">
        <f>_xlfn.XLOOKUP(C118,Tab_Def_Flows[Name(EN)],Tab_Def_Flows[CC?],,0,)</f>
        <v/>
      </c>
      <c r="M118" s="273" t="n"/>
      <c r="N118" s="273" t="inlineStr">
        <is>
          <t>BB</t>
        </is>
      </c>
      <c r="O118" s="48" t="n"/>
      <c r="P118" s="273" t="n"/>
      <c r="Q118" s="273" t="inlineStr">
        <is>
          <t>Stramento</t>
        </is>
      </c>
      <c r="R118" s="273" t="n"/>
      <c r="S118" s="273" t="n"/>
      <c r="T118" s="273" t="n"/>
      <c r="U118" s="273" t="n"/>
      <c r="V118" s="273" t="n"/>
      <c r="W118" s="273" t="n"/>
      <c r="X118" s="273" t="inlineStr">
        <is>
          <t>No</t>
        </is>
      </c>
      <c r="Y118" s="41" t="n"/>
      <c r="Z118" s="273" t="n"/>
      <c r="AA118" s="35">
        <f>IF(X118="no",O118,O118*Y118)</f>
        <v/>
      </c>
      <c r="AB118" s="273" t="inlineStr">
        <is>
          <t>Mg</t>
        </is>
      </c>
      <c r="AC118" s="190">
        <f>INDEX(Tab_Def_Flows[[Flow_ID]:[CC_DM_source]],MATCH(Tab_Data_Flows[[#This Row],[Name(EN)]],Tab_Def_Flows[Name(EN)],0),13)</f>
        <v/>
      </c>
      <c r="AD118" s="272">
        <f>IF(J118="Yes",AA118*Tab_Data_Flows[[#This Row],[WC_'[%']]],"N.A.")</f>
        <v/>
      </c>
      <c r="AE118" s="272">
        <f>Tab_Data_Flows[[#This Row],[UoM_Flow_Py]]</f>
        <v/>
      </c>
      <c r="AF118" s="190">
        <f>INDEX(Tab_Def_Flows[[Flow_ID]:[CC_DM_source]],MATCH(Tab_Data_Flows[[#This Row],[Name(EN)]],Tab_Def_Flows[Name(EN)],0),15)</f>
        <v/>
      </c>
      <c r="AG118" s="272">
        <f>IF(K118="Yes",AF118*Tab_Data_Flows[[#This Row],[Flow_Py]],"N.A.")</f>
        <v/>
      </c>
      <c r="AH118" s="272">
        <f>Tab_Data_Flows[[#This Row],[UoM_Flow_Py]]</f>
        <v/>
      </c>
      <c r="AI118" s="190">
        <f>INDEX(Tab_Def_Flows[[Flow_ID]:[CC_DM_source]],MATCH(Tab_Data_Flows[[#This Row],[Name(EN)]],Tab_Def_Flows[Name(EN)],0),17)</f>
        <v/>
      </c>
      <c r="AJ118" s="272">
        <f>IF(L118="Yes",AI118*Tab_Data_Flows[[#This Row],[Flow_Py]]*Tab_Data_Flows[[#This Row],[DM_'[%']]],"N.A.")</f>
        <v/>
      </c>
      <c r="AK118" s="272">
        <f>Tab_Data_Flows[[#This Row],[UoM_Flow_Py]]</f>
        <v/>
      </c>
    </row>
    <row r="119">
      <c r="A119" s="296">
        <f>ROW()-1</f>
        <v/>
      </c>
      <c r="B119" s="272">
        <f>_xlfn.XLOOKUP(C119,Tab_Def_Flows[Name(EN)],Tab_Def_Flows[Flow_ID],,0,)</f>
        <v/>
      </c>
      <c r="C119" s="273" t="inlineStr">
        <is>
          <t>N.A.</t>
        </is>
      </c>
      <c r="D119" s="272">
        <f>_xlfn.XLOOKUP(C119,Tab_Def_Flows[Name(EN)],Tab_Def_Flows[Type_Biomass],,0,)</f>
        <v/>
      </c>
      <c r="E119" s="272">
        <f>_xlfn.XLOOKUP(C119,Tab_Def_Flows[Name(EN)],Tab_Def_Flows[Output_Process],,0,)</f>
        <v/>
      </c>
      <c r="F119" s="272">
        <f>_xlfn.XLOOKUP(C119,Tab_Def_Flows[Name(EN)],Tab_Def_Flows[Process_ID_O],,0,)</f>
        <v/>
      </c>
      <c r="G119" s="272">
        <f>_xlfn.XLOOKUP(C119,Tab_Def_Flows[Name(EN)],Tab_Def_Flows[Input_Process],,0,)</f>
        <v/>
      </c>
      <c r="H119" s="17">
        <f>_xlfn.XLOOKUP(C119,Tab_Def_Flows[Name(EN)],Tab_Def_Flows[Process_ID_I],,0,)</f>
        <v/>
      </c>
      <c r="I119" s="17">
        <f>_xlfn.XLOOKUP(C119,Tab_Def_Flows[Name(EN)],#REF!,,0,)</f>
        <v/>
      </c>
      <c r="J119" s="17">
        <f>_xlfn.XLOOKUP(C119,Tab_Def_Flows[Name(EN)],Tab_Def_Flows[WC?],,0,)</f>
        <v/>
      </c>
      <c r="K119" s="17">
        <f>_xlfn.XLOOKUP(C119,Tab_Def_Flows[Name(EN)],Tab_Def_Flows[DM?],,0,)</f>
        <v/>
      </c>
      <c r="L119" s="17">
        <f>_xlfn.XLOOKUP(C119,Tab_Def_Flows[Name(EN)],Tab_Def_Flows[CC?],,0,)</f>
        <v/>
      </c>
      <c r="M119" s="273" t="n"/>
      <c r="N119" s="273" t="inlineStr">
        <is>
          <t>BB</t>
        </is>
      </c>
      <c r="O119" s="48" t="n"/>
      <c r="P119" s="273" t="n"/>
      <c r="Q119" s="273" t="inlineStr">
        <is>
          <t>Stramento</t>
        </is>
      </c>
      <c r="R119" s="273" t="n"/>
      <c r="S119" s="273" t="n"/>
      <c r="T119" s="273" t="n"/>
      <c r="U119" s="273" t="n"/>
      <c r="V119" s="273" t="n"/>
      <c r="W119" s="273" t="n"/>
      <c r="X119" s="273" t="inlineStr">
        <is>
          <t>No</t>
        </is>
      </c>
      <c r="Y119" s="41" t="n"/>
      <c r="Z119" s="273" t="n"/>
      <c r="AA119" s="35">
        <f>IF(X119="no",O119,O119*Y119)</f>
        <v/>
      </c>
      <c r="AB119" s="273" t="inlineStr">
        <is>
          <t>Mg</t>
        </is>
      </c>
      <c r="AC119" s="190">
        <f>INDEX(Tab_Def_Flows[[Flow_ID]:[CC_DM_source]],MATCH(Tab_Data_Flows[[#This Row],[Name(EN)]],Tab_Def_Flows[Name(EN)],0),13)</f>
        <v/>
      </c>
      <c r="AD119" s="272">
        <f>IF(J119="Yes",AA119*Tab_Data_Flows[[#This Row],[WC_'[%']]],"N.A.")</f>
        <v/>
      </c>
      <c r="AE119" s="272">
        <f>Tab_Data_Flows[[#This Row],[UoM_Flow_Py]]</f>
        <v/>
      </c>
      <c r="AF119" s="190">
        <f>INDEX(Tab_Def_Flows[[Flow_ID]:[CC_DM_source]],MATCH(Tab_Data_Flows[[#This Row],[Name(EN)]],Tab_Def_Flows[Name(EN)],0),15)</f>
        <v/>
      </c>
      <c r="AG119" s="272">
        <f>IF(K119="Yes",AF119*Tab_Data_Flows[[#This Row],[Flow_Py]]-AJ235,"N.A.")</f>
        <v/>
      </c>
      <c r="AH119" s="272">
        <f>Tab_Data_Flows[[#This Row],[UoM_Flow_Py]]</f>
        <v/>
      </c>
      <c r="AI119" s="190">
        <f>INDEX(Tab_Def_Flows[[Flow_ID]:[CC_DM_source]],MATCH(Tab_Data_Flows[[#This Row],[Name(EN)]],Tab_Def_Flows[Name(EN)],0),17)</f>
        <v/>
      </c>
      <c r="AJ119" s="272">
        <f>IF(L119="Yes",AI119*Tab_Data_Flows[[#This Row],[Flow_Py]]*Tab_Data_Flows[[#This Row],[DM_'[%']]],"N.A.")</f>
        <v/>
      </c>
      <c r="AK119" s="272">
        <f>Tab_Data_Flows[[#This Row],[UoM_Flow_Py]]</f>
        <v/>
      </c>
    </row>
    <row r="120">
      <c r="A120" s="296">
        <f>ROW()-1</f>
        <v/>
      </c>
      <c r="B120" s="272">
        <f>_xlfn.XLOOKUP(C120,Tab_Def_Flows[Name(EN)],Tab_Def_Flows[Flow_ID],,0,)</f>
        <v/>
      </c>
      <c r="C120" s="273" t="inlineStr">
        <is>
          <t>N.A.</t>
        </is>
      </c>
      <c r="D120" s="272">
        <f>_xlfn.XLOOKUP(C120,Tab_Def_Flows[Name(EN)],Tab_Def_Flows[Type_Biomass],,0,)</f>
        <v/>
      </c>
      <c r="E120" s="272">
        <f>_xlfn.XLOOKUP(C120,Tab_Def_Flows[Name(EN)],Tab_Def_Flows[Output_Process],,0,)</f>
        <v/>
      </c>
      <c r="F120" s="272">
        <f>_xlfn.XLOOKUP(C120,Tab_Def_Flows[Name(EN)],Tab_Def_Flows[Process_ID_O],,0,)</f>
        <v/>
      </c>
      <c r="G120" s="272">
        <f>_xlfn.XLOOKUP(C120,Tab_Def_Flows[Name(EN)],Tab_Def_Flows[Input_Process],,0,)</f>
        <v/>
      </c>
      <c r="H120" s="17">
        <f>_xlfn.XLOOKUP(C120,Tab_Def_Flows[Name(EN)],Tab_Def_Flows[Process_ID_I],,0,)</f>
        <v/>
      </c>
      <c r="I120" s="17">
        <f>_xlfn.XLOOKUP(C120,Tab_Def_Flows[Name(EN)],#REF!,,0,)</f>
        <v/>
      </c>
      <c r="J120" s="17">
        <f>_xlfn.XLOOKUP(C120,Tab_Def_Flows[Name(EN)],Tab_Def_Flows[WC?],,0,)</f>
        <v/>
      </c>
      <c r="K120" s="17">
        <f>_xlfn.XLOOKUP(C120,Tab_Def_Flows[Name(EN)],Tab_Def_Flows[DM?],,0,)</f>
        <v/>
      </c>
      <c r="L120" s="17">
        <f>_xlfn.XLOOKUP(C120,Tab_Def_Flows[Name(EN)],Tab_Def_Flows[CC?],,0,)</f>
        <v/>
      </c>
      <c r="M120" s="273" t="n"/>
      <c r="N120" s="273" t="inlineStr">
        <is>
          <t>BB</t>
        </is>
      </c>
      <c r="O120" s="48" t="n"/>
      <c r="P120" s="273" t="n"/>
      <c r="Q120" s="273" t="inlineStr">
        <is>
          <t>Stramento</t>
        </is>
      </c>
      <c r="R120" s="273" t="n"/>
      <c r="S120" s="273" t="n"/>
      <c r="T120" s="273" t="n"/>
      <c r="U120" s="273" t="n"/>
      <c r="V120" s="273" t="n"/>
      <c r="W120" s="273" t="n"/>
      <c r="X120" s="273" t="inlineStr">
        <is>
          <t>No</t>
        </is>
      </c>
      <c r="Y120" s="41" t="n"/>
      <c r="Z120" s="273" t="n"/>
      <c r="AA120" s="35">
        <f>IF(X120="no",O120,O120*Y120)</f>
        <v/>
      </c>
      <c r="AB120" s="273" t="inlineStr">
        <is>
          <t>Mg</t>
        </is>
      </c>
      <c r="AC120" s="190">
        <f>INDEX(Tab_Def_Flows[[Flow_ID]:[CC_DM_source]],MATCH(Tab_Data_Flows[[#This Row],[Name(EN)]],Tab_Def_Flows[Name(EN)],0),13)</f>
        <v/>
      </c>
      <c r="AD120" s="272">
        <f>IF(J120="Yes",AA120*Tab_Data_Flows[[#This Row],[WC_'[%']]],"N.A.")</f>
        <v/>
      </c>
      <c r="AE120" s="272">
        <f>Tab_Data_Flows[[#This Row],[UoM_Flow_Py]]</f>
        <v/>
      </c>
      <c r="AF120" s="190">
        <f>INDEX(Tab_Def_Flows[[Flow_ID]:[CC_DM_source]],MATCH(Tab_Data_Flows[[#This Row],[Name(EN)]],Tab_Def_Flows[Name(EN)],0),15)</f>
        <v/>
      </c>
      <c r="AG120" s="272">
        <f>IF(K120="Yes",AF120*Tab_Data_Flows[[#This Row],[Flow_Py]]-AJ236,"N.A.")</f>
        <v/>
      </c>
      <c r="AH120" s="272">
        <f>Tab_Data_Flows[[#This Row],[UoM_Flow_Py]]</f>
        <v/>
      </c>
      <c r="AI120" s="190">
        <f>INDEX(Tab_Def_Flows[[Flow_ID]:[CC_DM_source]],MATCH(Tab_Data_Flows[[#This Row],[Name(EN)]],Tab_Def_Flows[Name(EN)],0),17)</f>
        <v/>
      </c>
      <c r="AJ120" s="272">
        <f>IF(L120="Yes",AI120*Tab_Data_Flows[[#This Row],[Flow_Py]]*Tab_Data_Flows[[#This Row],[DM_'[%']]],"N.A.")</f>
        <v/>
      </c>
      <c r="AK120" s="272">
        <f>Tab_Data_Flows[[#This Row],[UoM_Flow_Py]]</f>
        <v/>
      </c>
    </row>
    <row r="121">
      <c r="A121" s="296">
        <f>ROW()-1</f>
        <v/>
      </c>
      <c r="B121" s="272">
        <f>_xlfn.XLOOKUP(C121,Tab_Def_Flows[Name(EN)],Tab_Def_Flows[Flow_ID],,0,)</f>
        <v/>
      </c>
      <c r="C121" s="273" t="inlineStr">
        <is>
          <t>N.A.</t>
        </is>
      </c>
      <c r="D121" s="272">
        <f>_xlfn.XLOOKUP(C121,Tab_Def_Flows[Name(EN)],Tab_Def_Flows[Type_Biomass],,0,)</f>
        <v/>
      </c>
      <c r="E121" s="272">
        <f>_xlfn.XLOOKUP(C121,Tab_Def_Flows[Name(EN)],Tab_Def_Flows[Output_Process],,0,)</f>
        <v/>
      </c>
      <c r="F121" s="272">
        <f>_xlfn.XLOOKUP(C121,Tab_Def_Flows[Name(EN)],Tab_Def_Flows[Process_ID_O],,0,)</f>
        <v/>
      </c>
      <c r="G121" s="272">
        <f>_xlfn.XLOOKUP(C121,Tab_Def_Flows[Name(EN)],Tab_Def_Flows[Input_Process],,0,)</f>
        <v/>
      </c>
      <c r="H121" s="17">
        <f>_xlfn.XLOOKUP(C121,Tab_Def_Flows[Name(EN)],Tab_Def_Flows[Process_ID_I],,0,)</f>
        <v/>
      </c>
      <c r="I121" s="17">
        <f>_xlfn.XLOOKUP(C121,Tab_Def_Flows[Name(EN)],#REF!,,0,)</f>
        <v/>
      </c>
      <c r="J121" s="17">
        <f>_xlfn.XLOOKUP(C121,Tab_Def_Flows[Name(EN)],Tab_Def_Flows[WC?],,0,)</f>
        <v/>
      </c>
      <c r="K121" s="17">
        <f>_xlfn.XLOOKUP(C121,Tab_Def_Flows[Name(EN)],Tab_Def_Flows[DM?],,0,)</f>
        <v/>
      </c>
      <c r="L121" s="17">
        <f>_xlfn.XLOOKUP(C121,Tab_Def_Flows[Name(EN)],Tab_Def_Flows[CC?],,0,)</f>
        <v/>
      </c>
      <c r="M121" s="273" t="n"/>
      <c r="N121" s="273" t="inlineStr">
        <is>
          <t>BB</t>
        </is>
      </c>
      <c r="O121" s="48" t="n"/>
      <c r="P121" s="273" t="n"/>
      <c r="Q121" s="273" t="inlineStr">
        <is>
          <t>Stramento</t>
        </is>
      </c>
      <c r="R121" s="273" t="n"/>
      <c r="S121" s="273" t="n"/>
      <c r="T121" s="273" t="n"/>
      <c r="U121" s="273" t="n"/>
      <c r="V121" s="273" t="n"/>
      <c r="W121" s="273" t="n"/>
      <c r="X121" s="273" t="inlineStr">
        <is>
          <t>No</t>
        </is>
      </c>
      <c r="Y121" s="41" t="n"/>
      <c r="Z121" s="273" t="n"/>
      <c r="AA121" s="35">
        <f>IF(X121="no",O121,O121*Y121)</f>
        <v/>
      </c>
      <c r="AB121" s="273" t="inlineStr">
        <is>
          <t>Mg</t>
        </is>
      </c>
      <c r="AC121" s="190">
        <f>INDEX(Tab_Def_Flows[[Flow_ID]:[CC_DM_source]],MATCH(Tab_Data_Flows[[#This Row],[Name(EN)]],Tab_Def_Flows[Name(EN)],0),13)</f>
        <v/>
      </c>
      <c r="AD121" s="272">
        <f>IF(J121="Yes",AA121*Tab_Data_Flows[[#This Row],[WC_'[%']]],"N.A.")</f>
        <v/>
      </c>
      <c r="AE121" s="272">
        <f>Tab_Data_Flows[[#This Row],[UoM_Flow_Py]]</f>
        <v/>
      </c>
      <c r="AF121" s="190">
        <f>INDEX(Tab_Def_Flows[[Flow_ID]:[CC_DM_source]],MATCH(Tab_Data_Flows[[#This Row],[Name(EN)]],Tab_Def_Flows[Name(EN)],0),15)</f>
        <v/>
      </c>
      <c r="AG121" s="272">
        <f>IF(K121="Yes",AF121*Tab_Data_Flows[[#This Row],[Flow_Py]]-AJ237,"N.A.")</f>
        <v/>
      </c>
      <c r="AH121" s="272">
        <f>Tab_Data_Flows[[#This Row],[UoM_Flow_Py]]</f>
        <v/>
      </c>
      <c r="AI121" s="190">
        <f>INDEX(Tab_Def_Flows[[Flow_ID]:[CC_DM_source]],MATCH(Tab_Data_Flows[[#This Row],[Name(EN)]],Tab_Def_Flows[Name(EN)],0),17)</f>
        <v/>
      </c>
      <c r="AJ121" s="272">
        <f>IF(L121="Yes",AI121*Tab_Data_Flows[[#This Row],[Flow_Py]]*Tab_Data_Flows[[#This Row],[DM_'[%']]],"N.A.")</f>
        <v/>
      </c>
      <c r="AK121" s="272">
        <f>Tab_Data_Flows[[#This Row],[UoM_Flow_Py]]</f>
        <v/>
      </c>
    </row>
    <row r="122">
      <c r="A122" s="296">
        <f>ROW()-1</f>
        <v/>
      </c>
      <c r="B122" s="272">
        <f>_xlfn.XLOOKUP(C122,Tab_Def_Flows[Name(EN)],Tab_Def_Flows[Flow_ID],,0,)</f>
        <v/>
      </c>
      <c r="C122" s="273" t="inlineStr">
        <is>
          <t>N.A.</t>
        </is>
      </c>
      <c r="D122" s="272">
        <f>_xlfn.XLOOKUP(C122,Tab_Def_Flows[Name(EN)],Tab_Def_Flows[Type_Biomass],,0,)</f>
        <v/>
      </c>
      <c r="E122" s="272">
        <f>_xlfn.XLOOKUP(C122,Tab_Def_Flows[Name(EN)],Tab_Def_Flows[Output_Process],,0,)</f>
        <v/>
      </c>
      <c r="F122" s="272">
        <f>_xlfn.XLOOKUP(C122,Tab_Def_Flows[Name(EN)],Tab_Def_Flows[Process_ID_O],,0,)</f>
        <v/>
      </c>
      <c r="G122" s="272">
        <f>_xlfn.XLOOKUP(C122,Tab_Def_Flows[Name(EN)],Tab_Def_Flows[Input_Process],,0,)</f>
        <v/>
      </c>
      <c r="H122" s="17">
        <f>_xlfn.XLOOKUP(C122,Tab_Def_Flows[Name(EN)],Tab_Def_Flows[Process_ID_I],,0,)</f>
        <v/>
      </c>
      <c r="I122" s="17">
        <f>_xlfn.XLOOKUP(C122,Tab_Def_Flows[Name(EN)],#REF!,,0,)</f>
        <v/>
      </c>
      <c r="J122" s="17">
        <f>_xlfn.XLOOKUP(C122,Tab_Def_Flows[Name(EN)],Tab_Def_Flows[WC?],,0,)</f>
        <v/>
      </c>
      <c r="K122" s="17">
        <f>_xlfn.XLOOKUP(C122,Tab_Def_Flows[Name(EN)],Tab_Def_Flows[DM?],,0,)</f>
        <v/>
      </c>
      <c r="L122" s="17">
        <f>_xlfn.XLOOKUP(C122,Tab_Def_Flows[Name(EN)],Tab_Def_Flows[CC?],,0,)</f>
        <v/>
      </c>
      <c r="M122" s="273" t="n"/>
      <c r="N122" s="273" t="inlineStr">
        <is>
          <t>BB</t>
        </is>
      </c>
      <c r="O122" s="48" t="n"/>
      <c r="P122" s="273" t="n"/>
      <c r="Q122" s="273" t="inlineStr">
        <is>
          <t>Stramento</t>
        </is>
      </c>
      <c r="R122" s="273" t="n"/>
      <c r="S122" s="273" t="n"/>
      <c r="T122" s="273" t="n"/>
      <c r="U122" s="273" t="n"/>
      <c r="V122" s="273" t="n"/>
      <c r="W122" s="273" t="n"/>
      <c r="X122" s="273" t="inlineStr">
        <is>
          <t>No</t>
        </is>
      </c>
      <c r="Y122" s="41" t="n"/>
      <c r="Z122" s="273" t="n"/>
      <c r="AA122" s="35">
        <f>IF(X122="no",O122,O122*Y122)</f>
        <v/>
      </c>
      <c r="AB122" s="273" t="inlineStr">
        <is>
          <t>Mg</t>
        </is>
      </c>
      <c r="AC122" s="190">
        <f>INDEX(Tab_Def_Flows[[Flow_ID]:[CC_DM_source]],MATCH(Tab_Data_Flows[[#This Row],[Name(EN)]],Tab_Def_Flows[Name(EN)],0),13)</f>
        <v/>
      </c>
      <c r="AD122" s="272">
        <f>IF(J122="Yes",AA122*Tab_Data_Flows[[#This Row],[WC_'[%']]],"N.A.")</f>
        <v/>
      </c>
      <c r="AE122" s="272">
        <f>Tab_Data_Flows[[#This Row],[UoM_Flow_Py]]</f>
        <v/>
      </c>
      <c r="AF122" s="190">
        <f>INDEX(Tab_Def_Flows[[Flow_ID]:[CC_DM_source]],MATCH(Tab_Data_Flows[[#This Row],[Name(EN)]],Tab_Def_Flows[Name(EN)],0),15)</f>
        <v/>
      </c>
      <c r="AG122" s="272">
        <f>IF(K122="Yes",AF122*Tab_Data_Flows[[#This Row],[Flow_Py]]-AJ238,"N.A.")</f>
        <v/>
      </c>
      <c r="AH122" s="272">
        <f>Tab_Data_Flows[[#This Row],[UoM_Flow_Py]]</f>
        <v/>
      </c>
      <c r="AI122" s="190">
        <f>INDEX(Tab_Def_Flows[[Flow_ID]:[CC_DM_source]],MATCH(Tab_Data_Flows[[#This Row],[Name(EN)]],Tab_Def_Flows[Name(EN)],0),17)</f>
        <v/>
      </c>
      <c r="AJ122" s="272">
        <f>IF(L122="Yes",AI122*Tab_Data_Flows[[#This Row],[Flow_Py]]*Tab_Data_Flows[[#This Row],[DM_'[%']]],"N.A.")</f>
        <v/>
      </c>
      <c r="AK122" s="272">
        <f>Tab_Data_Flows[[#This Row],[UoM_Flow_Py]]</f>
        <v/>
      </c>
    </row>
    <row r="123">
      <c r="A123" s="296">
        <f>ROW()-1</f>
        <v/>
      </c>
      <c r="B123" s="272">
        <f>_xlfn.XLOOKUP(C123,Tab_Def_Flows[Name(EN)],Tab_Def_Flows[Flow_ID],,0,)</f>
        <v/>
      </c>
      <c r="C123" s="273" t="inlineStr">
        <is>
          <t>N.A.</t>
        </is>
      </c>
      <c r="D123" s="272">
        <f>_xlfn.XLOOKUP(C123,Tab_Def_Flows[Name(EN)],Tab_Def_Flows[Type_Biomass],,0,)</f>
        <v/>
      </c>
      <c r="E123" s="272">
        <f>_xlfn.XLOOKUP(C123,Tab_Def_Flows[Name(EN)],Tab_Def_Flows[Output_Process],,0,)</f>
        <v/>
      </c>
      <c r="F123" s="272">
        <f>_xlfn.XLOOKUP(C123,Tab_Def_Flows[Name(EN)],Tab_Def_Flows[Process_ID_O],,0,)</f>
        <v/>
      </c>
      <c r="G123" s="272">
        <f>_xlfn.XLOOKUP(C123,Tab_Def_Flows[Name(EN)],Tab_Def_Flows[Input_Process],,0,)</f>
        <v/>
      </c>
      <c r="H123" s="17">
        <f>_xlfn.XLOOKUP(C123,Tab_Def_Flows[Name(EN)],Tab_Def_Flows[Process_ID_I],,0,)</f>
        <v/>
      </c>
      <c r="I123" s="17">
        <f>_xlfn.XLOOKUP(C123,Tab_Def_Flows[Name(EN)],#REF!,,0,)</f>
        <v/>
      </c>
      <c r="J123" s="17">
        <f>_xlfn.XLOOKUP(C123,Tab_Def_Flows[Name(EN)],Tab_Def_Flows[WC?],,0,)</f>
        <v/>
      </c>
      <c r="K123" s="17">
        <f>_xlfn.XLOOKUP(C123,Tab_Def_Flows[Name(EN)],Tab_Def_Flows[DM?],,0,)</f>
        <v/>
      </c>
      <c r="L123" s="17">
        <f>_xlfn.XLOOKUP(C123,Tab_Def_Flows[Name(EN)],Tab_Def_Flows[CC?],,0,)</f>
        <v/>
      </c>
      <c r="M123" s="273" t="n"/>
      <c r="N123" s="273" t="inlineStr">
        <is>
          <t>BB</t>
        </is>
      </c>
      <c r="O123" s="48" t="n"/>
      <c r="P123" s="273" t="n"/>
      <c r="Q123" s="273" t="inlineStr">
        <is>
          <t>Stramento</t>
        </is>
      </c>
      <c r="R123" s="273" t="n"/>
      <c r="S123" s="273" t="n"/>
      <c r="T123" s="273" t="n"/>
      <c r="U123" s="273" t="n"/>
      <c r="V123" s="273" t="n"/>
      <c r="W123" s="273" t="n"/>
      <c r="X123" s="273" t="inlineStr">
        <is>
          <t>No</t>
        </is>
      </c>
      <c r="Y123" s="41" t="n"/>
      <c r="Z123" s="273" t="n"/>
      <c r="AA123" s="35">
        <f>IF(X123="no",O123,O123*Y123)</f>
        <v/>
      </c>
      <c r="AB123" s="273" t="inlineStr">
        <is>
          <t>Mg</t>
        </is>
      </c>
      <c r="AC123" s="190">
        <f>INDEX(Tab_Def_Flows[[Flow_ID]:[CC_DM_source]],MATCH(Tab_Data_Flows[[#This Row],[Name(EN)]],Tab_Def_Flows[Name(EN)],0),13)</f>
        <v/>
      </c>
      <c r="AD123" s="272">
        <f>IF(J123="Yes",AA123*Tab_Data_Flows[[#This Row],[WC_'[%']]],"N.A.")</f>
        <v/>
      </c>
      <c r="AE123" s="272">
        <f>Tab_Data_Flows[[#This Row],[UoM_Flow_Py]]</f>
        <v/>
      </c>
      <c r="AF123" s="190">
        <f>INDEX(Tab_Def_Flows[[Flow_ID]:[CC_DM_source]],MATCH(Tab_Data_Flows[[#This Row],[Name(EN)]],Tab_Def_Flows[Name(EN)],0),15)</f>
        <v/>
      </c>
      <c r="AG123" s="272">
        <f>IF(K123="Yes",AF123*Tab_Data_Flows[[#This Row],[Flow_Py]]-AJ239,"N.A.")</f>
        <v/>
      </c>
      <c r="AH123" s="272">
        <f>Tab_Data_Flows[[#This Row],[UoM_Flow_Py]]</f>
        <v/>
      </c>
      <c r="AI123" s="190">
        <f>INDEX(Tab_Def_Flows[[Flow_ID]:[CC_DM_source]],MATCH(Tab_Data_Flows[[#This Row],[Name(EN)]],Tab_Def_Flows[Name(EN)],0),17)</f>
        <v/>
      </c>
      <c r="AJ123" s="272">
        <f>IF(L123="Yes",AI123*Tab_Data_Flows[[#This Row],[Flow_Py]]*Tab_Data_Flows[[#This Row],[DM_'[%']]],"N.A.")</f>
        <v/>
      </c>
      <c r="AK123" s="272">
        <f>Tab_Data_Flows[[#This Row],[UoM_Flow_Py]]</f>
        <v/>
      </c>
    </row>
    <row r="124">
      <c r="A124" s="296">
        <f>ROW()-1</f>
        <v/>
      </c>
      <c r="B124" s="272">
        <f>_xlfn.XLOOKUP(C124,Tab_Def_Flows[Name(EN)],Tab_Def_Flows[Flow_ID],,0,)</f>
        <v/>
      </c>
      <c r="C124" s="273" t="inlineStr">
        <is>
          <t>N.A.</t>
        </is>
      </c>
      <c r="D124" s="272">
        <f>_xlfn.XLOOKUP(C124,Tab_Def_Flows[Name(EN)],Tab_Def_Flows[Type_Biomass],,0,)</f>
        <v/>
      </c>
      <c r="E124" s="272">
        <f>_xlfn.XLOOKUP(C124,Tab_Def_Flows[Name(EN)],Tab_Def_Flows[Output_Process],,0,)</f>
        <v/>
      </c>
      <c r="F124" s="272">
        <f>_xlfn.XLOOKUP(C124,Tab_Def_Flows[Name(EN)],Tab_Def_Flows[Process_ID_O],,0,)</f>
        <v/>
      </c>
      <c r="G124" s="272">
        <f>_xlfn.XLOOKUP(C124,Tab_Def_Flows[Name(EN)],Tab_Def_Flows[Input_Process],,0,)</f>
        <v/>
      </c>
      <c r="H124" s="17">
        <f>_xlfn.XLOOKUP(C124,Tab_Def_Flows[Name(EN)],Tab_Def_Flows[Process_ID_I],,0,)</f>
        <v/>
      </c>
      <c r="I124" s="17">
        <f>_xlfn.XLOOKUP(C124,Tab_Def_Flows[Name(EN)],#REF!,,0,)</f>
        <v/>
      </c>
      <c r="J124" s="17">
        <f>_xlfn.XLOOKUP(C124,Tab_Def_Flows[Name(EN)],Tab_Def_Flows[WC?],,0,)</f>
        <v/>
      </c>
      <c r="K124" s="17">
        <f>_xlfn.XLOOKUP(C124,Tab_Def_Flows[Name(EN)],Tab_Def_Flows[DM?],,0,)</f>
        <v/>
      </c>
      <c r="L124" s="17">
        <f>_xlfn.XLOOKUP(C124,Tab_Def_Flows[Name(EN)],Tab_Def_Flows[CC?],,0,)</f>
        <v/>
      </c>
      <c r="M124" s="273" t="n"/>
      <c r="N124" s="273" t="inlineStr">
        <is>
          <t>BB</t>
        </is>
      </c>
      <c r="O124" s="48" t="n"/>
      <c r="P124" s="273" t="n"/>
      <c r="Q124" s="273" t="inlineStr">
        <is>
          <t>Stramento</t>
        </is>
      </c>
      <c r="R124" s="273" t="n"/>
      <c r="S124" s="273" t="n"/>
      <c r="T124" s="273" t="n"/>
      <c r="U124" s="273" t="n"/>
      <c r="V124" s="273" t="n"/>
      <c r="W124" s="273" t="n"/>
      <c r="X124" s="273" t="inlineStr">
        <is>
          <t>No</t>
        </is>
      </c>
      <c r="Y124" s="41" t="n"/>
      <c r="Z124" s="273" t="n"/>
      <c r="AA124" s="35">
        <f>IF(X124="no",O124,O124*Y124)</f>
        <v/>
      </c>
      <c r="AB124" s="273" t="inlineStr">
        <is>
          <t>Mg</t>
        </is>
      </c>
      <c r="AC124" s="190">
        <f>INDEX(Tab_Def_Flows[[Flow_ID]:[CC_DM_source]],MATCH(Tab_Data_Flows[[#This Row],[Name(EN)]],Tab_Def_Flows[Name(EN)],0),13)</f>
        <v/>
      </c>
      <c r="AD124" s="272">
        <f>IF(J124="Yes",AA124*Tab_Data_Flows[[#This Row],[WC_'[%']]],"N.A.")</f>
        <v/>
      </c>
      <c r="AE124" s="272">
        <f>Tab_Data_Flows[[#This Row],[UoM_Flow_Py]]</f>
        <v/>
      </c>
      <c r="AF124" s="190">
        <f>INDEX(Tab_Def_Flows[[Flow_ID]:[CC_DM_source]],MATCH(Tab_Data_Flows[[#This Row],[Name(EN)]],Tab_Def_Flows[Name(EN)],0),15)</f>
        <v/>
      </c>
      <c r="AG124" s="272">
        <f>IF(K124="Yes",AF124*Tab_Data_Flows[[#This Row],[Flow_Py]]-AJ240,"N.A.")</f>
        <v/>
      </c>
      <c r="AH124" s="272">
        <f>Tab_Data_Flows[[#This Row],[UoM_Flow_Py]]</f>
        <v/>
      </c>
      <c r="AI124" s="190">
        <f>INDEX(Tab_Def_Flows[[Flow_ID]:[CC_DM_source]],MATCH(Tab_Data_Flows[[#This Row],[Name(EN)]],Tab_Def_Flows[Name(EN)],0),17)</f>
        <v/>
      </c>
      <c r="AJ124" s="272">
        <f>IF(L124="Yes",AI124*Tab_Data_Flows[[#This Row],[Flow_Py]]*Tab_Data_Flows[[#This Row],[DM_'[%']]],"N.A.")</f>
        <v/>
      </c>
      <c r="AK124" s="272">
        <f>Tab_Data_Flows[[#This Row],[UoM_Flow_Py]]</f>
        <v/>
      </c>
    </row>
    <row r="125">
      <c r="A125" s="296">
        <f>ROW()-1</f>
        <v/>
      </c>
      <c r="B125" s="272">
        <f>_xlfn.XLOOKUP(C125,Tab_Def_Flows[Name(EN)],Tab_Def_Flows[Flow_ID],,0,)</f>
        <v/>
      </c>
      <c r="C125" s="273" t="inlineStr">
        <is>
          <t>N.A.</t>
        </is>
      </c>
      <c r="D125" s="272" t="n"/>
      <c r="E125" s="272">
        <f>_xlfn.XLOOKUP(C125,Tab_Def_Flows[Name(EN)],Tab_Def_Flows[Output_Process],,0,)</f>
        <v/>
      </c>
      <c r="F125" s="272">
        <f>_xlfn.XLOOKUP(C125,Tab_Def_Flows[Name(EN)],Tab_Def_Flows[Process_ID_O],,0,)</f>
        <v/>
      </c>
      <c r="G125" s="272">
        <f>_xlfn.XLOOKUP(C125,Tab_Def_Flows[Name(EN)],Tab_Def_Flows[Input_Process],,0,)</f>
        <v/>
      </c>
      <c r="H125" s="17">
        <f>_xlfn.XLOOKUP(C125,Tab_Def_Flows[Name(EN)],Tab_Def_Flows[Process_ID_I],,0,)</f>
        <v/>
      </c>
      <c r="I125" s="272">
        <f>_xlfn.XLOOKUP(C125,Tab_Def_Flows[Name(EN)],#REF!,,0,)</f>
        <v/>
      </c>
      <c r="J125" s="272">
        <f>_xlfn.XLOOKUP(C125,Tab_Def_Flows[Name(EN)],Tab_Def_Flows[WC?],,0,)</f>
        <v/>
      </c>
      <c r="K125" s="272">
        <f>_xlfn.XLOOKUP(C125,Tab_Def_Flows[Name(EN)],Tab_Def_Flows[DM?],,0,)</f>
        <v/>
      </c>
      <c r="L125" s="272">
        <f>_xlfn.XLOOKUP(C125,Tab_Def_Flows[Name(EN)],Tab_Def_Flows[CC?],,0,)</f>
        <v/>
      </c>
      <c r="M125" s="273" t="n"/>
      <c r="N125" s="273" t="n"/>
      <c r="O125" s="48" t="n"/>
      <c r="P125" s="273" t="n"/>
      <c r="Q125" s="273" t="n"/>
      <c r="R125" s="273">
        <f>INDEX(#REF!,MATCH(Tab_Data_Flows[[#This Row],[Name(EN)]],#REF!,0),12)</f>
        <v/>
      </c>
      <c r="S125" s="273">
        <f>MATCH(Tab_Data_Flows[[#This Row],[Name(EN)]],#REF!,0)</f>
        <v/>
      </c>
      <c r="T125" s="273" t="n"/>
      <c r="U125" s="273" t="n"/>
      <c r="V125" s="273" t="n"/>
      <c r="W125" s="273" t="n"/>
      <c r="X125" s="273" t="inlineStr">
        <is>
          <t>No</t>
        </is>
      </c>
      <c r="Y125" s="273" t="n"/>
      <c r="Z125" s="273" t="n"/>
      <c r="AA125" s="35">
        <f>IF(X125="no",O125,O125*Y125)</f>
        <v/>
      </c>
      <c r="AB125" s="273" t="inlineStr">
        <is>
          <t>Mg</t>
        </is>
      </c>
      <c r="AC125" s="190">
        <f>INDEX(Tab_Def_Flows[[Flow_ID]:[CC_DM_source]],MATCH(Tab_Data_Flows[[#This Row],[Name(EN)]],Tab_Def_Flows[Name(EN)],0),13)</f>
        <v/>
      </c>
      <c r="AD125" s="272">
        <f>IF(J125="Yes",AA125*Tab_Data_Flows[[#This Row],[WC_'[%']]],"N.A.")</f>
        <v/>
      </c>
      <c r="AE125" s="272">
        <f>Tab_Data_Flows[[#This Row],[UoM_Flow_Py]]</f>
        <v/>
      </c>
      <c r="AF125" s="190">
        <f>INDEX(Tab_Def_Flows[[Flow_ID]:[CC_DM_source]],MATCH(Tab_Data_Flows[[#This Row],[Name(EN)]],Tab_Def_Flows[Name(EN)],0),15)</f>
        <v/>
      </c>
      <c r="AG125" s="272">
        <f>IF(K125="Yes",AF125*Tab_Data_Flows[[#This Row],[Flow_Py]]-AJ241,"N.A.")</f>
        <v/>
      </c>
      <c r="AH125" s="272">
        <f>Tab_Data_Flows[[#This Row],[UoM_Flow_Py]]</f>
        <v/>
      </c>
      <c r="AI125" s="190">
        <f>INDEX(Tab_Def_Flows[[Flow_ID]:[CC_DM_source]],MATCH(Tab_Data_Flows[[#This Row],[Name(EN)]],Tab_Def_Flows[Name(EN)],0),17)</f>
        <v/>
      </c>
      <c r="AJ125" s="272">
        <f>IF(L125="Yes",AI125*Tab_Data_Flows[[#This Row],[Flow_Py]]*Tab_Data_Flows[[#This Row],[DM_'[%']]],"N.A.")</f>
        <v/>
      </c>
      <c r="AK125" s="272">
        <f>Tab_Data_Flows[[#This Row],[UoM_Flow_Py]]</f>
        <v/>
      </c>
    </row>
    <row r="126">
      <c r="A126" s="296">
        <f>ROW()-1</f>
        <v/>
      </c>
      <c r="B126" s="272">
        <f>_xlfn.XLOOKUP(C126,Tab_Def_Flows[Name(EN)],Tab_Def_Flows[Flow_ID],,0,)</f>
        <v/>
      </c>
      <c r="C126" s="273" t="inlineStr">
        <is>
          <t>N.A.</t>
        </is>
      </c>
      <c r="D126" s="272" t="n"/>
      <c r="E126" s="272">
        <f>_xlfn.XLOOKUP(C126,Tab_Def_Flows[Name(EN)],Tab_Def_Flows[Output_Process],,0,)</f>
        <v/>
      </c>
      <c r="F126" s="272">
        <f>_xlfn.XLOOKUP(C126,Tab_Def_Flows[Name(EN)],Tab_Def_Flows[Process_ID_O],,0,)</f>
        <v/>
      </c>
      <c r="G126" s="272">
        <f>_xlfn.XLOOKUP(C126,Tab_Def_Flows[Name(EN)],Tab_Def_Flows[Input_Process],,0,)</f>
        <v/>
      </c>
      <c r="H126" s="17">
        <f>_xlfn.XLOOKUP(C126,Tab_Def_Flows[Name(EN)],Tab_Def_Flows[Process_ID_I],,0,)</f>
        <v/>
      </c>
      <c r="I126" s="272">
        <f>_xlfn.XLOOKUP(C126,Tab_Def_Flows[Name(EN)],#REF!,,0,)</f>
        <v/>
      </c>
      <c r="J126" s="272">
        <f>_xlfn.XLOOKUP(C126,Tab_Def_Flows[Name(EN)],Tab_Def_Flows[WC?],,0,)</f>
        <v/>
      </c>
      <c r="K126" s="272">
        <f>_xlfn.XLOOKUP(C126,Tab_Def_Flows[Name(EN)],Tab_Def_Flows[DM?],,0,)</f>
        <v/>
      </c>
      <c r="L126" s="272">
        <f>_xlfn.XLOOKUP(C126,Tab_Def_Flows[Name(EN)],Tab_Def_Flows[CC?],,0,)</f>
        <v/>
      </c>
      <c r="M126" s="273" t="n"/>
      <c r="N126" s="273" t="n"/>
      <c r="O126" s="48" t="n"/>
      <c r="P126" s="273" t="n"/>
      <c r="Q126" s="273" t="n"/>
      <c r="R126" s="273">
        <f>INDEX(#REF!,MATCH(Tab_Data_Flows[[#This Row],[Name(EN)]],#REF!,0),12)</f>
        <v/>
      </c>
      <c r="S126" s="273">
        <f>MATCH(Tab_Data_Flows[[#This Row],[Name(EN)]],#REF!,0)</f>
        <v/>
      </c>
      <c r="T126" s="273" t="n"/>
      <c r="U126" s="273" t="n"/>
      <c r="V126" s="273" t="n"/>
      <c r="W126" s="273" t="n"/>
      <c r="X126" s="273" t="inlineStr">
        <is>
          <t>No</t>
        </is>
      </c>
      <c r="Y126" s="273" t="n"/>
      <c r="Z126" s="273" t="n"/>
      <c r="AA126" s="35">
        <f>IF(X126="no",O126,O126*Y126)</f>
        <v/>
      </c>
      <c r="AB126" s="273" t="inlineStr">
        <is>
          <t>Mg</t>
        </is>
      </c>
      <c r="AC126" s="190">
        <f>INDEX(Tab_Def_Flows[[Flow_ID]:[CC_DM_source]],MATCH(Tab_Data_Flows[[#This Row],[Name(EN)]],Tab_Def_Flows[Name(EN)],0),13)</f>
        <v/>
      </c>
      <c r="AD126" s="272">
        <f>IF(J126="Yes",AA126*Tab_Data_Flows[[#This Row],[WC_'[%']]],"N.A.")</f>
        <v/>
      </c>
      <c r="AE126" s="272">
        <f>Tab_Data_Flows[[#This Row],[UoM_Flow_Py]]</f>
        <v/>
      </c>
      <c r="AF126" s="190">
        <f>INDEX(Tab_Def_Flows[[Flow_ID]:[CC_DM_source]],MATCH(Tab_Data_Flows[[#This Row],[Name(EN)]],Tab_Def_Flows[Name(EN)],0),15)</f>
        <v/>
      </c>
      <c r="AG126" s="272">
        <f>IF(K126="Yes",AF126*Tab_Data_Flows[[#This Row],[Flow_Py]]-AJ242,"N.A.")</f>
        <v/>
      </c>
      <c r="AH126" s="272">
        <f>Tab_Data_Flows[[#This Row],[UoM_Flow_Py]]</f>
        <v/>
      </c>
      <c r="AI126" s="190">
        <f>INDEX(Tab_Def_Flows[[Flow_ID]:[CC_DM_source]],MATCH(Tab_Data_Flows[[#This Row],[Name(EN)]],Tab_Def_Flows[Name(EN)],0),17)</f>
        <v/>
      </c>
      <c r="AJ126" s="272">
        <f>IF(L126="Yes",AI126*Tab_Data_Flows[[#This Row],[Flow_Py]]*Tab_Data_Flows[[#This Row],[DM_'[%']]],"N.A.")</f>
        <v/>
      </c>
      <c r="AK126" s="272">
        <f>Tab_Data_Flows[[#This Row],[UoM_Flow_Py]]</f>
        <v/>
      </c>
    </row>
    <row r="127">
      <c r="A127" s="296">
        <f>ROW()-1</f>
        <v/>
      </c>
      <c r="B127" s="272">
        <f>_xlfn.XLOOKUP(C127,Tab_Def_Flows[Name(EN)],Tab_Def_Flows[Flow_ID],,0,)</f>
        <v/>
      </c>
      <c r="C127" s="273" t="inlineStr">
        <is>
          <t>N.A.</t>
        </is>
      </c>
      <c r="D127" s="272" t="n"/>
      <c r="E127" s="272">
        <f>_xlfn.XLOOKUP(C127,Tab_Def_Flows[Name(EN)],Tab_Def_Flows[Output_Process],,0,)</f>
        <v/>
      </c>
      <c r="F127" s="272">
        <f>_xlfn.XLOOKUP(C127,Tab_Def_Flows[Name(EN)],Tab_Def_Flows[Process_ID_O],,0,)</f>
        <v/>
      </c>
      <c r="G127" s="272">
        <f>_xlfn.XLOOKUP(C127,Tab_Def_Flows[Name(EN)],Tab_Def_Flows[Input_Process],,0,)</f>
        <v/>
      </c>
      <c r="H127" s="17">
        <f>_xlfn.XLOOKUP(C127,Tab_Def_Flows[Name(EN)],Tab_Def_Flows[Process_ID_I],,0,)</f>
        <v/>
      </c>
      <c r="I127" s="272">
        <f>_xlfn.XLOOKUP(C127,Tab_Def_Flows[Name(EN)],#REF!,,0,)</f>
        <v/>
      </c>
      <c r="J127" s="272">
        <f>_xlfn.XLOOKUP(C127,Tab_Def_Flows[Name(EN)],Tab_Def_Flows[WC?],,0,)</f>
        <v/>
      </c>
      <c r="K127" s="272">
        <f>_xlfn.XLOOKUP(C127,Tab_Def_Flows[Name(EN)],Tab_Def_Flows[DM?],,0,)</f>
        <v/>
      </c>
      <c r="L127" s="272">
        <f>_xlfn.XLOOKUP(C127,Tab_Def_Flows[Name(EN)],Tab_Def_Flows[CC?],,0,)</f>
        <v/>
      </c>
      <c r="M127" s="273" t="n"/>
      <c r="N127" s="273" t="n"/>
      <c r="O127" s="48" t="n"/>
      <c r="P127" s="273" t="n"/>
      <c r="Q127" s="273" t="n"/>
      <c r="R127" s="273">
        <f>INDEX(#REF!,MATCH(Tab_Data_Flows[[#This Row],[Name(EN)]],#REF!,0),12)</f>
        <v/>
      </c>
      <c r="S127" s="273">
        <f>MATCH(Tab_Data_Flows[[#This Row],[Name(EN)]],#REF!,0)</f>
        <v/>
      </c>
      <c r="T127" s="273" t="n"/>
      <c r="U127" s="273" t="n"/>
      <c r="V127" s="273" t="n"/>
      <c r="W127" s="273" t="n"/>
      <c r="X127" s="273" t="inlineStr">
        <is>
          <t>No</t>
        </is>
      </c>
      <c r="Y127" s="273" t="n"/>
      <c r="Z127" s="273" t="n"/>
      <c r="AA127" s="35">
        <f>IF(X127="no",O127,O127*Y127)</f>
        <v/>
      </c>
      <c r="AB127" s="273" t="inlineStr">
        <is>
          <t>Mg</t>
        </is>
      </c>
      <c r="AC127" s="190">
        <f>INDEX(Tab_Def_Flows[[Flow_ID]:[CC_DM_source]],MATCH(Tab_Data_Flows[[#This Row],[Name(EN)]],Tab_Def_Flows[Name(EN)],0),13)</f>
        <v/>
      </c>
      <c r="AD127" s="272">
        <f>IF(J127="Yes",AA127*Tab_Data_Flows[[#This Row],[WC_'[%']]],"N.A.")</f>
        <v/>
      </c>
      <c r="AE127" s="272">
        <f>Tab_Data_Flows[[#This Row],[UoM_Flow_Py]]</f>
        <v/>
      </c>
      <c r="AF127" s="190">
        <f>INDEX(Tab_Def_Flows[[Flow_ID]:[CC_DM_source]],MATCH(Tab_Data_Flows[[#This Row],[Name(EN)]],Tab_Def_Flows[Name(EN)],0),15)</f>
        <v/>
      </c>
      <c r="AG127" s="272">
        <f>IF(K127="Yes",AF127*Tab_Data_Flows[[#This Row],[Flow_Py]]-AJ243,"N.A.")</f>
        <v/>
      </c>
      <c r="AH127" s="272">
        <f>Tab_Data_Flows[[#This Row],[UoM_Flow_Py]]</f>
        <v/>
      </c>
      <c r="AI127" s="190">
        <f>INDEX(Tab_Def_Flows[[Flow_ID]:[CC_DM_source]],MATCH(Tab_Data_Flows[[#This Row],[Name(EN)]],Tab_Def_Flows[Name(EN)],0),17)</f>
        <v/>
      </c>
      <c r="AJ127" s="272">
        <f>IF(L127="Yes",AI127*Tab_Data_Flows[[#This Row],[Flow_Py]]*Tab_Data_Flows[[#This Row],[DM_'[%']]],"N.A.")</f>
        <v/>
      </c>
      <c r="AK127" s="272">
        <f>Tab_Data_Flows[[#This Row],[UoM_Flow_Py]]</f>
        <v/>
      </c>
    </row>
    <row r="128">
      <c r="A128" s="296">
        <f>ROW()-1</f>
        <v/>
      </c>
      <c r="B128" s="272">
        <f>_xlfn.XLOOKUP(C128,Tab_Def_Flows[Name(EN)],Tab_Def_Flows[Flow_ID],,0,)</f>
        <v/>
      </c>
      <c r="C128" s="273" t="inlineStr">
        <is>
          <t>N.A.</t>
        </is>
      </c>
      <c r="D128" s="272" t="n"/>
      <c r="E128" s="272">
        <f>_xlfn.XLOOKUP(C128,Tab_Def_Flows[Name(EN)],Tab_Def_Flows[Output_Process],,0,)</f>
        <v/>
      </c>
      <c r="F128" s="272">
        <f>_xlfn.XLOOKUP(C128,Tab_Def_Flows[Name(EN)],Tab_Def_Flows[Process_ID_O],,0,)</f>
        <v/>
      </c>
      <c r="G128" s="272">
        <f>_xlfn.XLOOKUP(C128,Tab_Def_Flows[Name(EN)],Tab_Def_Flows[Input_Process],,0,)</f>
        <v/>
      </c>
      <c r="H128" s="17">
        <f>_xlfn.XLOOKUP(C128,Tab_Def_Flows[Name(EN)],Tab_Def_Flows[Process_ID_I],,0,)</f>
        <v/>
      </c>
      <c r="I128" s="272">
        <f>_xlfn.XLOOKUP(C128,Tab_Def_Flows[Name(EN)],#REF!,,0,)</f>
        <v/>
      </c>
      <c r="J128" s="272">
        <f>_xlfn.XLOOKUP(C128,Tab_Def_Flows[Name(EN)],Tab_Def_Flows[WC?],,0,)</f>
        <v/>
      </c>
      <c r="K128" s="272">
        <f>_xlfn.XLOOKUP(C128,Tab_Def_Flows[Name(EN)],Tab_Def_Flows[DM?],,0,)</f>
        <v/>
      </c>
      <c r="L128" s="272">
        <f>_xlfn.XLOOKUP(C128,Tab_Def_Flows[Name(EN)],Tab_Def_Flows[CC?],,0,)</f>
        <v/>
      </c>
      <c r="M128" s="273" t="n"/>
      <c r="N128" s="273" t="n"/>
      <c r="O128" s="48" t="n"/>
      <c r="P128" s="273" t="n"/>
      <c r="Q128" s="273" t="n"/>
      <c r="R128" s="273">
        <f>INDEX(#REF!,MATCH(Tab_Data_Flows[[#This Row],[Name(EN)]],#REF!,0),12)</f>
        <v/>
      </c>
      <c r="S128" s="273">
        <f>MATCH(Tab_Data_Flows[[#This Row],[Name(EN)]],#REF!,0)</f>
        <v/>
      </c>
      <c r="T128" s="273" t="n"/>
      <c r="U128" s="273" t="n"/>
      <c r="V128" s="273" t="n"/>
      <c r="W128" s="273" t="n"/>
      <c r="X128" s="273" t="inlineStr">
        <is>
          <t>No</t>
        </is>
      </c>
      <c r="Y128" s="273" t="n"/>
      <c r="Z128" s="273" t="n"/>
      <c r="AA128" s="35">
        <f>IF(X128="no",O128,O128*Y128)</f>
        <v/>
      </c>
      <c r="AB128" s="273" t="inlineStr">
        <is>
          <t>Mg</t>
        </is>
      </c>
      <c r="AC128" s="190">
        <f>INDEX(Tab_Def_Flows[[Flow_ID]:[CC_DM_source]],MATCH(Tab_Data_Flows[[#This Row],[Name(EN)]],Tab_Def_Flows[Name(EN)],0),13)</f>
        <v/>
      </c>
      <c r="AD128" s="272">
        <f>IF(J128="Yes",AA128*Tab_Data_Flows[[#This Row],[WC_'[%']]],"N.A.")</f>
        <v/>
      </c>
      <c r="AE128" s="272">
        <f>Tab_Data_Flows[[#This Row],[UoM_Flow_Py]]</f>
        <v/>
      </c>
      <c r="AF128" s="190">
        <f>INDEX(Tab_Def_Flows[[Flow_ID]:[CC_DM_source]],MATCH(Tab_Data_Flows[[#This Row],[Name(EN)]],Tab_Def_Flows[Name(EN)],0),15)</f>
        <v/>
      </c>
      <c r="AG128" s="272">
        <f>IF(K128="Yes",AF128*Tab_Data_Flows[[#This Row],[Flow_Py]]-AJ244,"N.A.")</f>
        <v/>
      </c>
      <c r="AH128" s="272">
        <f>Tab_Data_Flows[[#This Row],[UoM_Flow_Py]]</f>
        <v/>
      </c>
      <c r="AI128" s="190">
        <f>INDEX(Tab_Def_Flows[[Flow_ID]:[CC_DM_source]],MATCH(Tab_Data_Flows[[#This Row],[Name(EN)]],Tab_Def_Flows[Name(EN)],0),17)</f>
        <v/>
      </c>
      <c r="AJ128" s="272">
        <f>IF(L128="Yes",AI128*Tab_Data_Flows[[#This Row],[Flow_Py]]*Tab_Data_Flows[[#This Row],[DM_'[%']]],"N.A.")</f>
        <v/>
      </c>
      <c r="AK128" s="272">
        <f>Tab_Data_Flows[[#This Row],[UoM_Flow_Py]]</f>
        <v/>
      </c>
    </row>
    <row r="129">
      <c r="A129" s="296">
        <f>ROW()-1</f>
        <v/>
      </c>
      <c r="B129" s="272">
        <f>_xlfn.XLOOKUP(C129,Tab_Def_Flows[Name(EN)],Tab_Def_Flows[Flow_ID],,0,)</f>
        <v/>
      </c>
      <c r="C129" s="273" t="inlineStr">
        <is>
          <t>N.A.</t>
        </is>
      </c>
      <c r="D129" s="272" t="n"/>
      <c r="E129" s="272">
        <f>_xlfn.XLOOKUP(C129,Tab_Def_Flows[Name(EN)],Tab_Def_Flows[Output_Process],,0,)</f>
        <v/>
      </c>
      <c r="F129" s="272">
        <f>_xlfn.XLOOKUP(C129,Tab_Def_Flows[Name(EN)],Tab_Def_Flows[Process_ID_O],,0,)</f>
        <v/>
      </c>
      <c r="G129" s="272">
        <f>_xlfn.XLOOKUP(C129,Tab_Def_Flows[Name(EN)],Tab_Def_Flows[Input_Process],,0,)</f>
        <v/>
      </c>
      <c r="H129" s="17">
        <f>_xlfn.XLOOKUP(C129,Tab_Def_Flows[Name(EN)],Tab_Def_Flows[Process_ID_I],,0,)</f>
        <v/>
      </c>
      <c r="I129" s="272">
        <f>_xlfn.XLOOKUP(C129,Tab_Def_Flows[Name(EN)],#REF!,,0,)</f>
        <v/>
      </c>
      <c r="J129" s="272">
        <f>_xlfn.XLOOKUP(C129,Tab_Def_Flows[Name(EN)],Tab_Def_Flows[WC?],,0,)</f>
        <v/>
      </c>
      <c r="K129" s="272">
        <f>_xlfn.XLOOKUP(C129,Tab_Def_Flows[Name(EN)],Tab_Def_Flows[DM?],,0,)</f>
        <v/>
      </c>
      <c r="L129" s="272">
        <f>_xlfn.XLOOKUP(C129,Tab_Def_Flows[Name(EN)],Tab_Def_Flows[CC?],,0,)</f>
        <v/>
      </c>
      <c r="M129" s="273" t="n"/>
      <c r="N129" s="273" t="n"/>
      <c r="O129" s="48" t="n"/>
      <c r="P129" s="273" t="n"/>
      <c r="Q129" s="273" t="n"/>
      <c r="R129" s="273">
        <f>INDEX(#REF!,MATCH(Tab_Data_Flows[[#This Row],[Name(EN)]],#REF!,0),12)</f>
        <v/>
      </c>
      <c r="S129" s="273">
        <f>MATCH(Tab_Data_Flows[[#This Row],[Name(EN)]],#REF!,0)</f>
        <v/>
      </c>
      <c r="T129" s="273" t="n"/>
      <c r="U129" s="273" t="n"/>
      <c r="V129" s="273" t="n"/>
      <c r="W129" s="273" t="n"/>
      <c r="X129" s="273" t="inlineStr">
        <is>
          <t>No</t>
        </is>
      </c>
      <c r="Y129" s="273" t="n"/>
      <c r="Z129" s="273" t="n"/>
      <c r="AA129" s="35">
        <f>IF(X129="no",O129,O129*Y129)</f>
        <v/>
      </c>
      <c r="AB129" s="273" t="inlineStr">
        <is>
          <t>Mg</t>
        </is>
      </c>
      <c r="AC129" s="190">
        <f>INDEX(Tab_Def_Flows[[Flow_ID]:[CC_DM_source]],MATCH(Tab_Data_Flows[[#This Row],[Name(EN)]],Tab_Def_Flows[Name(EN)],0),13)</f>
        <v/>
      </c>
      <c r="AD129" s="272">
        <f>IF(J129="Yes",AA129*Tab_Data_Flows[[#This Row],[WC_'[%']]],"N.A.")</f>
        <v/>
      </c>
      <c r="AE129" s="272">
        <f>Tab_Data_Flows[[#This Row],[UoM_Flow_Py]]</f>
        <v/>
      </c>
      <c r="AF129" s="190">
        <f>INDEX(Tab_Def_Flows[[Flow_ID]:[CC_DM_source]],MATCH(Tab_Data_Flows[[#This Row],[Name(EN)]],Tab_Def_Flows[Name(EN)],0),15)</f>
        <v/>
      </c>
      <c r="AG129" s="272">
        <f>IF(K129="Yes",AF129*Tab_Data_Flows[[#This Row],[Flow_Py]]-AJ245,"N.A.")</f>
        <v/>
      </c>
      <c r="AH129" s="272">
        <f>Tab_Data_Flows[[#This Row],[UoM_Flow_Py]]</f>
        <v/>
      </c>
      <c r="AI129" s="190">
        <f>INDEX(Tab_Def_Flows[[Flow_ID]:[CC_DM_source]],MATCH(Tab_Data_Flows[[#This Row],[Name(EN)]],Tab_Def_Flows[Name(EN)],0),17)</f>
        <v/>
      </c>
      <c r="AJ129" s="272">
        <f>IF(L129="Yes",AI129*Tab_Data_Flows[[#This Row],[Flow_Py]]*Tab_Data_Flows[[#This Row],[DM_'[%']]],"N.A.")</f>
        <v/>
      </c>
      <c r="AK129" s="272">
        <f>Tab_Data_Flows[[#This Row],[UoM_Flow_Py]]</f>
        <v/>
      </c>
    </row>
    <row r="130">
      <c r="A130" s="296">
        <f>ROW()-1</f>
        <v/>
      </c>
      <c r="B130" s="272">
        <f>_xlfn.XLOOKUP(C130,Tab_Def_Flows[Name(EN)],Tab_Def_Flows[Flow_ID],,0,)</f>
        <v/>
      </c>
      <c r="C130" s="273" t="inlineStr">
        <is>
          <t>N.A.</t>
        </is>
      </c>
      <c r="D130" s="272" t="n"/>
      <c r="E130" s="272">
        <f>_xlfn.XLOOKUP(C130,Tab_Def_Flows[Name(EN)],Tab_Def_Flows[Output_Process],,0,)</f>
        <v/>
      </c>
      <c r="F130" s="272">
        <f>_xlfn.XLOOKUP(C130,Tab_Def_Flows[Name(EN)],Tab_Def_Flows[Process_ID_O],,0,)</f>
        <v/>
      </c>
      <c r="G130" s="272">
        <f>_xlfn.XLOOKUP(C130,Tab_Def_Flows[Name(EN)],Tab_Def_Flows[Input_Process],,0,)</f>
        <v/>
      </c>
      <c r="H130" s="17">
        <f>_xlfn.XLOOKUP(C130,Tab_Def_Flows[Name(EN)],Tab_Def_Flows[Process_ID_I],,0,)</f>
        <v/>
      </c>
      <c r="I130" s="272">
        <f>_xlfn.XLOOKUP(C130,Tab_Def_Flows[Name(EN)],#REF!,,0,)</f>
        <v/>
      </c>
      <c r="J130" s="272">
        <f>_xlfn.XLOOKUP(C130,Tab_Def_Flows[Name(EN)],Tab_Def_Flows[WC?],,0,)</f>
        <v/>
      </c>
      <c r="K130" s="272">
        <f>_xlfn.XLOOKUP(C130,Tab_Def_Flows[Name(EN)],Tab_Def_Flows[DM?],,0,)</f>
        <v/>
      </c>
      <c r="L130" s="272">
        <f>_xlfn.XLOOKUP(C130,Tab_Def_Flows[Name(EN)],Tab_Def_Flows[CC?],,0,)</f>
        <v/>
      </c>
      <c r="M130" s="273" t="n"/>
      <c r="N130" s="273" t="n"/>
      <c r="O130" s="48" t="n"/>
      <c r="P130" s="273" t="n"/>
      <c r="Q130" s="273" t="n"/>
      <c r="R130" s="273">
        <f>INDEX(#REF!,MATCH(Tab_Data_Flows[[#This Row],[Name(EN)]],#REF!,0),12)</f>
        <v/>
      </c>
      <c r="S130" s="273">
        <f>MATCH(Tab_Data_Flows[[#This Row],[Name(EN)]],#REF!,0)</f>
        <v/>
      </c>
      <c r="T130" s="273" t="n"/>
      <c r="U130" s="273" t="n"/>
      <c r="V130" s="273" t="n"/>
      <c r="W130" s="273" t="n"/>
      <c r="X130" s="273" t="inlineStr">
        <is>
          <t>No</t>
        </is>
      </c>
      <c r="Y130" s="273" t="n"/>
      <c r="Z130" s="273" t="n"/>
      <c r="AA130" s="35">
        <f>IF(X130="no",O130,O130*Y130)</f>
        <v/>
      </c>
      <c r="AB130" s="273" t="inlineStr">
        <is>
          <t>Mg</t>
        </is>
      </c>
      <c r="AC130" s="190">
        <f>INDEX(Tab_Def_Flows[[Flow_ID]:[CC_DM_source]],MATCH(Tab_Data_Flows[[#This Row],[Name(EN)]],Tab_Def_Flows[Name(EN)],0),13)</f>
        <v/>
      </c>
      <c r="AD130" s="272">
        <f>IF(J130="Yes",AA130*Tab_Data_Flows[[#This Row],[WC_'[%']]],"N.A.")</f>
        <v/>
      </c>
      <c r="AE130" s="272">
        <f>Tab_Data_Flows[[#This Row],[UoM_Flow_Py]]</f>
        <v/>
      </c>
      <c r="AF130" s="190">
        <f>INDEX(Tab_Def_Flows[[Flow_ID]:[CC_DM_source]],MATCH(Tab_Data_Flows[[#This Row],[Name(EN)]],Tab_Def_Flows[Name(EN)],0),15)</f>
        <v/>
      </c>
      <c r="AG130" s="272">
        <f>IF(K130="Yes",AF130*Tab_Data_Flows[[#This Row],[Flow_Py]]-AJ246,"N.A.")</f>
        <v/>
      </c>
      <c r="AH130" s="272">
        <f>Tab_Data_Flows[[#This Row],[UoM_Flow_Py]]</f>
        <v/>
      </c>
      <c r="AI130" s="190">
        <f>INDEX(Tab_Def_Flows[[Flow_ID]:[CC_DM_source]],MATCH(Tab_Data_Flows[[#This Row],[Name(EN)]],Tab_Def_Flows[Name(EN)],0),17)</f>
        <v/>
      </c>
      <c r="AJ130" s="272">
        <f>IF(L130="Yes",AI130*Tab_Data_Flows[[#This Row],[Flow_Py]]*Tab_Data_Flows[[#This Row],[DM_'[%']]],"N.A.")</f>
        <v/>
      </c>
      <c r="AK130" s="272">
        <f>Tab_Data_Flows[[#This Row],[UoM_Flow_Py]]</f>
        <v/>
      </c>
    </row>
    <row r="131">
      <c r="A131" s="296">
        <f>ROW()-1</f>
        <v/>
      </c>
      <c r="B131" s="272">
        <f>_xlfn.XLOOKUP(C131,Tab_Def_Flows[Name(EN)],Tab_Def_Flows[Flow_ID],,0,)</f>
        <v/>
      </c>
      <c r="C131" s="273" t="inlineStr">
        <is>
          <t>N.A.</t>
        </is>
      </c>
      <c r="D131" s="272" t="n"/>
      <c r="E131" s="272">
        <f>_xlfn.XLOOKUP(C131,Tab_Def_Flows[Name(EN)],Tab_Def_Flows[Output_Process],,0,)</f>
        <v/>
      </c>
      <c r="F131" s="272">
        <f>_xlfn.XLOOKUP(C131,Tab_Def_Flows[Name(EN)],Tab_Def_Flows[Process_ID_O],,0,)</f>
        <v/>
      </c>
      <c r="G131" s="272">
        <f>_xlfn.XLOOKUP(C131,Tab_Def_Flows[Name(EN)],Tab_Def_Flows[Input_Process],,0,)</f>
        <v/>
      </c>
      <c r="H131" s="17">
        <f>_xlfn.XLOOKUP(C131,Tab_Def_Flows[Name(EN)],Tab_Def_Flows[Process_ID_I],,0,)</f>
        <v/>
      </c>
      <c r="I131" s="272">
        <f>_xlfn.XLOOKUP(C131,Tab_Def_Flows[Name(EN)],#REF!,,0,)</f>
        <v/>
      </c>
      <c r="J131" s="272">
        <f>_xlfn.XLOOKUP(C131,Tab_Def_Flows[Name(EN)],Tab_Def_Flows[WC?],,0,)</f>
        <v/>
      </c>
      <c r="K131" s="272">
        <f>_xlfn.XLOOKUP(C131,Tab_Def_Flows[Name(EN)],Tab_Def_Flows[DM?],,0,)</f>
        <v/>
      </c>
      <c r="L131" s="272">
        <f>_xlfn.XLOOKUP(C131,Tab_Def_Flows[Name(EN)],Tab_Def_Flows[CC?],,0,)</f>
        <v/>
      </c>
      <c r="M131" s="273" t="n"/>
      <c r="N131" s="273" t="n"/>
      <c r="O131" s="48" t="n"/>
      <c r="P131" s="273" t="n"/>
      <c r="Q131" s="273" t="n"/>
      <c r="R131" s="273">
        <f>INDEX(#REF!,MATCH(Tab_Data_Flows[[#This Row],[Name(EN)]],#REF!,0),12)</f>
        <v/>
      </c>
      <c r="S131" s="273">
        <f>MATCH(Tab_Data_Flows[[#This Row],[Name(EN)]],#REF!,0)</f>
        <v/>
      </c>
      <c r="T131" s="273" t="n"/>
      <c r="U131" s="273" t="n"/>
      <c r="V131" s="273" t="n"/>
      <c r="W131" s="273" t="n"/>
      <c r="X131" s="273" t="inlineStr">
        <is>
          <t>No</t>
        </is>
      </c>
      <c r="Y131" s="273" t="n"/>
      <c r="Z131" s="273" t="n"/>
      <c r="AA131" s="35">
        <f>IF(X131="no",O131,O131*Y131)</f>
        <v/>
      </c>
      <c r="AB131" s="273" t="inlineStr">
        <is>
          <t>Mg</t>
        </is>
      </c>
      <c r="AC131" s="190">
        <f>INDEX(Tab_Def_Flows[[Flow_ID]:[CC_DM_source]],MATCH(Tab_Data_Flows[[#This Row],[Name(EN)]],Tab_Def_Flows[Name(EN)],0),13)</f>
        <v/>
      </c>
      <c r="AD131" s="272">
        <f>IF(J131="Yes",AA131*Tab_Data_Flows[[#This Row],[WC_'[%']]],"N.A.")</f>
        <v/>
      </c>
      <c r="AE131" s="272">
        <f>Tab_Data_Flows[[#This Row],[UoM_Flow_Py]]</f>
        <v/>
      </c>
      <c r="AF131" s="190">
        <f>INDEX(Tab_Def_Flows[[Flow_ID]:[CC_DM_source]],MATCH(Tab_Data_Flows[[#This Row],[Name(EN)]],Tab_Def_Flows[Name(EN)],0),15)</f>
        <v/>
      </c>
      <c r="AG131" s="272">
        <f>IF(K131="Yes",AF131*Tab_Data_Flows[[#This Row],[Flow_Py]]-AJ247,"N.A.")</f>
        <v/>
      </c>
      <c r="AH131" s="272">
        <f>Tab_Data_Flows[[#This Row],[UoM_Flow_Py]]</f>
        <v/>
      </c>
      <c r="AI131" s="190">
        <f>INDEX(Tab_Def_Flows[[Flow_ID]:[CC_DM_source]],MATCH(Tab_Data_Flows[[#This Row],[Name(EN)]],Tab_Def_Flows[Name(EN)],0),17)</f>
        <v/>
      </c>
      <c r="AJ131" s="272">
        <f>IF(L131="Yes",AI131*Tab_Data_Flows[[#This Row],[Flow_Py]]*Tab_Data_Flows[[#This Row],[DM_'[%']]],"N.A.")</f>
        <v/>
      </c>
      <c r="AK131" s="272">
        <f>Tab_Data_Flows[[#This Row],[UoM_Flow_Py]]</f>
        <v/>
      </c>
    </row>
    <row r="132">
      <c r="A132" s="296">
        <f>ROW()-1</f>
        <v/>
      </c>
      <c r="B132" s="272">
        <f>_xlfn.XLOOKUP(C132,Tab_Def_Flows[Name(EN)],Tab_Def_Flows[Flow_ID],,0,)</f>
        <v/>
      </c>
      <c r="C132" s="273" t="inlineStr">
        <is>
          <t>N.A.</t>
        </is>
      </c>
      <c r="D132" s="272" t="n"/>
      <c r="E132" s="272">
        <f>_xlfn.XLOOKUP(C132,Tab_Def_Flows[Name(EN)],Tab_Def_Flows[Output_Process],,0,)</f>
        <v/>
      </c>
      <c r="F132" s="272">
        <f>_xlfn.XLOOKUP(C132,Tab_Def_Flows[Name(EN)],Tab_Def_Flows[Process_ID_O],,0,)</f>
        <v/>
      </c>
      <c r="G132" s="272">
        <f>_xlfn.XLOOKUP(C132,Tab_Def_Flows[Name(EN)],Tab_Def_Flows[Input_Process],,0,)</f>
        <v/>
      </c>
      <c r="H132" s="17">
        <f>_xlfn.XLOOKUP(C132,Tab_Def_Flows[Name(EN)],Tab_Def_Flows[Process_ID_I],,0,)</f>
        <v/>
      </c>
      <c r="I132" s="272">
        <f>_xlfn.XLOOKUP(C132,Tab_Def_Flows[Name(EN)],#REF!,,0,)</f>
        <v/>
      </c>
      <c r="J132" s="272">
        <f>_xlfn.XLOOKUP(C132,Tab_Def_Flows[Name(EN)],Tab_Def_Flows[WC?],,0,)</f>
        <v/>
      </c>
      <c r="K132" s="272">
        <f>_xlfn.XLOOKUP(C132,Tab_Def_Flows[Name(EN)],Tab_Def_Flows[DM?],,0,)</f>
        <v/>
      </c>
      <c r="L132" s="272">
        <f>_xlfn.XLOOKUP(C132,Tab_Def_Flows[Name(EN)],Tab_Def_Flows[CC?],,0,)</f>
        <v/>
      </c>
      <c r="M132" s="273" t="n"/>
      <c r="N132" s="273" t="n"/>
      <c r="O132" s="48" t="n"/>
      <c r="P132" s="273" t="n"/>
      <c r="Q132" s="273" t="n"/>
      <c r="R132" s="273">
        <f>INDEX(#REF!,MATCH(Tab_Data_Flows[[#This Row],[Name(EN)]],#REF!,0),12)</f>
        <v/>
      </c>
      <c r="S132" s="273">
        <f>MATCH(Tab_Data_Flows[[#This Row],[Name(EN)]],#REF!,0)</f>
        <v/>
      </c>
      <c r="T132" s="273" t="n"/>
      <c r="U132" s="273" t="n"/>
      <c r="V132" s="273" t="n"/>
      <c r="W132" s="273" t="n"/>
      <c r="X132" s="273" t="inlineStr">
        <is>
          <t>No</t>
        </is>
      </c>
      <c r="Y132" s="273" t="n"/>
      <c r="Z132" s="273" t="n"/>
      <c r="AA132" s="35">
        <f>IF(X132="no",O132,O132*Y132)</f>
        <v/>
      </c>
      <c r="AB132" s="273" t="inlineStr">
        <is>
          <t>Mg</t>
        </is>
      </c>
      <c r="AC132" s="190">
        <f>INDEX(Tab_Def_Flows[[Flow_ID]:[CC_DM_source]],MATCH(Tab_Data_Flows[[#This Row],[Name(EN)]],Tab_Def_Flows[Name(EN)],0),13)</f>
        <v/>
      </c>
      <c r="AD132" s="272">
        <f>IF(J132="Yes",AA132*Tab_Data_Flows[[#This Row],[WC_'[%']]],"N.A.")</f>
        <v/>
      </c>
      <c r="AE132" s="272">
        <f>Tab_Data_Flows[[#This Row],[UoM_Flow_Py]]</f>
        <v/>
      </c>
      <c r="AF132" s="190">
        <f>INDEX(Tab_Def_Flows[[Flow_ID]:[CC_DM_source]],MATCH(Tab_Data_Flows[[#This Row],[Name(EN)]],Tab_Def_Flows[Name(EN)],0),15)</f>
        <v/>
      </c>
      <c r="AG132" s="272">
        <f>IF(K132="Yes",AF132*Tab_Data_Flows[[#This Row],[Flow_Py]]-AJ248,"N.A.")</f>
        <v/>
      </c>
      <c r="AH132" s="272">
        <f>Tab_Data_Flows[[#This Row],[UoM_Flow_Py]]</f>
        <v/>
      </c>
      <c r="AI132" s="190">
        <f>INDEX(Tab_Def_Flows[[Flow_ID]:[CC_DM_source]],MATCH(Tab_Data_Flows[[#This Row],[Name(EN)]],Tab_Def_Flows[Name(EN)],0),17)</f>
        <v/>
      </c>
      <c r="AJ132" s="272">
        <f>IF(L132="Yes",AI132*Tab_Data_Flows[[#This Row],[Flow_Py]]*Tab_Data_Flows[[#This Row],[DM_'[%']]],"N.A.")</f>
        <v/>
      </c>
      <c r="AK132" s="272">
        <f>Tab_Data_Flows[[#This Row],[UoM_Flow_Py]]</f>
        <v/>
      </c>
    </row>
    <row r="133">
      <c r="A133" s="296">
        <f>ROW()-1</f>
        <v/>
      </c>
      <c r="B133" s="272">
        <f>_xlfn.XLOOKUP(C133,Tab_Def_Flows[Name(EN)],Tab_Def_Flows[Flow_ID],,0,)</f>
        <v/>
      </c>
      <c r="C133" s="273" t="inlineStr">
        <is>
          <t>N.A.</t>
        </is>
      </c>
      <c r="D133" s="272" t="n"/>
      <c r="E133" s="272">
        <f>_xlfn.XLOOKUP(C133,Tab_Def_Flows[Name(EN)],Tab_Def_Flows[Output_Process],,0,)</f>
        <v/>
      </c>
      <c r="F133" s="272">
        <f>_xlfn.XLOOKUP(C133,Tab_Def_Flows[Name(EN)],Tab_Def_Flows[Process_ID_O],,0,)</f>
        <v/>
      </c>
      <c r="G133" s="272">
        <f>_xlfn.XLOOKUP(C133,Tab_Def_Flows[Name(EN)],Tab_Def_Flows[Input_Process],,0,)</f>
        <v/>
      </c>
      <c r="H133" s="17">
        <f>_xlfn.XLOOKUP(C133,Tab_Def_Flows[Name(EN)],Tab_Def_Flows[Process_ID_I],,0,)</f>
        <v/>
      </c>
      <c r="I133" s="272">
        <f>_xlfn.XLOOKUP(C133,Tab_Def_Flows[Name(EN)],#REF!,,0,)</f>
        <v/>
      </c>
      <c r="J133" s="272">
        <f>_xlfn.XLOOKUP(C133,Tab_Def_Flows[Name(EN)],Tab_Def_Flows[WC?],,0,)</f>
        <v/>
      </c>
      <c r="K133" s="272">
        <f>_xlfn.XLOOKUP(C133,Tab_Def_Flows[Name(EN)],Tab_Def_Flows[DM?],,0,)</f>
        <v/>
      </c>
      <c r="L133" s="272">
        <f>_xlfn.XLOOKUP(C133,Tab_Def_Flows[Name(EN)],Tab_Def_Flows[CC?],,0,)</f>
        <v/>
      </c>
      <c r="M133" s="273" t="n"/>
      <c r="N133" s="273" t="n"/>
      <c r="O133" s="48" t="n"/>
      <c r="P133" s="273" t="n"/>
      <c r="Q133" s="273" t="n"/>
      <c r="R133" s="273">
        <f>INDEX(#REF!,MATCH(Tab_Data_Flows[[#This Row],[Name(EN)]],#REF!,0),12)</f>
        <v/>
      </c>
      <c r="S133" s="273">
        <f>MATCH(Tab_Data_Flows[[#This Row],[Name(EN)]],#REF!,0)</f>
        <v/>
      </c>
      <c r="T133" s="273" t="n"/>
      <c r="U133" s="273" t="n"/>
      <c r="V133" s="273" t="n"/>
      <c r="W133" s="273" t="n"/>
      <c r="X133" s="273" t="inlineStr">
        <is>
          <t>No</t>
        </is>
      </c>
      <c r="Y133" s="273" t="n"/>
      <c r="Z133" s="273" t="n"/>
      <c r="AA133" s="35">
        <f>IF(X133="no",O133,O133*Y133)</f>
        <v/>
      </c>
      <c r="AB133" s="273" t="inlineStr">
        <is>
          <t>Mg</t>
        </is>
      </c>
      <c r="AC133" s="190">
        <f>INDEX(Tab_Def_Flows[[Flow_ID]:[CC_DM_source]],MATCH(Tab_Data_Flows[[#This Row],[Name(EN)]],Tab_Def_Flows[Name(EN)],0),13)</f>
        <v/>
      </c>
      <c r="AD133" s="272">
        <f>IF(J133="Yes",AA133*Tab_Data_Flows[[#This Row],[WC_'[%']]],"N.A.")</f>
        <v/>
      </c>
      <c r="AE133" s="272">
        <f>Tab_Data_Flows[[#This Row],[UoM_Flow_Py]]</f>
        <v/>
      </c>
      <c r="AF133" s="190">
        <f>INDEX(Tab_Def_Flows[[Flow_ID]:[CC_DM_source]],MATCH(Tab_Data_Flows[[#This Row],[Name(EN)]],Tab_Def_Flows[Name(EN)],0),15)</f>
        <v/>
      </c>
      <c r="AG133" s="272">
        <f>IF(K133="Yes",AF133*Tab_Data_Flows[[#This Row],[Flow_Py]]-AJ249,"N.A.")</f>
        <v/>
      </c>
      <c r="AH133" s="272">
        <f>Tab_Data_Flows[[#This Row],[UoM_Flow_Py]]</f>
        <v/>
      </c>
      <c r="AI133" s="190">
        <f>INDEX(Tab_Def_Flows[[Flow_ID]:[CC_DM_source]],MATCH(Tab_Data_Flows[[#This Row],[Name(EN)]],Tab_Def_Flows[Name(EN)],0),17)</f>
        <v/>
      </c>
      <c r="AJ133" s="272">
        <f>IF(L133="Yes",AI133*Tab_Data_Flows[[#This Row],[Flow_Py]]*Tab_Data_Flows[[#This Row],[DM_'[%']]],"N.A.")</f>
        <v/>
      </c>
      <c r="AK133" s="272">
        <f>Tab_Data_Flows[[#This Row],[UoM_Flow_Py]]</f>
        <v/>
      </c>
    </row>
    <row r="134">
      <c r="A134" s="296">
        <f>ROW()-1</f>
        <v/>
      </c>
      <c r="B134" s="272">
        <f>_xlfn.XLOOKUP(C134,Tab_Def_Flows[Name(EN)],Tab_Def_Flows[Flow_ID],,0,)</f>
        <v/>
      </c>
      <c r="C134" s="273" t="inlineStr">
        <is>
          <t>N.A.</t>
        </is>
      </c>
      <c r="D134" s="272" t="n"/>
      <c r="E134" s="272">
        <f>_xlfn.XLOOKUP(C134,Tab_Def_Flows[Name(EN)],Tab_Def_Flows[Output_Process],,0,)</f>
        <v/>
      </c>
      <c r="F134" s="272">
        <f>_xlfn.XLOOKUP(C134,Tab_Def_Flows[Name(EN)],Tab_Def_Flows[Process_ID_O],,0,)</f>
        <v/>
      </c>
      <c r="G134" s="272">
        <f>_xlfn.XLOOKUP(C134,Tab_Def_Flows[Name(EN)],Tab_Def_Flows[Input_Process],,0,)</f>
        <v/>
      </c>
      <c r="H134" s="17">
        <f>_xlfn.XLOOKUP(C134,Tab_Def_Flows[Name(EN)],Tab_Def_Flows[Process_ID_I],,0,)</f>
        <v/>
      </c>
      <c r="I134" s="272">
        <f>_xlfn.XLOOKUP(C134,Tab_Def_Flows[Name(EN)],#REF!,,0,)</f>
        <v/>
      </c>
      <c r="J134" s="272">
        <f>_xlfn.XLOOKUP(C134,Tab_Def_Flows[Name(EN)],Tab_Def_Flows[WC?],,0,)</f>
        <v/>
      </c>
      <c r="K134" s="272">
        <f>_xlfn.XLOOKUP(C134,Tab_Def_Flows[Name(EN)],Tab_Def_Flows[DM?],,0,)</f>
        <v/>
      </c>
      <c r="L134" s="272">
        <f>_xlfn.XLOOKUP(C134,Tab_Def_Flows[Name(EN)],Tab_Def_Flows[CC?],,0,)</f>
        <v/>
      </c>
      <c r="M134" s="273" t="n"/>
      <c r="N134" s="273" t="n"/>
      <c r="O134" s="48" t="n"/>
      <c r="P134" s="273" t="n"/>
      <c r="Q134" s="273" t="n"/>
      <c r="R134" s="273">
        <f>INDEX(#REF!,MATCH(Tab_Data_Flows[[#This Row],[Name(EN)]],#REF!,0),12)</f>
        <v/>
      </c>
      <c r="S134" s="273">
        <f>MATCH(Tab_Data_Flows[[#This Row],[Name(EN)]],#REF!,0)</f>
        <v/>
      </c>
      <c r="T134" s="273" t="n"/>
      <c r="U134" s="273" t="n"/>
      <c r="V134" s="273" t="n"/>
      <c r="W134" s="273" t="n"/>
      <c r="X134" s="273" t="inlineStr">
        <is>
          <t>No</t>
        </is>
      </c>
      <c r="Y134" s="273" t="n"/>
      <c r="Z134" s="273" t="n"/>
      <c r="AA134" s="35">
        <f>IF(X134="no",O134,O134*Y134)</f>
        <v/>
      </c>
      <c r="AB134" s="273" t="inlineStr">
        <is>
          <t>Mg</t>
        </is>
      </c>
      <c r="AC134" s="190">
        <f>INDEX(Tab_Def_Flows[[Flow_ID]:[CC_DM_source]],MATCH(Tab_Data_Flows[[#This Row],[Name(EN)]],Tab_Def_Flows[Name(EN)],0),13)</f>
        <v/>
      </c>
      <c r="AD134" s="272">
        <f>IF(J134="Yes",AA134*Tab_Data_Flows[[#This Row],[WC_'[%']]],"N.A.")</f>
        <v/>
      </c>
      <c r="AE134" s="272">
        <f>Tab_Data_Flows[[#This Row],[UoM_Flow_Py]]</f>
        <v/>
      </c>
      <c r="AF134" s="190">
        <f>INDEX(Tab_Def_Flows[[Flow_ID]:[CC_DM_source]],MATCH(Tab_Data_Flows[[#This Row],[Name(EN)]],Tab_Def_Flows[Name(EN)],0),15)</f>
        <v/>
      </c>
      <c r="AG134" s="272">
        <f>IF(K134="Yes",AF134*Tab_Data_Flows[[#This Row],[Flow_Py]]-AJ250,"N.A.")</f>
        <v/>
      </c>
      <c r="AH134" s="272">
        <f>Tab_Data_Flows[[#This Row],[UoM_Flow_Py]]</f>
        <v/>
      </c>
      <c r="AI134" s="190">
        <f>INDEX(Tab_Def_Flows[[Flow_ID]:[CC_DM_source]],MATCH(Tab_Data_Flows[[#This Row],[Name(EN)]],Tab_Def_Flows[Name(EN)],0),17)</f>
        <v/>
      </c>
      <c r="AJ134" s="272">
        <f>IF(L134="Yes",AI134*Tab_Data_Flows[[#This Row],[Flow_Py]]*Tab_Data_Flows[[#This Row],[DM_'[%']]],"N.A.")</f>
        <v/>
      </c>
      <c r="AK134" s="272">
        <f>Tab_Data_Flows[[#This Row],[UoM_Flow_Py]]</f>
        <v/>
      </c>
    </row>
    <row r="135">
      <c r="A135" s="296">
        <f>ROW()-1</f>
        <v/>
      </c>
      <c r="B135" s="272">
        <f>_xlfn.XLOOKUP(C135,Tab_Def_Flows[Name(EN)],Tab_Def_Flows[Flow_ID],,0,)</f>
        <v/>
      </c>
      <c r="C135" s="273" t="inlineStr">
        <is>
          <t>N.A.</t>
        </is>
      </c>
      <c r="D135" s="272" t="n"/>
      <c r="E135" s="272">
        <f>_xlfn.XLOOKUP(C135,Tab_Def_Flows[Name(EN)],Tab_Def_Flows[Output_Process],,0,)</f>
        <v/>
      </c>
      <c r="F135" s="272">
        <f>_xlfn.XLOOKUP(C135,Tab_Def_Flows[Name(EN)],Tab_Def_Flows[Process_ID_O],,0,)</f>
        <v/>
      </c>
      <c r="G135" s="272">
        <f>_xlfn.XLOOKUP(C135,Tab_Def_Flows[Name(EN)],Tab_Def_Flows[Input_Process],,0,)</f>
        <v/>
      </c>
      <c r="H135" s="17">
        <f>_xlfn.XLOOKUP(C135,Tab_Def_Flows[Name(EN)],Tab_Def_Flows[Process_ID_I],,0,)</f>
        <v/>
      </c>
      <c r="I135" s="272">
        <f>_xlfn.XLOOKUP(C135,Tab_Def_Flows[Name(EN)],#REF!,,0,)</f>
        <v/>
      </c>
      <c r="J135" s="272">
        <f>_xlfn.XLOOKUP(C135,Tab_Def_Flows[Name(EN)],Tab_Def_Flows[WC?],,0,)</f>
        <v/>
      </c>
      <c r="K135" s="272">
        <f>_xlfn.XLOOKUP(C135,Tab_Def_Flows[Name(EN)],Tab_Def_Flows[DM?],,0,)</f>
        <v/>
      </c>
      <c r="L135" s="272">
        <f>_xlfn.XLOOKUP(C135,Tab_Def_Flows[Name(EN)],Tab_Def_Flows[CC?],,0,)</f>
        <v/>
      </c>
      <c r="M135" s="273" t="n"/>
      <c r="N135" s="273" t="n"/>
      <c r="O135" s="48" t="n"/>
      <c r="P135" s="273" t="n"/>
      <c r="Q135" s="273" t="n"/>
      <c r="R135" s="273">
        <f>INDEX(#REF!,MATCH(Tab_Data_Flows[[#This Row],[Name(EN)]],#REF!,0),12)</f>
        <v/>
      </c>
      <c r="S135" s="273">
        <f>MATCH(Tab_Data_Flows[[#This Row],[Name(EN)]],#REF!,0)</f>
        <v/>
      </c>
      <c r="T135" s="273" t="n"/>
      <c r="U135" s="273" t="n"/>
      <c r="V135" s="273" t="n"/>
      <c r="W135" s="273" t="n"/>
      <c r="X135" s="273" t="inlineStr">
        <is>
          <t>No</t>
        </is>
      </c>
      <c r="Y135" s="273" t="n"/>
      <c r="Z135" s="273" t="n"/>
      <c r="AA135" s="35">
        <f>IF(X135="no",O135,O135*Y135)</f>
        <v/>
      </c>
      <c r="AB135" s="273" t="inlineStr">
        <is>
          <t>Mg</t>
        </is>
      </c>
      <c r="AC135" s="190">
        <f>INDEX(Tab_Def_Flows[[Flow_ID]:[CC_DM_source]],MATCH(Tab_Data_Flows[[#This Row],[Name(EN)]],Tab_Def_Flows[Name(EN)],0),13)</f>
        <v/>
      </c>
      <c r="AD135" s="272">
        <f>IF(J135="Yes",AA135*Tab_Data_Flows[[#This Row],[WC_'[%']]],"N.A.")</f>
        <v/>
      </c>
      <c r="AE135" s="272">
        <f>Tab_Data_Flows[[#This Row],[UoM_Flow_Py]]</f>
        <v/>
      </c>
      <c r="AF135" s="190">
        <f>INDEX(Tab_Def_Flows[[Flow_ID]:[CC_DM_source]],MATCH(Tab_Data_Flows[[#This Row],[Name(EN)]],Tab_Def_Flows[Name(EN)],0),15)</f>
        <v/>
      </c>
      <c r="AG135" s="272">
        <f>IF(K135="Yes",AF135*Tab_Data_Flows[[#This Row],[Flow_Py]]-AJ251,"N.A.")</f>
        <v/>
      </c>
      <c r="AH135" s="272">
        <f>Tab_Data_Flows[[#This Row],[UoM_Flow_Py]]</f>
        <v/>
      </c>
      <c r="AI135" s="190">
        <f>INDEX(Tab_Def_Flows[[Flow_ID]:[CC_DM_source]],MATCH(Tab_Data_Flows[[#This Row],[Name(EN)]],Tab_Def_Flows[Name(EN)],0),17)</f>
        <v/>
      </c>
      <c r="AJ135" s="272">
        <f>IF(L135="Yes",AI135*Tab_Data_Flows[[#This Row],[Flow_Py]]*Tab_Data_Flows[[#This Row],[DM_'[%']]],"N.A.")</f>
        <v/>
      </c>
      <c r="AK135" s="272">
        <f>Tab_Data_Flows[[#This Row],[UoM_Flow_Py]]</f>
        <v/>
      </c>
    </row>
    <row r="136">
      <c r="A136" s="296">
        <f>ROW()-1</f>
        <v/>
      </c>
      <c r="B136" s="272">
        <f>_xlfn.XLOOKUP(C136,Tab_Def_Flows[Name(EN)],Tab_Def_Flows[Flow_ID],,0,)</f>
        <v/>
      </c>
      <c r="C136" s="273" t="inlineStr">
        <is>
          <t>N.A.</t>
        </is>
      </c>
      <c r="D136" s="272" t="n"/>
      <c r="E136" s="272">
        <f>_xlfn.XLOOKUP(C136,Tab_Def_Flows[Name(EN)],Tab_Def_Flows[Output_Process],,0,)</f>
        <v/>
      </c>
      <c r="F136" s="272">
        <f>_xlfn.XLOOKUP(C136,Tab_Def_Flows[Name(EN)],Tab_Def_Flows[Process_ID_O],,0,)</f>
        <v/>
      </c>
      <c r="G136" s="272">
        <f>_xlfn.XLOOKUP(C136,Tab_Def_Flows[Name(EN)],Tab_Def_Flows[Input_Process],,0,)</f>
        <v/>
      </c>
      <c r="H136" s="17">
        <f>_xlfn.XLOOKUP(C136,Tab_Def_Flows[Name(EN)],Tab_Def_Flows[Process_ID_I],,0,)</f>
        <v/>
      </c>
      <c r="I136" s="272">
        <f>_xlfn.XLOOKUP(C136,Tab_Def_Flows[Name(EN)],#REF!,,0,)</f>
        <v/>
      </c>
      <c r="J136" s="272">
        <f>_xlfn.XLOOKUP(C136,Tab_Def_Flows[Name(EN)],Tab_Def_Flows[WC?],,0,)</f>
        <v/>
      </c>
      <c r="K136" s="272">
        <f>_xlfn.XLOOKUP(C136,Tab_Def_Flows[Name(EN)],Tab_Def_Flows[DM?],,0,)</f>
        <v/>
      </c>
      <c r="L136" s="272">
        <f>_xlfn.XLOOKUP(C136,Tab_Def_Flows[Name(EN)],Tab_Def_Flows[CC?],,0,)</f>
        <v/>
      </c>
      <c r="M136" s="273" t="n"/>
      <c r="N136" s="273" t="n"/>
      <c r="O136" s="48" t="n"/>
      <c r="P136" s="273" t="n"/>
      <c r="Q136" s="273" t="n"/>
      <c r="R136" s="273">
        <f>INDEX(#REF!,MATCH(Tab_Data_Flows[[#This Row],[Name(EN)]],#REF!,0),12)</f>
        <v/>
      </c>
      <c r="S136" s="273">
        <f>MATCH(Tab_Data_Flows[[#This Row],[Name(EN)]],#REF!,0)</f>
        <v/>
      </c>
      <c r="T136" s="273" t="n"/>
      <c r="U136" s="273" t="n"/>
      <c r="V136" s="273" t="n"/>
      <c r="W136" s="273" t="n"/>
      <c r="X136" s="273" t="inlineStr">
        <is>
          <t>No</t>
        </is>
      </c>
      <c r="Y136" s="273" t="n"/>
      <c r="Z136" s="273" t="n"/>
      <c r="AA136" s="35">
        <f>IF(X136="no",O136,O136*Y136)</f>
        <v/>
      </c>
      <c r="AB136" s="273" t="inlineStr">
        <is>
          <t>Mg</t>
        </is>
      </c>
      <c r="AC136" s="190">
        <f>INDEX(Tab_Def_Flows[[Flow_ID]:[CC_DM_source]],MATCH(Tab_Data_Flows[[#This Row],[Name(EN)]],Tab_Def_Flows[Name(EN)],0),13)</f>
        <v/>
      </c>
      <c r="AD136" s="272">
        <f>IF(J136="Yes",AA136*Tab_Data_Flows[[#This Row],[WC_'[%']]],"N.A.")</f>
        <v/>
      </c>
      <c r="AE136" s="272">
        <f>Tab_Data_Flows[[#This Row],[UoM_Flow_Py]]</f>
        <v/>
      </c>
      <c r="AF136" s="190">
        <f>INDEX(Tab_Def_Flows[[Flow_ID]:[CC_DM_source]],MATCH(Tab_Data_Flows[[#This Row],[Name(EN)]],Tab_Def_Flows[Name(EN)],0),15)</f>
        <v/>
      </c>
      <c r="AG136" s="272">
        <f>IF(K136="Yes",AF136*Tab_Data_Flows[[#This Row],[Flow_Py]]-AJ252,"N.A.")</f>
        <v/>
      </c>
      <c r="AH136" s="272">
        <f>Tab_Data_Flows[[#This Row],[UoM_Flow_Py]]</f>
        <v/>
      </c>
      <c r="AI136" s="190">
        <f>INDEX(Tab_Def_Flows[[Flow_ID]:[CC_DM_source]],MATCH(Tab_Data_Flows[[#This Row],[Name(EN)]],Tab_Def_Flows[Name(EN)],0),17)</f>
        <v/>
      </c>
      <c r="AJ136" s="272">
        <f>IF(L136="Yes",AI136*Tab_Data_Flows[[#This Row],[Flow_Py]]*Tab_Data_Flows[[#This Row],[DM_'[%']]],"N.A.")</f>
        <v/>
      </c>
      <c r="AK136" s="272">
        <f>Tab_Data_Flows[[#This Row],[UoM_Flow_Py]]</f>
        <v/>
      </c>
    </row>
    <row r="137">
      <c r="A137" s="296">
        <f>ROW()-1</f>
        <v/>
      </c>
      <c r="B137" s="272">
        <f>_xlfn.XLOOKUP(C137,Tab_Def_Flows[Name(EN)],Tab_Def_Flows[Flow_ID],,0,)</f>
        <v/>
      </c>
      <c r="C137" s="273" t="inlineStr">
        <is>
          <t>N.A.</t>
        </is>
      </c>
      <c r="D137" s="272" t="n"/>
      <c r="E137" s="272">
        <f>_xlfn.XLOOKUP(C137,Tab_Def_Flows[Name(EN)],Tab_Def_Flows[Output_Process],,0,)</f>
        <v/>
      </c>
      <c r="F137" s="272">
        <f>_xlfn.XLOOKUP(C137,Tab_Def_Flows[Name(EN)],Tab_Def_Flows[Process_ID_O],,0,)</f>
        <v/>
      </c>
      <c r="G137" s="272">
        <f>_xlfn.XLOOKUP(C137,Tab_Def_Flows[Name(EN)],Tab_Def_Flows[Input_Process],,0,)</f>
        <v/>
      </c>
      <c r="H137" s="17">
        <f>_xlfn.XLOOKUP(C137,Tab_Def_Flows[Name(EN)],Tab_Def_Flows[Process_ID_I],,0,)</f>
        <v/>
      </c>
      <c r="I137" s="272">
        <f>_xlfn.XLOOKUP(C137,Tab_Def_Flows[Name(EN)],#REF!,,0,)</f>
        <v/>
      </c>
      <c r="J137" s="272">
        <f>_xlfn.XLOOKUP(C137,Tab_Def_Flows[Name(EN)],Tab_Def_Flows[WC?],,0,)</f>
        <v/>
      </c>
      <c r="K137" s="272">
        <f>_xlfn.XLOOKUP(C137,Tab_Def_Flows[Name(EN)],Tab_Def_Flows[DM?],,0,)</f>
        <v/>
      </c>
      <c r="L137" s="272">
        <f>_xlfn.XLOOKUP(C137,Tab_Def_Flows[Name(EN)],Tab_Def_Flows[CC?],,0,)</f>
        <v/>
      </c>
      <c r="M137" s="273" t="n"/>
      <c r="N137" s="273" t="n"/>
      <c r="O137" s="48" t="n"/>
      <c r="P137" s="273" t="n"/>
      <c r="Q137" s="273" t="n"/>
      <c r="R137" s="273">
        <f>INDEX(#REF!,MATCH(Tab_Data_Flows[[#This Row],[Name(EN)]],#REF!,0),12)</f>
        <v/>
      </c>
      <c r="S137" s="273">
        <f>MATCH(Tab_Data_Flows[[#This Row],[Name(EN)]],#REF!,0)</f>
        <v/>
      </c>
      <c r="T137" s="273" t="n"/>
      <c r="U137" s="273" t="n"/>
      <c r="V137" s="273" t="n"/>
      <c r="W137" s="273" t="n"/>
      <c r="X137" s="273" t="inlineStr">
        <is>
          <t>No</t>
        </is>
      </c>
      <c r="Y137" s="273" t="n"/>
      <c r="Z137" s="273" t="n"/>
      <c r="AA137" s="35">
        <f>IF(X137="no",O137,O137*Y137)</f>
        <v/>
      </c>
      <c r="AB137" s="273" t="inlineStr">
        <is>
          <t>Mg</t>
        </is>
      </c>
      <c r="AC137" s="190">
        <f>INDEX(Tab_Def_Flows[[Flow_ID]:[CC_DM_source]],MATCH(Tab_Data_Flows[[#This Row],[Name(EN)]],Tab_Def_Flows[Name(EN)],0),13)</f>
        <v/>
      </c>
      <c r="AD137" s="272">
        <f>IF(J137="Yes",AA137*Tab_Data_Flows[[#This Row],[WC_'[%']]],"N.A.")</f>
        <v/>
      </c>
      <c r="AE137" s="272">
        <f>Tab_Data_Flows[[#This Row],[UoM_Flow_Py]]</f>
        <v/>
      </c>
      <c r="AF137" s="190">
        <f>INDEX(Tab_Def_Flows[[Flow_ID]:[CC_DM_source]],MATCH(Tab_Data_Flows[[#This Row],[Name(EN)]],Tab_Def_Flows[Name(EN)],0),15)</f>
        <v/>
      </c>
      <c r="AG137" s="272">
        <f>IF(K137="Yes",AF137*Tab_Data_Flows[[#This Row],[Flow_Py]]-AJ253,"N.A.")</f>
        <v/>
      </c>
      <c r="AH137" s="272">
        <f>Tab_Data_Flows[[#This Row],[UoM_Flow_Py]]</f>
        <v/>
      </c>
      <c r="AI137" s="190">
        <f>INDEX(Tab_Def_Flows[[Flow_ID]:[CC_DM_source]],MATCH(Tab_Data_Flows[[#This Row],[Name(EN)]],Tab_Def_Flows[Name(EN)],0),17)</f>
        <v/>
      </c>
      <c r="AJ137" s="272">
        <f>IF(L137="Yes",AI137*Tab_Data_Flows[[#This Row],[Flow_Py]]*Tab_Data_Flows[[#This Row],[DM_'[%']]],"N.A.")</f>
        <v/>
      </c>
      <c r="AK137" s="272">
        <f>Tab_Data_Flows[[#This Row],[UoM_Flow_Py]]</f>
        <v/>
      </c>
    </row>
    <row r="138">
      <c r="A138" s="296">
        <f>ROW()-1</f>
        <v/>
      </c>
      <c r="B138" s="272">
        <f>_xlfn.XLOOKUP(C138,Tab_Def_Flows[Name(EN)],Tab_Def_Flows[Flow_ID],,0,)</f>
        <v/>
      </c>
      <c r="C138" s="273" t="inlineStr">
        <is>
          <t>N.A.</t>
        </is>
      </c>
      <c r="D138" s="272" t="n"/>
      <c r="E138" s="272">
        <f>_xlfn.XLOOKUP(C138,Tab_Def_Flows[Name(EN)],Tab_Def_Flows[Output_Process],,0,)</f>
        <v/>
      </c>
      <c r="F138" s="272">
        <f>_xlfn.XLOOKUP(C138,Tab_Def_Flows[Name(EN)],Tab_Def_Flows[Process_ID_O],,0,)</f>
        <v/>
      </c>
      <c r="G138" s="272">
        <f>_xlfn.XLOOKUP(C138,Tab_Def_Flows[Name(EN)],Tab_Def_Flows[Input_Process],,0,)</f>
        <v/>
      </c>
      <c r="H138" s="17">
        <f>_xlfn.XLOOKUP(C138,Tab_Def_Flows[Name(EN)],Tab_Def_Flows[Process_ID_I],,0,)</f>
        <v/>
      </c>
      <c r="I138" s="272">
        <f>_xlfn.XLOOKUP(C138,Tab_Def_Flows[Name(EN)],#REF!,,0,)</f>
        <v/>
      </c>
      <c r="J138" s="272">
        <f>_xlfn.XLOOKUP(C138,Tab_Def_Flows[Name(EN)],Tab_Def_Flows[WC?],,0,)</f>
        <v/>
      </c>
      <c r="K138" s="272">
        <f>_xlfn.XLOOKUP(C138,Tab_Def_Flows[Name(EN)],Tab_Def_Flows[DM?],,0,)</f>
        <v/>
      </c>
      <c r="L138" s="272">
        <f>_xlfn.XLOOKUP(C138,Tab_Def_Flows[Name(EN)],Tab_Def_Flows[CC?],,0,)</f>
        <v/>
      </c>
      <c r="M138" s="273" t="n"/>
      <c r="N138" s="273" t="n"/>
      <c r="O138" s="48" t="n"/>
      <c r="P138" s="273" t="n"/>
      <c r="Q138" s="273" t="n"/>
      <c r="R138" s="273">
        <f>INDEX(#REF!,MATCH(Tab_Data_Flows[[#This Row],[Name(EN)]],#REF!,0),12)</f>
        <v/>
      </c>
      <c r="S138" s="273">
        <f>MATCH(Tab_Data_Flows[[#This Row],[Name(EN)]],#REF!,0)</f>
        <v/>
      </c>
      <c r="T138" s="273" t="n"/>
      <c r="U138" s="273" t="n"/>
      <c r="V138" s="273" t="n"/>
      <c r="W138" s="273" t="n"/>
      <c r="X138" s="273" t="inlineStr">
        <is>
          <t>No</t>
        </is>
      </c>
      <c r="Y138" s="273" t="n"/>
      <c r="Z138" s="273" t="n"/>
      <c r="AA138" s="35">
        <f>IF(X138="no",O138,O138*Y138)</f>
        <v/>
      </c>
      <c r="AB138" s="273" t="inlineStr">
        <is>
          <t>Mg</t>
        </is>
      </c>
      <c r="AC138" s="190">
        <f>INDEX(Tab_Def_Flows[[Flow_ID]:[CC_DM_source]],MATCH(Tab_Data_Flows[[#This Row],[Name(EN)]],Tab_Def_Flows[Name(EN)],0),13)</f>
        <v/>
      </c>
      <c r="AD138" s="272">
        <f>IF(J138="Yes",AA138*Tab_Data_Flows[[#This Row],[WC_'[%']]],"N.A.")</f>
        <v/>
      </c>
      <c r="AE138" s="272">
        <f>Tab_Data_Flows[[#This Row],[UoM_Flow_Py]]</f>
        <v/>
      </c>
      <c r="AF138" s="190">
        <f>INDEX(Tab_Def_Flows[[Flow_ID]:[CC_DM_source]],MATCH(Tab_Data_Flows[[#This Row],[Name(EN)]],Tab_Def_Flows[Name(EN)],0),15)</f>
        <v/>
      </c>
      <c r="AG138" s="272">
        <f>IF(K138="Yes",AF138*Tab_Data_Flows[[#This Row],[Flow_Py]]-AJ254,"N.A.")</f>
        <v/>
      </c>
      <c r="AH138" s="272">
        <f>Tab_Data_Flows[[#This Row],[UoM_Flow_Py]]</f>
        <v/>
      </c>
      <c r="AI138" s="190">
        <f>INDEX(Tab_Def_Flows[[Flow_ID]:[CC_DM_source]],MATCH(Tab_Data_Flows[[#This Row],[Name(EN)]],Tab_Def_Flows[Name(EN)],0),17)</f>
        <v/>
      </c>
      <c r="AJ138" s="272">
        <f>IF(L138="Yes",AI138*Tab_Data_Flows[[#This Row],[Flow_Py]]*Tab_Data_Flows[[#This Row],[DM_'[%']]],"N.A.")</f>
        <v/>
      </c>
      <c r="AK138" s="272">
        <f>Tab_Data_Flows[[#This Row],[UoM_Flow_Py]]</f>
        <v/>
      </c>
    </row>
    <row r="139">
      <c r="A139" s="296">
        <f>ROW()-1</f>
        <v/>
      </c>
      <c r="B139" s="272">
        <f>_xlfn.XLOOKUP(C139,Tab_Def_Flows[Name(EN)],Tab_Def_Flows[Flow_ID],,0,)</f>
        <v/>
      </c>
      <c r="C139" s="273" t="inlineStr">
        <is>
          <t>N.A.</t>
        </is>
      </c>
      <c r="D139" s="272" t="n"/>
      <c r="E139" s="272">
        <f>_xlfn.XLOOKUP(C139,Tab_Def_Flows[Name(EN)],Tab_Def_Flows[Output_Process],,0,)</f>
        <v/>
      </c>
      <c r="F139" s="272">
        <f>_xlfn.XLOOKUP(C139,Tab_Def_Flows[Name(EN)],Tab_Def_Flows[Process_ID_O],,0,)</f>
        <v/>
      </c>
      <c r="G139" s="272">
        <f>_xlfn.XLOOKUP(C139,Tab_Def_Flows[Name(EN)],Tab_Def_Flows[Input_Process],,0,)</f>
        <v/>
      </c>
      <c r="H139" s="17">
        <f>_xlfn.XLOOKUP(C139,Tab_Def_Flows[Name(EN)],Tab_Def_Flows[Process_ID_I],,0,)</f>
        <v/>
      </c>
      <c r="I139" s="272">
        <f>_xlfn.XLOOKUP(C139,Tab_Def_Flows[Name(EN)],#REF!,,0,)</f>
        <v/>
      </c>
      <c r="J139" s="272">
        <f>_xlfn.XLOOKUP(C139,Tab_Def_Flows[Name(EN)],Tab_Def_Flows[WC?],,0,)</f>
        <v/>
      </c>
      <c r="K139" s="272">
        <f>_xlfn.XLOOKUP(C139,Tab_Def_Flows[Name(EN)],Tab_Def_Flows[DM?],,0,)</f>
        <v/>
      </c>
      <c r="L139" s="272">
        <f>_xlfn.XLOOKUP(C139,Tab_Def_Flows[Name(EN)],Tab_Def_Flows[CC?],,0,)</f>
        <v/>
      </c>
      <c r="M139" s="273" t="n"/>
      <c r="N139" s="273" t="n"/>
      <c r="O139" s="48" t="n"/>
      <c r="P139" s="273" t="n"/>
      <c r="Q139" s="273" t="n"/>
      <c r="R139" s="273">
        <f>INDEX(#REF!,MATCH(Tab_Data_Flows[[#This Row],[Name(EN)]],#REF!,0),12)</f>
        <v/>
      </c>
      <c r="S139" s="273">
        <f>MATCH(Tab_Data_Flows[[#This Row],[Name(EN)]],#REF!,0)</f>
        <v/>
      </c>
      <c r="T139" s="273" t="n"/>
      <c r="U139" s="273" t="n"/>
      <c r="V139" s="273" t="n"/>
      <c r="W139" s="273" t="n"/>
      <c r="X139" s="273" t="inlineStr">
        <is>
          <t>No</t>
        </is>
      </c>
      <c r="Y139" s="273" t="n"/>
      <c r="Z139" s="273" t="n"/>
      <c r="AA139" s="35">
        <f>IF(X139="no",O139,O139*Y139)</f>
        <v/>
      </c>
      <c r="AB139" s="273" t="inlineStr">
        <is>
          <t>Mg</t>
        </is>
      </c>
      <c r="AC139" s="190">
        <f>INDEX(Tab_Def_Flows[[Flow_ID]:[CC_DM_source]],MATCH(Tab_Data_Flows[[#This Row],[Name(EN)]],Tab_Def_Flows[Name(EN)],0),13)</f>
        <v/>
      </c>
      <c r="AD139" s="272">
        <f>IF(J139="Yes",AA139*Tab_Data_Flows[[#This Row],[WC_'[%']]],"N.A.")</f>
        <v/>
      </c>
      <c r="AE139" s="272">
        <f>Tab_Data_Flows[[#This Row],[UoM_Flow_Py]]</f>
        <v/>
      </c>
      <c r="AF139" s="190">
        <f>INDEX(Tab_Def_Flows[[Flow_ID]:[CC_DM_source]],MATCH(Tab_Data_Flows[[#This Row],[Name(EN)]],Tab_Def_Flows[Name(EN)],0),15)</f>
        <v/>
      </c>
      <c r="AG139" s="272">
        <f>IF(K139="Yes",AF139*Tab_Data_Flows[[#This Row],[Flow_Py]]-AJ255,"N.A.")</f>
        <v/>
      </c>
      <c r="AH139" s="272">
        <f>Tab_Data_Flows[[#This Row],[UoM_Flow_Py]]</f>
        <v/>
      </c>
      <c r="AI139" s="190">
        <f>INDEX(Tab_Def_Flows[[Flow_ID]:[CC_DM_source]],MATCH(Tab_Data_Flows[[#This Row],[Name(EN)]],Tab_Def_Flows[Name(EN)],0),17)</f>
        <v/>
      </c>
      <c r="AJ139" s="272">
        <f>IF(L139="Yes",AI139*Tab_Data_Flows[[#This Row],[Flow_Py]]*Tab_Data_Flows[[#This Row],[DM_'[%']]],"N.A.")</f>
        <v/>
      </c>
      <c r="AK139" s="272">
        <f>Tab_Data_Flows[[#This Row],[UoM_Flow_Py]]</f>
        <v/>
      </c>
    </row>
    <row r="140">
      <c r="A140" s="296">
        <f>ROW()-1</f>
        <v/>
      </c>
      <c r="B140" s="272">
        <f>_xlfn.XLOOKUP(C140,Tab_Def_Flows[Name(EN)],Tab_Def_Flows[Flow_ID],,0,)</f>
        <v/>
      </c>
      <c r="C140" s="273" t="inlineStr">
        <is>
          <t>N.A.</t>
        </is>
      </c>
      <c r="D140" s="272" t="n"/>
      <c r="E140" s="272">
        <f>_xlfn.XLOOKUP(C140,Tab_Def_Flows[Name(EN)],Tab_Def_Flows[Output_Process],,0,)</f>
        <v/>
      </c>
      <c r="F140" s="272">
        <f>_xlfn.XLOOKUP(C140,Tab_Def_Flows[Name(EN)],Tab_Def_Flows[Process_ID_O],,0,)</f>
        <v/>
      </c>
      <c r="G140" s="272">
        <f>_xlfn.XLOOKUP(C140,Tab_Def_Flows[Name(EN)],Tab_Def_Flows[Input_Process],,0,)</f>
        <v/>
      </c>
      <c r="H140" s="17">
        <f>_xlfn.XLOOKUP(C140,Tab_Def_Flows[Name(EN)],Tab_Def_Flows[Process_ID_I],,0,)</f>
        <v/>
      </c>
      <c r="I140" s="272">
        <f>_xlfn.XLOOKUP(C140,Tab_Def_Flows[Name(EN)],#REF!,,0,)</f>
        <v/>
      </c>
      <c r="J140" s="272">
        <f>_xlfn.XLOOKUP(C140,Tab_Def_Flows[Name(EN)],Tab_Def_Flows[WC?],,0,)</f>
        <v/>
      </c>
      <c r="K140" s="272">
        <f>_xlfn.XLOOKUP(C140,Tab_Def_Flows[Name(EN)],Tab_Def_Flows[DM?],,0,)</f>
        <v/>
      </c>
      <c r="L140" s="272">
        <f>_xlfn.XLOOKUP(C140,Tab_Def_Flows[Name(EN)],Tab_Def_Flows[CC?],,0,)</f>
        <v/>
      </c>
      <c r="M140" s="273" t="n"/>
      <c r="N140" s="273" t="n"/>
      <c r="O140" s="48" t="n"/>
      <c r="P140" s="273" t="n"/>
      <c r="Q140" s="273" t="n"/>
      <c r="R140" s="273">
        <f>INDEX(#REF!,MATCH(Tab_Data_Flows[[#This Row],[Name(EN)]],#REF!,0),12)</f>
        <v/>
      </c>
      <c r="S140" s="273">
        <f>MATCH(Tab_Data_Flows[[#This Row],[Name(EN)]],#REF!,0)</f>
        <v/>
      </c>
      <c r="T140" s="273" t="n"/>
      <c r="U140" s="273" t="n"/>
      <c r="V140" s="273" t="n"/>
      <c r="W140" s="273" t="n"/>
      <c r="X140" s="273" t="inlineStr">
        <is>
          <t>No</t>
        </is>
      </c>
      <c r="Y140" s="273" t="n"/>
      <c r="Z140" s="273" t="n"/>
      <c r="AA140" s="35">
        <f>IF(X140="no",O140,O140*Y140)</f>
        <v/>
      </c>
      <c r="AB140" s="273" t="inlineStr">
        <is>
          <t>Mg</t>
        </is>
      </c>
      <c r="AC140" s="190">
        <f>INDEX(Tab_Def_Flows[[Flow_ID]:[CC_DM_source]],MATCH(Tab_Data_Flows[[#This Row],[Name(EN)]],Tab_Def_Flows[Name(EN)],0),13)</f>
        <v/>
      </c>
      <c r="AD140" s="272">
        <f>IF(J140="Yes",AA140*Tab_Data_Flows[[#This Row],[WC_'[%']]],"N.A.")</f>
        <v/>
      </c>
      <c r="AE140" s="272">
        <f>Tab_Data_Flows[[#This Row],[UoM_Flow_Py]]</f>
        <v/>
      </c>
      <c r="AF140" s="190">
        <f>INDEX(Tab_Def_Flows[[Flow_ID]:[CC_DM_source]],MATCH(Tab_Data_Flows[[#This Row],[Name(EN)]],Tab_Def_Flows[Name(EN)],0),15)</f>
        <v/>
      </c>
      <c r="AG140" s="272">
        <f>IF(K140="Yes",AF140*Tab_Data_Flows[[#This Row],[Flow_Py]]-AJ256,"N.A.")</f>
        <v/>
      </c>
      <c r="AH140" s="272">
        <f>Tab_Data_Flows[[#This Row],[UoM_Flow_Py]]</f>
        <v/>
      </c>
      <c r="AI140" s="190">
        <f>INDEX(Tab_Def_Flows[[Flow_ID]:[CC_DM_source]],MATCH(Tab_Data_Flows[[#This Row],[Name(EN)]],Tab_Def_Flows[Name(EN)],0),17)</f>
        <v/>
      </c>
      <c r="AJ140" s="272">
        <f>IF(L140="Yes",AI140*Tab_Data_Flows[[#This Row],[Flow_Py]]*Tab_Data_Flows[[#This Row],[DM_'[%']]],"N.A.")</f>
        <v/>
      </c>
      <c r="AK140" s="272">
        <f>Tab_Data_Flows[[#This Row],[UoM_Flow_Py]]</f>
        <v/>
      </c>
    </row>
    <row r="141">
      <c r="A141" s="296">
        <f>ROW()-1</f>
        <v/>
      </c>
      <c r="B141" s="272">
        <f>_xlfn.XLOOKUP(C141,Tab_Def_Flows[Name(EN)],Tab_Def_Flows[Flow_ID],,0,)</f>
        <v/>
      </c>
      <c r="C141" s="273" t="inlineStr">
        <is>
          <t>N.A.</t>
        </is>
      </c>
      <c r="D141" s="272" t="n"/>
      <c r="E141" s="272">
        <f>_xlfn.XLOOKUP(C141,Tab_Def_Flows[Name(EN)],Tab_Def_Flows[Output_Process],,0,)</f>
        <v/>
      </c>
      <c r="F141" s="272">
        <f>_xlfn.XLOOKUP(C141,Tab_Def_Flows[Name(EN)],Tab_Def_Flows[Process_ID_O],,0,)</f>
        <v/>
      </c>
      <c r="G141" s="272">
        <f>_xlfn.XLOOKUP(C141,Tab_Def_Flows[Name(EN)],Tab_Def_Flows[Input_Process],,0,)</f>
        <v/>
      </c>
      <c r="H141" s="17">
        <f>_xlfn.XLOOKUP(C141,Tab_Def_Flows[Name(EN)],Tab_Def_Flows[Process_ID_I],,0,)</f>
        <v/>
      </c>
      <c r="I141" s="272">
        <f>_xlfn.XLOOKUP(C141,Tab_Def_Flows[Name(EN)],#REF!,,0,)</f>
        <v/>
      </c>
      <c r="J141" s="272">
        <f>_xlfn.XLOOKUP(C141,Tab_Def_Flows[Name(EN)],Tab_Def_Flows[WC?],,0,)</f>
        <v/>
      </c>
      <c r="K141" s="272">
        <f>_xlfn.XLOOKUP(C141,Tab_Def_Flows[Name(EN)],Tab_Def_Flows[DM?],,0,)</f>
        <v/>
      </c>
      <c r="L141" s="272">
        <f>_xlfn.XLOOKUP(C141,Tab_Def_Flows[Name(EN)],Tab_Def_Flows[CC?],,0,)</f>
        <v/>
      </c>
      <c r="M141" s="273" t="n"/>
      <c r="N141" s="273" t="n"/>
      <c r="O141" s="48" t="n"/>
      <c r="P141" s="273" t="n"/>
      <c r="Q141" s="273" t="n"/>
      <c r="R141" s="273">
        <f>INDEX(#REF!,MATCH(Tab_Data_Flows[[#This Row],[Name(EN)]],#REF!,0),12)</f>
        <v/>
      </c>
      <c r="S141" s="273">
        <f>MATCH(Tab_Data_Flows[[#This Row],[Name(EN)]],#REF!,0)</f>
        <v/>
      </c>
      <c r="T141" s="273" t="n"/>
      <c r="U141" s="273" t="n"/>
      <c r="V141" s="273" t="n"/>
      <c r="W141" s="273" t="n"/>
      <c r="X141" s="273" t="inlineStr">
        <is>
          <t>No</t>
        </is>
      </c>
      <c r="Y141" s="273" t="n"/>
      <c r="Z141" s="273" t="n"/>
      <c r="AA141" s="35">
        <f>IF(X141="no",O141,O141*Y141)</f>
        <v/>
      </c>
      <c r="AB141" s="273" t="inlineStr">
        <is>
          <t>Mg</t>
        </is>
      </c>
      <c r="AC141" s="190">
        <f>INDEX(Tab_Def_Flows[[Flow_ID]:[CC_DM_source]],MATCH(Tab_Data_Flows[[#This Row],[Name(EN)]],Tab_Def_Flows[Name(EN)],0),13)</f>
        <v/>
      </c>
      <c r="AD141" s="272">
        <f>IF(J141="Yes",AA141*Tab_Data_Flows[[#This Row],[WC_'[%']]],"N.A.")</f>
        <v/>
      </c>
      <c r="AE141" s="272">
        <f>Tab_Data_Flows[[#This Row],[UoM_Flow_Py]]</f>
        <v/>
      </c>
      <c r="AF141" s="190">
        <f>INDEX(Tab_Def_Flows[[Flow_ID]:[CC_DM_source]],MATCH(Tab_Data_Flows[[#This Row],[Name(EN)]],Tab_Def_Flows[Name(EN)],0),15)</f>
        <v/>
      </c>
      <c r="AG141" s="272">
        <f>IF(K141="Yes",AF141*Tab_Data_Flows[[#This Row],[Flow_Py]]-AJ257,"N.A.")</f>
        <v/>
      </c>
      <c r="AH141" s="272">
        <f>Tab_Data_Flows[[#This Row],[UoM_Flow_Py]]</f>
        <v/>
      </c>
      <c r="AI141" s="190">
        <f>INDEX(Tab_Def_Flows[[Flow_ID]:[CC_DM_source]],MATCH(Tab_Data_Flows[[#This Row],[Name(EN)]],Tab_Def_Flows[Name(EN)],0),17)</f>
        <v/>
      </c>
      <c r="AJ141" s="272">
        <f>IF(L141="Yes",AI141*Tab_Data_Flows[[#This Row],[Flow_Py]]*Tab_Data_Flows[[#This Row],[DM_'[%']]],"N.A.")</f>
        <v/>
      </c>
      <c r="AK141" s="272">
        <f>Tab_Data_Flows[[#This Row],[UoM_Flow_Py]]</f>
        <v/>
      </c>
    </row>
    <row r="142">
      <c r="A142" s="296">
        <f>ROW()-1</f>
        <v/>
      </c>
      <c r="B142" s="272">
        <f>_xlfn.XLOOKUP(C142,Tab_Def_Flows[Name(EN)],Tab_Def_Flows[Flow_ID],,0,)</f>
        <v/>
      </c>
      <c r="C142" s="273" t="inlineStr">
        <is>
          <t>N.A.</t>
        </is>
      </c>
      <c r="D142" s="272" t="n"/>
      <c r="E142" s="272">
        <f>_xlfn.XLOOKUP(C142,Tab_Def_Flows[Name(EN)],Tab_Def_Flows[Output_Process],,0,)</f>
        <v/>
      </c>
      <c r="F142" s="272">
        <f>_xlfn.XLOOKUP(C142,Tab_Def_Flows[Name(EN)],Tab_Def_Flows[Process_ID_O],,0,)</f>
        <v/>
      </c>
      <c r="G142" s="272">
        <f>_xlfn.XLOOKUP(C142,Tab_Def_Flows[Name(EN)],Tab_Def_Flows[Input_Process],,0,)</f>
        <v/>
      </c>
      <c r="H142" s="17">
        <f>_xlfn.XLOOKUP(C142,Tab_Def_Flows[Name(EN)],Tab_Def_Flows[Process_ID_I],,0,)</f>
        <v/>
      </c>
      <c r="I142" s="272">
        <f>_xlfn.XLOOKUP(C142,Tab_Def_Flows[Name(EN)],#REF!,,0,)</f>
        <v/>
      </c>
      <c r="J142" s="272">
        <f>_xlfn.XLOOKUP(C142,Tab_Def_Flows[Name(EN)],Tab_Def_Flows[WC?],,0,)</f>
        <v/>
      </c>
      <c r="K142" s="272">
        <f>_xlfn.XLOOKUP(C142,Tab_Def_Flows[Name(EN)],Tab_Def_Flows[DM?],,0,)</f>
        <v/>
      </c>
      <c r="L142" s="272">
        <f>_xlfn.XLOOKUP(C142,Tab_Def_Flows[Name(EN)],Tab_Def_Flows[CC?],,0,)</f>
        <v/>
      </c>
      <c r="M142" s="273" t="n"/>
      <c r="N142" s="273" t="n"/>
      <c r="O142" s="48" t="n"/>
      <c r="P142" s="273" t="n"/>
      <c r="Q142" s="273" t="n"/>
      <c r="R142" s="273">
        <f>INDEX(#REF!,MATCH(Tab_Data_Flows[[#This Row],[Name(EN)]],#REF!,0),12)</f>
        <v/>
      </c>
      <c r="S142" s="273">
        <f>MATCH(Tab_Data_Flows[[#This Row],[Name(EN)]],#REF!,0)</f>
        <v/>
      </c>
      <c r="T142" s="273" t="n"/>
      <c r="U142" s="273" t="n"/>
      <c r="V142" s="273" t="n"/>
      <c r="W142" s="273" t="n"/>
      <c r="X142" s="273" t="inlineStr">
        <is>
          <t>No</t>
        </is>
      </c>
      <c r="Y142" s="273" t="n"/>
      <c r="Z142" s="273" t="n"/>
      <c r="AA142" s="35">
        <f>IF(X142="no",O142,O142*Y142)</f>
        <v/>
      </c>
      <c r="AB142" s="273" t="inlineStr">
        <is>
          <t>Mg</t>
        </is>
      </c>
      <c r="AC142" s="190">
        <f>INDEX(Tab_Def_Flows[[Flow_ID]:[CC_DM_source]],MATCH(Tab_Data_Flows[[#This Row],[Name(EN)]],Tab_Def_Flows[Name(EN)],0),13)</f>
        <v/>
      </c>
      <c r="AD142" s="272">
        <f>IF(J142="Yes",AA142*Tab_Data_Flows[[#This Row],[WC_'[%']]],"N.A.")</f>
        <v/>
      </c>
      <c r="AE142" s="272">
        <f>Tab_Data_Flows[[#This Row],[UoM_Flow_Py]]</f>
        <v/>
      </c>
      <c r="AF142" s="190">
        <f>INDEX(Tab_Def_Flows[[Flow_ID]:[CC_DM_source]],MATCH(Tab_Data_Flows[[#This Row],[Name(EN)]],Tab_Def_Flows[Name(EN)],0),15)</f>
        <v/>
      </c>
      <c r="AG142" s="272">
        <f>IF(K142="Yes",AF142*Tab_Data_Flows[[#This Row],[Flow_Py]]-AJ258,"N.A.")</f>
        <v/>
      </c>
      <c r="AH142" s="272">
        <f>Tab_Data_Flows[[#This Row],[UoM_Flow_Py]]</f>
        <v/>
      </c>
      <c r="AI142" s="190">
        <f>INDEX(Tab_Def_Flows[[Flow_ID]:[CC_DM_source]],MATCH(Tab_Data_Flows[[#This Row],[Name(EN)]],Tab_Def_Flows[Name(EN)],0),17)</f>
        <v/>
      </c>
      <c r="AJ142" s="272">
        <f>IF(L142="Yes",AI142*Tab_Data_Flows[[#This Row],[Flow_Py]]*Tab_Data_Flows[[#This Row],[DM_'[%']]],"N.A.")</f>
        <v/>
      </c>
      <c r="AK142" s="272">
        <f>Tab_Data_Flows[[#This Row],[UoM_Flow_Py]]</f>
        <v/>
      </c>
    </row>
    <row r="143">
      <c r="A143" s="296">
        <f>ROW()-1</f>
        <v/>
      </c>
      <c r="B143" s="272">
        <f>_xlfn.XLOOKUP(C143,Tab_Def_Flows[Name(EN)],Tab_Def_Flows[Flow_ID],,0,)</f>
        <v/>
      </c>
      <c r="C143" s="273" t="inlineStr">
        <is>
          <t>N.A.</t>
        </is>
      </c>
      <c r="D143" s="272" t="n"/>
      <c r="E143" s="272">
        <f>_xlfn.XLOOKUP(C143,Tab_Def_Flows[Name(EN)],Tab_Def_Flows[Output_Process],,0,)</f>
        <v/>
      </c>
      <c r="F143" s="272">
        <f>_xlfn.XLOOKUP(C143,Tab_Def_Flows[Name(EN)],Tab_Def_Flows[Process_ID_O],,0,)</f>
        <v/>
      </c>
      <c r="G143" s="272">
        <f>_xlfn.XLOOKUP(C143,Tab_Def_Flows[Name(EN)],Tab_Def_Flows[Input_Process],,0,)</f>
        <v/>
      </c>
      <c r="H143" s="17">
        <f>_xlfn.XLOOKUP(C143,Tab_Def_Flows[Name(EN)],Tab_Def_Flows[Process_ID_I],,0,)</f>
        <v/>
      </c>
      <c r="I143" s="272">
        <f>_xlfn.XLOOKUP(C143,Tab_Def_Flows[Name(EN)],#REF!,,0,)</f>
        <v/>
      </c>
      <c r="J143" s="272">
        <f>_xlfn.XLOOKUP(C143,Tab_Def_Flows[Name(EN)],Tab_Def_Flows[WC?],,0,)</f>
        <v/>
      </c>
      <c r="K143" s="272">
        <f>_xlfn.XLOOKUP(C143,Tab_Def_Flows[Name(EN)],Tab_Def_Flows[DM?],,0,)</f>
        <v/>
      </c>
      <c r="L143" s="272">
        <f>_xlfn.XLOOKUP(C143,Tab_Def_Flows[Name(EN)],Tab_Def_Flows[CC?],,0,)</f>
        <v/>
      </c>
      <c r="M143" s="273" t="n"/>
      <c r="N143" s="273" t="n"/>
      <c r="O143" s="48" t="n"/>
      <c r="P143" s="273" t="n"/>
      <c r="Q143" s="273" t="n"/>
      <c r="R143" s="273">
        <f>INDEX(#REF!,MATCH(Tab_Data_Flows[[#This Row],[Name(EN)]],#REF!,0),12)</f>
        <v/>
      </c>
      <c r="S143" s="273">
        <f>MATCH(Tab_Data_Flows[[#This Row],[Name(EN)]],#REF!,0)</f>
        <v/>
      </c>
      <c r="T143" s="273" t="n"/>
      <c r="U143" s="273" t="n"/>
      <c r="V143" s="273" t="n"/>
      <c r="W143" s="273" t="n"/>
      <c r="X143" s="273" t="inlineStr">
        <is>
          <t>No</t>
        </is>
      </c>
      <c r="Y143" s="273" t="n"/>
      <c r="Z143" s="273" t="n"/>
      <c r="AA143" s="35">
        <f>IF(X143="no",O143,O143*Y143)</f>
        <v/>
      </c>
      <c r="AB143" s="273" t="inlineStr">
        <is>
          <t>Mg</t>
        </is>
      </c>
      <c r="AC143" s="190">
        <f>INDEX(Tab_Def_Flows[[Flow_ID]:[CC_DM_source]],MATCH(Tab_Data_Flows[[#This Row],[Name(EN)]],Tab_Def_Flows[Name(EN)],0),13)</f>
        <v/>
      </c>
      <c r="AD143" s="272">
        <f>IF(J143="Yes",AA143*Tab_Data_Flows[[#This Row],[WC_'[%']]],"N.A.")</f>
        <v/>
      </c>
      <c r="AE143" s="272">
        <f>Tab_Data_Flows[[#This Row],[UoM_Flow_Py]]</f>
        <v/>
      </c>
      <c r="AF143" s="190">
        <f>INDEX(Tab_Def_Flows[[Flow_ID]:[CC_DM_source]],MATCH(Tab_Data_Flows[[#This Row],[Name(EN)]],Tab_Def_Flows[Name(EN)],0),15)</f>
        <v/>
      </c>
      <c r="AG143" s="272">
        <f>IF(K143="Yes",AF143*Tab_Data_Flows[[#This Row],[Flow_Py]]-AJ259,"N.A.")</f>
        <v/>
      </c>
      <c r="AH143" s="272">
        <f>Tab_Data_Flows[[#This Row],[UoM_Flow_Py]]</f>
        <v/>
      </c>
      <c r="AI143" s="190">
        <f>INDEX(Tab_Def_Flows[[Flow_ID]:[CC_DM_source]],MATCH(Tab_Data_Flows[[#This Row],[Name(EN)]],Tab_Def_Flows[Name(EN)],0),17)</f>
        <v/>
      </c>
      <c r="AJ143" s="272">
        <f>IF(L143="Yes",AI143*Tab_Data_Flows[[#This Row],[Flow_Py]]*Tab_Data_Flows[[#This Row],[DM_'[%']]],"N.A.")</f>
        <v/>
      </c>
      <c r="AK143" s="272">
        <f>Tab_Data_Flows[[#This Row],[UoM_Flow_Py]]</f>
        <v/>
      </c>
    </row>
    <row r="144">
      <c r="A144" s="296">
        <f>ROW()-1</f>
        <v/>
      </c>
      <c r="B144" s="272">
        <f>_xlfn.XLOOKUP(C144,Tab_Def_Flows[Name(EN)],Tab_Def_Flows[Flow_ID],,0,)</f>
        <v/>
      </c>
      <c r="C144" s="273" t="inlineStr">
        <is>
          <t>N.A.</t>
        </is>
      </c>
      <c r="D144" s="272" t="n"/>
      <c r="E144" s="272">
        <f>_xlfn.XLOOKUP(C144,Tab_Def_Flows[Name(EN)],Tab_Def_Flows[Output_Process],,0,)</f>
        <v/>
      </c>
      <c r="F144" s="272">
        <f>_xlfn.XLOOKUP(C144,Tab_Def_Flows[Name(EN)],Tab_Def_Flows[Process_ID_O],,0,)</f>
        <v/>
      </c>
      <c r="G144" s="272">
        <f>_xlfn.XLOOKUP(C144,Tab_Def_Flows[Name(EN)],Tab_Def_Flows[Input_Process],,0,)</f>
        <v/>
      </c>
      <c r="H144" s="17">
        <f>_xlfn.XLOOKUP(C144,Tab_Def_Flows[Name(EN)],Tab_Def_Flows[Process_ID_I],,0,)</f>
        <v/>
      </c>
      <c r="I144" s="272">
        <f>_xlfn.XLOOKUP(C144,Tab_Def_Flows[Name(EN)],#REF!,,0,)</f>
        <v/>
      </c>
      <c r="J144" s="272">
        <f>_xlfn.XLOOKUP(C144,Tab_Def_Flows[Name(EN)],Tab_Def_Flows[WC?],,0,)</f>
        <v/>
      </c>
      <c r="K144" s="272">
        <f>_xlfn.XLOOKUP(C144,Tab_Def_Flows[Name(EN)],Tab_Def_Flows[DM?],,0,)</f>
        <v/>
      </c>
      <c r="L144" s="272">
        <f>_xlfn.XLOOKUP(C144,Tab_Def_Flows[Name(EN)],Tab_Def_Flows[CC?],,0,)</f>
        <v/>
      </c>
      <c r="M144" s="273" t="n"/>
      <c r="N144" s="273" t="n"/>
      <c r="O144" s="48" t="n"/>
      <c r="P144" s="273" t="n"/>
      <c r="Q144" s="273" t="n"/>
      <c r="R144" s="273">
        <f>INDEX(#REF!,MATCH(Tab_Data_Flows[[#This Row],[Name(EN)]],#REF!,0),12)</f>
        <v/>
      </c>
      <c r="S144" s="273">
        <f>MATCH(Tab_Data_Flows[[#This Row],[Name(EN)]],#REF!,0)</f>
        <v/>
      </c>
      <c r="T144" s="273" t="n"/>
      <c r="U144" s="273" t="n"/>
      <c r="V144" s="273" t="n"/>
      <c r="W144" s="273" t="n"/>
      <c r="X144" s="273" t="inlineStr">
        <is>
          <t>No</t>
        </is>
      </c>
      <c r="Y144" s="273" t="n"/>
      <c r="Z144" s="273" t="n"/>
      <c r="AA144" s="35">
        <f>IF(X144="no",O144,O144*Y144)</f>
        <v/>
      </c>
      <c r="AB144" s="273" t="inlineStr">
        <is>
          <t>Mg</t>
        </is>
      </c>
      <c r="AC144" s="190">
        <f>INDEX(Tab_Def_Flows[[Flow_ID]:[CC_DM_source]],MATCH(Tab_Data_Flows[[#This Row],[Name(EN)]],Tab_Def_Flows[Name(EN)],0),13)</f>
        <v/>
      </c>
      <c r="AD144" s="272">
        <f>IF(J144="Yes",AA144*Tab_Data_Flows[[#This Row],[WC_'[%']]],"N.A.")</f>
        <v/>
      </c>
      <c r="AE144" s="272">
        <f>Tab_Data_Flows[[#This Row],[UoM_Flow_Py]]</f>
        <v/>
      </c>
      <c r="AF144" s="190">
        <f>INDEX(Tab_Def_Flows[[Flow_ID]:[CC_DM_source]],MATCH(Tab_Data_Flows[[#This Row],[Name(EN)]],Tab_Def_Flows[Name(EN)],0),15)</f>
        <v/>
      </c>
      <c r="AG144" s="272">
        <f>IF(K144="Yes",AF144*Tab_Data_Flows[[#This Row],[Flow_Py]]-AJ260,"N.A.")</f>
        <v/>
      </c>
      <c r="AH144" s="272">
        <f>Tab_Data_Flows[[#This Row],[UoM_Flow_Py]]</f>
        <v/>
      </c>
      <c r="AI144" s="190">
        <f>INDEX(Tab_Def_Flows[[Flow_ID]:[CC_DM_source]],MATCH(Tab_Data_Flows[[#This Row],[Name(EN)]],Tab_Def_Flows[Name(EN)],0),17)</f>
        <v/>
      </c>
      <c r="AJ144" s="272">
        <f>IF(L144="Yes",AI144*Tab_Data_Flows[[#This Row],[Flow_Py]]*Tab_Data_Flows[[#This Row],[DM_'[%']]],"N.A.")</f>
        <v/>
      </c>
      <c r="AK144" s="272">
        <f>Tab_Data_Flows[[#This Row],[UoM_Flow_Py]]</f>
        <v/>
      </c>
    </row>
    <row r="145">
      <c r="A145" s="296">
        <f>ROW()-1</f>
        <v/>
      </c>
      <c r="B145" s="272">
        <f>_xlfn.XLOOKUP(C145,Tab_Def_Flows[Name(EN)],Tab_Def_Flows[Flow_ID],,0,)</f>
        <v/>
      </c>
      <c r="C145" s="273" t="inlineStr">
        <is>
          <t>N.A.</t>
        </is>
      </c>
      <c r="D145" s="272" t="n"/>
      <c r="E145" s="272">
        <f>_xlfn.XLOOKUP(C145,Tab_Def_Flows[Name(EN)],Tab_Def_Flows[Output_Process],,0,)</f>
        <v/>
      </c>
      <c r="F145" s="272">
        <f>_xlfn.XLOOKUP(C145,Tab_Def_Flows[Name(EN)],Tab_Def_Flows[Process_ID_O],,0,)</f>
        <v/>
      </c>
      <c r="G145" s="272">
        <f>_xlfn.XLOOKUP(C145,Tab_Def_Flows[Name(EN)],Tab_Def_Flows[Input_Process],,0,)</f>
        <v/>
      </c>
      <c r="H145" s="17">
        <f>_xlfn.XLOOKUP(C145,Tab_Def_Flows[Name(EN)],Tab_Def_Flows[Process_ID_I],,0,)</f>
        <v/>
      </c>
      <c r="I145" s="272">
        <f>_xlfn.XLOOKUP(C145,Tab_Def_Flows[Name(EN)],#REF!,,0,)</f>
        <v/>
      </c>
      <c r="J145" s="272">
        <f>_xlfn.XLOOKUP(C145,Tab_Def_Flows[Name(EN)],Tab_Def_Flows[WC?],,0,)</f>
        <v/>
      </c>
      <c r="K145" s="272">
        <f>_xlfn.XLOOKUP(C145,Tab_Def_Flows[Name(EN)],Tab_Def_Flows[DM?],,0,)</f>
        <v/>
      </c>
      <c r="L145" s="272">
        <f>_xlfn.XLOOKUP(C145,Tab_Def_Flows[Name(EN)],Tab_Def_Flows[CC?],,0,)</f>
        <v/>
      </c>
      <c r="M145" s="273" t="n"/>
      <c r="N145" s="273" t="n"/>
      <c r="O145" s="48" t="n"/>
      <c r="P145" s="273" t="n"/>
      <c r="Q145" s="273" t="n"/>
      <c r="R145" s="273">
        <f>INDEX(#REF!,MATCH(Tab_Data_Flows[[#This Row],[Name(EN)]],#REF!,0),12)</f>
        <v/>
      </c>
      <c r="S145" s="273">
        <f>MATCH(Tab_Data_Flows[[#This Row],[Name(EN)]],#REF!,0)</f>
        <v/>
      </c>
      <c r="T145" s="273" t="n"/>
      <c r="U145" s="273" t="n"/>
      <c r="V145" s="273" t="n"/>
      <c r="W145" s="273" t="n"/>
      <c r="X145" s="273" t="inlineStr">
        <is>
          <t>No</t>
        </is>
      </c>
      <c r="Y145" s="273" t="n"/>
      <c r="Z145" s="273" t="n"/>
      <c r="AA145" s="35">
        <f>IF(X145="no",O145,O145*Y145)</f>
        <v/>
      </c>
      <c r="AB145" s="273" t="inlineStr">
        <is>
          <t>Mg</t>
        </is>
      </c>
      <c r="AC145" s="190">
        <f>INDEX(Tab_Def_Flows[[Flow_ID]:[CC_DM_source]],MATCH(Tab_Data_Flows[[#This Row],[Name(EN)]],Tab_Def_Flows[Name(EN)],0),13)</f>
        <v/>
      </c>
      <c r="AD145" s="272">
        <f>IF(J145="Yes",AA145*Tab_Data_Flows[[#This Row],[WC_'[%']]],"N.A.")</f>
        <v/>
      </c>
      <c r="AE145" s="272">
        <f>Tab_Data_Flows[[#This Row],[UoM_Flow_Py]]</f>
        <v/>
      </c>
      <c r="AF145" s="190">
        <f>INDEX(Tab_Def_Flows[[Flow_ID]:[CC_DM_source]],MATCH(Tab_Data_Flows[[#This Row],[Name(EN)]],Tab_Def_Flows[Name(EN)],0),15)</f>
        <v/>
      </c>
      <c r="AG145" s="272">
        <f>IF(K145="Yes",AF145*Tab_Data_Flows[[#This Row],[Flow_Py]]-AJ261,"N.A.")</f>
        <v/>
      </c>
      <c r="AH145" s="272">
        <f>Tab_Data_Flows[[#This Row],[UoM_Flow_Py]]</f>
        <v/>
      </c>
      <c r="AI145" s="190">
        <f>INDEX(Tab_Def_Flows[[Flow_ID]:[CC_DM_source]],MATCH(Tab_Data_Flows[[#This Row],[Name(EN)]],Tab_Def_Flows[Name(EN)],0),17)</f>
        <v/>
      </c>
      <c r="AJ145" s="272">
        <f>IF(L145="Yes",AI145*Tab_Data_Flows[[#This Row],[Flow_Py]]*Tab_Data_Flows[[#This Row],[DM_'[%']]],"N.A.")</f>
        <v/>
      </c>
      <c r="AK145" s="272">
        <f>Tab_Data_Flows[[#This Row],[UoM_Flow_Py]]</f>
        <v/>
      </c>
    </row>
    <row r="146">
      <c r="A146" s="296">
        <f>ROW()-1</f>
        <v/>
      </c>
      <c r="B146" s="272">
        <f>_xlfn.XLOOKUP(C146,Tab_Def_Flows[Name(EN)],Tab_Def_Flows[Flow_ID],,0,)</f>
        <v/>
      </c>
      <c r="C146" s="273" t="inlineStr">
        <is>
          <t>N.A.</t>
        </is>
      </c>
      <c r="D146" s="272" t="n"/>
      <c r="E146" s="272">
        <f>_xlfn.XLOOKUP(C146,Tab_Def_Flows[Name(EN)],Tab_Def_Flows[Output_Process],,0,)</f>
        <v/>
      </c>
      <c r="F146" s="272">
        <f>_xlfn.XLOOKUP(C146,Tab_Def_Flows[Name(EN)],Tab_Def_Flows[Process_ID_O],,0,)</f>
        <v/>
      </c>
      <c r="G146" s="272">
        <f>_xlfn.XLOOKUP(C146,Tab_Def_Flows[Name(EN)],Tab_Def_Flows[Input_Process],,0,)</f>
        <v/>
      </c>
      <c r="H146" s="17">
        <f>_xlfn.XLOOKUP(C146,Tab_Def_Flows[Name(EN)],Tab_Def_Flows[Process_ID_I],,0,)</f>
        <v/>
      </c>
      <c r="I146" s="272">
        <f>_xlfn.XLOOKUP(C146,Tab_Def_Flows[Name(EN)],#REF!,,0,)</f>
        <v/>
      </c>
      <c r="J146" s="272">
        <f>_xlfn.XLOOKUP(C146,Tab_Def_Flows[Name(EN)],Tab_Def_Flows[WC?],,0,)</f>
        <v/>
      </c>
      <c r="K146" s="272">
        <f>_xlfn.XLOOKUP(C146,Tab_Def_Flows[Name(EN)],Tab_Def_Flows[DM?],,0,)</f>
        <v/>
      </c>
      <c r="L146" s="272">
        <f>_xlfn.XLOOKUP(C146,Tab_Def_Flows[Name(EN)],Tab_Def_Flows[CC?],,0,)</f>
        <v/>
      </c>
      <c r="M146" s="273" t="n"/>
      <c r="N146" s="273" t="n"/>
      <c r="O146" s="48" t="n"/>
      <c r="P146" s="273" t="n"/>
      <c r="Q146" s="273" t="n"/>
      <c r="R146" s="273">
        <f>INDEX(#REF!,MATCH(Tab_Data_Flows[[#This Row],[Name(EN)]],#REF!,0),12)</f>
        <v/>
      </c>
      <c r="S146" s="273">
        <f>MATCH(Tab_Data_Flows[[#This Row],[Name(EN)]],#REF!,0)</f>
        <v/>
      </c>
      <c r="T146" s="273" t="n"/>
      <c r="U146" s="273" t="n"/>
      <c r="V146" s="273" t="n"/>
      <c r="W146" s="273" t="n"/>
      <c r="X146" s="273" t="inlineStr">
        <is>
          <t>No</t>
        </is>
      </c>
      <c r="Y146" s="273" t="n"/>
      <c r="Z146" s="273" t="n"/>
      <c r="AA146" s="35">
        <f>IF(X146="no",O146,O146*Y146)</f>
        <v/>
      </c>
      <c r="AB146" s="273" t="inlineStr">
        <is>
          <t>Mg</t>
        </is>
      </c>
      <c r="AC146" s="190">
        <f>INDEX(Tab_Def_Flows[[Flow_ID]:[CC_DM_source]],MATCH(Tab_Data_Flows[[#This Row],[Name(EN)]],Tab_Def_Flows[Name(EN)],0),13)</f>
        <v/>
      </c>
      <c r="AD146" s="272">
        <f>IF(J146="Yes",AA146*Tab_Data_Flows[[#This Row],[WC_'[%']]],"N.A.")</f>
        <v/>
      </c>
      <c r="AE146" s="272">
        <f>Tab_Data_Flows[[#This Row],[UoM_Flow_Py]]</f>
        <v/>
      </c>
      <c r="AF146" s="190">
        <f>INDEX(Tab_Def_Flows[[Flow_ID]:[CC_DM_source]],MATCH(Tab_Data_Flows[[#This Row],[Name(EN)]],Tab_Def_Flows[Name(EN)],0),15)</f>
        <v/>
      </c>
      <c r="AG146" s="272">
        <f>IF(K146="Yes",AF146*Tab_Data_Flows[[#This Row],[Flow_Py]]-AJ262,"N.A.")</f>
        <v/>
      </c>
      <c r="AH146" s="272">
        <f>Tab_Data_Flows[[#This Row],[UoM_Flow_Py]]</f>
        <v/>
      </c>
      <c r="AI146" s="190">
        <f>INDEX(Tab_Def_Flows[[Flow_ID]:[CC_DM_source]],MATCH(Tab_Data_Flows[[#This Row],[Name(EN)]],Tab_Def_Flows[Name(EN)],0),17)</f>
        <v/>
      </c>
      <c r="AJ146" s="272">
        <f>IF(L146="Yes",AI146*Tab_Data_Flows[[#This Row],[Flow_Py]]*Tab_Data_Flows[[#This Row],[DM_'[%']]],"N.A.")</f>
        <v/>
      </c>
      <c r="AK146" s="272">
        <f>Tab_Data_Flows[[#This Row],[UoM_Flow_Py]]</f>
        <v/>
      </c>
    </row>
    <row r="147">
      <c r="A147" s="296">
        <f>ROW()-1</f>
        <v/>
      </c>
      <c r="B147" s="272">
        <f>_xlfn.XLOOKUP(C147,Tab_Def_Flows[Name(EN)],Tab_Def_Flows[Flow_ID],,0,)</f>
        <v/>
      </c>
      <c r="C147" s="273" t="inlineStr">
        <is>
          <t>N.A.</t>
        </is>
      </c>
      <c r="D147" s="272">
        <f>_xlfn.XLOOKUP(C147,Tab_Def_Flows[Name(EN)],Tab_Def_Flows[Type_Biomass],,0,)</f>
        <v/>
      </c>
      <c r="E147" s="272">
        <f>_xlfn.XLOOKUP(C147,Tab_Def_Flows[Name(EN)],Tab_Def_Flows[Output_Process],,0,)</f>
        <v/>
      </c>
      <c r="F147" s="272">
        <f>_xlfn.XLOOKUP(C147,Tab_Def_Flows[Name(EN)],Tab_Def_Flows[Process_ID_O],,0,)</f>
        <v/>
      </c>
      <c r="G147" s="272">
        <f>_xlfn.XLOOKUP(C147,Tab_Def_Flows[Name(EN)],Tab_Def_Flows[Input_Process],,0,)</f>
        <v/>
      </c>
      <c r="H147" s="17">
        <f>_xlfn.XLOOKUP(C147,Tab_Def_Flows[Name(EN)],Tab_Def_Flows[Process_ID_I],,0,)</f>
        <v/>
      </c>
      <c r="I147" s="17">
        <f>_xlfn.XLOOKUP(C147,Tab_Def_Flows[Name(EN)],#REF!,,0,)</f>
        <v/>
      </c>
      <c r="J147" s="17">
        <f>_xlfn.XLOOKUP(C147,Tab_Def_Flows[Name(EN)],Tab_Def_Flows[WC?],,0,)</f>
        <v/>
      </c>
      <c r="K147" s="17">
        <f>_xlfn.XLOOKUP(C147,Tab_Def_Flows[Name(EN)],Tab_Def_Flows[DM?],,0,)</f>
        <v/>
      </c>
      <c r="L147" s="17">
        <f>_xlfn.XLOOKUP(C147,Tab_Def_Flows[Name(EN)],Tab_Def_Flows[CC?],,0,)</f>
        <v/>
      </c>
      <c r="M147" s="273" t="n"/>
      <c r="N147" s="273" t="inlineStr">
        <is>
          <t>BB</t>
        </is>
      </c>
      <c r="O147" s="48" t="n"/>
      <c r="P147" s="273" t="n"/>
      <c r="Q147" s="273" t="n"/>
      <c r="R147" s="273" t="n"/>
      <c r="S147" s="273" t="n"/>
      <c r="T147" s="273" t="n"/>
      <c r="U147" s="273" t="n"/>
      <c r="V147" s="273" t="n"/>
      <c r="W147" s="273" t="n"/>
      <c r="X147" s="273" t="inlineStr">
        <is>
          <t>No</t>
        </is>
      </c>
      <c r="Y147" s="41" t="n"/>
      <c r="Z147" s="273" t="n"/>
      <c r="AA147" s="35">
        <f>IF(X147="no",O147,O147*Y147)</f>
        <v/>
      </c>
      <c r="AB147" s="273" t="inlineStr">
        <is>
          <t>Mg</t>
        </is>
      </c>
      <c r="AC147" s="190">
        <f>INDEX(Tab_Def_Flows[[Flow_ID]:[CC_DM_source]],MATCH(Tab_Data_Flows[[#This Row],[Name(EN)]],Tab_Def_Flows[Name(EN)],0),13)</f>
        <v/>
      </c>
      <c r="AD147" s="272">
        <f>IF(J147="Yes",AA147*Tab_Data_Flows[[#This Row],[WC_'[%']]],"N.A.")</f>
        <v/>
      </c>
      <c r="AE147" s="272">
        <f>Tab_Data_Flows[[#This Row],[UoM_Flow_Py]]</f>
        <v/>
      </c>
      <c r="AF147" s="190">
        <f>INDEX(Tab_Def_Flows[[Flow_ID]:[CC_DM_source]],MATCH(Tab_Data_Flows[[#This Row],[Name(EN)]],Tab_Def_Flows[Name(EN)],0),15)</f>
        <v/>
      </c>
      <c r="AG147" s="272">
        <f>IF(K147="Yes",AF147*Tab_Data_Flows[[#This Row],[Flow_Py]],"N.A.")</f>
        <v/>
      </c>
      <c r="AH147" s="272">
        <f>Tab_Data_Flows[[#This Row],[UoM_Flow_Py]]</f>
        <v/>
      </c>
      <c r="AI147" s="190">
        <f>INDEX(Tab_Def_Flows[[Flow_ID]:[CC_DM_source]],MATCH(Tab_Data_Flows[[#This Row],[Name(EN)]],Tab_Def_Flows[Name(EN)],0),17)</f>
        <v/>
      </c>
      <c r="AJ147" s="272">
        <f>IF(L147="Yes",AI147*Tab_Data_Flows[[#This Row],[Flow_Py]]*Tab_Data_Flows[[#This Row],[DM_'[%']]],"N.A.")</f>
        <v/>
      </c>
      <c r="AK147" s="272">
        <f>Tab_Data_Flows[[#This Row],[UoM_Flow_Py]]</f>
        <v/>
      </c>
    </row>
    <row r="148">
      <c r="A148" s="296">
        <f>ROW()-1</f>
        <v/>
      </c>
      <c r="B148" s="272">
        <f>_xlfn.XLOOKUP(C148,Tab_Def_Flows[Name(EN)],Tab_Def_Flows[Flow_ID],,0,)</f>
        <v/>
      </c>
      <c r="C148" s="273" t="inlineStr">
        <is>
          <t>N.A.</t>
        </is>
      </c>
      <c r="D148" s="272">
        <f>_xlfn.XLOOKUP(C148,Tab_Def_Flows[Name(EN)],Tab_Def_Flows[Type_Biomass],,0,)</f>
        <v/>
      </c>
      <c r="E148" s="272">
        <f>_xlfn.XLOOKUP(C148,Tab_Def_Flows[Name(EN)],Tab_Def_Flows[Output_Process],,0,)</f>
        <v/>
      </c>
      <c r="F148" s="272">
        <f>_xlfn.XLOOKUP(C148,Tab_Def_Flows[Name(EN)],Tab_Def_Flows[Process_ID_O],,0,)</f>
        <v/>
      </c>
      <c r="G148" s="272">
        <f>_xlfn.XLOOKUP(C148,Tab_Def_Flows[Name(EN)],Tab_Def_Flows[Input_Process],,0,)</f>
        <v/>
      </c>
      <c r="H148" s="17">
        <f>_xlfn.XLOOKUP(C148,Tab_Def_Flows[Name(EN)],Tab_Def_Flows[Process_ID_I],,0,)</f>
        <v/>
      </c>
      <c r="I148" s="17">
        <f>_xlfn.XLOOKUP(C148,Tab_Def_Flows[Name(EN)],#REF!,,0,)</f>
        <v/>
      </c>
      <c r="J148" s="17">
        <f>_xlfn.XLOOKUP(C148,Tab_Def_Flows[Name(EN)],Tab_Def_Flows[WC?],,0,)</f>
        <v/>
      </c>
      <c r="K148" s="17">
        <f>_xlfn.XLOOKUP(C148,Tab_Def_Flows[Name(EN)],Tab_Def_Flows[DM?],,0,)</f>
        <v/>
      </c>
      <c r="L148" s="17">
        <f>_xlfn.XLOOKUP(C148,Tab_Def_Flows[Name(EN)],Tab_Def_Flows[CC?],,0,)</f>
        <v/>
      </c>
      <c r="M148" s="273" t="n"/>
      <c r="N148" s="273" t="inlineStr">
        <is>
          <t>BB</t>
        </is>
      </c>
      <c r="O148" s="48" t="n"/>
      <c r="P148" s="273" t="n"/>
      <c r="Q148" s="273" t="n"/>
      <c r="R148" s="273" t="n"/>
      <c r="S148" s="273" t="n"/>
      <c r="T148" s="273" t="n"/>
      <c r="U148" s="273" t="n"/>
      <c r="V148" s="273" t="n"/>
      <c r="W148" s="273" t="n"/>
      <c r="X148" s="273" t="inlineStr">
        <is>
          <t>No</t>
        </is>
      </c>
      <c r="Y148" s="41" t="n"/>
      <c r="Z148" s="273" t="n"/>
      <c r="AA148" s="35">
        <f>IF(X148="no",O148,O148*Y148)</f>
        <v/>
      </c>
      <c r="AB148" s="273" t="inlineStr">
        <is>
          <t>Mg</t>
        </is>
      </c>
      <c r="AC148" s="190">
        <f>INDEX(Tab_Def_Flows[[Flow_ID]:[CC_DM_source]],MATCH(Tab_Data_Flows[[#This Row],[Name(EN)]],Tab_Def_Flows[Name(EN)],0),13)</f>
        <v/>
      </c>
      <c r="AD148" s="272">
        <f>IF(J148="Yes",AA148*Tab_Data_Flows[[#This Row],[WC_'[%']]],"N.A.")</f>
        <v/>
      </c>
      <c r="AE148" s="272">
        <f>Tab_Data_Flows[[#This Row],[UoM_Flow_Py]]</f>
        <v/>
      </c>
      <c r="AF148" s="190">
        <f>INDEX(Tab_Def_Flows[[Flow_ID]:[CC_DM_source]],MATCH(Tab_Data_Flows[[#This Row],[Name(EN)]],Tab_Def_Flows[Name(EN)],0),15)</f>
        <v/>
      </c>
      <c r="AG148" s="272">
        <f>IF(K148="Yes",AF148*Tab_Data_Flows[[#This Row],[Flow_Py]]-AJ264,"N.A.")</f>
        <v/>
      </c>
      <c r="AH148" s="272">
        <f>Tab_Data_Flows[[#This Row],[UoM_Flow_Py]]</f>
        <v/>
      </c>
      <c r="AI148" s="190">
        <f>INDEX(Tab_Def_Flows[[Flow_ID]:[CC_DM_source]],MATCH(Tab_Data_Flows[[#This Row],[Name(EN)]],Tab_Def_Flows[Name(EN)],0),17)</f>
        <v/>
      </c>
      <c r="AJ148" s="272">
        <f>IF(L148="Yes",AI148*Tab_Data_Flows[[#This Row],[Flow_Py]]*Tab_Data_Flows[[#This Row],[DM_'[%']]],"N.A.")</f>
        <v/>
      </c>
      <c r="AK148" s="272">
        <f>Tab_Data_Flows[[#This Row],[UoM_Flow_Py]]</f>
        <v/>
      </c>
    </row>
    <row r="149">
      <c r="A149" s="296">
        <f>ROW()-1</f>
        <v/>
      </c>
      <c r="B149" s="272">
        <f>_xlfn.XLOOKUP(C149,Tab_Def_Flows[Name(EN)],Tab_Def_Flows[Flow_ID],,0,)</f>
        <v/>
      </c>
      <c r="C149" s="273" t="inlineStr">
        <is>
          <t>N.A.</t>
        </is>
      </c>
      <c r="D149" s="272">
        <f>_xlfn.XLOOKUP(C149,Tab_Def_Flows[Name(EN)],Tab_Def_Flows[Type_Biomass],,0,)</f>
        <v/>
      </c>
      <c r="E149" s="272">
        <f>_xlfn.XLOOKUP(C149,Tab_Def_Flows[Name(EN)],Tab_Def_Flows[Output_Process],,0,)</f>
        <v/>
      </c>
      <c r="F149" s="272">
        <f>_xlfn.XLOOKUP(C149,Tab_Def_Flows[Name(EN)],Tab_Def_Flows[Process_ID_O],,0,)</f>
        <v/>
      </c>
      <c r="G149" s="272">
        <f>_xlfn.XLOOKUP(C149,Tab_Def_Flows[Name(EN)],Tab_Def_Flows[Input_Process],,0,)</f>
        <v/>
      </c>
      <c r="H149" s="17">
        <f>_xlfn.XLOOKUP(C149,Tab_Def_Flows[Name(EN)],Tab_Def_Flows[Process_ID_I],,0,)</f>
        <v/>
      </c>
      <c r="I149" s="17">
        <f>_xlfn.XLOOKUP(C149,Tab_Def_Flows[Name(EN)],#REF!,,0,)</f>
        <v/>
      </c>
      <c r="J149" s="17">
        <f>_xlfn.XLOOKUP(C149,Tab_Def_Flows[Name(EN)],Tab_Def_Flows[WC?],,0,)</f>
        <v/>
      </c>
      <c r="K149" s="17">
        <f>_xlfn.XLOOKUP(C149,Tab_Def_Flows[Name(EN)],Tab_Def_Flows[DM?],,0,)</f>
        <v/>
      </c>
      <c r="L149" s="17">
        <f>_xlfn.XLOOKUP(C149,Tab_Def_Flows[Name(EN)],Tab_Def_Flows[CC?],,0,)</f>
        <v/>
      </c>
      <c r="M149" s="273" t="n"/>
      <c r="N149" s="273" t="inlineStr">
        <is>
          <t>BB</t>
        </is>
      </c>
      <c r="O149" s="48" t="n"/>
      <c r="P149" s="273" t="n"/>
      <c r="Q149" s="273" t="n"/>
      <c r="R149" s="273" t="n"/>
      <c r="S149" s="273" t="n"/>
      <c r="T149" s="273" t="n"/>
      <c r="U149" s="273" t="n"/>
      <c r="V149" s="273" t="n"/>
      <c r="W149" s="273" t="n"/>
      <c r="X149" s="273" t="inlineStr">
        <is>
          <t>No</t>
        </is>
      </c>
      <c r="Y149" s="41" t="n"/>
      <c r="Z149" s="273" t="n"/>
      <c r="AA149" s="35">
        <f>IF(X149="no",O149,O149*Y149)</f>
        <v/>
      </c>
      <c r="AB149" s="273" t="inlineStr">
        <is>
          <t>Mg</t>
        </is>
      </c>
      <c r="AC149" s="190">
        <f>INDEX(Tab_Def_Flows[[Flow_ID]:[CC_DM_source]],MATCH(Tab_Data_Flows[[#This Row],[Name(EN)]],Tab_Def_Flows[Name(EN)],0),13)</f>
        <v/>
      </c>
      <c r="AD149" s="272">
        <f>IF(J149="Yes",AA149*Tab_Data_Flows[[#This Row],[WC_'[%']]],"N.A.")</f>
        <v/>
      </c>
      <c r="AE149" s="272">
        <f>Tab_Data_Flows[[#This Row],[UoM_Flow_Py]]</f>
        <v/>
      </c>
      <c r="AF149" s="190">
        <f>INDEX(Tab_Def_Flows[[Flow_ID]:[CC_DM_source]],MATCH(Tab_Data_Flows[[#This Row],[Name(EN)]],Tab_Def_Flows[Name(EN)],0),15)</f>
        <v/>
      </c>
      <c r="AG149" s="272">
        <f>IF(K149="Yes",AF149*Tab_Data_Flows[[#This Row],[Flow_Py]]-AJ265,"N.A.")</f>
        <v/>
      </c>
      <c r="AH149" s="272">
        <f>Tab_Data_Flows[[#This Row],[UoM_Flow_Py]]</f>
        <v/>
      </c>
      <c r="AI149" s="190">
        <f>INDEX(Tab_Def_Flows[[Flow_ID]:[CC_DM_source]],MATCH(Tab_Data_Flows[[#This Row],[Name(EN)]],Tab_Def_Flows[Name(EN)],0),17)</f>
        <v/>
      </c>
      <c r="AJ149" s="272">
        <f>IF(L149="Yes",AI149*Tab_Data_Flows[[#This Row],[Flow_Py]]*Tab_Data_Flows[[#This Row],[DM_'[%']]],"N.A.")</f>
        <v/>
      </c>
      <c r="AK149" s="272">
        <f>Tab_Data_Flows[[#This Row],[UoM_Flow_Py]]</f>
        <v/>
      </c>
    </row>
    <row r="150">
      <c r="A150" s="296">
        <f>ROW()-1</f>
        <v/>
      </c>
      <c r="B150" s="272">
        <f>_xlfn.XLOOKUP(C150,Tab_Def_Flows[Name(EN)],Tab_Def_Flows[Flow_ID],,0,)</f>
        <v/>
      </c>
      <c r="C150" s="273" t="inlineStr">
        <is>
          <t>N.A.</t>
        </is>
      </c>
      <c r="D150" s="272">
        <f>_xlfn.XLOOKUP(C150,Tab_Def_Flows[Name(EN)],Tab_Def_Flows[Type_Biomass],,0,)</f>
        <v/>
      </c>
      <c r="E150" s="272">
        <f>_xlfn.XLOOKUP(C150,Tab_Def_Flows[Name(EN)],Tab_Def_Flows[Output_Process],,0,)</f>
        <v/>
      </c>
      <c r="F150" s="272">
        <f>_xlfn.XLOOKUP(C150,Tab_Def_Flows[Name(EN)],Tab_Def_Flows[Process_ID_O],,0,)</f>
        <v/>
      </c>
      <c r="G150" s="272">
        <f>_xlfn.XLOOKUP(C150,Tab_Def_Flows[Name(EN)],Tab_Def_Flows[Input_Process],,0,)</f>
        <v/>
      </c>
      <c r="H150" s="17">
        <f>_xlfn.XLOOKUP(C150,Tab_Def_Flows[Name(EN)],Tab_Def_Flows[Process_ID_I],,0,)</f>
        <v/>
      </c>
      <c r="I150" s="17">
        <f>_xlfn.XLOOKUP(C150,Tab_Def_Flows[Name(EN)],#REF!,,0,)</f>
        <v/>
      </c>
      <c r="J150" s="17">
        <f>_xlfn.XLOOKUP(C150,Tab_Def_Flows[Name(EN)],Tab_Def_Flows[WC?],,0,)</f>
        <v/>
      </c>
      <c r="K150" s="17">
        <f>_xlfn.XLOOKUP(C150,Tab_Def_Flows[Name(EN)],Tab_Def_Flows[DM?],,0,)</f>
        <v/>
      </c>
      <c r="L150" s="17">
        <f>_xlfn.XLOOKUP(C150,Tab_Def_Flows[Name(EN)],Tab_Def_Flows[CC?],,0,)</f>
        <v/>
      </c>
      <c r="M150" s="273" t="n"/>
      <c r="N150" s="273" t="inlineStr">
        <is>
          <t>BB</t>
        </is>
      </c>
      <c r="O150" s="48" t="n"/>
      <c r="P150" s="273" t="n"/>
      <c r="Q150" s="273" t="n"/>
      <c r="R150" s="273" t="n"/>
      <c r="S150" s="273" t="n"/>
      <c r="T150" s="273" t="n"/>
      <c r="U150" s="273" t="n"/>
      <c r="V150" s="273" t="n"/>
      <c r="W150" s="273" t="n"/>
      <c r="X150" s="273" t="inlineStr">
        <is>
          <t>No</t>
        </is>
      </c>
      <c r="Y150" s="41" t="n"/>
      <c r="Z150" s="273" t="n"/>
      <c r="AA150" s="35">
        <f>IF(X150="no",O150,O150*Y150)</f>
        <v/>
      </c>
      <c r="AB150" s="273" t="inlineStr">
        <is>
          <t>Mg</t>
        </is>
      </c>
      <c r="AC150" s="190">
        <f>INDEX(Tab_Def_Flows[[Flow_ID]:[CC_DM_source]],MATCH(Tab_Data_Flows[[#This Row],[Name(EN)]],Tab_Def_Flows[Name(EN)],0),13)</f>
        <v/>
      </c>
      <c r="AD150" s="272">
        <f>IF(J150="Yes",AA150*Tab_Data_Flows[[#This Row],[WC_'[%']]],"N.A.")</f>
        <v/>
      </c>
      <c r="AE150" s="272">
        <f>Tab_Data_Flows[[#This Row],[UoM_Flow_Py]]</f>
        <v/>
      </c>
      <c r="AF150" s="190">
        <f>INDEX(Tab_Def_Flows[[Flow_ID]:[CC_DM_source]],MATCH(Tab_Data_Flows[[#This Row],[Name(EN)]],Tab_Def_Flows[Name(EN)],0),15)</f>
        <v/>
      </c>
      <c r="AG150" s="272">
        <f>IF(K150="Yes",AF150*Tab_Data_Flows[[#This Row],[Flow_Py]]-AJ266,"N.A.")</f>
        <v/>
      </c>
      <c r="AH150" s="272">
        <f>Tab_Data_Flows[[#This Row],[UoM_Flow_Py]]</f>
        <v/>
      </c>
      <c r="AI150" s="190">
        <f>INDEX(Tab_Def_Flows[[Flow_ID]:[CC_DM_source]],MATCH(Tab_Data_Flows[[#This Row],[Name(EN)]],Tab_Def_Flows[Name(EN)],0),17)</f>
        <v/>
      </c>
      <c r="AJ150" s="272">
        <f>IF(L150="Yes",AI150*Tab_Data_Flows[[#This Row],[Flow_Py]]*Tab_Data_Flows[[#This Row],[DM_'[%']]],"N.A.")</f>
        <v/>
      </c>
      <c r="AK150" s="272">
        <f>Tab_Data_Flows[[#This Row],[UoM_Flow_Py]]</f>
        <v/>
      </c>
    </row>
    <row r="151">
      <c r="A151" s="296">
        <f>ROW()-1</f>
        <v/>
      </c>
      <c r="B151" s="272">
        <f>_xlfn.XLOOKUP(C151,Tab_Def_Flows[Name(EN)],Tab_Def_Flows[Flow_ID],,0,)</f>
        <v/>
      </c>
      <c r="C151" s="273" t="inlineStr">
        <is>
          <t>N.A.</t>
        </is>
      </c>
      <c r="D151" s="272">
        <f>_xlfn.XLOOKUP(C151,Tab_Def_Flows[Name(EN)],Tab_Def_Flows[Type_Biomass],,0,)</f>
        <v/>
      </c>
      <c r="E151" s="272">
        <f>_xlfn.XLOOKUP(C151,Tab_Def_Flows[Name(EN)],Tab_Def_Flows[Output_Process],,0,)</f>
        <v/>
      </c>
      <c r="F151" s="272">
        <f>_xlfn.XLOOKUP(C151,Tab_Def_Flows[Name(EN)],Tab_Def_Flows[Process_ID_O],,0,)</f>
        <v/>
      </c>
      <c r="G151" s="272">
        <f>_xlfn.XLOOKUP(C151,Tab_Def_Flows[Name(EN)],Tab_Def_Flows[Input_Process],,0,)</f>
        <v/>
      </c>
      <c r="H151" s="17">
        <f>_xlfn.XLOOKUP(C151,Tab_Def_Flows[Name(EN)],Tab_Def_Flows[Process_ID_I],,0,)</f>
        <v/>
      </c>
      <c r="I151" s="17">
        <f>_xlfn.XLOOKUP(C151,Tab_Def_Flows[Name(EN)],#REF!,,0,)</f>
        <v/>
      </c>
      <c r="J151" s="17">
        <f>_xlfn.XLOOKUP(C151,Tab_Def_Flows[Name(EN)],Tab_Def_Flows[WC?],,0,)</f>
        <v/>
      </c>
      <c r="K151" s="17">
        <f>_xlfn.XLOOKUP(C151,Tab_Def_Flows[Name(EN)],Tab_Def_Flows[DM?],,0,)</f>
        <v/>
      </c>
      <c r="L151" s="17">
        <f>_xlfn.XLOOKUP(C151,Tab_Def_Flows[Name(EN)],Tab_Def_Flows[CC?],,0,)</f>
        <v/>
      </c>
      <c r="M151" s="273" t="n"/>
      <c r="N151" s="273" t="inlineStr">
        <is>
          <t>BB</t>
        </is>
      </c>
      <c r="O151" s="48" t="n"/>
      <c r="P151" s="273" t="n"/>
      <c r="Q151" s="273" t="n"/>
      <c r="R151" s="273" t="n"/>
      <c r="S151" s="273" t="n"/>
      <c r="T151" s="273" t="n"/>
      <c r="U151" s="273" t="n"/>
      <c r="V151" s="273" t="n"/>
      <c r="W151" s="273" t="n"/>
      <c r="X151" s="273" t="inlineStr">
        <is>
          <t>No</t>
        </is>
      </c>
      <c r="Y151" s="41" t="n"/>
      <c r="Z151" s="273" t="n"/>
      <c r="AA151" s="35">
        <f>IF(X151="no",O151,O151*Y151)</f>
        <v/>
      </c>
      <c r="AB151" s="273" t="inlineStr">
        <is>
          <t>Mg</t>
        </is>
      </c>
      <c r="AC151" s="190">
        <f>INDEX(Tab_Def_Flows[[Flow_ID]:[CC_DM_source]],MATCH(Tab_Data_Flows[[#This Row],[Name(EN)]],Tab_Def_Flows[Name(EN)],0),13)</f>
        <v/>
      </c>
      <c r="AD151" s="272">
        <f>IF(J151="Yes",AA151*Tab_Data_Flows[[#This Row],[WC_'[%']]],"N.A.")</f>
        <v/>
      </c>
      <c r="AE151" s="272">
        <f>Tab_Data_Flows[[#This Row],[UoM_Flow_Py]]</f>
        <v/>
      </c>
      <c r="AF151" s="190">
        <f>INDEX(Tab_Def_Flows[[Flow_ID]:[CC_DM_source]],MATCH(Tab_Data_Flows[[#This Row],[Name(EN)]],Tab_Def_Flows[Name(EN)],0),15)</f>
        <v/>
      </c>
      <c r="AG151" s="272">
        <f>IF(K151="Yes",AF151*Tab_Data_Flows[[#This Row],[Flow_Py]]-AJ267,"N.A.")</f>
        <v/>
      </c>
      <c r="AH151" s="272">
        <f>Tab_Data_Flows[[#This Row],[UoM_Flow_Py]]</f>
        <v/>
      </c>
      <c r="AI151" s="190">
        <f>INDEX(Tab_Def_Flows[[Flow_ID]:[CC_DM_source]],MATCH(Tab_Data_Flows[[#This Row],[Name(EN)]],Tab_Def_Flows[Name(EN)],0),17)</f>
        <v/>
      </c>
      <c r="AJ151" s="272">
        <f>IF(L151="Yes",AI151*Tab_Data_Flows[[#This Row],[Flow_Py]]*Tab_Data_Flows[[#This Row],[DM_'[%']]],"N.A.")</f>
        <v/>
      </c>
      <c r="AK151" s="272">
        <f>Tab_Data_Flows[[#This Row],[UoM_Flow_Py]]</f>
        <v/>
      </c>
    </row>
    <row r="152">
      <c r="A152" s="296">
        <f>ROW()-1</f>
        <v/>
      </c>
      <c r="B152" s="272">
        <f>_xlfn.XLOOKUP(C152,Tab_Def_Flows[Name(EN)],Tab_Def_Flows[Flow_ID],,0,)</f>
        <v/>
      </c>
      <c r="C152" s="273" t="inlineStr">
        <is>
          <t>N.A.</t>
        </is>
      </c>
      <c r="D152" s="272">
        <f>_xlfn.XLOOKUP(C152,Tab_Def_Flows[Name(EN)],Tab_Def_Flows[Type_Biomass],,0,)</f>
        <v/>
      </c>
      <c r="E152" s="272">
        <f>_xlfn.XLOOKUP(C152,Tab_Def_Flows[Name(EN)],Tab_Def_Flows[Output_Process],,0,)</f>
        <v/>
      </c>
      <c r="F152" s="272">
        <f>_xlfn.XLOOKUP(C152,Tab_Def_Flows[Name(EN)],Tab_Def_Flows[Process_ID_O],,0,)</f>
        <v/>
      </c>
      <c r="G152" s="272">
        <f>_xlfn.XLOOKUP(C152,Tab_Def_Flows[Name(EN)],Tab_Def_Flows[Input_Process],,0,)</f>
        <v/>
      </c>
      <c r="H152" s="17">
        <f>_xlfn.XLOOKUP(C152,Tab_Def_Flows[Name(EN)],Tab_Def_Flows[Process_ID_I],,0,)</f>
        <v/>
      </c>
      <c r="I152" s="17">
        <f>_xlfn.XLOOKUP(C152,Tab_Def_Flows[Name(EN)],#REF!,,0,)</f>
        <v/>
      </c>
      <c r="J152" s="17">
        <f>_xlfn.XLOOKUP(C152,Tab_Def_Flows[Name(EN)],Tab_Def_Flows[WC?],,0,)</f>
        <v/>
      </c>
      <c r="K152" s="17">
        <f>_xlfn.XLOOKUP(C152,Tab_Def_Flows[Name(EN)],Tab_Def_Flows[DM?],,0,)</f>
        <v/>
      </c>
      <c r="L152" s="17">
        <f>_xlfn.XLOOKUP(C152,Tab_Def_Flows[Name(EN)],Tab_Def_Flows[CC?],,0,)</f>
        <v/>
      </c>
      <c r="M152" s="273" t="n"/>
      <c r="N152" s="273" t="inlineStr">
        <is>
          <t>BB</t>
        </is>
      </c>
      <c r="O152" s="48" t="n"/>
      <c r="P152" s="273" t="n"/>
      <c r="Q152" s="273" t="n"/>
      <c r="R152" s="273" t="n"/>
      <c r="S152" s="273" t="n"/>
      <c r="T152" s="273" t="n"/>
      <c r="U152" s="273" t="n"/>
      <c r="V152" s="273" t="n"/>
      <c r="W152" s="273" t="n"/>
      <c r="X152" s="273" t="inlineStr">
        <is>
          <t>No</t>
        </is>
      </c>
      <c r="Y152" s="41" t="n"/>
      <c r="Z152" s="273" t="n"/>
      <c r="AA152" s="35">
        <f>IF(X152="no",O152,O152*Y152)</f>
        <v/>
      </c>
      <c r="AB152" s="273" t="inlineStr">
        <is>
          <t>Mg</t>
        </is>
      </c>
      <c r="AC152" s="190">
        <f>INDEX(Tab_Def_Flows[[Flow_ID]:[CC_DM_source]],MATCH(Tab_Data_Flows[[#This Row],[Name(EN)]],Tab_Def_Flows[Name(EN)],0),13)</f>
        <v/>
      </c>
      <c r="AD152" s="272">
        <f>IF(J152="Yes",AA152*Tab_Data_Flows[[#This Row],[WC_'[%']]],"N.A.")</f>
        <v/>
      </c>
      <c r="AE152" s="272">
        <f>Tab_Data_Flows[[#This Row],[UoM_Flow_Py]]</f>
        <v/>
      </c>
      <c r="AF152" s="190">
        <f>INDEX(Tab_Def_Flows[[Flow_ID]:[CC_DM_source]],MATCH(Tab_Data_Flows[[#This Row],[Name(EN)]],Tab_Def_Flows[Name(EN)],0),15)</f>
        <v/>
      </c>
      <c r="AG152" s="272">
        <f>IF(K152="Yes",AF152*Tab_Data_Flows[[#This Row],[Flow_Py]]-AJ268,"N.A.")</f>
        <v/>
      </c>
      <c r="AH152" s="272">
        <f>Tab_Data_Flows[[#This Row],[UoM_Flow_Py]]</f>
        <v/>
      </c>
      <c r="AI152" s="190">
        <f>INDEX(Tab_Def_Flows[[Flow_ID]:[CC_DM_source]],MATCH(Tab_Data_Flows[[#This Row],[Name(EN)]],Tab_Def_Flows[Name(EN)],0),17)</f>
        <v/>
      </c>
      <c r="AJ152" s="272">
        <f>IF(L152="Yes",AI152*Tab_Data_Flows[[#This Row],[Flow_Py]]*Tab_Data_Flows[[#This Row],[DM_'[%']]],"N.A.")</f>
        <v/>
      </c>
      <c r="AK152" s="272">
        <f>Tab_Data_Flows[[#This Row],[UoM_Flow_Py]]</f>
        <v/>
      </c>
    </row>
    <row r="153">
      <c r="A153" s="296">
        <f>ROW()-1</f>
        <v/>
      </c>
      <c r="B153" s="272">
        <f>_xlfn.XLOOKUP(C153,Tab_Def_Flows[Name(EN)],Tab_Def_Flows[Flow_ID],,0,)</f>
        <v/>
      </c>
      <c r="C153" s="273" t="inlineStr">
        <is>
          <t>N.A.</t>
        </is>
      </c>
      <c r="D153" s="272">
        <f>_xlfn.XLOOKUP(C153,Tab_Def_Flows[Name(EN)],Tab_Def_Flows[Type_Biomass],,0,)</f>
        <v/>
      </c>
      <c r="E153" s="272">
        <f>_xlfn.XLOOKUP(C153,Tab_Def_Flows[Name(EN)],Tab_Def_Flows[Output_Process],,0,)</f>
        <v/>
      </c>
      <c r="F153" s="272">
        <f>_xlfn.XLOOKUP(C153,Tab_Def_Flows[Name(EN)],Tab_Def_Flows[Process_ID_O],,0,)</f>
        <v/>
      </c>
      <c r="G153" s="272">
        <f>_xlfn.XLOOKUP(C153,Tab_Def_Flows[Name(EN)],Tab_Def_Flows[Input_Process],,0,)</f>
        <v/>
      </c>
      <c r="H153" s="17">
        <f>_xlfn.XLOOKUP(C153,Tab_Def_Flows[Name(EN)],Tab_Def_Flows[Process_ID_I],,0,)</f>
        <v/>
      </c>
      <c r="I153" s="17">
        <f>_xlfn.XLOOKUP(C153,Tab_Def_Flows[Name(EN)],#REF!,,0,)</f>
        <v/>
      </c>
      <c r="J153" s="17">
        <f>_xlfn.XLOOKUP(C153,Tab_Def_Flows[Name(EN)],Tab_Def_Flows[WC?],,0,)</f>
        <v/>
      </c>
      <c r="K153" s="17">
        <f>_xlfn.XLOOKUP(C153,Tab_Def_Flows[Name(EN)],Tab_Def_Flows[DM?],,0,)</f>
        <v/>
      </c>
      <c r="L153" s="17">
        <f>_xlfn.XLOOKUP(C153,Tab_Def_Flows[Name(EN)],Tab_Def_Flows[CC?],,0,)</f>
        <v/>
      </c>
      <c r="M153" s="273" t="n"/>
      <c r="N153" s="273" t="inlineStr">
        <is>
          <t>BB</t>
        </is>
      </c>
      <c r="O153" s="48" t="n"/>
      <c r="P153" s="273" t="n"/>
      <c r="Q153" s="273" t="n"/>
      <c r="R153" s="273" t="n"/>
      <c r="S153" s="273" t="n"/>
      <c r="T153" s="273" t="n"/>
      <c r="U153" s="273" t="n"/>
      <c r="V153" s="273" t="n"/>
      <c r="W153" s="273" t="n"/>
      <c r="X153" s="273" t="inlineStr">
        <is>
          <t>No</t>
        </is>
      </c>
      <c r="Y153" s="41" t="n"/>
      <c r="Z153" s="273" t="n"/>
      <c r="AA153" s="35">
        <f>IF(X153="no",O153,O153*Y153)</f>
        <v/>
      </c>
      <c r="AB153" s="273" t="inlineStr">
        <is>
          <t>Mg</t>
        </is>
      </c>
      <c r="AC153" s="190">
        <f>INDEX(Tab_Def_Flows[[Flow_ID]:[CC_DM_source]],MATCH(Tab_Data_Flows[[#This Row],[Name(EN)]],Tab_Def_Flows[Name(EN)],0),13)</f>
        <v/>
      </c>
      <c r="AD153" s="272">
        <f>IF(J153="Yes",AA153*Tab_Data_Flows[[#This Row],[WC_'[%']]],"N.A.")</f>
        <v/>
      </c>
      <c r="AE153" s="272">
        <f>Tab_Data_Flows[[#This Row],[UoM_Flow_Py]]</f>
        <v/>
      </c>
      <c r="AF153" s="190">
        <f>INDEX(Tab_Def_Flows[[Flow_ID]:[CC_DM_source]],MATCH(Tab_Data_Flows[[#This Row],[Name(EN)]],Tab_Def_Flows[Name(EN)],0),15)</f>
        <v/>
      </c>
      <c r="AG153" s="272">
        <f>IF(K153="Yes",AF153*Tab_Data_Flows[[#This Row],[Flow_Py]]-AJ269,"N.A.")</f>
        <v/>
      </c>
      <c r="AH153" s="272">
        <f>Tab_Data_Flows[[#This Row],[UoM_Flow_Py]]</f>
        <v/>
      </c>
      <c r="AI153" s="190">
        <f>INDEX(Tab_Def_Flows[[Flow_ID]:[CC_DM_source]],MATCH(Tab_Data_Flows[[#This Row],[Name(EN)]],Tab_Def_Flows[Name(EN)],0),17)</f>
        <v/>
      </c>
      <c r="AJ153" s="272">
        <f>IF(L153="Yes",AI153*Tab_Data_Flows[[#This Row],[Flow_Py]]*Tab_Data_Flows[[#This Row],[DM_'[%']]],"N.A.")</f>
        <v/>
      </c>
      <c r="AK153" s="272">
        <f>Tab_Data_Flows[[#This Row],[UoM_Flow_Py]]</f>
        <v/>
      </c>
    </row>
    <row r="154">
      <c r="A154" s="296">
        <f>ROW()-1</f>
        <v/>
      </c>
      <c r="B154" s="272">
        <f>_xlfn.XLOOKUP(C154,Tab_Def_Flows[Name(EN)],Tab_Def_Flows[Flow_ID],,0,)</f>
        <v/>
      </c>
      <c r="C154" s="273" t="inlineStr">
        <is>
          <t>N.A.</t>
        </is>
      </c>
      <c r="D154" s="272">
        <f>_xlfn.XLOOKUP(C154,Tab_Def_Flows[Name(EN)],Tab_Def_Flows[Type_Biomass],,0,)</f>
        <v/>
      </c>
      <c r="E154" s="272">
        <f>_xlfn.XLOOKUP(C154,Tab_Def_Flows[Name(EN)],Tab_Def_Flows[Output_Process],,0,)</f>
        <v/>
      </c>
      <c r="F154" s="272">
        <f>_xlfn.XLOOKUP(C154,Tab_Def_Flows[Name(EN)],Tab_Def_Flows[Process_ID_O],,0,)</f>
        <v/>
      </c>
      <c r="G154" s="272">
        <f>_xlfn.XLOOKUP(C154,Tab_Def_Flows[Name(EN)],Tab_Def_Flows[Input_Process],,0,)</f>
        <v/>
      </c>
      <c r="H154" s="17">
        <f>_xlfn.XLOOKUP(C154,Tab_Def_Flows[Name(EN)],Tab_Def_Flows[Process_ID_I],,0,)</f>
        <v/>
      </c>
      <c r="I154" s="272">
        <f>_xlfn.XLOOKUP(C154,Tab_Def_Flows[Name(EN)],#REF!,,0,)</f>
        <v/>
      </c>
      <c r="J154" s="272">
        <f>_xlfn.XLOOKUP(C154,Tab_Def_Flows[Name(EN)],Tab_Def_Flows[WC?],,0,)</f>
        <v/>
      </c>
      <c r="K154" s="272">
        <f>_xlfn.XLOOKUP(C154,Tab_Def_Flows[Name(EN)],Tab_Def_Flows[DM?],,0,)</f>
        <v/>
      </c>
      <c r="L154" s="272">
        <f>_xlfn.XLOOKUP(C154,Tab_Def_Flows[Name(EN)],Tab_Def_Flows[CC?],,0,)</f>
        <v/>
      </c>
      <c r="M154" s="273" t="n"/>
      <c r="N154" s="273" t="n"/>
      <c r="O154" s="48" t="n"/>
      <c r="P154" s="273" t="n"/>
      <c r="Q154" s="273" t="n"/>
      <c r="R154" s="273">
        <f>INDEX(#REF!,MATCH(Tab_Data_Flows[[#This Row],[Name(EN)]],#REF!,0),12)</f>
        <v/>
      </c>
      <c r="S154" s="273">
        <f>MATCH(Tab_Data_Flows[[#This Row],[Name(EN)]],#REF!,0)</f>
        <v/>
      </c>
      <c r="T154" s="273" t="n"/>
      <c r="U154" s="273" t="n"/>
      <c r="V154" s="273" t="n"/>
      <c r="W154" s="273" t="n"/>
      <c r="X154" s="273" t="inlineStr">
        <is>
          <t>No</t>
        </is>
      </c>
      <c r="Y154" s="273" t="n"/>
      <c r="Z154" s="273" t="n"/>
      <c r="AA154" s="35">
        <f>IF(X154="no",O154,O154*Y154)</f>
        <v/>
      </c>
      <c r="AB154" s="273" t="inlineStr">
        <is>
          <t>Mg</t>
        </is>
      </c>
      <c r="AC154" s="190">
        <f>INDEX(Tab_Def_Flows[[Flow_ID]:[CC_DM_source]],MATCH(Tab_Data_Flows[[#This Row],[Name(EN)]],Tab_Def_Flows[Name(EN)],0),13)</f>
        <v/>
      </c>
      <c r="AD154" s="272">
        <f>IF(J154="Yes",AA154*Tab_Data_Flows[[#This Row],[WC_'[%']]],"N.A.")</f>
        <v/>
      </c>
      <c r="AE154" s="272">
        <f>Tab_Data_Flows[[#This Row],[UoM_Flow_Py]]</f>
        <v/>
      </c>
      <c r="AF154" s="190">
        <f>INDEX(Tab_Def_Flows[[Flow_ID]:[CC_DM_source]],MATCH(Tab_Data_Flows[[#This Row],[Name(EN)]],Tab_Def_Flows[Name(EN)],0),15)</f>
        <v/>
      </c>
      <c r="AG154" s="272">
        <f>IF(K154="Yes",AF154*Tab_Data_Flows[[#This Row],[Flow_Py]]-AJ270,"N.A.")</f>
        <v/>
      </c>
      <c r="AH154" s="272">
        <f>Tab_Data_Flows[[#This Row],[UoM_Flow_Py]]</f>
        <v/>
      </c>
      <c r="AI154" s="190">
        <f>INDEX(Tab_Def_Flows[[Flow_ID]:[CC_DM_source]],MATCH(Tab_Data_Flows[[#This Row],[Name(EN)]],Tab_Def_Flows[Name(EN)],0),17)</f>
        <v/>
      </c>
      <c r="AJ154" s="272">
        <f>IF(L154="Yes",AI154*Tab_Data_Flows[[#This Row],[Flow_Py]]*Tab_Data_Flows[[#This Row],[DM_'[%']]],"N.A.")</f>
        <v/>
      </c>
      <c r="AK154" s="272">
        <f>Tab_Data_Flows[[#This Row],[UoM_Flow_Py]]</f>
        <v/>
      </c>
    </row>
    <row r="155">
      <c r="A155" s="296">
        <f>ROW()-1</f>
        <v/>
      </c>
      <c r="B155" s="272">
        <f>_xlfn.XLOOKUP(C155,Tab_Def_Flows[Name(EN)],Tab_Def_Flows[Flow_ID],,0,)</f>
        <v/>
      </c>
      <c r="C155" s="273" t="inlineStr">
        <is>
          <t>N.A.</t>
        </is>
      </c>
      <c r="D155" s="272">
        <f>_xlfn.XLOOKUP(C155,Tab_Def_Flows[Name(EN)],Tab_Def_Flows[Type_Biomass],,0,)</f>
        <v/>
      </c>
      <c r="E155" s="272">
        <f>_xlfn.XLOOKUP(C155,Tab_Def_Flows[Name(EN)],Tab_Def_Flows[Output_Process],,0,)</f>
        <v/>
      </c>
      <c r="F155" s="272">
        <f>_xlfn.XLOOKUP(C155,Tab_Def_Flows[Name(EN)],Tab_Def_Flows[Process_ID_O],,0,)</f>
        <v/>
      </c>
      <c r="G155" s="272">
        <f>_xlfn.XLOOKUP(C155,Tab_Def_Flows[Name(EN)],Tab_Def_Flows[Input_Process],,0,)</f>
        <v/>
      </c>
      <c r="H155" s="17">
        <f>_xlfn.XLOOKUP(C155,Tab_Def_Flows[Name(EN)],Tab_Def_Flows[Process_ID_I],,0,)</f>
        <v/>
      </c>
      <c r="I155" s="272">
        <f>_xlfn.XLOOKUP(C155,Tab_Def_Flows[Name(EN)],#REF!,,0,)</f>
        <v/>
      </c>
      <c r="J155" s="272">
        <f>_xlfn.XLOOKUP(C155,Tab_Def_Flows[Name(EN)],Tab_Def_Flows[WC?],,0,)</f>
        <v/>
      </c>
      <c r="K155" s="272">
        <f>_xlfn.XLOOKUP(C155,Tab_Def_Flows[Name(EN)],Tab_Def_Flows[DM?],,0,)</f>
        <v/>
      </c>
      <c r="L155" s="272">
        <f>_xlfn.XLOOKUP(C155,Tab_Def_Flows[Name(EN)],Tab_Def_Flows[CC?],,0,)</f>
        <v/>
      </c>
      <c r="M155" s="273" t="n"/>
      <c r="N155" s="273" t="n"/>
      <c r="O155" s="48" t="n"/>
      <c r="P155" s="273" t="n"/>
      <c r="Q155" s="273" t="n"/>
      <c r="R155" s="273">
        <f>INDEX(#REF!,MATCH(Tab_Data_Flows[[#This Row],[Name(EN)]],#REF!,0),12)</f>
        <v/>
      </c>
      <c r="S155" s="273">
        <f>MATCH(Tab_Data_Flows[[#This Row],[Name(EN)]],#REF!,0)</f>
        <v/>
      </c>
      <c r="T155" s="273" t="n"/>
      <c r="U155" s="273" t="n"/>
      <c r="V155" s="273" t="n"/>
      <c r="W155" s="273" t="n"/>
      <c r="X155" s="273" t="inlineStr">
        <is>
          <t>No</t>
        </is>
      </c>
      <c r="Y155" s="273" t="n"/>
      <c r="Z155" s="273" t="n"/>
      <c r="AA155" s="35">
        <f>IF(X155="no",O155,O155*Y155)</f>
        <v/>
      </c>
      <c r="AB155" s="273" t="inlineStr">
        <is>
          <t>Mg</t>
        </is>
      </c>
      <c r="AC155" s="190">
        <f>INDEX(Tab_Def_Flows[[Flow_ID]:[CC_DM_source]],MATCH(Tab_Data_Flows[[#This Row],[Name(EN)]],Tab_Def_Flows[Name(EN)],0),13)</f>
        <v/>
      </c>
      <c r="AD155" s="272">
        <f>IF(J155="Yes",AA155*Tab_Data_Flows[[#This Row],[WC_'[%']]],"N.A.")</f>
        <v/>
      </c>
      <c r="AE155" s="272">
        <f>Tab_Data_Flows[[#This Row],[UoM_Flow_Py]]</f>
        <v/>
      </c>
      <c r="AF155" s="190">
        <f>INDEX(Tab_Def_Flows[[Flow_ID]:[CC_DM_source]],MATCH(Tab_Data_Flows[[#This Row],[Name(EN)]],Tab_Def_Flows[Name(EN)],0),15)</f>
        <v/>
      </c>
      <c r="AG155" s="272">
        <f>IF(K155="Yes",AF155*Tab_Data_Flows[[#This Row],[Flow_Py]]-AJ271,"N.A.")</f>
        <v/>
      </c>
      <c r="AH155" s="272">
        <f>Tab_Data_Flows[[#This Row],[UoM_Flow_Py]]</f>
        <v/>
      </c>
      <c r="AI155" s="190">
        <f>INDEX(Tab_Def_Flows[[Flow_ID]:[CC_DM_source]],MATCH(Tab_Data_Flows[[#This Row],[Name(EN)]],Tab_Def_Flows[Name(EN)],0),17)</f>
        <v/>
      </c>
      <c r="AJ155" s="272">
        <f>IF(L155="Yes",AI155*Tab_Data_Flows[[#This Row],[Flow_Py]]*Tab_Data_Flows[[#This Row],[DM_'[%']]],"N.A.")</f>
        <v/>
      </c>
      <c r="AK155" s="272">
        <f>Tab_Data_Flows[[#This Row],[UoM_Flow_Py]]</f>
        <v/>
      </c>
    </row>
    <row r="156">
      <c r="A156" s="296">
        <f>ROW()-1</f>
        <v/>
      </c>
      <c r="B156" s="272">
        <f>_xlfn.XLOOKUP(C156,Tab_Def_Flows[Name(EN)],Tab_Def_Flows[Flow_ID],,0,)</f>
        <v/>
      </c>
      <c r="C156" s="273" t="inlineStr">
        <is>
          <t>N.A.</t>
        </is>
      </c>
      <c r="D156" s="272">
        <f>_xlfn.XLOOKUP(C156,Tab_Def_Flows[Name(EN)],Tab_Def_Flows[Type_Biomass],,0,)</f>
        <v/>
      </c>
      <c r="E156" s="272">
        <f>_xlfn.XLOOKUP(C156,Tab_Def_Flows[Name(EN)],Tab_Def_Flows[Output_Process],,0,)</f>
        <v/>
      </c>
      <c r="F156" s="272">
        <f>_xlfn.XLOOKUP(C156,Tab_Def_Flows[Name(EN)],Tab_Def_Flows[Process_ID_O],,0,)</f>
        <v/>
      </c>
      <c r="G156" s="272">
        <f>_xlfn.XLOOKUP(C156,Tab_Def_Flows[Name(EN)],Tab_Def_Flows[Input_Process],,0,)</f>
        <v/>
      </c>
      <c r="H156" s="17">
        <f>_xlfn.XLOOKUP(C156,Tab_Def_Flows[Name(EN)],Tab_Def_Flows[Process_ID_I],,0,)</f>
        <v/>
      </c>
      <c r="I156" s="272">
        <f>_xlfn.XLOOKUP(C156,Tab_Def_Flows[Name(EN)],#REF!,,0,)</f>
        <v/>
      </c>
      <c r="J156" s="272">
        <f>_xlfn.XLOOKUP(C156,Tab_Def_Flows[Name(EN)],Tab_Def_Flows[WC?],,0,)</f>
        <v/>
      </c>
      <c r="K156" s="272">
        <f>_xlfn.XLOOKUP(C156,Tab_Def_Flows[Name(EN)],Tab_Def_Flows[DM?],,0,)</f>
        <v/>
      </c>
      <c r="L156" s="272">
        <f>_xlfn.XLOOKUP(C156,Tab_Def_Flows[Name(EN)],Tab_Def_Flows[CC?],,0,)</f>
        <v/>
      </c>
      <c r="M156" s="273" t="n"/>
      <c r="N156" s="273" t="n"/>
      <c r="O156" s="48" t="n"/>
      <c r="P156" s="273" t="n"/>
      <c r="Q156" s="273" t="n"/>
      <c r="R156" s="273">
        <f>INDEX(#REF!,MATCH(Tab_Data_Flows[[#This Row],[Name(EN)]],#REF!,0),12)</f>
        <v/>
      </c>
      <c r="S156" s="273">
        <f>MATCH(Tab_Data_Flows[[#This Row],[Name(EN)]],#REF!,0)</f>
        <v/>
      </c>
      <c r="T156" s="273" t="n"/>
      <c r="U156" s="273" t="n"/>
      <c r="V156" s="273" t="n"/>
      <c r="W156" s="273" t="n"/>
      <c r="X156" s="273" t="inlineStr">
        <is>
          <t>No</t>
        </is>
      </c>
      <c r="Y156" s="273" t="n"/>
      <c r="Z156" s="273" t="n"/>
      <c r="AA156" s="35">
        <f>IF(X156="no",O156,O156*Y156)</f>
        <v/>
      </c>
      <c r="AB156" s="273" t="inlineStr">
        <is>
          <t>Mg</t>
        </is>
      </c>
      <c r="AC156" s="190">
        <f>INDEX(Tab_Def_Flows[[Flow_ID]:[CC_DM_source]],MATCH(Tab_Data_Flows[[#This Row],[Name(EN)]],Tab_Def_Flows[Name(EN)],0),13)</f>
        <v/>
      </c>
      <c r="AD156" s="272">
        <f>IF(J156="Yes",AA156*Tab_Data_Flows[[#This Row],[WC_'[%']]],"N.A.")</f>
        <v/>
      </c>
      <c r="AE156" s="272">
        <f>Tab_Data_Flows[[#This Row],[UoM_Flow_Py]]</f>
        <v/>
      </c>
      <c r="AF156" s="190">
        <f>INDEX(Tab_Def_Flows[[Flow_ID]:[CC_DM_source]],MATCH(Tab_Data_Flows[[#This Row],[Name(EN)]],Tab_Def_Flows[Name(EN)],0),15)</f>
        <v/>
      </c>
      <c r="AG156" s="272">
        <f>IF(K156="Yes",AF156*Tab_Data_Flows[[#This Row],[Flow_Py]]-AJ272,"N.A.")</f>
        <v/>
      </c>
      <c r="AH156" s="272">
        <f>Tab_Data_Flows[[#This Row],[UoM_Flow_Py]]</f>
        <v/>
      </c>
      <c r="AI156" s="190">
        <f>INDEX(Tab_Def_Flows[[Flow_ID]:[CC_DM_source]],MATCH(Tab_Data_Flows[[#This Row],[Name(EN)]],Tab_Def_Flows[Name(EN)],0),17)</f>
        <v/>
      </c>
      <c r="AJ156" s="272">
        <f>IF(L156="Yes",AI156*Tab_Data_Flows[[#This Row],[Flow_Py]]*Tab_Data_Flows[[#This Row],[DM_'[%']]],"N.A.")</f>
        <v/>
      </c>
      <c r="AK156" s="272">
        <f>Tab_Data_Flows[[#This Row],[UoM_Flow_Py]]</f>
        <v/>
      </c>
    </row>
    <row r="157">
      <c r="A157" s="296">
        <f>ROW()-1</f>
        <v/>
      </c>
      <c r="B157" s="272">
        <f>_xlfn.XLOOKUP(C157,Tab_Def_Flows[Name(EN)],Tab_Def_Flows[Flow_ID],,0,)</f>
        <v/>
      </c>
      <c r="C157" s="273" t="inlineStr">
        <is>
          <t>N.A.</t>
        </is>
      </c>
      <c r="D157" s="272">
        <f>_xlfn.XLOOKUP(C157,Tab_Def_Flows[Name(EN)],Tab_Def_Flows[Type_Biomass],,0,)</f>
        <v/>
      </c>
      <c r="E157" s="272">
        <f>_xlfn.XLOOKUP(C157,Tab_Def_Flows[Name(EN)],Tab_Def_Flows[Output_Process],,0,)</f>
        <v/>
      </c>
      <c r="F157" s="272">
        <f>_xlfn.XLOOKUP(C157,Tab_Def_Flows[Name(EN)],Tab_Def_Flows[Process_ID_O],,0,)</f>
        <v/>
      </c>
      <c r="G157" s="272">
        <f>_xlfn.XLOOKUP(C157,Tab_Def_Flows[Name(EN)],Tab_Def_Flows[Input_Process],,0,)</f>
        <v/>
      </c>
      <c r="H157" s="17">
        <f>_xlfn.XLOOKUP(C157,Tab_Def_Flows[Name(EN)],Tab_Def_Flows[Process_ID_I],,0,)</f>
        <v/>
      </c>
      <c r="I157" s="272">
        <f>_xlfn.XLOOKUP(C157,Tab_Def_Flows[Name(EN)],#REF!,,0,)</f>
        <v/>
      </c>
      <c r="J157" s="272">
        <f>_xlfn.XLOOKUP(C157,Tab_Def_Flows[Name(EN)],Tab_Def_Flows[WC?],,0,)</f>
        <v/>
      </c>
      <c r="K157" s="272">
        <f>_xlfn.XLOOKUP(C157,Tab_Def_Flows[Name(EN)],Tab_Def_Flows[DM?],,0,)</f>
        <v/>
      </c>
      <c r="L157" s="272">
        <f>_xlfn.XLOOKUP(C157,Tab_Def_Flows[Name(EN)],Tab_Def_Flows[CC?],,0,)</f>
        <v/>
      </c>
      <c r="M157" s="273" t="n"/>
      <c r="N157" s="273" t="n"/>
      <c r="O157" s="48" t="n"/>
      <c r="P157" s="273" t="n"/>
      <c r="Q157" s="273" t="n"/>
      <c r="R157" s="273">
        <f>INDEX(#REF!,MATCH(Tab_Data_Flows[[#This Row],[Name(EN)]],#REF!,0),12)</f>
        <v/>
      </c>
      <c r="S157" s="273">
        <f>MATCH(Tab_Data_Flows[[#This Row],[Name(EN)]],#REF!,0)</f>
        <v/>
      </c>
      <c r="T157" s="273" t="n"/>
      <c r="U157" s="273" t="n"/>
      <c r="V157" s="273" t="n"/>
      <c r="W157" s="273" t="n"/>
      <c r="X157" s="273" t="inlineStr">
        <is>
          <t>No</t>
        </is>
      </c>
      <c r="Y157" s="273" t="n"/>
      <c r="Z157" s="273" t="n"/>
      <c r="AA157" s="35">
        <f>IF(X157="no",O157,O157*Y157)</f>
        <v/>
      </c>
      <c r="AB157" s="273" t="inlineStr">
        <is>
          <t>Mg</t>
        </is>
      </c>
      <c r="AC157" s="190">
        <f>INDEX(Tab_Def_Flows[[Flow_ID]:[CC_DM_source]],MATCH(Tab_Data_Flows[[#This Row],[Name(EN)]],Tab_Def_Flows[Name(EN)],0),13)</f>
        <v/>
      </c>
      <c r="AD157" s="272">
        <f>IF(J157="Yes",AA157*Tab_Data_Flows[[#This Row],[WC_'[%']]],"N.A.")</f>
        <v/>
      </c>
      <c r="AE157" s="272">
        <f>Tab_Data_Flows[[#This Row],[UoM_Flow_Py]]</f>
        <v/>
      </c>
      <c r="AF157" s="190">
        <f>INDEX(Tab_Def_Flows[[Flow_ID]:[CC_DM_source]],MATCH(Tab_Data_Flows[[#This Row],[Name(EN)]],Tab_Def_Flows[Name(EN)],0),15)</f>
        <v/>
      </c>
      <c r="AG157" s="272">
        <f>IF(K157="Yes",AF157*Tab_Data_Flows[[#This Row],[Flow_Py]]-AJ273,"N.A.")</f>
        <v/>
      </c>
      <c r="AH157" s="272">
        <f>Tab_Data_Flows[[#This Row],[UoM_Flow_Py]]</f>
        <v/>
      </c>
      <c r="AI157" s="190">
        <f>INDEX(Tab_Def_Flows[[Flow_ID]:[CC_DM_source]],MATCH(Tab_Data_Flows[[#This Row],[Name(EN)]],Tab_Def_Flows[Name(EN)],0),17)</f>
        <v/>
      </c>
      <c r="AJ157" s="272">
        <f>IF(L157="Yes",AI157*Tab_Data_Flows[[#This Row],[Flow_Py]]*Tab_Data_Flows[[#This Row],[DM_'[%']]],"N.A.")</f>
        <v/>
      </c>
      <c r="AK157" s="272">
        <f>Tab_Data_Flows[[#This Row],[UoM_Flow_Py]]</f>
        <v/>
      </c>
    </row>
    <row r="158">
      <c r="A158" s="296">
        <f>ROW()-1</f>
        <v/>
      </c>
      <c r="B158" s="272">
        <f>_xlfn.XLOOKUP(C158,Tab_Def_Flows[Name(EN)],Tab_Def_Flows[Flow_ID],,0,)</f>
        <v/>
      </c>
      <c r="C158" s="273" t="inlineStr">
        <is>
          <t>N.A.</t>
        </is>
      </c>
      <c r="D158" s="272">
        <f>_xlfn.XLOOKUP(C158,Tab_Def_Flows[Name(EN)],Tab_Def_Flows[Type_Biomass],,0,)</f>
        <v/>
      </c>
      <c r="E158" s="272">
        <f>_xlfn.XLOOKUP(C158,Tab_Def_Flows[Name(EN)],Tab_Def_Flows[Output_Process],,0,)</f>
        <v/>
      </c>
      <c r="F158" s="272">
        <f>_xlfn.XLOOKUP(C158,Tab_Def_Flows[Name(EN)],Tab_Def_Flows[Process_ID_O],,0,)</f>
        <v/>
      </c>
      <c r="G158" s="272">
        <f>_xlfn.XLOOKUP(C158,Tab_Def_Flows[Name(EN)],Tab_Def_Flows[Input_Process],,0,)</f>
        <v/>
      </c>
      <c r="H158" s="17">
        <f>_xlfn.XLOOKUP(C158,Tab_Def_Flows[Name(EN)],Tab_Def_Flows[Process_ID_I],,0,)</f>
        <v/>
      </c>
      <c r="I158" s="272">
        <f>_xlfn.XLOOKUP(C158,Tab_Def_Flows[Name(EN)],#REF!,,0,)</f>
        <v/>
      </c>
      <c r="J158" s="272">
        <f>_xlfn.XLOOKUP(C158,Tab_Def_Flows[Name(EN)],Tab_Def_Flows[WC?],,0,)</f>
        <v/>
      </c>
      <c r="K158" s="272">
        <f>_xlfn.XLOOKUP(C158,Tab_Def_Flows[Name(EN)],Tab_Def_Flows[DM?],,0,)</f>
        <v/>
      </c>
      <c r="L158" s="272">
        <f>_xlfn.XLOOKUP(C158,Tab_Def_Flows[Name(EN)],Tab_Def_Flows[CC?],,0,)</f>
        <v/>
      </c>
      <c r="M158" s="273" t="n"/>
      <c r="N158" s="273" t="n"/>
      <c r="O158" s="48" t="n"/>
      <c r="P158" s="273" t="n"/>
      <c r="Q158" s="273" t="n"/>
      <c r="R158" s="273">
        <f>INDEX(#REF!,MATCH(Tab_Data_Flows[[#This Row],[Name(EN)]],#REF!,0),12)</f>
        <v/>
      </c>
      <c r="S158" s="273">
        <f>MATCH(Tab_Data_Flows[[#This Row],[Name(EN)]],#REF!,0)</f>
        <v/>
      </c>
      <c r="T158" s="273" t="n"/>
      <c r="U158" s="273" t="n"/>
      <c r="V158" s="273" t="n"/>
      <c r="W158" s="273" t="n"/>
      <c r="X158" s="273" t="inlineStr">
        <is>
          <t>No</t>
        </is>
      </c>
      <c r="Y158" s="273" t="n"/>
      <c r="Z158" s="273" t="n"/>
      <c r="AA158" s="35">
        <f>IF(X158="no",O158,O158*Y158)</f>
        <v/>
      </c>
      <c r="AB158" s="273" t="inlineStr">
        <is>
          <t>Mg</t>
        </is>
      </c>
      <c r="AC158" s="190">
        <f>INDEX(Tab_Def_Flows[[Flow_ID]:[CC_DM_source]],MATCH(Tab_Data_Flows[[#This Row],[Name(EN)]],Tab_Def_Flows[Name(EN)],0),13)</f>
        <v/>
      </c>
      <c r="AD158" s="272">
        <f>IF(J158="Yes",AA158*Tab_Data_Flows[[#This Row],[WC_'[%']]],"N.A.")</f>
        <v/>
      </c>
      <c r="AE158" s="272">
        <f>Tab_Data_Flows[[#This Row],[UoM_Flow_Py]]</f>
        <v/>
      </c>
      <c r="AF158" s="190">
        <f>INDEX(Tab_Def_Flows[[Flow_ID]:[CC_DM_source]],MATCH(Tab_Data_Flows[[#This Row],[Name(EN)]],Tab_Def_Flows[Name(EN)],0),15)</f>
        <v/>
      </c>
      <c r="AG158" s="272">
        <f>IF(K158="Yes",AF158*Tab_Data_Flows[[#This Row],[Flow_Py]]-AJ274,"N.A.")</f>
        <v/>
      </c>
      <c r="AH158" s="272">
        <f>Tab_Data_Flows[[#This Row],[UoM_Flow_Py]]</f>
        <v/>
      </c>
      <c r="AI158" s="190">
        <f>INDEX(Tab_Def_Flows[[Flow_ID]:[CC_DM_source]],MATCH(Tab_Data_Flows[[#This Row],[Name(EN)]],Tab_Def_Flows[Name(EN)],0),17)</f>
        <v/>
      </c>
      <c r="AJ158" s="272">
        <f>IF(L158="Yes",AI158*Tab_Data_Flows[[#This Row],[Flow_Py]]*Tab_Data_Flows[[#This Row],[DM_'[%']]],"N.A.")</f>
        <v/>
      </c>
      <c r="AK158" s="272">
        <f>Tab_Data_Flows[[#This Row],[UoM_Flow_Py]]</f>
        <v/>
      </c>
    </row>
    <row r="159">
      <c r="A159" s="296">
        <f>ROW()-1</f>
        <v/>
      </c>
      <c r="B159" s="272">
        <f>_xlfn.XLOOKUP(C159,Tab_Def_Flows[Name(EN)],Tab_Def_Flows[Flow_ID],,0,)</f>
        <v/>
      </c>
      <c r="C159" s="273" t="inlineStr">
        <is>
          <t>N.A.</t>
        </is>
      </c>
      <c r="D159" s="272">
        <f>_xlfn.XLOOKUP(C159,Tab_Def_Flows[Name(EN)],Tab_Def_Flows[Type_Biomass],,0,)</f>
        <v/>
      </c>
      <c r="E159" s="272">
        <f>_xlfn.XLOOKUP(C159,Tab_Def_Flows[Name(EN)],Tab_Def_Flows[Output_Process],,0,)</f>
        <v/>
      </c>
      <c r="F159" s="272">
        <f>_xlfn.XLOOKUP(C159,Tab_Def_Flows[Name(EN)],Tab_Def_Flows[Process_ID_O],,0,)</f>
        <v/>
      </c>
      <c r="G159" s="272">
        <f>_xlfn.XLOOKUP(C159,Tab_Def_Flows[Name(EN)],Tab_Def_Flows[Input_Process],,0,)</f>
        <v/>
      </c>
      <c r="H159" s="17">
        <f>_xlfn.XLOOKUP(C159,Tab_Def_Flows[Name(EN)],Tab_Def_Flows[Process_ID_I],,0,)</f>
        <v/>
      </c>
      <c r="I159" s="272">
        <f>_xlfn.XLOOKUP(C159,Tab_Def_Flows[Name(EN)],#REF!,,0,)</f>
        <v/>
      </c>
      <c r="J159" s="272">
        <f>_xlfn.XLOOKUP(C159,Tab_Def_Flows[Name(EN)],Tab_Def_Flows[WC?],,0,)</f>
        <v/>
      </c>
      <c r="K159" s="272">
        <f>_xlfn.XLOOKUP(C159,Tab_Def_Flows[Name(EN)],Tab_Def_Flows[DM?],,0,)</f>
        <v/>
      </c>
      <c r="L159" s="272">
        <f>_xlfn.XLOOKUP(C159,Tab_Def_Flows[Name(EN)],Tab_Def_Flows[CC?],,0,)</f>
        <v/>
      </c>
      <c r="M159" s="273" t="n"/>
      <c r="N159" s="273" t="n"/>
      <c r="O159" s="48" t="n"/>
      <c r="P159" s="273" t="n"/>
      <c r="Q159" s="273" t="n"/>
      <c r="R159" s="273">
        <f>INDEX(#REF!,MATCH(Tab_Data_Flows[[#This Row],[Name(EN)]],#REF!,0),12)</f>
        <v/>
      </c>
      <c r="S159" s="273">
        <f>MATCH(Tab_Data_Flows[[#This Row],[Name(EN)]],#REF!,0)</f>
        <v/>
      </c>
      <c r="T159" s="273" t="n"/>
      <c r="U159" s="273" t="n"/>
      <c r="V159" s="273" t="n"/>
      <c r="W159" s="273" t="n"/>
      <c r="X159" s="273" t="inlineStr">
        <is>
          <t>No</t>
        </is>
      </c>
      <c r="Y159" s="273" t="n"/>
      <c r="Z159" s="273" t="n"/>
      <c r="AA159" s="35">
        <f>IF(X159="no",O159,O159*Y159)</f>
        <v/>
      </c>
      <c r="AB159" s="273" t="inlineStr">
        <is>
          <t>Mg</t>
        </is>
      </c>
      <c r="AC159" s="190">
        <f>INDEX(Tab_Def_Flows[[Flow_ID]:[CC_DM_source]],MATCH(Tab_Data_Flows[[#This Row],[Name(EN)]],Tab_Def_Flows[Name(EN)],0),13)</f>
        <v/>
      </c>
      <c r="AD159" s="272">
        <f>IF(J159="Yes",AA159*Tab_Data_Flows[[#This Row],[WC_'[%']]],"N.A.")</f>
        <v/>
      </c>
      <c r="AE159" s="272">
        <f>Tab_Data_Flows[[#This Row],[UoM_Flow_Py]]</f>
        <v/>
      </c>
      <c r="AF159" s="190">
        <f>INDEX(Tab_Def_Flows[[Flow_ID]:[CC_DM_source]],MATCH(Tab_Data_Flows[[#This Row],[Name(EN)]],Tab_Def_Flows[Name(EN)],0),15)</f>
        <v/>
      </c>
      <c r="AG159" s="272">
        <f>IF(K159="Yes",AF159*Tab_Data_Flows[[#This Row],[Flow_Py]]-AJ275,"N.A.")</f>
        <v/>
      </c>
      <c r="AH159" s="272">
        <f>Tab_Data_Flows[[#This Row],[UoM_Flow_Py]]</f>
        <v/>
      </c>
      <c r="AI159" s="190">
        <f>INDEX(Tab_Def_Flows[[Flow_ID]:[CC_DM_source]],MATCH(Tab_Data_Flows[[#This Row],[Name(EN)]],Tab_Def_Flows[Name(EN)],0),17)</f>
        <v/>
      </c>
      <c r="AJ159" s="272">
        <f>IF(L159="Yes",AI159*Tab_Data_Flows[[#This Row],[Flow_Py]]*Tab_Data_Flows[[#This Row],[DM_'[%']]],"N.A.")</f>
        <v/>
      </c>
      <c r="AK159" s="272">
        <f>Tab_Data_Flows[[#This Row],[UoM_Flow_Py]]</f>
        <v/>
      </c>
    </row>
    <row r="160">
      <c r="A160" s="296">
        <f>ROW()-1</f>
        <v/>
      </c>
      <c r="B160" s="272">
        <f>_xlfn.XLOOKUP(C160,Tab_Def_Flows[Name(EN)],Tab_Def_Flows[Flow_ID],,0,)</f>
        <v/>
      </c>
      <c r="C160" s="273" t="inlineStr">
        <is>
          <t>N.A.</t>
        </is>
      </c>
      <c r="D160" s="272">
        <f>_xlfn.XLOOKUP(C160,Tab_Def_Flows[Name(EN)],Tab_Def_Flows[Type_Biomass],,0,)</f>
        <v/>
      </c>
      <c r="E160" s="272">
        <f>_xlfn.XLOOKUP(C160,Tab_Def_Flows[Name(EN)],Tab_Def_Flows[Output_Process],,0,)</f>
        <v/>
      </c>
      <c r="F160" s="272">
        <f>_xlfn.XLOOKUP(C160,Tab_Def_Flows[Name(EN)],Tab_Def_Flows[Process_ID_O],,0,)</f>
        <v/>
      </c>
      <c r="G160" s="272">
        <f>_xlfn.XLOOKUP(C160,Tab_Def_Flows[Name(EN)],Tab_Def_Flows[Input_Process],,0,)</f>
        <v/>
      </c>
      <c r="H160" s="17">
        <f>_xlfn.XLOOKUP(C160,Tab_Def_Flows[Name(EN)],Tab_Def_Flows[Process_ID_I],,0,)</f>
        <v/>
      </c>
      <c r="I160" s="272">
        <f>_xlfn.XLOOKUP(C160,Tab_Def_Flows[Name(EN)],#REF!,,0,)</f>
        <v/>
      </c>
      <c r="J160" s="272">
        <f>_xlfn.XLOOKUP(C160,Tab_Def_Flows[Name(EN)],Tab_Def_Flows[WC?],,0,)</f>
        <v/>
      </c>
      <c r="K160" s="272">
        <f>_xlfn.XLOOKUP(C160,Tab_Def_Flows[Name(EN)],Tab_Def_Flows[DM?],,0,)</f>
        <v/>
      </c>
      <c r="L160" s="272">
        <f>_xlfn.XLOOKUP(C160,Tab_Def_Flows[Name(EN)],Tab_Def_Flows[CC?],,0,)</f>
        <v/>
      </c>
      <c r="M160" s="273" t="n"/>
      <c r="N160" s="273" t="n"/>
      <c r="O160" s="48" t="n"/>
      <c r="P160" s="273" t="n"/>
      <c r="Q160" s="273" t="n"/>
      <c r="R160" s="273">
        <f>INDEX(#REF!,MATCH(Tab_Data_Flows[[#This Row],[Name(EN)]],#REF!,0),12)</f>
        <v/>
      </c>
      <c r="S160" s="273">
        <f>MATCH(Tab_Data_Flows[[#This Row],[Name(EN)]],#REF!,0)</f>
        <v/>
      </c>
      <c r="T160" s="273" t="n"/>
      <c r="U160" s="273" t="n"/>
      <c r="V160" s="273" t="n"/>
      <c r="W160" s="273" t="n"/>
      <c r="X160" s="273" t="inlineStr">
        <is>
          <t>No</t>
        </is>
      </c>
      <c r="Y160" s="273" t="n"/>
      <c r="Z160" s="273" t="n"/>
      <c r="AA160" s="35">
        <f>IF(X160="no",O160,O160*Y160)</f>
        <v/>
      </c>
      <c r="AB160" s="273" t="inlineStr">
        <is>
          <t>Mg</t>
        </is>
      </c>
      <c r="AC160" s="190">
        <f>INDEX(Tab_Def_Flows[[Flow_ID]:[CC_DM_source]],MATCH(Tab_Data_Flows[[#This Row],[Name(EN)]],Tab_Def_Flows[Name(EN)],0),13)</f>
        <v/>
      </c>
      <c r="AD160" s="272">
        <f>IF(J160="Yes",AA160*Tab_Data_Flows[[#This Row],[WC_'[%']]],"N.A.")</f>
        <v/>
      </c>
      <c r="AE160" s="272">
        <f>Tab_Data_Flows[[#This Row],[UoM_Flow_Py]]</f>
        <v/>
      </c>
      <c r="AF160" s="190">
        <f>INDEX(Tab_Def_Flows[[Flow_ID]:[CC_DM_source]],MATCH(Tab_Data_Flows[[#This Row],[Name(EN)]],Tab_Def_Flows[Name(EN)],0),15)</f>
        <v/>
      </c>
      <c r="AG160" s="272">
        <f>IF(K160="Yes",AF160*Tab_Data_Flows[[#This Row],[Flow_Py]]-AJ276,"N.A.")</f>
        <v/>
      </c>
      <c r="AH160" s="272">
        <f>Tab_Data_Flows[[#This Row],[UoM_Flow_Py]]</f>
        <v/>
      </c>
      <c r="AI160" s="190">
        <f>INDEX(Tab_Def_Flows[[Flow_ID]:[CC_DM_source]],MATCH(Tab_Data_Flows[[#This Row],[Name(EN)]],Tab_Def_Flows[Name(EN)],0),17)</f>
        <v/>
      </c>
      <c r="AJ160" s="272">
        <f>IF(L160="Yes",AI160*Tab_Data_Flows[[#This Row],[Flow_Py]]*Tab_Data_Flows[[#This Row],[DM_'[%']]],"N.A.")</f>
        <v/>
      </c>
      <c r="AK160" s="272">
        <f>Tab_Data_Flows[[#This Row],[UoM_Flow_Py]]</f>
        <v/>
      </c>
    </row>
    <row r="161">
      <c r="A161" s="296">
        <f>ROW()-1</f>
        <v/>
      </c>
      <c r="B161" s="272">
        <f>_xlfn.XLOOKUP(C161,Tab_Def_Flows[Name(EN)],Tab_Def_Flows[Flow_ID],,0,)</f>
        <v/>
      </c>
      <c r="C161" s="273" t="inlineStr">
        <is>
          <t>N.A.</t>
        </is>
      </c>
      <c r="D161" s="272">
        <f>_xlfn.XLOOKUP(C161,Tab_Def_Flows[Name(EN)],Tab_Def_Flows[Type_Biomass],,0,)</f>
        <v/>
      </c>
      <c r="E161" s="272">
        <f>_xlfn.XLOOKUP(C161,Tab_Def_Flows[Name(EN)],Tab_Def_Flows[Output_Process],,0,)</f>
        <v/>
      </c>
      <c r="F161" s="272">
        <f>_xlfn.XLOOKUP(C161,Tab_Def_Flows[Name(EN)],Tab_Def_Flows[Process_ID_O],,0,)</f>
        <v/>
      </c>
      <c r="G161" s="272">
        <f>_xlfn.XLOOKUP(C161,Tab_Def_Flows[Name(EN)],Tab_Def_Flows[Input_Process],,0,)</f>
        <v/>
      </c>
      <c r="H161" s="17">
        <f>_xlfn.XLOOKUP(C161,Tab_Def_Flows[Name(EN)],Tab_Def_Flows[Process_ID_I],,0,)</f>
        <v/>
      </c>
      <c r="I161" s="272">
        <f>_xlfn.XLOOKUP(C161,Tab_Def_Flows[Name(EN)],#REF!,,0,)</f>
        <v/>
      </c>
      <c r="J161" s="272">
        <f>_xlfn.XLOOKUP(C161,Tab_Def_Flows[Name(EN)],Tab_Def_Flows[WC?],,0,)</f>
        <v/>
      </c>
      <c r="K161" s="272">
        <f>_xlfn.XLOOKUP(C161,Tab_Def_Flows[Name(EN)],Tab_Def_Flows[DM?],,0,)</f>
        <v/>
      </c>
      <c r="L161" s="272">
        <f>_xlfn.XLOOKUP(C161,Tab_Def_Flows[Name(EN)],Tab_Def_Flows[CC?],,0,)</f>
        <v/>
      </c>
      <c r="M161" s="273" t="n"/>
      <c r="N161" s="273" t="n"/>
      <c r="O161" s="48" t="n"/>
      <c r="P161" s="273" t="n"/>
      <c r="Q161" s="273" t="n"/>
      <c r="R161" s="273">
        <f>INDEX(#REF!,MATCH(Tab_Data_Flows[[#This Row],[Name(EN)]],#REF!,0),12)</f>
        <v/>
      </c>
      <c r="S161" s="273">
        <f>MATCH(Tab_Data_Flows[[#This Row],[Name(EN)]],#REF!,0)</f>
        <v/>
      </c>
      <c r="T161" s="273" t="n"/>
      <c r="U161" s="273" t="n"/>
      <c r="V161" s="273" t="n"/>
      <c r="W161" s="273" t="n"/>
      <c r="X161" s="273" t="inlineStr">
        <is>
          <t>No</t>
        </is>
      </c>
      <c r="Y161" s="273" t="n"/>
      <c r="Z161" s="273" t="n"/>
      <c r="AA161" s="35">
        <f>IF(X161="no",O161,O161*Y161)</f>
        <v/>
      </c>
      <c r="AB161" s="273" t="inlineStr">
        <is>
          <t>Mg</t>
        </is>
      </c>
      <c r="AC161" s="190">
        <f>INDEX(Tab_Def_Flows[[Flow_ID]:[CC_DM_source]],MATCH(Tab_Data_Flows[[#This Row],[Name(EN)]],Tab_Def_Flows[Name(EN)],0),13)</f>
        <v/>
      </c>
      <c r="AD161" s="272">
        <f>IF(J161="Yes",AA161*Tab_Data_Flows[[#This Row],[WC_'[%']]],"N.A.")</f>
        <v/>
      </c>
      <c r="AE161" s="272">
        <f>Tab_Data_Flows[[#This Row],[UoM_Flow_Py]]</f>
        <v/>
      </c>
      <c r="AF161" s="190">
        <f>INDEX(Tab_Def_Flows[[Flow_ID]:[CC_DM_source]],MATCH(Tab_Data_Flows[[#This Row],[Name(EN)]],Tab_Def_Flows[Name(EN)],0),15)</f>
        <v/>
      </c>
      <c r="AG161" s="272">
        <f>IF(K161="Yes",AF161*Tab_Data_Flows[[#This Row],[Flow_Py]]-AJ277,"N.A.")</f>
        <v/>
      </c>
      <c r="AH161" s="272">
        <f>Tab_Data_Flows[[#This Row],[UoM_Flow_Py]]</f>
        <v/>
      </c>
      <c r="AI161" s="190">
        <f>INDEX(Tab_Def_Flows[[Flow_ID]:[CC_DM_source]],MATCH(Tab_Data_Flows[[#This Row],[Name(EN)]],Tab_Def_Flows[Name(EN)],0),17)</f>
        <v/>
      </c>
      <c r="AJ161" s="272">
        <f>IF(L161="Yes",AI161*Tab_Data_Flows[[#This Row],[Flow_Py]]*Tab_Data_Flows[[#This Row],[DM_'[%']]],"N.A.")</f>
        <v/>
      </c>
      <c r="AK161" s="272">
        <f>Tab_Data_Flows[[#This Row],[UoM_Flow_Py]]</f>
        <v/>
      </c>
    </row>
    <row r="162">
      <c r="A162" s="296">
        <f>ROW()-1</f>
        <v/>
      </c>
      <c r="B162" s="272">
        <f>_xlfn.XLOOKUP(C162,Tab_Def_Flows[Name(EN)],Tab_Def_Flows[Flow_ID],,0,)</f>
        <v/>
      </c>
      <c r="C162" s="273" t="inlineStr">
        <is>
          <t>N.A.</t>
        </is>
      </c>
      <c r="D162" s="272">
        <f>_xlfn.XLOOKUP(C162,Tab_Def_Flows[Name(EN)],Tab_Def_Flows[Type_Biomass],,0,)</f>
        <v/>
      </c>
      <c r="E162" s="272">
        <f>_xlfn.XLOOKUP(C162,Tab_Def_Flows[Name(EN)],Tab_Def_Flows[Output_Process],,0,)</f>
        <v/>
      </c>
      <c r="F162" s="272">
        <f>_xlfn.XLOOKUP(C162,Tab_Def_Flows[Name(EN)],Tab_Def_Flows[Process_ID_O],,0,)</f>
        <v/>
      </c>
      <c r="G162" s="272">
        <f>_xlfn.XLOOKUP(C162,Tab_Def_Flows[Name(EN)],Tab_Def_Flows[Input_Process],,0,)</f>
        <v/>
      </c>
      <c r="H162" s="17">
        <f>_xlfn.XLOOKUP(C162,Tab_Def_Flows[Name(EN)],Tab_Def_Flows[Process_ID_I],,0,)</f>
        <v/>
      </c>
      <c r="I162" s="272">
        <f>_xlfn.XLOOKUP(C162,Tab_Def_Flows[Name(EN)],#REF!,,0,)</f>
        <v/>
      </c>
      <c r="J162" s="272">
        <f>_xlfn.XLOOKUP(C162,Tab_Def_Flows[Name(EN)],Tab_Def_Flows[WC?],,0,)</f>
        <v/>
      </c>
      <c r="K162" s="272">
        <f>_xlfn.XLOOKUP(C162,Tab_Def_Flows[Name(EN)],Tab_Def_Flows[DM?],,0,)</f>
        <v/>
      </c>
      <c r="L162" s="272">
        <f>_xlfn.XLOOKUP(C162,Tab_Def_Flows[Name(EN)],Tab_Def_Flows[CC?],,0,)</f>
        <v/>
      </c>
      <c r="M162" s="273" t="n"/>
      <c r="N162" s="273" t="n"/>
      <c r="O162" s="48" t="n"/>
      <c r="P162" s="273" t="n"/>
      <c r="Q162" s="273" t="n"/>
      <c r="R162" s="273">
        <f>INDEX(#REF!,MATCH(Tab_Data_Flows[[#This Row],[Name(EN)]],#REF!,0),12)</f>
        <v/>
      </c>
      <c r="S162" s="273">
        <f>MATCH(Tab_Data_Flows[[#This Row],[Name(EN)]],#REF!,0)</f>
        <v/>
      </c>
      <c r="T162" s="273" t="n"/>
      <c r="U162" s="273" t="n"/>
      <c r="V162" s="273" t="n"/>
      <c r="W162" s="273" t="n"/>
      <c r="X162" s="273" t="inlineStr">
        <is>
          <t>No</t>
        </is>
      </c>
      <c r="Y162" s="273" t="n"/>
      <c r="Z162" s="273" t="n"/>
      <c r="AA162" s="35">
        <f>IF(X162="no",O162,O162*Y162)</f>
        <v/>
      </c>
      <c r="AB162" s="273" t="inlineStr">
        <is>
          <t>Mg</t>
        </is>
      </c>
      <c r="AC162" s="190">
        <f>INDEX(Tab_Def_Flows[[Flow_ID]:[CC_DM_source]],MATCH(Tab_Data_Flows[[#This Row],[Name(EN)]],Tab_Def_Flows[Name(EN)],0),13)</f>
        <v/>
      </c>
      <c r="AD162" s="272">
        <f>IF(J162="Yes",AA162*Tab_Data_Flows[[#This Row],[WC_'[%']]],"N.A.")</f>
        <v/>
      </c>
      <c r="AE162" s="272">
        <f>Tab_Data_Flows[[#This Row],[UoM_Flow_Py]]</f>
        <v/>
      </c>
      <c r="AF162" s="190">
        <f>INDEX(Tab_Def_Flows[[Flow_ID]:[CC_DM_source]],MATCH(Tab_Data_Flows[[#This Row],[Name(EN)]],Tab_Def_Flows[Name(EN)],0),15)</f>
        <v/>
      </c>
      <c r="AG162" s="272">
        <f>IF(K162="Yes",AF162*Tab_Data_Flows[[#This Row],[Flow_Py]]-AJ278,"N.A.")</f>
        <v/>
      </c>
      <c r="AH162" s="272">
        <f>Tab_Data_Flows[[#This Row],[UoM_Flow_Py]]</f>
        <v/>
      </c>
      <c r="AI162" s="190">
        <f>INDEX(Tab_Def_Flows[[Flow_ID]:[CC_DM_source]],MATCH(Tab_Data_Flows[[#This Row],[Name(EN)]],Tab_Def_Flows[Name(EN)],0),17)</f>
        <v/>
      </c>
      <c r="AJ162" s="272">
        <f>IF(L162="Yes",AI162*Tab_Data_Flows[[#This Row],[Flow_Py]]*Tab_Data_Flows[[#This Row],[DM_'[%']]],"N.A.")</f>
        <v/>
      </c>
      <c r="AK162" s="272">
        <f>Tab_Data_Flows[[#This Row],[UoM_Flow_Py]]</f>
        <v/>
      </c>
    </row>
    <row r="163">
      <c r="A163" s="296">
        <f>ROW()-1</f>
        <v/>
      </c>
      <c r="B163" s="272">
        <f>_xlfn.XLOOKUP(C163,Tab_Def_Flows[Name(EN)],Tab_Def_Flows[Flow_ID],,0,)</f>
        <v/>
      </c>
      <c r="C163" s="273" t="inlineStr">
        <is>
          <t>N.A.</t>
        </is>
      </c>
      <c r="D163" s="272">
        <f>_xlfn.XLOOKUP(C163,Tab_Def_Flows[Name(EN)],Tab_Def_Flows[Type_Biomass],,0,)</f>
        <v/>
      </c>
      <c r="E163" s="272">
        <f>_xlfn.XLOOKUP(C163,Tab_Def_Flows[Name(EN)],Tab_Def_Flows[Output_Process],,0,)</f>
        <v/>
      </c>
      <c r="F163" s="272">
        <f>_xlfn.XLOOKUP(C163,Tab_Def_Flows[Name(EN)],Tab_Def_Flows[Process_ID_O],,0,)</f>
        <v/>
      </c>
      <c r="G163" s="272">
        <f>_xlfn.XLOOKUP(C163,Tab_Def_Flows[Name(EN)],Tab_Def_Flows[Input_Process],,0,)</f>
        <v/>
      </c>
      <c r="H163" s="17">
        <f>_xlfn.XLOOKUP(C163,Tab_Def_Flows[Name(EN)],Tab_Def_Flows[Process_ID_I],,0,)</f>
        <v/>
      </c>
      <c r="I163" s="272">
        <f>_xlfn.XLOOKUP(C163,Tab_Def_Flows[Name(EN)],#REF!,,0,)</f>
        <v/>
      </c>
      <c r="J163" s="272">
        <f>_xlfn.XLOOKUP(C163,Tab_Def_Flows[Name(EN)],Tab_Def_Flows[WC?],,0,)</f>
        <v/>
      </c>
      <c r="K163" s="272">
        <f>_xlfn.XLOOKUP(C163,Tab_Def_Flows[Name(EN)],Tab_Def_Flows[DM?],,0,)</f>
        <v/>
      </c>
      <c r="L163" s="272">
        <f>_xlfn.XLOOKUP(C163,Tab_Def_Flows[Name(EN)],Tab_Def_Flows[CC?],,0,)</f>
        <v/>
      </c>
      <c r="M163" s="273" t="n"/>
      <c r="N163" s="273" t="n"/>
      <c r="O163" s="48" t="n"/>
      <c r="P163" s="273" t="n"/>
      <c r="Q163" s="273" t="n"/>
      <c r="R163" s="273">
        <f>INDEX(#REF!,MATCH(Tab_Data_Flows[[#This Row],[Name(EN)]],#REF!,0),12)</f>
        <v/>
      </c>
      <c r="S163" s="273">
        <f>MATCH(Tab_Data_Flows[[#This Row],[Name(EN)]],#REF!,0)</f>
        <v/>
      </c>
      <c r="T163" s="273" t="n"/>
      <c r="U163" s="273" t="n"/>
      <c r="V163" s="273" t="n"/>
      <c r="W163" s="273" t="n"/>
      <c r="X163" s="273" t="inlineStr">
        <is>
          <t>No</t>
        </is>
      </c>
      <c r="Y163" s="273" t="n"/>
      <c r="Z163" s="273" t="n"/>
      <c r="AA163" s="35">
        <f>IF(X163="no",O163,O163*Y163)</f>
        <v/>
      </c>
      <c r="AB163" s="273" t="inlineStr">
        <is>
          <t>Mg</t>
        </is>
      </c>
      <c r="AC163" s="190">
        <f>INDEX(Tab_Def_Flows[[Flow_ID]:[CC_DM_source]],MATCH(Tab_Data_Flows[[#This Row],[Name(EN)]],Tab_Def_Flows[Name(EN)],0),13)</f>
        <v/>
      </c>
      <c r="AD163" s="272">
        <f>IF(J163="Yes",AA163*Tab_Data_Flows[[#This Row],[WC_'[%']]],"N.A.")</f>
        <v/>
      </c>
      <c r="AE163" s="272">
        <f>Tab_Data_Flows[[#This Row],[UoM_Flow_Py]]</f>
        <v/>
      </c>
      <c r="AF163" s="190">
        <f>INDEX(Tab_Def_Flows[[Flow_ID]:[CC_DM_source]],MATCH(Tab_Data_Flows[[#This Row],[Name(EN)]],Tab_Def_Flows[Name(EN)],0),15)</f>
        <v/>
      </c>
      <c r="AG163" s="272">
        <f>IF(K163="Yes",AF163*Tab_Data_Flows[[#This Row],[Flow_Py]]-AJ279,"N.A.")</f>
        <v/>
      </c>
      <c r="AH163" s="272">
        <f>Tab_Data_Flows[[#This Row],[UoM_Flow_Py]]</f>
        <v/>
      </c>
      <c r="AI163" s="190">
        <f>INDEX(Tab_Def_Flows[[Flow_ID]:[CC_DM_source]],MATCH(Tab_Data_Flows[[#This Row],[Name(EN)]],Tab_Def_Flows[Name(EN)],0),17)</f>
        <v/>
      </c>
      <c r="AJ163" s="272">
        <f>IF(L163="Yes",AI163*Tab_Data_Flows[[#This Row],[Flow_Py]]*Tab_Data_Flows[[#This Row],[DM_'[%']]],"N.A.")</f>
        <v/>
      </c>
      <c r="AK163" s="272">
        <f>Tab_Data_Flows[[#This Row],[UoM_Flow_Py]]</f>
        <v/>
      </c>
    </row>
    <row r="164">
      <c r="A164" s="296">
        <f>ROW()-1</f>
        <v/>
      </c>
      <c r="B164" s="272">
        <f>_xlfn.XLOOKUP(C164,Tab_Def_Flows[Name(EN)],Tab_Def_Flows[Flow_ID],,0,)</f>
        <v/>
      </c>
      <c r="C164" s="273" t="inlineStr">
        <is>
          <t>N.A.</t>
        </is>
      </c>
      <c r="D164" s="272">
        <f>_xlfn.XLOOKUP(C164,Tab_Def_Flows[Name(EN)],Tab_Def_Flows[Type_Biomass],,0,)</f>
        <v/>
      </c>
      <c r="E164" s="272">
        <f>_xlfn.XLOOKUP(C164,Tab_Def_Flows[Name(EN)],Tab_Def_Flows[Output_Process],,0,)</f>
        <v/>
      </c>
      <c r="F164" s="272">
        <f>_xlfn.XLOOKUP(C164,Tab_Def_Flows[Name(EN)],Tab_Def_Flows[Process_ID_O],,0,)</f>
        <v/>
      </c>
      <c r="G164" s="272">
        <f>_xlfn.XLOOKUP(C164,Tab_Def_Flows[Name(EN)],Tab_Def_Flows[Input_Process],,0,)</f>
        <v/>
      </c>
      <c r="H164" s="17">
        <f>_xlfn.XLOOKUP(C164,Tab_Def_Flows[Name(EN)],Tab_Def_Flows[Process_ID_I],,0,)</f>
        <v/>
      </c>
      <c r="I164" s="272">
        <f>_xlfn.XLOOKUP(C164,Tab_Def_Flows[Name(EN)],#REF!,,0,)</f>
        <v/>
      </c>
      <c r="J164" s="272">
        <f>_xlfn.XLOOKUP(C164,Tab_Def_Flows[Name(EN)],Tab_Def_Flows[WC?],,0,)</f>
        <v/>
      </c>
      <c r="K164" s="272">
        <f>_xlfn.XLOOKUP(C164,Tab_Def_Flows[Name(EN)],Tab_Def_Flows[DM?],,0,)</f>
        <v/>
      </c>
      <c r="L164" s="272">
        <f>_xlfn.XLOOKUP(C164,Tab_Def_Flows[Name(EN)],Tab_Def_Flows[CC?],,0,)</f>
        <v/>
      </c>
      <c r="M164" s="273" t="n"/>
      <c r="N164" s="273" t="n"/>
      <c r="O164" s="48" t="n"/>
      <c r="P164" s="273" t="n"/>
      <c r="Q164" s="273" t="n"/>
      <c r="R164" s="273">
        <f>INDEX(#REF!,MATCH(Tab_Data_Flows[[#This Row],[Name(EN)]],#REF!,0),12)</f>
        <v/>
      </c>
      <c r="S164" s="273">
        <f>MATCH(Tab_Data_Flows[[#This Row],[Name(EN)]],#REF!,0)</f>
        <v/>
      </c>
      <c r="T164" s="273" t="n"/>
      <c r="U164" s="273" t="n"/>
      <c r="V164" s="273" t="n"/>
      <c r="W164" s="273" t="n"/>
      <c r="X164" s="273" t="inlineStr">
        <is>
          <t>No</t>
        </is>
      </c>
      <c r="Y164" s="273" t="n"/>
      <c r="Z164" s="273" t="n"/>
      <c r="AA164" s="35">
        <f>IF(X164="no",O164,O164*Y164)</f>
        <v/>
      </c>
      <c r="AB164" s="273" t="inlineStr">
        <is>
          <t>Mg</t>
        </is>
      </c>
      <c r="AC164" s="190">
        <f>INDEX(Tab_Def_Flows[[Flow_ID]:[CC_DM_source]],MATCH(Tab_Data_Flows[[#This Row],[Name(EN)]],Tab_Def_Flows[Name(EN)],0),13)</f>
        <v/>
      </c>
      <c r="AD164" s="272">
        <f>IF(J164="Yes",AA164*Tab_Data_Flows[[#This Row],[WC_'[%']]],"N.A.")</f>
        <v/>
      </c>
      <c r="AE164" s="272">
        <f>Tab_Data_Flows[[#This Row],[UoM_Flow_Py]]</f>
        <v/>
      </c>
      <c r="AF164" s="190">
        <f>INDEX(Tab_Def_Flows[[Flow_ID]:[CC_DM_source]],MATCH(Tab_Data_Flows[[#This Row],[Name(EN)]],Tab_Def_Flows[Name(EN)],0),15)</f>
        <v/>
      </c>
      <c r="AG164" s="272">
        <f>IF(K164="Yes",AF164*Tab_Data_Flows[[#This Row],[Flow_Py]]-AJ280,"N.A.")</f>
        <v/>
      </c>
      <c r="AH164" s="272">
        <f>Tab_Data_Flows[[#This Row],[UoM_Flow_Py]]</f>
        <v/>
      </c>
      <c r="AI164" s="190">
        <f>INDEX(Tab_Def_Flows[[Flow_ID]:[CC_DM_source]],MATCH(Tab_Data_Flows[[#This Row],[Name(EN)]],Tab_Def_Flows[Name(EN)],0),17)</f>
        <v/>
      </c>
      <c r="AJ164" s="272">
        <f>IF(L164="Yes",AI164*Tab_Data_Flows[[#This Row],[Flow_Py]]*Tab_Data_Flows[[#This Row],[DM_'[%']]],"N.A.")</f>
        <v/>
      </c>
      <c r="AK164" s="272">
        <f>Tab_Data_Flows[[#This Row],[UoM_Flow_Py]]</f>
        <v/>
      </c>
    </row>
    <row r="165">
      <c r="A165" s="296">
        <f>ROW()-1</f>
        <v/>
      </c>
      <c r="B165" s="272">
        <f>_xlfn.XLOOKUP(C165,Tab_Def_Flows[Name(EN)],Tab_Def_Flows[Flow_ID],,0,)</f>
        <v/>
      </c>
      <c r="C165" s="273" t="inlineStr">
        <is>
          <t>N.A.</t>
        </is>
      </c>
      <c r="D165" s="272">
        <f>_xlfn.XLOOKUP(C165,Tab_Def_Flows[Name(EN)],Tab_Def_Flows[Type_Biomass],,0,)</f>
        <v/>
      </c>
      <c r="E165" s="272">
        <f>_xlfn.XLOOKUP(C165,Tab_Def_Flows[Name(EN)],Tab_Def_Flows[Output_Process],,0,)</f>
        <v/>
      </c>
      <c r="F165" s="272">
        <f>_xlfn.XLOOKUP(C165,Tab_Def_Flows[Name(EN)],Tab_Def_Flows[Process_ID_O],,0,)</f>
        <v/>
      </c>
      <c r="G165" s="272">
        <f>_xlfn.XLOOKUP(C165,Tab_Def_Flows[Name(EN)],Tab_Def_Flows[Input_Process],,0,)</f>
        <v/>
      </c>
      <c r="H165" s="17">
        <f>_xlfn.XLOOKUP(C165,Tab_Def_Flows[Name(EN)],Tab_Def_Flows[Process_ID_I],,0,)</f>
        <v/>
      </c>
      <c r="I165" s="272">
        <f>_xlfn.XLOOKUP(C165,Tab_Def_Flows[Name(EN)],#REF!,,0,)</f>
        <v/>
      </c>
      <c r="J165" s="272">
        <f>_xlfn.XLOOKUP(C165,Tab_Def_Flows[Name(EN)],Tab_Def_Flows[WC?],,0,)</f>
        <v/>
      </c>
      <c r="K165" s="272">
        <f>_xlfn.XLOOKUP(C165,Tab_Def_Flows[Name(EN)],Tab_Def_Flows[DM?],,0,)</f>
        <v/>
      </c>
      <c r="L165" s="272">
        <f>_xlfn.XLOOKUP(C165,Tab_Def_Flows[Name(EN)],Tab_Def_Flows[CC?],,0,)</f>
        <v/>
      </c>
      <c r="M165" s="273" t="n"/>
      <c r="N165" s="273" t="n"/>
      <c r="O165" s="48" t="n"/>
      <c r="P165" s="273" t="n"/>
      <c r="Q165" s="273" t="n"/>
      <c r="R165" s="273">
        <f>INDEX(#REF!,MATCH(Tab_Data_Flows[[#This Row],[Name(EN)]],#REF!,0),12)</f>
        <v/>
      </c>
      <c r="S165" s="273">
        <f>MATCH(Tab_Data_Flows[[#This Row],[Name(EN)]],#REF!,0)</f>
        <v/>
      </c>
      <c r="T165" s="273" t="n"/>
      <c r="U165" s="273" t="n"/>
      <c r="V165" s="273" t="n"/>
      <c r="W165" s="273" t="n"/>
      <c r="X165" s="273" t="inlineStr">
        <is>
          <t>No</t>
        </is>
      </c>
      <c r="Y165" s="273" t="n"/>
      <c r="Z165" s="273" t="n"/>
      <c r="AA165" s="35">
        <f>IF(X165="no",O165,O165*Y165)</f>
        <v/>
      </c>
      <c r="AB165" s="273" t="inlineStr">
        <is>
          <t>Mg</t>
        </is>
      </c>
      <c r="AC165" s="190">
        <f>INDEX(Tab_Def_Flows[[Flow_ID]:[CC_DM_source]],MATCH(Tab_Data_Flows[[#This Row],[Name(EN)]],Tab_Def_Flows[Name(EN)],0),13)</f>
        <v/>
      </c>
      <c r="AD165" s="272">
        <f>IF(J165="Yes",AA165*Tab_Data_Flows[[#This Row],[WC_'[%']]],"N.A.")</f>
        <v/>
      </c>
      <c r="AE165" s="272">
        <f>Tab_Data_Flows[[#This Row],[UoM_Flow_Py]]</f>
        <v/>
      </c>
      <c r="AF165" s="190">
        <f>INDEX(Tab_Def_Flows[[Flow_ID]:[CC_DM_source]],MATCH(Tab_Data_Flows[[#This Row],[Name(EN)]],Tab_Def_Flows[Name(EN)],0),15)</f>
        <v/>
      </c>
      <c r="AG165" s="272">
        <f>IF(K165="Yes",AF165*Tab_Data_Flows[[#This Row],[Flow_Py]]-AJ281,"N.A.")</f>
        <v/>
      </c>
      <c r="AH165" s="272">
        <f>Tab_Data_Flows[[#This Row],[UoM_Flow_Py]]</f>
        <v/>
      </c>
      <c r="AI165" s="190">
        <f>INDEX(Tab_Def_Flows[[Flow_ID]:[CC_DM_source]],MATCH(Tab_Data_Flows[[#This Row],[Name(EN)]],Tab_Def_Flows[Name(EN)],0),17)</f>
        <v/>
      </c>
      <c r="AJ165" s="272">
        <f>IF(L165="Yes",AI165*Tab_Data_Flows[[#This Row],[Flow_Py]]*Tab_Data_Flows[[#This Row],[DM_'[%']]],"N.A.")</f>
        <v/>
      </c>
      <c r="AK165" s="272">
        <f>Tab_Data_Flows[[#This Row],[UoM_Flow_Py]]</f>
        <v/>
      </c>
    </row>
    <row r="166">
      <c r="A166" s="296">
        <f>ROW()-1</f>
        <v/>
      </c>
      <c r="B166" s="272">
        <f>_xlfn.XLOOKUP(C166,Tab_Def_Flows[Name(EN)],Tab_Def_Flows[Flow_ID],,0,)</f>
        <v/>
      </c>
      <c r="C166" s="273" t="inlineStr">
        <is>
          <t>N.A.</t>
        </is>
      </c>
      <c r="D166" s="272">
        <f>_xlfn.XLOOKUP(C166,Tab_Def_Flows[Name(EN)],Tab_Def_Flows[Type_Biomass],,0,)</f>
        <v/>
      </c>
      <c r="E166" s="272">
        <f>_xlfn.XLOOKUP(C166,Tab_Def_Flows[Name(EN)],Tab_Def_Flows[Output_Process],,0,)</f>
        <v/>
      </c>
      <c r="F166" s="272">
        <f>_xlfn.XLOOKUP(C166,Tab_Def_Flows[Name(EN)],Tab_Def_Flows[Process_ID_O],,0,)</f>
        <v/>
      </c>
      <c r="G166" s="272">
        <f>_xlfn.XLOOKUP(C166,Tab_Def_Flows[Name(EN)],Tab_Def_Flows[Input_Process],,0,)</f>
        <v/>
      </c>
      <c r="H166" s="17">
        <f>_xlfn.XLOOKUP(C166,Tab_Def_Flows[Name(EN)],Tab_Def_Flows[Process_ID_I],,0,)</f>
        <v/>
      </c>
      <c r="I166" s="272">
        <f>_xlfn.XLOOKUP(C166,Tab_Def_Flows[Name(EN)],#REF!,,0,)</f>
        <v/>
      </c>
      <c r="J166" s="272">
        <f>_xlfn.XLOOKUP(C166,Tab_Def_Flows[Name(EN)],Tab_Def_Flows[WC?],,0,)</f>
        <v/>
      </c>
      <c r="K166" s="272">
        <f>_xlfn.XLOOKUP(C166,Tab_Def_Flows[Name(EN)],Tab_Def_Flows[DM?],,0,)</f>
        <v/>
      </c>
      <c r="L166" s="272">
        <f>_xlfn.XLOOKUP(C166,Tab_Def_Flows[Name(EN)],Tab_Def_Flows[CC?],,0,)</f>
        <v/>
      </c>
      <c r="M166" s="273" t="n"/>
      <c r="N166" s="273" t="n"/>
      <c r="O166" s="48" t="n"/>
      <c r="P166" s="273" t="n"/>
      <c r="Q166" s="273" t="n"/>
      <c r="R166" s="273">
        <f>INDEX(#REF!,MATCH(Tab_Data_Flows[[#This Row],[Name(EN)]],#REF!,0),12)</f>
        <v/>
      </c>
      <c r="S166" s="273">
        <f>MATCH(Tab_Data_Flows[[#This Row],[Name(EN)]],#REF!,0)</f>
        <v/>
      </c>
      <c r="T166" s="273" t="n"/>
      <c r="U166" s="273" t="n"/>
      <c r="V166" s="273" t="n"/>
      <c r="W166" s="273" t="n"/>
      <c r="X166" s="273" t="inlineStr">
        <is>
          <t>No</t>
        </is>
      </c>
      <c r="Y166" s="273" t="n"/>
      <c r="Z166" s="273" t="n"/>
      <c r="AA166" s="35">
        <f>IF(X166="no",O166,O166*Y166)</f>
        <v/>
      </c>
      <c r="AB166" s="273" t="inlineStr">
        <is>
          <t>Mg</t>
        </is>
      </c>
      <c r="AC166" s="190">
        <f>INDEX(Tab_Def_Flows[[Flow_ID]:[CC_DM_source]],MATCH(Tab_Data_Flows[[#This Row],[Name(EN)]],Tab_Def_Flows[Name(EN)],0),13)</f>
        <v/>
      </c>
      <c r="AD166" s="272">
        <f>IF(J166="Yes",AA166*Tab_Data_Flows[[#This Row],[WC_'[%']]],"N.A.")</f>
        <v/>
      </c>
      <c r="AE166" s="272">
        <f>Tab_Data_Flows[[#This Row],[UoM_Flow_Py]]</f>
        <v/>
      </c>
      <c r="AF166" s="190">
        <f>INDEX(Tab_Def_Flows[[Flow_ID]:[CC_DM_source]],MATCH(Tab_Data_Flows[[#This Row],[Name(EN)]],Tab_Def_Flows[Name(EN)],0),15)</f>
        <v/>
      </c>
      <c r="AG166" s="272">
        <f>IF(K166="Yes",AF166*Tab_Data_Flows[[#This Row],[Flow_Py]]-AJ282,"N.A.")</f>
        <v/>
      </c>
      <c r="AH166" s="272">
        <f>Tab_Data_Flows[[#This Row],[UoM_Flow_Py]]</f>
        <v/>
      </c>
      <c r="AI166" s="190">
        <f>INDEX(Tab_Def_Flows[[Flow_ID]:[CC_DM_source]],MATCH(Tab_Data_Flows[[#This Row],[Name(EN)]],Tab_Def_Flows[Name(EN)],0),17)</f>
        <v/>
      </c>
      <c r="AJ166" s="272">
        <f>IF(L166="Yes",AI166*Tab_Data_Flows[[#This Row],[Flow_Py]]*Tab_Data_Flows[[#This Row],[DM_'[%']]],"N.A.")</f>
        <v/>
      </c>
      <c r="AK166" s="272">
        <f>Tab_Data_Flows[[#This Row],[UoM_Flow_Py]]</f>
        <v/>
      </c>
    </row>
    <row r="167">
      <c r="A167" s="296">
        <f>ROW()-1</f>
        <v/>
      </c>
      <c r="B167" s="272">
        <f>_xlfn.XLOOKUP(C167,Tab_Def_Flows[Name(EN)],Tab_Def_Flows[Flow_ID],,0,)</f>
        <v/>
      </c>
      <c r="C167" s="273" t="inlineStr">
        <is>
          <t>N.A.</t>
        </is>
      </c>
      <c r="D167" s="272">
        <f>_xlfn.XLOOKUP(C167,Tab_Def_Flows[Name(EN)],Tab_Def_Flows[Type_Biomass],,0,)</f>
        <v/>
      </c>
      <c r="E167" s="272">
        <f>_xlfn.XLOOKUP(C167,Tab_Def_Flows[Name(EN)],Tab_Def_Flows[Output_Process],,0,)</f>
        <v/>
      </c>
      <c r="F167" s="272">
        <f>_xlfn.XLOOKUP(C167,Tab_Def_Flows[Name(EN)],Tab_Def_Flows[Process_ID_O],,0,)</f>
        <v/>
      </c>
      <c r="G167" s="272">
        <f>_xlfn.XLOOKUP(C167,Tab_Def_Flows[Name(EN)],Tab_Def_Flows[Input_Process],,0,)</f>
        <v/>
      </c>
      <c r="H167" s="17">
        <f>_xlfn.XLOOKUP(C167,Tab_Def_Flows[Name(EN)],Tab_Def_Flows[Process_ID_I],,0,)</f>
        <v/>
      </c>
      <c r="I167" s="272">
        <f>_xlfn.XLOOKUP(C167,Tab_Def_Flows[Name(EN)],#REF!,,0,)</f>
        <v/>
      </c>
      <c r="J167" s="272">
        <f>_xlfn.XLOOKUP(C167,Tab_Def_Flows[Name(EN)],Tab_Def_Flows[WC?],,0,)</f>
        <v/>
      </c>
      <c r="K167" s="272">
        <f>_xlfn.XLOOKUP(C167,Tab_Def_Flows[Name(EN)],Tab_Def_Flows[DM?],,0,)</f>
        <v/>
      </c>
      <c r="L167" s="272">
        <f>_xlfn.XLOOKUP(C167,Tab_Def_Flows[Name(EN)],Tab_Def_Flows[CC?],,0,)</f>
        <v/>
      </c>
      <c r="M167" s="273" t="n"/>
      <c r="N167" s="273" t="n"/>
      <c r="O167" s="48" t="n"/>
      <c r="P167" s="273" t="n"/>
      <c r="Q167" s="273" t="n"/>
      <c r="R167" s="273">
        <f>INDEX(#REF!,MATCH(Tab_Data_Flows[[#This Row],[Name(EN)]],#REF!,0),12)</f>
        <v/>
      </c>
      <c r="S167" s="273">
        <f>MATCH(Tab_Data_Flows[[#This Row],[Name(EN)]],#REF!,0)</f>
        <v/>
      </c>
      <c r="T167" s="273" t="n"/>
      <c r="U167" s="273" t="n"/>
      <c r="V167" s="273" t="n"/>
      <c r="W167" s="273" t="n"/>
      <c r="X167" s="273" t="inlineStr">
        <is>
          <t>No</t>
        </is>
      </c>
      <c r="Y167" s="273" t="n"/>
      <c r="Z167" s="273" t="n"/>
      <c r="AA167" s="35">
        <f>IF(X167="no",O167,O167*Y167)</f>
        <v/>
      </c>
      <c r="AB167" s="273" t="inlineStr">
        <is>
          <t>Mg</t>
        </is>
      </c>
      <c r="AC167" s="190">
        <f>INDEX(Tab_Def_Flows[[Flow_ID]:[CC_DM_source]],MATCH(Tab_Data_Flows[[#This Row],[Name(EN)]],Tab_Def_Flows[Name(EN)],0),13)</f>
        <v/>
      </c>
      <c r="AD167" s="272">
        <f>IF(J167="Yes",AA167*Tab_Data_Flows[[#This Row],[WC_'[%']]],"N.A.")</f>
        <v/>
      </c>
      <c r="AE167" s="272">
        <f>Tab_Data_Flows[[#This Row],[UoM_Flow_Py]]</f>
        <v/>
      </c>
      <c r="AF167" s="190">
        <f>INDEX(Tab_Def_Flows[[Flow_ID]:[CC_DM_source]],MATCH(Tab_Data_Flows[[#This Row],[Name(EN)]],Tab_Def_Flows[Name(EN)],0),15)</f>
        <v/>
      </c>
      <c r="AG167" s="272">
        <f>IF(K167="Yes",AF167*Tab_Data_Flows[[#This Row],[Flow_Py]]-AJ283,"N.A.")</f>
        <v/>
      </c>
      <c r="AH167" s="272">
        <f>Tab_Data_Flows[[#This Row],[UoM_Flow_Py]]</f>
        <v/>
      </c>
      <c r="AI167" s="190">
        <f>INDEX(Tab_Def_Flows[[Flow_ID]:[CC_DM_source]],MATCH(Tab_Data_Flows[[#This Row],[Name(EN)]],Tab_Def_Flows[Name(EN)],0),17)</f>
        <v/>
      </c>
      <c r="AJ167" s="272">
        <f>IF(L167="Yes",AI167*Tab_Data_Flows[[#This Row],[Flow_Py]]*Tab_Data_Flows[[#This Row],[DM_'[%']]],"N.A.")</f>
        <v/>
      </c>
      <c r="AK167" s="272">
        <f>Tab_Data_Flows[[#This Row],[UoM_Flow_Py]]</f>
        <v/>
      </c>
    </row>
    <row r="168">
      <c r="A168" s="296">
        <f>ROW()-1</f>
        <v/>
      </c>
      <c r="B168" s="272">
        <f>_xlfn.XLOOKUP(C168,Tab_Def_Flows[Name(EN)],Tab_Def_Flows[Flow_ID],,0,)</f>
        <v/>
      </c>
      <c r="C168" s="273" t="inlineStr">
        <is>
          <t>N.A.</t>
        </is>
      </c>
      <c r="D168" s="272">
        <f>_xlfn.XLOOKUP(C168,Tab_Def_Flows[Name(EN)],Tab_Def_Flows[Type_Biomass],,0,)</f>
        <v/>
      </c>
      <c r="E168" s="272">
        <f>_xlfn.XLOOKUP(C168,Tab_Def_Flows[Name(EN)],Tab_Def_Flows[Output_Process],,0,)</f>
        <v/>
      </c>
      <c r="F168" s="272">
        <f>_xlfn.XLOOKUP(C168,Tab_Def_Flows[Name(EN)],Tab_Def_Flows[Process_ID_O],,0,)</f>
        <v/>
      </c>
      <c r="G168" s="272">
        <f>_xlfn.XLOOKUP(C168,Tab_Def_Flows[Name(EN)],Tab_Def_Flows[Input_Process],,0,)</f>
        <v/>
      </c>
      <c r="H168" s="17">
        <f>_xlfn.XLOOKUP(C168,Tab_Def_Flows[Name(EN)],Tab_Def_Flows[Process_ID_I],,0,)</f>
        <v/>
      </c>
      <c r="I168" s="272">
        <f>_xlfn.XLOOKUP(C168,Tab_Def_Flows[Name(EN)],#REF!,,0,)</f>
        <v/>
      </c>
      <c r="J168" s="272">
        <f>_xlfn.XLOOKUP(C168,Tab_Def_Flows[Name(EN)],Tab_Def_Flows[WC?],,0,)</f>
        <v/>
      </c>
      <c r="K168" s="272">
        <f>_xlfn.XLOOKUP(C168,Tab_Def_Flows[Name(EN)],Tab_Def_Flows[DM?],,0,)</f>
        <v/>
      </c>
      <c r="L168" s="272">
        <f>_xlfn.XLOOKUP(C168,Tab_Def_Flows[Name(EN)],Tab_Def_Flows[CC?],,0,)</f>
        <v/>
      </c>
      <c r="M168" s="273" t="n"/>
      <c r="N168" s="273" t="n"/>
      <c r="O168" s="48" t="n"/>
      <c r="P168" s="273" t="n"/>
      <c r="Q168" s="273" t="n"/>
      <c r="R168" s="273">
        <f>INDEX(#REF!,MATCH(Tab_Data_Flows[[#This Row],[Name(EN)]],#REF!,0),12)</f>
        <v/>
      </c>
      <c r="S168" s="273">
        <f>MATCH(Tab_Data_Flows[[#This Row],[Name(EN)]],#REF!,0)</f>
        <v/>
      </c>
      <c r="T168" s="273" t="n"/>
      <c r="U168" s="273" t="n"/>
      <c r="V168" s="273" t="n"/>
      <c r="W168" s="273" t="n"/>
      <c r="X168" s="273" t="inlineStr">
        <is>
          <t>No</t>
        </is>
      </c>
      <c r="Y168" s="273" t="n"/>
      <c r="Z168" s="273" t="n"/>
      <c r="AA168" s="35">
        <f>IF(X168="no",O168,O168*Y168)</f>
        <v/>
      </c>
      <c r="AB168" s="273" t="inlineStr">
        <is>
          <t>Mg</t>
        </is>
      </c>
      <c r="AC168" s="190">
        <f>INDEX(Tab_Def_Flows[[Flow_ID]:[CC_DM_source]],MATCH(Tab_Data_Flows[[#This Row],[Name(EN)]],Tab_Def_Flows[Name(EN)],0),13)</f>
        <v/>
      </c>
      <c r="AD168" s="272">
        <f>IF(J168="Yes",AA168*Tab_Data_Flows[[#This Row],[WC_'[%']]],"N.A.")</f>
        <v/>
      </c>
      <c r="AE168" s="272">
        <f>Tab_Data_Flows[[#This Row],[UoM_Flow_Py]]</f>
        <v/>
      </c>
      <c r="AF168" s="190">
        <f>INDEX(Tab_Def_Flows[[Flow_ID]:[CC_DM_source]],MATCH(Tab_Data_Flows[[#This Row],[Name(EN)]],Tab_Def_Flows[Name(EN)],0),15)</f>
        <v/>
      </c>
      <c r="AG168" s="272">
        <f>IF(K168="Yes",AF168*Tab_Data_Flows[[#This Row],[Flow_Py]]-AJ284,"N.A.")</f>
        <v/>
      </c>
      <c r="AH168" s="272">
        <f>Tab_Data_Flows[[#This Row],[UoM_Flow_Py]]</f>
        <v/>
      </c>
      <c r="AI168" s="190">
        <f>INDEX(Tab_Def_Flows[[Flow_ID]:[CC_DM_source]],MATCH(Tab_Data_Flows[[#This Row],[Name(EN)]],Tab_Def_Flows[Name(EN)],0),17)</f>
        <v/>
      </c>
      <c r="AJ168" s="272">
        <f>IF(L168="Yes",AI168*Tab_Data_Flows[[#This Row],[Flow_Py]]*Tab_Data_Flows[[#This Row],[DM_'[%']]],"N.A.")</f>
        <v/>
      </c>
      <c r="AK168" s="272">
        <f>Tab_Data_Flows[[#This Row],[UoM_Flow_Py]]</f>
        <v/>
      </c>
    </row>
    <row r="169">
      <c r="A169" s="296">
        <f>ROW()-1</f>
        <v/>
      </c>
      <c r="B169" s="272">
        <f>_xlfn.XLOOKUP(C169,Tab_Def_Flows[Name(EN)],Tab_Def_Flows[Flow_ID],,0,)</f>
        <v/>
      </c>
      <c r="C169" s="273" t="inlineStr">
        <is>
          <t>N.A.</t>
        </is>
      </c>
      <c r="D169" s="272">
        <f>_xlfn.XLOOKUP(C169,Tab_Def_Flows[Name(EN)],Tab_Def_Flows[Type_Biomass],,0,)</f>
        <v/>
      </c>
      <c r="E169" s="272">
        <f>_xlfn.XLOOKUP(C169,Tab_Def_Flows[Name(EN)],Tab_Def_Flows[Output_Process],,0,)</f>
        <v/>
      </c>
      <c r="F169" s="272">
        <f>_xlfn.XLOOKUP(C169,Tab_Def_Flows[Name(EN)],Tab_Def_Flows[Process_ID_O],,0,)</f>
        <v/>
      </c>
      <c r="G169" s="272">
        <f>_xlfn.XLOOKUP(C169,Tab_Def_Flows[Name(EN)],Tab_Def_Flows[Input_Process],,0,)</f>
        <v/>
      </c>
      <c r="H169" s="17">
        <f>_xlfn.XLOOKUP(C169,Tab_Def_Flows[Name(EN)],Tab_Def_Flows[Process_ID_I],,0,)</f>
        <v/>
      </c>
      <c r="I169" s="272">
        <f>_xlfn.XLOOKUP(C169,Tab_Def_Flows[Name(EN)],#REF!,,0,)</f>
        <v/>
      </c>
      <c r="J169" s="272">
        <f>_xlfn.XLOOKUP(C169,Tab_Def_Flows[Name(EN)],Tab_Def_Flows[WC?],,0,)</f>
        <v/>
      </c>
      <c r="K169" s="272">
        <f>_xlfn.XLOOKUP(C169,Tab_Def_Flows[Name(EN)],Tab_Def_Flows[DM?],,0,)</f>
        <v/>
      </c>
      <c r="L169" s="272">
        <f>_xlfn.XLOOKUP(C169,Tab_Def_Flows[Name(EN)],Tab_Def_Flows[CC?],,0,)</f>
        <v/>
      </c>
      <c r="M169" s="273" t="n"/>
      <c r="N169" s="273" t="n"/>
      <c r="O169" s="48" t="n"/>
      <c r="P169" s="273" t="n"/>
      <c r="Q169" s="273" t="n"/>
      <c r="R169" s="273">
        <f>INDEX(#REF!,MATCH(Tab_Data_Flows[[#This Row],[Name(EN)]],#REF!,0),12)</f>
        <v/>
      </c>
      <c r="S169" s="273">
        <f>MATCH(Tab_Data_Flows[[#This Row],[Name(EN)]],#REF!,0)</f>
        <v/>
      </c>
      <c r="T169" s="273" t="n"/>
      <c r="U169" s="273" t="n"/>
      <c r="V169" s="273" t="n"/>
      <c r="W169" s="273" t="n"/>
      <c r="X169" s="273" t="inlineStr">
        <is>
          <t>No</t>
        </is>
      </c>
      <c r="Y169" s="273" t="n"/>
      <c r="Z169" s="273" t="n"/>
      <c r="AA169" s="35">
        <f>IF(X169="no",O169,O169*Y169)</f>
        <v/>
      </c>
      <c r="AB169" s="273" t="inlineStr">
        <is>
          <t>Mg</t>
        </is>
      </c>
      <c r="AC169" s="190">
        <f>INDEX(Tab_Def_Flows[[Flow_ID]:[CC_DM_source]],MATCH(Tab_Data_Flows[[#This Row],[Name(EN)]],Tab_Def_Flows[Name(EN)],0),13)</f>
        <v/>
      </c>
      <c r="AD169" s="272">
        <f>IF(J169="Yes",AA169*Tab_Data_Flows[[#This Row],[WC_'[%']]],"N.A.")</f>
        <v/>
      </c>
      <c r="AE169" s="272">
        <f>Tab_Data_Flows[[#This Row],[UoM_Flow_Py]]</f>
        <v/>
      </c>
      <c r="AF169" s="190">
        <f>INDEX(Tab_Def_Flows[[Flow_ID]:[CC_DM_source]],MATCH(Tab_Data_Flows[[#This Row],[Name(EN)]],Tab_Def_Flows[Name(EN)],0),15)</f>
        <v/>
      </c>
      <c r="AG169" s="272">
        <f>IF(K169="Yes",AF169*Tab_Data_Flows[[#This Row],[Flow_Py]]-AJ285,"N.A.")</f>
        <v/>
      </c>
      <c r="AH169" s="272">
        <f>Tab_Data_Flows[[#This Row],[UoM_Flow_Py]]</f>
        <v/>
      </c>
      <c r="AI169" s="190">
        <f>INDEX(Tab_Def_Flows[[Flow_ID]:[CC_DM_source]],MATCH(Tab_Data_Flows[[#This Row],[Name(EN)]],Tab_Def_Flows[Name(EN)],0),17)</f>
        <v/>
      </c>
      <c r="AJ169" s="272">
        <f>IF(L169="Yes",AI169*Tab_Data_Flows[[#This Row],[Flow_Py]]*Tab_Data_Flows[[#This Row],[DM_'[%']]],"N.A.")</f>
        <v/>
      </c>
      <c r="AK169" s="272">
        <f>Tab_Data_Flows[[#This Row],[UoM_Flow_Py]]</f>
        <v/>
      </c>
    </row>
    <row r="170">
      <c r="A170" s="296">
        <f>ROW()-1</f>
        <v/>
      </c>
      <c r="B170" s="272">
        <f>_xlfn.XLOOKUP(C170,Tab_Def_Flows[Name(EN)],Tab_Def_Flows[Flow_ID],,0,)</f>
        <v/>
      </c>
      <c r="C170" s="273" t="inlineStr">
        <is>
          <t>N.A.</t>
        </is>
      </c>
      <c r="D170" s="272">
        <f>_xlfn.XLOOKUP(C170,Tab_Def_Flows[Name(EN)],Tab_Def_Flows[Type_Biomass],,0,)</f>
        <v/>
      </c>
      <c r="E170" s="272">
        <f>_xlfn.XLOOKUP(C170,Tab_Def_Flows[Name(EN)],Tab_Def_Flows[Output_Process],,0,)</f>
        <v/>
      </c>
      <c r="F170" s="272">
        <f>_xlfn.XLOOKUP(C170,Tab_Def_Flows[Name(EN)],Tab_Def_Flows[Process_ID_O],,0,)</f>
        <v/>
      </c>
      <c r="G170" s="272">
        <f>_xlfn.XLOOKUP(C170,Tab_Def_Flows[Name(EN)],Tab_Def_Flows[Input_Process],,0,)</f>
        <v/>
      </c>
      <c r="H170" s="17">
        <f>_xlfn.XLOOKUP(C170,Tab_Def_Flows[Name(EN)],Tab_Def_Flows[Process_ID_I],,0,)</f>
        <v/>
      </c>
      <c r="I170" s="272">
        <f>_xlfn.XLOOKUP(C170,Tab_Def_Flows[Name(EN)],#REF!,,0,)</f>
        <v/>
      </c>
      <c r="J170" s="272">
        <f>_xlfn.XLOOKUP(C170,Tab_Def_Flows[Name(EN)],Tab_Def_Flows[WC?],,0,)</f>
        <v/>
      </c>
      <c r="K170" s="272">
        <f>_xlfn.XLOOKUP(C170,Tab_Def_Flows[Name(EN)],Tab_Def_Flows[DM?],,0,)</f>
        <v/>
      </c>
      <c r="L170" s="272">
        <f>_xlfn.XLOOKUP(C170,Tab_Def_Flows[Name(EN)],Tab_Def_Flows[CC?],,0,)</f>
        <v/>
      </c>
      <c r="M170" s="273" t="n"/>
      <c r="N170" s="273" t="n"/>
      <c r="O170" s="48" t="n"/>
      <c r="P170" s="273" t="n"/>
      <c r="Q170" s="273" t="n"/>
      <c r="R170" s="273">
        <f>INDEX(#REF!,MATCH(Tab_Data_Flows[[#This Row],[Name(EN)]],#REF!,0),12)</f>
        <v/>
      </c>
      <c r="S170" s="273">
        <f>MATCH(Tab_Data_Flows[[#This Row],[Name(EN)]],#REF!,0)</f>
        <v/>
      </c>
      <c r="T170" s="273" t="n"/>
      <c r="U170" s="273" t="n"/>
      <c r="V170" s="273" t="n"/>
      <c r="W170" s="273" t="n"/>
      <c r="X170" s="273" t="inlineStr">
        <is>
          <t>No</t>
        </is>
      </c>
      <c r="Y170" s="273" t="n"/>
      <c r="Z170" s="273" t="n"/>
      <c r="AA170" s="35">
        <f>IF(X170="no",O170,O170*Y170)</f>
        <v/>
      </c>
      <c r="AB170" s="273" t="inlineStr">
        <is>
          <t>Mg</t>
        </is>
      </c>
      <c r="AC170" s="190">
        <f>INDEX(Tab_Def_Flows[[Flow_ID]:[CC_DM_source]],MATCH(Tab_Data_Flows[[#This Row],[Name(EN)]],Tab_Def_Flows[Name(EN)],0),13)</f>
        <v/>
      </c>
      <c r="AD170" s="272">
        <f>IF(J170="Yes",AA170*Tab_Data_Flows[[#This Row],[WC_'[%']]],"N.A.")</f>
        <v/>
      </c>
      <c r="AE170" s="272">
        <f>Tab_Data_Flows[[#This Row],[UoM_Flow_Py]]</f>
        <v/>
      </c>
      <c r="AF170" s="190">
        <f>INDEX(Tab_Def_Flows[[Flow_ID]:[CC_DM_source]],MATCH(Tab_Data_Flows[[#This Row],[Name(EN)]],Tab_Def_Flows[Name(EN)],0),15)</f>
        <v/>
      </c>
      <c r="AG170" s="272">
        <f>IF(K170="Yes",AF170*Tab_Data_Flows[[#This Row],[Flow_Py]]-AJ286,"N.A.")</f>
        <v/>
      </c>
      <c r="AH170" s="272">
        <f>Tab_Data_Flows[[#This Row],[UoM_Flow_Py]]</f>
        <v/>
      </c>
      <c r="AI170" s="190">
        <f>INDEX(Tab_Def_Flows[[Flow_ID]:[CC_DM_source]],MATCH(Tab_Data_Flows[[#This Row],[Name(EN)]],Tab_Def_Flows[Name(EN)],0),17)</f>
        <v/>
      </c>
      <c r="AJ170" s="272">
        <f>IF(L170="Yes",AI170*Tab_Data_Flows[[#This Row],[Flow_Py]]*Tab_Data_Flows[[#This Row],[DM_'[%']]],"N.A.")</f>
        <v/>
      </c>
      <c r="AK170" s="272">
        <f>Tab_Data_Flows[[#This Row],[UoM_Flow_Py]]</f>
        <v/>
      </c>
    </row>
    <row r="171">
      <c r="A171" s="296">
        <f>ROW()-1</f>
        <v/>
      </c>
      <c r="B171" s="272">
        <f>_xlfn.XLOOKUP(C171,Tab_Def_Flows[Name(EN)],Tab_Def_Flows[Flow_ID],,0,)</f>
        <v/>
      </c>
      <c r="C171" s="273" t="inlineStr">
        <is>
          <t>N.A.</t>
        </is>
      </c>
      <c r="D171" s="272">
        <f>_xlfn.XLOOKUP(C171,Tab_Def_Flows[Name(EN)],Tab_Def_Flows[Type_Biomass],,0,)</f>
        <v/>
      </c>
      <c r="E171" s="272">
        <f>_xlfn.XLOOKUP(C171,Tab_Def_Flows[Name(EN)],Tab_Def_Flows[Output_Process],,0,)</f>
        <v/>
      </c>
      <c r="F171" s="272">
        <f>_xlfn.XLOOKUP(C171,Tab_Def_Flows[Name(EN)],Tab_Def_Flows[Process_ID_O],,0,)</f>
        <v/>
      </c>
      <c r="G171" s="272">
        <f>_xlfn.XLOOKUP(C171,Tab_Def_Flows[Name(EN)],Tab_Def_Flows[Input_Process],,0,)</f>
        <v/>
      </c>
      <c r="H171" s="17">
        <f>_xlfn.XLOOKUP(C171,Tab_Def_Flows[Name(EN)],Tab_Def_Flows[Process_ID_I],,0,)</f>
        <v/>
      </c>
      <c r="I171" s="272">
        <f>_xlfn.XLOOKUP(C171,Tab_Def_Flows[Name(EN)],#REF!,,0,)</f>
        <v/>
      </c>
      <c r="J171" s="272">
        <f>_xlfn.XLOOKUP(C171,Tab_Def_Flows[Name(EN)],Tab_Def_Flows[WC?],,0,)</f>
        <v/>
      </c>
      <c r="K171" s="272">
        <f>_xlfn.XLOOKUP(C171,Tab_Def_Flows[Name(EN)],Tab_Def_Flows[DM?],,0,)</f>
        <v/>
      </c>
      <c r="L171" s="272">
        <f>_xlfn.XLOOKUP(C171,Tab_Def_Flows[Name(EN)],Tab_Def_Flows[CC?],,0,)</f>
        <v/>
      </c>
      <c r="M171" s="273" t="n"/>
      <c r="N171" s="273" t="n"/>
      <c r="O171" s="48" t="n"/>
      <c r="P171" s="273" t="n"/>
      <c r="Q171" s="273" t="n"/>
      <c r="R171" s="273">
        <f>INDEX(#REF!,MATCH(Tab_Data_Flows[[#This Row],[Name(EN)]],#REF!,0),12)</f>
        <v/>
      </c>
      <c r="S171" s="273">
        <f>MATCH(Tab_Data_Flows[[#This Row],[Name(EN)]],#REF!,0)</f>
        <v/>
      </c>
      <c r="T171" s="273" t="n"/>
      <c r="U171" s="273" t="n"/>
      <c r="V171" s="273" t="n"/>
      <c r="W171" s="273" t="n"/>
      <c r="X171" s="273" t="inlineStr">
        <is>
          <t>No</t>
        </is>
      </c>
      <c r="Y171" s="273" t="n"/>
      <c r="Z171" s="273" t="n"/>
      <c r="AA171" s="35">
        <f>IF(X171="no",O171,O171*Y171)</f>
        <v/>
      </c>
      <c r="AB171" s="273" t="inlineStr">
        <is>
          <t>Mg</t>
        </is>
      </c>
      <c r="AC171" s="190">
        <f>INDEX(Tab_Def_Flows[[Flow_ID]:[CC_DM_source]],MATCH(Tab_Data_Flows[[#This Row],[Name(EN)]],Tab_Def_Flows[Name(EN)],0),13)</f>
        <v/>
      </c>
      <c r="AD171" s="272">
        <f>IF(J171="Yes",AA171*Tab_Data_Flows[[#This Row],[WC_'[%']]],"N.A.")</f>
        <v/>
      </c>
      <c r="AE171" s="272">
        <f>Tab_Data_Flows[[#This Row],[UoM_Flow_Py]]</f>
        <v/>
      </c>
      <c r="AF171" s="190">
        <f>INDEX(Tab_Def_Flows[[Flow_ID]:[CC_DM_source]],MATCH(Tab_Data_Flows[[#This Row],[Name(EN)]],Tab_Def_Flows[Name(EN)],0),15)</f>
        <v/>
      </c>
      <c r="AG171" s="272">
        <f>IF(K171="Yes",AF171*Tab_Data_Flows[[#This Row],[Flow_Py]]-AJ287,"N.A.")</f>
        <v/>
      </c>
      <c r="AH171" s="272">
        <f>Tab_Data_Flows[[#This Row],[UoM_Flow_Py]]</f>
        <v/>
      </c>
      <c r="AI171" s="190">
        <f>INDEX(Tab_Def_Flows[[Flow_ID]:[CC_DM_source]],MATCH(Tab_Data_Flows[[#This Row],[Name(EN)]],Tab_Def_Flows[Name(EN)],0),17)</f>
        <v/>
      </c>
      <c r="AJ171" s="272">
        <f>IF(L171="Yes",AI171*Tab_Data_Flows[[#This Row],[Flow_Py]]*Tab_Data_Flows[[#This Row],[DM_'[%']]],"N.A.")</f>
        <v/>
      </c>
      <c r="AK171" s="272">
        <f>Tab_Data_Flows[[#This Row],[UoM_Flow_Py]]</f>
        <v/>
      </c>
    </row>
    <row r="172">
      <c r="A172" s="296">
        <f>ROW()-1</f>
        <v/>
      </c>
      <c r="B172" s="272">
        <f>_xlfn.XLOOKUP(C172,Tab_Def_Flows[Name(EN)],Tab_Def_Flows[Flow_ID],,0,)</f>
        <v/>
      </c>
      <c r="C172" s="273" t="inlineStr">
        <is>
          <t>N.A.</t>
        </is>
      </c>
      <c r="D172" s="272">
        <f>_xlfn.XLOOKUP(C172,Tab_Def_Flows[Name(EN)],Tab_Def_Flows[Type_Biomass],,0,)</f>
        <v/>
      </c>
      <c r="E172" s="272">
        <f>_xlfn.XLOOKUP(C172,Tab_Def_Flows[Name(EN)],Tab_Def_Flows[Output_Process],,0,)</f>
        <v/>
      </c>
      <c r="F172" s="272">
        <f>_xlfn.XLOOKUP(C172,Tab_Def_Flows[Name(EN)],Tab_Def_Flows[Process_ID_O],,0,)</f>
        <v/>
      </c>
      <c r="G172" s="272">
        <f>_xlfn.XLOOKUP(C172,Tab_Def_Flows[Name(EN)],Tab_Def_Flows[Input_Process],,0,)</f>
        <v/>
      </c>
      <c r="H172" s="17">
        <f>_xlfn.XLOOKUP(C172,Tab_Def_Flows[Name(EN)],Tab_Def_Flows[Process_ID_I],,0,)</f>
        <v/>
      </c>
      <c r="I172" s="272">
        <f>_xlfn.XLOOKUP(C172,Tab_Def_Flows[Name(EN)],#REF!,,0,)</f>
        <v/>
      </c>
      <c r="J172" s="272">
        <f>_xlfn.XLOOKUP(C172,Tab_Def_Flows[Name(EN)],Tab_Def_Flows[WC?],,0,)</f>
        <v/>
      </c>
      <c r="K172" s="272">
        <f>_xlfn.XLOOKUP(C172,Tab_Def_Flows[Name(EN)],Tab_Def_Flows[DM?],,0,)</f>
        <v/>
      </c>
      <c r="L172" s="272">
        <f>_xlfn.XLOOKUP(C172,Tab_Def_Flows[Name(EN)],Tab_Def_Flows[CC?],,0,)</f>
        <v/>
      </c>
      <c r="M172" s="273" t="n"/>
      <c r="N172" s="273" t="n"/>
      <c r="O172" s="48" t="n"/>
      <c r="P172" s="273" t="n"/>
      <c r="Q172" s="273" t="n"/>
      <c r="R172" s="273">
        <f>INDEX(#REF!,MATCH(Tab_Data_Flows[[#This Row],[Name(EN)]],#REF!,0),12)</f>
        <v/>
      </c>
      <c r="S172" s="273">
        <f>MATCH(Tab_Data_Flows[[#This Row],[Name(EN)]],#REF!,0)</f>
        <v/>
      </c>
      <c r="T172" s="273" t="n"/>
      <c r="U172" s="273" t="n"/>
      <c r="V172" s="273" t="n"/>
      <c r="W172" s="273" t="n"/>
      <c r="X172" s="273" t="inlineStr">
        <is>
          <t>No</t>
        </is>
      </c>
      <c r="Y172" s="273" t="n"/>
      <c r="Z172" s="273" t="n"/>
      <c r="AA172" s="35">
        <f>IF(X172="no",O172,O172*Y172)</f>
        <v/>
      </c>
      <c r="AB172" s="273" t="inlineStr">
        <is>
          <t>Mg</t>
        </is>
      </c>
      <c r="AC172" s="190">
        <f>INDEX(Tab_Def_Flows[[Flow_ID]:[CC_DM_source]],MATCH(Tab_Data_Flows[[#This Row],[Name(EN)]],Tab_Def_Flows[Name(EN)],0),13)</f>
        <v/>
      </c>
      <c r="AD172" s="272">
        <f>IF(J172="Yes",AA172*Tab_Data_Flows[[#This Row],[WC_'[%']]],"N.A.")</f>
        <v/>
      </c>
      <c r="AE172" s="272">
        <f>Tab_Data_Flows[[#This Row],[UoM_Flow_Py]]</f>
        <v/>
      </c>
      <c r="AF172" s="190">
        <f>INDEX(Tab_Def_Flows[[Flow_ID]:[CC_DM_source]],MATCH(Tab_Data_Flows[[#This Row],[Name(EN)]],Tab_Def_Flows[Name(EN)],0),15)</f>
        <v/>
      </c>
      <c r="AG172" s="272">
        <f>IF(K172="Yes",AF172*Tab_Data_Flows[[#This Row],[Flow_Py]]-AJ288,"N.A.")</f>
        <v/>
      </c>
      <c r="AH172" s="272">
        <f>Tab_Data_Flows[[#This Row],[UoM_Flow_Py]]</f>
        <v/>
      </c>
      <c r="AI172" s="190">
        <f>INDEX(Tab_Def_Flows[[Flow_ID]:[CC_DM_source]],MATCH(Tab_Data_Flows[[#This Row],[Name(EN)]],Tab_Def_Flows[Name(EN)],0),17)</f>
        <v/>
      </c>
      <c r="AJ172" s="272">
        <f>IF(L172="Yes",AI172*Tab_Data_Flows[[#This Row],[Flow_Py]]*Tab_Data_Flows[[#This Row],[DM_'[%']]],"N.A.")</f>
        <v/>
      </c>
      <c r="AK172" s="272">
        <f>Tab_Data_Flows[[#This Row],[UoM_Flow_Py]]</f>
        <v/>
      </c>
    </row>
    <row r="173">
      <c r="A173" s="296">
        <f>ROW()-1</f>
        <v/>
      </c>
      <c r="B173" s="272">
        <f>_xlfn.XLOOKUP(C173,Tab_Def_Flows[Name(EN)],Tab_Def_Flows[Flow_ID],,0,)</f>
        <v/>
      </c>
      <c r="C173" s="273" t="inlineStr">
        <is>
          <t>N.A.</t>
        </is>
      </c>
      <c r="D173" s="272">
        <f>_xlfn.XLOOKUP(C173,Tab_Def_Flows[Name(EN)],Tab_Def_Flows[Type_Biomass],,0,)</f>
        <v/>
      </c>
      <c r="E173" s="272">
        <f>_xlfn.XLOOKUP(C173,Tab_Def_Flows[Name(EN)],Tab_Def_Flows[Output_Process],,0,)</f>
        <v/>
      </c>
      <c r="F173" s="272">
        <f>_xlfn.XLOOKUP(C173,Tab_Def_Flows[Name(EN)],Tab_Def_Flows[Process_ID_O],,0,)</f>
        <v/>
      </c>
      <c r="G173" s="272">
        <f>_xlfn.XLOOKUP(C173,Tab_Def_Flows[Name(EN)],Tab_Def_Flows[Input_Process],,0,)</f>
        <v/>
      </c>
      <c r="H173" s="17">
        <f>_xlfn.XLOOKUP(C173,Tab_Def_Flows[Name(EN)],Tab_Def_Flows[Process_ID_I],,0,)</f>
        <v/>
      </c>
      <c r="I173" s="272">
        <f>_xlfn.XLOOKUP(C173,Tab_Def_Flows[Name(EN)],#REF!,,0,)</f>
        <v/>
      </c>
      <c r="J173" s="272">
        <f>_xlfn.XLOOKUP(C173,Tab_Def_Flows[Name(EN)],Tab_Def_Flows[WC?],,0,)</f>
        <v/>
      </c>
      <c r="K173" s="272">
        <f>_xlfn.XLOOKUP(C173,Tab_Def_Flows[Name(EN)],Tab_Def_Flows[DM?],,0,)</f>
        <v/>
      </c>
      <c r="L173" s="272">
        <f>_xlfn.XLOOKUP(C173,Tab_Def_Flows[Name(EN)],Tab_Def_Flows[CC?],,0,)</f>
        <v/>
      </c>
      <c r="M173" s="273" t="n"/>
      <c r="N173" s="273" t="n"/>
      <c r="O173" s="48" t="n"/>
      <c r="P173" s="273" t="n"/>
      <c r="Q173" s="273" t="n"/>
      <c r="R173" s="273">
        <f>INDEX(#REF!,MATCH(Tab_Data_Flows[[#This Row],[Name(EN)]],#REF!,0),12)</f>
        <v/>
      </c>
      <c r="S173" s="273">
        <f>MATCH(Tab_Data_Flows[[#This Row],[Name(EN)]],#REF!,0)</f>
        <v/>
      </c>
      <c r="T173" s="273" t="n"/>
      <c r="U173" s="273" t="n"/>
      <c r="V173" s="273" t="n"/>
      <c r="W173" s="273" t="n"/>
      <c r="X173" s="273" t="inlineStr">
        <is>
          <t>No</t>
        </is>
      </c>
      <c r="Y173" s="273" t="n"/>
      <c r="Z173" s="273" t="n"/>
      <c r="AA173" s="35">
        <f>IF(X173="no",O173,O173*Y173)</f>
        <v/>
      </c>
      <c r="AB173" s="273" t="inlineStr">
        <is>
          <t>Mg</t>
        </is>
      </c>
      <c r="AC173" s="190">
        <f>INDEX(Tab_Def_Flows[[Flow_ID]:[CC_DM_source]],MATCH(Tab_Data_Flows[[#This Row],[Name(EN)]],Tab_Def_Flows[Name(EN)],0),13)</f>
        <v/>
      </c>
      <c r="AD173" s="272">
        <f>IF(J173="Yes",AA173*Tab_Data_Flows[[#This Row],[WC_'[%']]],"N.A.")</f>
        <v/>
      </c>
      <c r="AE173" s="272">
        <f>Tab_Data_Flows[[#This Row],[UoM_Flow_Py]]</f>
        <v/>
      </c>
      <c r="AF173" s="190">
        <f>INDEX(Tab_Def_Flows[[Flow_ID]:[CC_DM_source]],MATCH(Tab_Data_Flows[[#This Row],[Name(EN)]],Tab_Def_Flows[Name(EN)],0),15)</f>
        <v/>
      </c>
      <c r="AG173" s="272">
        <f>IF(K173="Yes",AF173*Tab_Data_Flows[[#This Row],[Flow_Py]]-AJ289,"N.A.")</f>
        <v/>
      </c>
      <c r="AH173" s="272">
        <f>Tab_Data_Flows[[#This Row],[UoM_Flow_Py]]</f>
        <v/>
      </c>
      <c r="AI173" s="190">
        <f>INDEX(Tab_Def_Flows[[Flow_ID]:[CC_DM_source]],MATCH(Tab_Data_Flows[[#This Row],[Name(EN)]],Tab_Def_Flows[Name(EN)],0),17)</f>
        <v/>
      </c>
      <c r="AJ173" s="272">
        <f>IF(L173="Yes",AI173*Tab_Data_Flows[[#This Row],[Flow_Py]]*Tab_Data_Flows[[#This Row],[DM_'[%']]],"N.A.")</f>
        <v/>
      </c>
      <c r="AK173" s="272">
        <f>Tab_Data_Flows[[#This Row],[UoM_Flow_Py]]</f>
        <v/>
      </c>
    </row>
    <row r="174">
      <c r="A174" s="296">
        <f>ROW()-1</f>
        <v/>
      </c>
      <c r="B174" s="272">
        <f>_xlfn.XLOOKUP(C174,Tab_Def_Flows[Name(EN)],Tab_Def_Flows[Flow_ID],,0,)</f>
        <v/>
      </c>
      <c r="C174" s="273" t="inlineStr">
        <is>
          <t>N.A.</t>
        </is>
      </c>
      <c r="D174" s="272">
        <f>_xlfn.XLOOKUP(C174,Tab_Def_Flows[Name(EN)],Tab_Def_Flows[Type_Biomass],,0,)</f>
        <v/>
      </c>
      <c r="E174" s="272">
        <f>_xlfn.XLOOKUP(C174,Tab_Def_Flows[Name(EN)],Tab_Def_Flows[Output_Process],,0,)</f>
        <v/>
      </c>
      <c r="F174" s="272">
        <f>_xlfn.XLOOKUP(C174,Tab_Def_Flows[Name(EN)],Tab_Def_Flows[Process_ID_O],,0,)</f>
        <v/>
      </c>
      <c r="G174" s="272">
        <f>_xlfn.XLOOKUP(C174,Tab_Def_Flows[Name(EN)],Tab_Def_Flows[Input_Process],,0,)</f>
        <v/>
      </c>
      <c r="H174" s="17">
        <f>_xlfn.XLOOKUP(C174,Tab_Def_Flows[Name(EN)],Tab_Def_Flows[Process_ID_I],,0,)</f>
        <v/>
      </c>
      <c r="I174" s="272">
        <f>_xlfn.XLOOKUP(C174,Tab_Def_Flows[Name(EN)],#REF!,,0,)</f>
        <v/>
      </c>
      <c r="J174" s="272">
        <f>_xlfn.XLOOKUP(C174,Tab_Def_Flows[Name(EN)],Tab_Def_Flows[WC?],,0,)</f>
        <v/>
      </c>
      <c r="K174" s="272">
        <f>_xlfn.XLOOKUP(C174,Tab_Def_Flows[Name(EN)],Tab_Def_Flows[DM?],,0,)</f>
        <v/>
      </c>
      <c r="L174" s="272">
        <f>_xlfn.XLOOKUP(C174,Tab_Def_Flows[Name(EN)],Tab_Def_Flows[CC?],,0,)</f>
        <v/>
      </c>
      <c r="M174" s="273" t="n"/>
      <c r="N174" s="273" t="n"/>
      <c r="O174" s="48" t="n"/>
      <c r="P174" s="273" t="n"/>
      <c r="Q174" s="273" t="n"/>
      <c r="R174" s="273">
        <f>INDEX(#REF!,MATCH(Tab_Data_Flows[[#This Row],[Name(EN)]],#REF!,0),12)</f>
        <v/>
      </c>
      <c r="S174" s="273">
        <f>MATCH(Tab_Data_Flows[[#This Row],[Name(EN)]],#REF!,0)</f>
        <v/>
      </c>
      <c r="T174" s="273" t="n"/>
      <c r="U174" s="273" t="n"/>
      <c r="V174" s="273" t="n"/>
      <c r="W174" s="273" t="n"/>
      <c r="X174" s="273" t="inlineStr">
        <is>
          <t>No</t>
        </is>
      </c>
      <c r="Y174" s="273" t="n"/>
      <c r="Z174" s="273" t="n"/>
      <c r="AA174" s="35">
        <f>IF(X174="no",O174,O174*Y174)</f>
        <v/>
      </c>
      <c r="AB174" s="273" t="inlineStr">
        <is>
          <t>Mg</t>
        </is>
      </c>
      <c r="AC174" s="190">
        <f>INDEX(Tab_Def_Flows[[Flow_ID]:[CC_DM_source]],MATCH(Tab_Data_Flows[[#This Row],[Name(EN)]],Tab_Def_Flows[Name(EN)],0),13)</f>
        <v/>
      </c>
      <c r="AD174" s="272">
        <f>IF(J174="Yes",AA174*Tab_Data_Flows[[#This Row],[WC_'[%']]],"N.A.")</f>
        <v/>
      </c>
      <c r="AE174" s="272">
        <f>Tab_Data_Flows[[#This Row],[UoM_Flow_Py]]</f>
        <v/>
      </c>
      <c r="AF174" s="190">
        <f>INDEX(Tab_Def_Flows[[Flow_ID]:[CC_DM_source]],MATCH(Tab_Data_Flows[[#This Row],[Name(EN)]],Tab_Def_Flows[Name(EN)],0),15)</f>
        <v/>
      </c>
      <c r="AG174" s="272">
        <f>IF(K174="Yes",AF174*Tab_Data_Flows[[#This Row],[Flow_Py]]-AJ290,"N.A.")</f>
        <v/>
      </c>
      <c r="AH174" s="272">
        <f>Tab_Data_Flows[[#This Row],[UoM_Flow_Py]]</f>
        <v/>
      </c>
      <c r="AI174" s="190">
        <f>INDEX(Tab_Def_Flows[[Flow_ID]:[CC_DM_source]],MATCH(Tab_Data_Flows[[#This Row],[Name(EN)]],Tab_Def_Flows[Name(EN)],0),17)</f>
        <v/>
      </c>
      <c r="AJ174" s="272">
        <f>IF(L174="Yes",AI174*Tab_Data_Flows[[#This Row],[Flow_Py]]*Tab_Data_Flows[[#This Row],[DM_'[%']]],"N.A.")</f>
        <v/>
      </c>
      <c r="AK174" s="272">
        <f>Tab_Data_Flows[[#This Row],[UoM_Flow_Py]]</f>
        <v/>
      </c>
    </row>
    <row r="175">
      <c r="A175" s="296">
        <f>ROW()-1</f>
        <v/>
      </c>
      <c r="B175" s="272">
        <f>_xlfn.XLOOKUP(C175,Tab_Def_Flows[Name(EN)],Tab_Def_Flows[Flow_ID],,0,)</f>
        <v/>
      </c>
      <c r="C175" s="273" t="inlineStr">
        <is>
          <t>N.A.</t>
        </is>
      </c>
      <c r="D175" s="272">
        <f>_xlfn.XLOOKUP(C175,Tab_Def_Flows[Name(EN)],Tab_Def_Flows[Type_Biomass],,0,)</f>
        <v/>
      </c>
      <c r="E175" s="272">
        <f>_xlfn.XLOOKUP(C175,Tab_Def_Flows[Name(EN)],Tab_Def_Flows[Output_Process],,0,)</f>
        <v/>
      </c>
      <c r="F175" s="272">
        <f>_xlfn.XLOOKUP(C175,Tab_Def_Flows[Name(EN)],Tab_Def_Flows[Process_ID_O],,0,)</f>
        <v/>
      </c>
      <c r="G175" s="272">
        <f>_xlfn.XLOOKUP(C175,Tab_Def_Flows[Name(EN)],Tab_Def_Flows[Input_Process],,0,)</f>
        <v/>
      </c>
      <c r="H175" s="17">
        <f>_xlfn.XLOOKUP(C175,Tab_Def_Flows[Name(EN)],Tab_Def_Flows[Process_ID_I],,0,)</f>
        <v/>
      </c>
      <c r="I175" s="272">
        <f>_xlfn.XLOOKUP(C175,Tab_Def_Flows[Name(EN)],#REF!,,0,)</f>
        <v/>
      </c>
      <c r="J175" s="272">
        <f>_xlfn.XLOOKUP(C175,Tab_Def_Flows[Name(EN)],Tab_Def_Flows[WC?],,0,)</f>
        <v/>
      </c>
      <c r="K175" s="272">
        <f>_xlfn.XLOOKUP(C175,Tab_Def_Flows[Name(EN)],Tab_Def_Flows[DM?],,0,)</f>
        <v/>
      </c>
      <c r="L175" s="272">
        <f>_xlfn.XLOOKUP(C175,Tab_Def_Flows[Name(EN)],Tab_Def_Flows[CC?],,0,)</f>
        <v/>
      </c>
      <c r="M175" s="273" t="n"/>
      <c r="N175" s="273" t="n"/>
      <c r="O175" s="48" t="n"/>
      <c r="P175" s="273" t="n"/>
      <c r="Q175" s="273" t="n"/>
      <c r="R175" s="273">
        <f>INDEX(#REF!,MATCH(Tab_Data_Flows[[#This Row],[Name(EN)]],#REF!,0),12)</f>
        <v/>
      </c>
      <c r="S175" s="273">
        <f>MATCH(Tab_Data_Flows[[#This Row],[Name(EN)]],#REF!,0)</f>
        <v/>
      </c>
      <c r="T175" s="273" t="n"/>
      <c r="U175" s="273" t="n"/>
      <c r="V175" s="273" t="n"/>
      <c r="W175" s="273" t="n"/>
      <c r="X175" s="273" t="inlineStr">
        <is>
          <t>No</t>
        </is>
      </c>
      <c r="Y175" s="273" t="n"/>
      <c r="Z175" s="273" t="n"/>
      <c r="AA175" s="35">
        <f>IF(X175="no",O175,O175*Y175)</f>
        <v/>
      </c>
      <c r="AB175" s="273" t="inlineStr">
        <is>
          <t>Mg</t>
        </is>
      </c>
      <c r="AC175" s="190">
        <f>INDEX(Tab_Def_Flows[[Flow_ID]:[CC_DM_source]],MATCH(Tab_Data_Flows[[#This Row],[Name(EN)]],Tab_Def_Flows[Name(EN)],0),13)</f>
        <v/>
      </c>
      <c r="AD175" s="272">
        <f>IF(J175="Yes",AA175*Tab_Data_Flows[[#This Row],[WC_'[%']]],"N.A.")</f>
        <v/>
      </c>
      <c r="AE175" s="272">
        <f>Tab_Data_Flows[[#This Row],[UoM_Flow_Py]]</f>
        <v/>
      </c>
      <c r="AF175" s="190">
        <f>INDEX(Tab_Def_Flows[[Flow_ID]:[CC_DM_source]],MATCH(Tab_Data_Flows[[#This Row],[Name(EN)]],Tab_Def_Flows[Name(EN)],0),15)</f>
        <v/>
      </c>
      <c r="AG175" s="272">
        <f>IF(K175="Yes",AF175*Tab_Data_Flows[[#This Row],[Flow_Py]]-AJ291,"N.A.")</f>
        <v/>
      </c>
      <c r="AH175" s="272">
        <f>Tab_Data_Flows[[#This Row],[UoM_Flow_Py]]</f>
        <v/>
      </c>
      <c r="AI175" s="190">
        <f>INDEX(Tab_Def_Flows[[Flow_ID]:[CC_DM_source]],MATCH(Tab_Data_Flows[[#This Row],[Name(EN)]],Tab_Def_Flows[Name(EN)],0),17)</f>
        <v/>
      </c>
      <c r="AJ175" s="272">
        <f>IF(L175="Yes",AI175*Tab_Data_Flows[[#This Row],[Flow_Py]]*Tab_Data_Flows[[#This Row],[DM_'[%']]],"N.A.")</f>
        <v/>
      </c>
      <c r="AK175" s="272">
        <f>Tab_Data_Flows[[#This Row],[UoM_Flow_Py]]</f>
        <v/>
      </c>
    </row>
    <row r="176">
      <c r="A176" s="296">
        <f>ROW()-1</f>
        <v/>
      </c>
      <c r="B176" s="272">
        <f>_xlfn.XLOOKUP(C176,Tab_Def_Flows[Name(EN)],Tab_Def_Flows[Flow_ID],,0,)</f>
        <v/>
      </c>
      <c r="C176" s="273" t="inlineStr">
        <is>
          <t>N.A.</t>
        </is>
      </c>
      <c r="D176" s="272">
        <f>_xlfn.XLOOKUP(C176,Tab_Def_Flows[Name(EN)],Tab_Def_Flows[Type_Biomass],,0,)</f>
        <v/>
      </c>
      <c r="E176" s="272">
        <f>_xlfn.XLOOKUP(C176,Tab_Def_Flows[Name(EN)],Tab_Def_Flows[Output_Process],,0,)</f>
        <v/>
      </c>
      <c r="F176" s="272">
        <f>_xlfn.XLOOKUP(C176,Tab_Def_Flows[Name(EN)],Tab_Def_Flows[Process_ID_O],,0,)</f>
        <v/>
      </c>
      <c r="G176" s="272">
        <f>_xlfn.XLOOKUP(C176,Tab_Def_Flows[Name(EN)],Tab_Def_Flows[Input_Process],,0,)</f>
        <v/>
      </c>
      <c r="H176" s="17">
        <f>_xlfn.XLOOKUP(C176,Tab_Def_Flows[Name(EN)],Tab_Def_Flows[Process_ID_I],,0,)</f>
        <v/>
      </c>
      <c r="I176" s="17">
        <f>_xlfn.XLOOKUP(C176,Tab_Def_Flows[Name(EN)],#REF!,,0,)</f>
        <v/>
      </c>
      <c r="J176" s="17">
        <f>_xlfn.XLOOKUP(C176,Tab_Def_Flows[Name(EN)],Tab_Def_Flows[WC?],,0,)</f>
        <v/>
      </c>
      <c r="K176" s="17">
        <f>_xlfn.XLOOKUP(C176,Tab_Def_Flows[Name(EN)],Tab_Def_Flows[DM?],,0,)</f>
        <v/>
      </c>
      <c r="L176" s="17">
        <f>_xlfn.XLOOKUP(C176,Tab_Def_Flows[Name(EN)],Tab_Def_Flows[CC?],,0,)</f>
        <v/>
      </c>
      <c r="M176" s="273" t="n"/>
      <c r="N176" s="273" t="inlineStr">
        <is>
          <t>BB</t>
        </is>
      </c>
      <c r="O176" s="48" t="n"/>
      <c r="P176" s="273" t="n"/>
      <c r="Q176" s="273" t="n"/>
      <c r="R176" s="273" t="n"/>
      <c r="S176" s="273" t="n"/>
      <c r="T176" s="273" t="n"/>
      <c r="U176" s="273" t="n"/>
      <c r="V176" s="273" t="n"/>
      <c r="W176" s="273" t="n"/>
      <c r="X176" s="273" t="inlineStr">
        <is>
          <t>No</t>
        </is>
      </c>
      <c r="Y176" s="41" t="n"/>
      <c r="Z176" s="273" t="n"/>
      <c r="AA176" s="35">
        <f>IF(X176="no",O176,O176*Y176)</f>
        <v/>
      </c>
      <c r="AB176" s="273" t="inlineStr">
        <is>
          <t>Mg</t>
        </is>
      </c>
      <c r="AC176" s="190">
        <f>INDEX(Tab_Def_Flows[[Flow_ID]:[CC_DM_source]],MATCH(Tab_Data_Flows[[#This Row],[Name(EN)]],Tab_Def_Flows[Name(EN)],0),13)</f>
        <v/>
      </c>
      <c r="AD176" s="272">
        <f>IF(J176="Yes",AA176*Tab_Data_Flows[[#This Row],[WC_'[%']]],"N.A.")</f>
        <v/>
      </c>
      <c r="AE176" s="272">
        <f>Tab_Data_Flows[[#This Row],[UoM_Flow_Py]]</f>
        <v/>
      </c>
      <c r="AF176" s="190">
        <f>INDEX(Tab_Def_Flows[[Flow_ID]:[CC_DM_source]],MATCH(Tab_Data_Flows[[#This Row],[Name(EN)]],Tab_Def_Flows[Name(EN)],0),15)</f>
        <v/>
      </c>
      <c r="AG176" s="272">
        <f>IF(K176="Yes",AF176*Tab_Data_Flows[[#This Row],[Flow_Py]],"N.A.")</f>
        <v/>
      </c>
      <c r="AH176" s="272">
        <f>Tab_Data_Flows[[#This Row],[UoM_Flow_Py]]</f>
        <v/>
      </c>
      <c r="AI176" s="190">
        <f>INDEX(Tab_Def_Flows[[Flow_ID]:[CC_DM_source]],MATCH(Tab_Data_Flows[[#This Row],[Name(EN)]],Tab_Def_Flows[Name(EN)],0),17)</f>
        <v/>
      </c>
      <c r="AJ176" s="272">
        <f>IF(L176="Yes",AI176*Tab_Data_Flows[[#This Row],[Flow_Py]]*Tab_Data_Flows[[#This Row],[DM_'[%']]],"N.A.")</f>
        <v/>
      </c>
      <c r="AK176" s="272">
        <f>Tab_Data_Flows[[#This Row],[UoM_Flow_Py]]</f>
        <v/>
      </c>
    </row>
    <row r="177">
      <c r="A177" s="296">
        <f>ROW()-1</f>
        <v/>
      </c>
      <c r="B177" s="272">
        <f>_xlfn.XLOOKUP(C177,Tab_Def_Flows[Name(EN)],Tab_Def_Flows[Flow_ID],,0,)</f>
        <v/>
      </c>
      <c r="C177" s="273" t="inlineStr">
        <is>
          <t>N.A.</t>
        </is>
      </c>
      <c r="D177" s="272">
        <f>_xlfn.XLOOKUP(C177,Tab_Def_Flows[Name(EN)],Tab_Def_Flows[Type_Biomass],,0,)</f>
        <v/>
      </c>
      <c r="E177" s="272">
        <f>_xlfn.XLOOKUP(C177,Tab_Def_Flows[Name(EN)],Tab_Def_Flows[Output_Process],,0,)</f>
        <v/>
      </c>
      <c r="F177" s="272">
        <f>_xlfn.XLOOKUP(C177,Tab_Def_Flows[Name(EN)],Tab_Def_Flows[Process_ID_O],,0,)</f>
        <v/>
      </c>
      <c r="G177" s="272">
        <f>_xlfn.XLOOKUP(C177,Tab_Def_Flows[Name(EN)],Tab_Def_Flows[Input_Process],,0,)</f>
        <v/>
      </c>
      <c r="H177" s="17">
        <f>_xlfn.XLOOKUP(C177,Tab_Def_Flows[Name(EN)],Tab_Def_Flows[Process_ID_I],,0,)</f>
        <v/>
      </c>
      <c r="I177" s="17">
        <f>_xlfn.XLOOKUP(C177,Tab_Def_Flows[Name(EN)],#REF!,,0,)</f>
        <v/>
      </c>
      <c r="J177" s="17">
        <f>_xlfn.XLOOKUP(C177,Tab_Def_Flows[Name(EN)],Tab_Def_Flows[WC?],,0,)</f>
        <v/>
      </c>
      <c r="K177" s="17">
        <f>_xlfn.XLOOKUP(C177,Tab_Def_Flows[Name(EN)],Tab_Def_Flows[DM?],,0,)</f>
        <v/>
      </c>
      <c r="L177" s="17">
        <f>_xlfn.XLOOKUP(C177,Tab_Def_Flows[Name(EN)],Tab_Def_Flows[CC?],,0,)</f>
        <v/>
      </c>
      <c r="M177" s="273" t="n"/>
      <c r="N177" s="273" t="inlineStr">
        <is>
          <t>BB</t>
        </is>
      </c>
      <c r="O177" s="48" t="n"/>
      <c r="P177" s="273" t="n"/>
      <c r="Q177" s="273" t="n"/>
      <c r="R177" s="273" t="n"/>
      <c r="S177" s="273" t="n"/>
      <c r="T177" s="273" t="n"/>
      <c r="U177" s="273" t="n"/>
      <c r="V177" s="273" t="n"/>
      <c r="W177" s="273" t="n"/>
      <c r="X177" s="273" t="inlineStr">
        <is>
          <t>No</t>
        </is>
      </c>
      <c r="Y177" s="41" t="n"/>
      <c r="Z177" s="273" t="n"/>
      <c r="AA177" s="35">
        <f>IF(X177="no",O177,O177*Y177)</f>
        <v/>
      </c>
      <c r="AB177" s="273" t="inlineStr">
        <is>
          <t>Mg</t>
        </is>
      </c>
      <c r="AC177" s="190">
        <f>INDEX(Tab_Def_Flows[[Flow_ID]:[CC_DM_source]],MATCH(Tab_Data_Flows[[#This Row],[Name(EN)]],Tab_Def_Flows[Name(EN)],0),13)</f>
        <v/>
      </c>
      <c r="AD177" s="272">
        <f>IF(J177="Yes",AA177*Tab_Data_Flows[[#This Row],[WC_'[%']]],"N.A.")</f>
        <v/>
      </c>
      <c r="AE177" s="272">
        <f>Tab_Data_Flows[[#This Row],[UoM_Flow_Py]]</f>
        <v/>
      </c>
      <c r="AF177" s="190">
        <f>INDEX(Tab_Def_Flows[[Flow_ID]:[CC_DM_source]],MATCH(Tab_Data_Flows[[#This Row],[Name(EN)]],Tab_Def_Flows[Name(EN)],0),15)</f>
        <v/>
      </c>
      <c r="AG177" s="272">
        <f>IF(K177="Yes",AF177*Tab_Data_Flows[[#This Row],[Flow_Py]]-AJ293,"N.A.")</f>
        <v/>
      </c>
      <c r="AH177" s="272">
        <f>Tab_Data_Flows[[#This Row],[UoM_Flow_Py]]</f>
        <v/>
      </c>
      <c r="AI177" s="190">
        <f>INDEX(Tab_Def_Flows[[Flow_ID]:[CC_DM_source]],MATCH(Tab_Data_Flows[[#This Row],[Name(EN)]],Tab_Def_Flows[Name(EN)],0),17)</f>
        <v/>
      </c>
      <c r="AJ177" s="272">
        <f>IF(L177="Yes",AI177*Tab_Data_Flows[[#This Row],[Flow_Py]]*Tab_Data_Flows[[#This Row],[DM_'[%']]],"N.A.")</f>
        <v/>
      </c>
      <c r="AK177" s="272">
        <f>Tab_Data_Flows[[#This Row],[UoM_Flow_Py]]</f>
        <v/>
      </c>
    </row>
    <row r="178">
      <c r="A178" s="296">
        <f>ROW()-1</f>
        <v/>
      </c>
      <c r="B178" s="272">
        <f>_xlfn.XLOOKUP(C178,Tab_Def_Flows[Name(EN)],Tab_Def_Flows[Flow_ID],,0,)</f>
        <v/>
      </c>
      <c r="C178" s="273" t="inlineStr">
        <is>
          <t>N.A.</t>
        </is>
      </c>
      <c r="D178" s="272">
        <f>_xlfn.XLOOKUP(C178,Tab_Def_Flows[Name(EN)],Tab_Def_Flows[Type_Biomass],,0,)</f>
        <v/>
      </c>
      <c r="E178" s="272">
        <f>_xlfn.XLOOKUP(C178,Tab_Def_Flows[Name(EN)],Tab_Def_Flows[Output_Process],,0,)</f>
        <v/>
      </c>
      <c r="F178" s="272">
        <f>_xlfn.XLOOKUP(C178,Tab_Def_Flows[Name(EN)],Tab_Def_Flows[Process_ID_O],,0,)</f>
        <v/>
      </c>
      <c r="G178" s="272">
        <f>_xlfn.XLOOKUP(C178,Tab_Def_Flows[Name(EN)],Tab_Def_Flows[Input_Process],,0,)</f>
        <v/>
      </c>
      <c r="H178" s="17">
        <f>_xlfn.XLOOKUP(C178,Tab_Def_Flows[Name(EN)],Tab_Def_Flows[Process_ID_I],,0,)</f>
        <v/>
      </c>
      <c r="I178" s="17">
        <f>_xlfn.XLOOKUP(C178,Tab_Def_Flows[Name(EN)],#REF!,,0,)</f>
        <v/>
      </c>
      <c r="J178" s="17">
        <f>_xlfn.XLOOKUP(C178,Tab_Def_Flows[Name(EN)],Tab_Def_Flows[WC?],,0,)</f>
        <v/>
      </c>
      <c r="K178" s="17">
        <f>_xlfn.XLOOKUP(C178,Tab_Def_Flows[Name(EN)],Tab_Def_Flows[DM?],,0,)</f>
        <v/>
      </c>
      <c r="L178" s="17">
        <f>_xlfn.XLOOKUP(C178,Tab_Def_Flows[Name(EN)],Tab_Def_Flows[CC?],,0,)</f>
        <v/>
      </c>
      <c r="M178" s="273" t="n"/>
      <c r="N178" s="273" t="inlineStr">
        <is>
          <t>BB</t>
        </is>
      </c>
      <c r="O178" s="48" t="n"/>
      <c r="P178" s="273" t="n"/>
      <c r="Q178" s="273" t="n"/>
      <c r="R178" s="273" t="n"/>
      <c r="S178" s="273" t="n"/>
      <c r="T178" s="273" t="n"/>
      <c r="U178" s="273" t="n"/>
      <c r="V178" s="273" t="n"/>
      <c r="W178" s="273" t="n"/>
      <c r="X178" s="273" t="inlineStr">
        <is>
          <t>No</t>
        </is>
      </c>
      <c r="Y178" s="41" t="n"/>
      <c r="Z178" s="273" t="n"/>
      <c r="AA178" s="35">
        <f>IF(X178="no",O178,O178*Y178)</f>
        <v/>
      </c>
      <c r="AB178" s="273" t="inlineStr">
        <is>
          <t>Mg</t>
        </is>
      </c>
      <c r="AC178" s="190">
        <f>INDEX(Tab_Def_Flows[[Flow_ID]:[CC_DM_source]],MATCH(Tab_Data_Flows[[#This Row],[Name(EN)]],Tab_Def_Flows[Name(EN)],0),13)</f>
        <v/>
      </c>
      <c r="AD178" s="272">
        <f>IF(J178="Yes",AA178*Tab_Data_Flows[[#This Row],[WC_'[%']]],"N.A.")</f>
        <v/>
      </c>
      <c r="AE178" s="272">
        <f>Tab_Data_Flows[[#This Row],[UoM_Flow_Py]]</f>
        <v/>
      </c>
      <c r="AF178" s="190">
        <f>INDEX(Tab_Def_Flows[[Flow_ID]:[CC_DM_source]],MATCH(Tab_Data_Flows[[#This Row],[Name(EN)]],Tab_Def_Flows[Name(EN)],0),15)</f>
        <v/>
      </c>
      <c r="AG178" s="272">
        <f>IF(K178="Yes",AF178*Tab_Data_Flows[[#This Row],[Flow_Py]]-AJ294,"N.A.")</f>
        <v/>
      </c>
      <c r="AH178" s="272">
        <f>Tab_Data_Flows[[#This Row],[UoM_Flow_Py]]</f>
        <v/>
      </c>
      <c r="AI178" s="190">
        <f>INDEX(Tab_Def_Flows[[Flow_ID]:[CC_DM_source]],MATCH(Tab_Data_Flows[[#This Row],[Name(EN)]],Tab_Def_Flows[Name(EN)],0),17)</f>
        <v/>
      </c>
      <c r="AJ178" s="272">
        <f>IF(L178="Yes",AI178*Tab_Data_Flows[[#This Row],[Flow_Py]]*Tab_Data_Flows[[#This Row],[DM_'[%']]],"N.A.")</f>
        <v/>
      </c>
      <c r="AK178" s="272">
        <f>Tab_Data_Flows[[#This Row],[UoM_Flow_Py]]</f>
        <v/>
      </c>
    </row>
    <row r="179">
      <c r="A179" s="296">
        <f>ROW()-1</f>
        <v/>
      </c>
      <c r="B179" s="272">
        <f>_xlfn.XLOOKUP(C179,Tab_Def_Flows[Name(EN)],Tab_Def_Flows[Flow_ID],,0,)</f>
        <v/>
      </c>
      <c r="C179" s="273" t="inlineStr">
        <is>
          <t>N.A.</t>
        </is>
      </c>
      <c r="D179" s="272">
        <f>_xlfn.XLOOKUP(C179,Tab_Def_Flows[Name(EN)],Tab_Def_Flows[Type_Biomass],,0,)</f>
        <v/>
      </c>
      <c r="E179" s="272">
        <f>_xlfn.XLOOKUP(C179,Tab_Def_Flows[Name(EN)],Tab_Def_Flows[Output_Process],,0,)</f>
        <v/>
      </c>
      <c r="F179" s="272">
        <f>_xlfn.XLOOKUP(C179,Tab_Def_Flows[Name(EN)],Tab_Def_Flows[Process_ID_O],,0,)</f>
        <v/>
      </c>
      <c r="G179" s="272">
        <f>_xlfn.XLOOKUP(C179,Tab_Def_Flows[Name(EN)],Tab_Def_Flows[Input_Process],,0,)</f>
        <v/>
      </c>
      <c r="H179" s="17">
        <f>_xlfn.XLOOKUP(C179,Tab_Def_Flows[Name(EN)],Tab_Def_Flows[Process_ID_I],,0,)</f>
        <v/>
      </c>
      <c r="I179" s="17">
        <f>_xlfn.XLOOKUP(C179,Tab_Def_Flows[Name(EN)],#REF!,,0,)</f>
        <v/>
      </c>
      <c r="J179" s="17">
        <f>_xlfn.XLOOKUP(C179,Tab_Def_Flows[Name(EN)],Tab_Def_Flows[WC?],,0,)</f>
        <v/>
      </c>
      <c r="K179" s="17">
        <f>_xlfn.XLOOKUP(C179,Tab_Def_Flows[Name(EN)],Tab_Def_Flows[DM?],,0,)</f>
        <v/>
      </c>
      <c r="L179" s="17">
        <f>_xlfn.XLOOKUP(C179,Tab_Def_Flows[Name(EN)],Tab_Def_Flows[CC?],,0,)</f>
        <v/>
      </c>
      <c r="M179" s="273" t="n"/>
      <c r="N179" s="273" t="inlineStr">
        <is>
          <t>BB</t>
        </is>
      </c>
      <c r="O179" s="48" t="n"/>
      <c r="P179" s="273" t="n"/>
      <c r="Q179" s="273" t="n"/>
      <c r="R179" s="273" t="n"/>
      <c r="S179" s="273" t="n"/>
      <c r="T179" s="273" t="n"/>
      <c r="U179" s="273" t="n"/>
      <c r="V179" s="273" t="n"/>
      <c r="W179" s="273" t="n"/>
      <c r="X179" s="273" t="inlineStr">
        <is>
          <t>No</t>
        </is>
      </c>
      <c r="Y179" s="41" t="n"/>
      <c r="Z179" s="273" t="n"/>
      <c r="AA179" s="35">
        <f>IF(X179="no",O179,O179*Y179)</f>
        <v/>
      </c>
      <c r="AB179" s="273" t="inlineStr">
        <is>
          <t>Mg</t>
        </is>
      </c>
      <c r="AC179" s="190">
        <f>INDEX(Tab_Def_Flows[[Flow_ID]:[CC_DM_source]],MATCH(Tab_Data_Flows[[#This Row],[Name(EN)]],Tab_Def_Flows[Name(EN)],0),13)</f>
        <v/>
      </c>
      <c r="AD179" s="272">
        <f>IF(J179="Yes",AA179*Tab_Data_Flows[[#This Row],[WC_'[%']]],"N.A.")</f>
        <v/>
      </c>
      <c r="AE179" s="272">
        <f>Tab_Data_Flows[[#This Row],[UoM_Flow_Py]]</f>
        <v/>
      </c>
      <c r="AF179" s="190">
        <f>INDEX(Tab_Def_Flows[[Flow_ID]:[CC_DM_source]],MATCH(Tab_Data_Flows[[#This Row],[Name(EN)]],Tab_Def_Flows[Name(EN)],0),15)</f>
        <v/>
      </c>
      <c r="AG179" s="272">
        <f>IF(K179="Yes",AF179*Tab_Data_Flows[[#This Row],[Flow_Py]]-AJ295,"N.A.")</f>
        <v/>
      </c>
      <c r="AH179" s="272">
        <f>Tab_Data_Flows[[#This Row],[UoM_Flow_Py]]</f>
        <v/>
      </c>
      <c r="AI179" s="190">
        <f>INDEX(Tab_Def_Flows[[Flow_ID]:[CC_DM_source]],MATCH(Tab_Data_Flows[[#This Row],[Name(EN)]],Tab_Def_Flows[Name(EN)],0),17)</f>
        <v/>
      </c>
      <c r="AJ179" s="272">
        <f>IF(L179="Yes",AI179*Tab_Data_Flows[[#This Row],[Flow_Py]]*Tab_Data_Flows[[#This Row],[DM_'[%']]],"N.A.")</f>
        <v/>
      </c>
      <c r="AK179" s="272">
        <f>Tab_Data_Flows[[#This Row],[UoM_Flow_Py]]</f>
        <v/>
      </c>
    </row>
    <row r="180">
      <c r="A180" s="296">
        <f>ROW()-1</f>
        <v/>
      </c>
      <c r="B180" s="272">
        <f>_xlfn.XLOOKUP(C180,Tab_Def_Flows[Name(EN)],Tab_Def_Flows[Flow_ID],,0,)</f>
        <v/>
      </c>
      <c r="C180" s="273" t="inlineStr">
        <is>
          <t>N.A.</t>
        </is>
      </c>
      <c r="D180" s="272">
        <f>_xlfn.XLOOKUP(C180,Tab_Def_Flows[Name(EN)],Tab_Def_Flows[Type_Biomass],,0,)</f>
        <v/>
      </c>
      <c r="E180" s="272">
        <f>_xlfn.XLOOKUP(C180,Tab_Def_Flows[Name(EN)],Tab_Def_Flows[Output_Process],,0,)</f>
        <v/>
      </c>
      <c r="F180" s="272">
        <f>_xlfn.XLOOKUP(C180,Tab_Def_Flows[Name(EN)],Tab_Def_Flows[Process_ID_O],,0,)</f>
        <v/>
      </c>
      <c r="G180" s="272">
        <f>_xlfn.XLOOKUP(C180,Tab_Def_Flows[Name(EN)],Tab_Def_Flows[Input_Process],,0,)</f>
        <v/>
      </c>
      <c r="H180" s="17">
        <f>_xlfn.XLOOKUP(C180,Tab_Def_Flows[Name(EN)],Tab_Def_Flows[Process_ID_I],,0,)</f>
        <v/>
      </c>
      <c r="I180" s="17">
        <f>_xlfn.XLOOKUP(C180,Tab_Def_Flows[Name(EN)],#REF!,,0,)</f>
        <v/>
      </c>
      <c r="J180" s="17">
        <f>_xlfn.XLOOKUP(C180,Tab_Def_Flows[Name(EN)],Tab_Def_Flows[WC?],,0,)</f>
        <v/>
      </c>
      <c r="K180" s="17">
        <f>_xlfn.XLOOKUP(C180,Tab_Def_Flows[Name(EN)],Tab_Def_Flows[DM?],,0,)</f>
        <v/>
      </c>
      <c r="L180" s="17">
        <f>_xlfn.XLOOKUP(C180,Tab_Def_Flows[Name(EN)],Tab_Def_Flows[CC?],,0,)</f>
        <v/>
      </c>
      <c r="M180" s="273" t="n"/>
      <c r="N180" s="273" t="inlineStr">
        <is>
          <t>BB</t>
        </is>
      </c>
      <c r="O180" s="48" t="n"/>
      <c r="P180" s="273" t="n"/>
      <c r="Q180" s="273" t="n"/>
      <c r="R180" s="273" t="n"/>
      <c r="S180" s="273" t="n"/>
      <c r="T180" s="273" t="n"/>
      <c r="U180" s="273" t="n"/>
      <c r="V180" s="273" t="n"/>
      <c r="W180" s="273" t="n"/>
      <c r="X180" s="273" t="inlineStr">
        <is>
          <t>No</t>
        </is>
      </c>
      <c r="Y180" s="41" t="n"/>
      <c r="Z180" s="273" t="n"/>
      <c r="AA180" s="35">
        <f>IF(X180="no",O180,O180*Y180)</f>
        <v/>
      </c>
      <c r="AB180" s="273" t="inlineStr">
        <is>
          <t>Mg</t>
        </is>
      </c>
      <c r="AC180" s="190">
        <f>INDEX(Tab_Def_Flows[[Flow_ID]:[CC_DM_source]],MATCH(Tab_Data_Flows[[#This Row],[Name(EN)]],Tab_Def_Flows[Name(EN)],0),13)</f>
        <v/>
      </c>
      <c r="AD180" s="272">
        <f>IF(J180="Yes",AA180*Tab_Data_Flows[[#This Row],[WC_'[%']]],"N.A.")</f>
        <v/>
      </c>
      <c r="AE180" s="272">
        <f>Tab_Data_Flows[[#This Row],[UoM_Flow_Py]]</f>
        <v/>
      </c>
      <c r="AF180" s="190">
        <f>INDEX(Tab_Def_Flows[[Flow_ID]:[CC_DM_source]],MATCH(Tab_Data_Flows[[#This Row],[Name(EN)]],Tab_Def_Flows[Name(EN)],0),15)</f>
        <v/>
      </c>
      <c r="AG180" s="272">
        <f>IF(K180="Yes",AF180*Tab_Data_Flows[[#This Row],[Flow_Py]]-AJ296,"N.A.")</f>
        <v/>
      </c>
      <c r="AH180" s="272">
        <f>Tab_Data_Flows[[#This Row],[UoM_Flow_Py]]</f>
        <v/>
      </c>
      <c r="AI180" s="190">
        <f>INDEX(Tab_Def_Flows[[Flow_ID]:[CC_DM_source]],MATCH(Tab_Data_Flows[[#This Row],[Name(EN)]],Tab_Def_Flows[Name(EN)],0),17)</f>
        <v/>
      </c>
      <c r="AJ180" s="272">
        <f>IF(L180="Yes",AI180*Tab_Data_Flows[[#This Row],[Flow_Py]]*Tab_Data_Flows[[#This Row],[DM_'[%']]],"N.A.")</f>
        <v/>
      </c>
      <c r="AK180" s="272">
        <f>Tab_Data_Flows[[#This Row],[UoM_Flow_Py]]</f>
        <v/>
      </c>
    </row>
    <row r="181">
      <c r="A181" s="296">
        <f>ROW()-1</f>
        <v/>
      </c>
      <c r="B181" s="272">
        <f>_xlfn.XLOOKUP(C181,Tab_Def_Flows[Name(EN)],Tab_Def_Flows[Flow_ID],,0,)</f>
        <v/>
      </c>
      <c r="C181" s="273" t="inlineStr">
        <is>
          <t>N.A.</t>
        </is>
      </c>
      <c r="D181" s="272">
        <f>_xlfn.XLOOKUP(C181,Tab_Def_Flows[Name(EN)],Tab_Def_Flows[Type_Biomass],,0,)</f>
        <v/>
      </c>
      <c r="E181" s="272">
        <f>_xlfn.XLOOKUP(C181,Tab_Def_Flows[Name(EN)],Tab_Def_Flows[Output_Process],,0,)</f>
        <v/>
      </c>
      <c r="F181" s="272">
        <f>_xlfn.XLOOKUP(C181,Tab_Def_Flows[Name(EN)],Tab_Def_Flows[Process_ID_O],,0,)</f>
        <v/>
      </c>
      <c r="G181" s="272">
        <f>_xlfn.XLOOKUP(C181,Tab_Def_Flows[Name(EN)],Tab_Def_Flows[Input_Process],,0,)</f>
        <v/>
      </c>
      <c r="H181" s="17">
        <f>_xlfn.XLOOKUP(C181,Tab_Def_Flows[Name(EN)],Tab_Def_Flows[Process_ID_I],,0,)</f>
        <v/>
      </c>
      <c r="I181" s="17">
        <f>_xlfn.XLOOKUP(C181,Tab_Def_Flows[Name(EN)],#REF!,,0,)</f>
        <v/>
      </c>
      <c r="J181" s="17">
        <f>_xlfn.XLOOKUP(C181,Tab_Def_Flows[Name(EN)],Tab_Def_Flows[WC?],,0,)</f>
        <v/>
      </c>
      <c r="K181" s="17">
        <f>_xlfn.XLOOKUP(C181,Tab_Def_Flows[Name(EN)],Tab_Def_Flows[DM?],,0,)</f>
        <v/>
      </c>
      <c r="L181" s="17">
        <f>_xlfn.XLOOKUP(C181,Tab_Def_Flows[Name(EN)],Tab_Def_Flows[CC?],,0,)</f>
        <v/>
      </c>
      <c r="M181" s="273" t="n"/>
      <c r="N181" s="273" t="inlineStr">
        <is>
          <t>BB</t>
        </is>
      </c>
      <c r="O181" s="48" t="n"/>
      <c r="P181" s="273" t="n"/>
      <c r="Q181" s="273" t="n"/>
      <c r="R181" s="273" t="n"/>
      <c r="S181" s="273" t="n"/>
      <c r="T181" s="273" t="n"/>
      <c r="U181" s="273" t="n"/>
      <c r="V181" s="273" t="n"/>
      <c r="W181" s="273" t="n"/>
      <c r="X181" s="273" t="inlineStr">
        <is>
          <t>No</t>
        </is>
      </c>
      <c r="Y181" s="41" t="n"/>
      <c r="Z181" s="273" t="n"/>
      <c r="AA181" s="35">
        <f>IF(X181="no",O181,O181*Y181)</f>
        <v/>
      </c>
      <c r="AB181" s="273" t="inlineStr">
        <is>
          <t>Mg</t>
        </is>
      </c>
      <c r="AC181" s="190">
        <f>INDEX(Tab_Def_Flows[[Flow_ID]:[CC_DM_source]],MATCH(Tab_Data_Flows[[#This Row],[Name(EN)]],Tab_Def_Flows[Name(EN)],0),13)</f>
        <v/>
      </c>
      <c r="AD181" s="272">
        <f>IF(J181="Yes",AA181*Tab_Data_Flows[[#This Row],[WC_'[%']]],"N.A.")</f>
        <v/>
      </c>
      <c r="AE181" s="272">
        <f>Tab_Data_Flows[[#This Row],[UoM_Flow_Py]]</f>
        <v/>
      </c>
      <c r="AF181" s="190">
        <f>INDEX(Tab_Def_Flows[[Flow_ID]:[CC_DM_source]],MATCH(Tab_Data_Flows[[#This Row],[Name(EN)]],Tab_Def_Flows[Name(EN)],0),15)</f>
        <v/>
      </c>
      <c r="AG181" s="272">
        <f>IF(K181="Yes",AF181*Tab_Data_Flows[[#This Row],[Flow_Py]]-AJ297,"N.A.")</f>
        <v/>
      </c>
      <c r="AH181" s="272">
        <f>Tab_Data_Flows[[#This Row],[UoM_Flow_Py]]</f>
        <v/>
      </c>
      <c r="AI181" s="190">
        <f>INDEX(Tab_Def_Flows[[Flow_ID]:[CC_DM_source]],MATCH(Tab_Data_Flows[[#This Row],[Name(EN)]],Tab_Def_Flows[Name(EN)],0),17)</f>
        <v/>
      </c>
      <c r="AJ181" s="272">
        <f>IF(L181="Yes",AI181*Tab_Data_Flows[[#This Row],[Flow_Py]]*Tab_Data_Flows[[#This Row],[DM_'[%']]],"N.A.")</f>
        <v/>
      </c>
      <c r="AK181" s="272">
        <f>Tab_Data_Flows[[#This Row],[UoM_Flow_Py]]</f>
        <v/>
      </c>
    </row>
    <row r="182">
      <c r="A182" s="296">
        <f>ROW()-1</f>
        <v/>
      </c>
      <c r="B182" s="272">
        <f>_xlfn.XLOOKUP(C182,Tab_Def_Flows[Name(EN)],Tab_Def_Flows[Flow_ID],,0,)</f>
        <v/>
      </c>
      <c r="C182" s="273" t="inlineStr">
        <is>
          <t>N.A.</t>
        </is>
      </c>
      <c r="D182" s="272">
        <f>_xlfn.XLOOKUP(C182,Tab_Def_Flows[Name(EN)],Tab_Def_Flows[Type_Biomass],,0,)</f>
        <v/>
      </c>
      <c r="E182" s="272">
        <f>_xlfn.XLOOKUP(C182,Tab_Def_Flows[Name(EN)],Tab_Def_Flows[Output_Process],,0,)</f>
        <v/>
      </c>
      <c r="F182" s="272">
        <f>_xlfn.XLOOKUP(C182,Tab_Def_Flows[Name(EN)],Tab_Def_Flows[Process_ID_O],,0,)</f>
        <v/>
      </c>
      <c r="G182" s="272">
        <f>_xlfn.XLOOKUP(C182,Tab_Def_Flows[Name(EN)],Tab_Def_Flows[Input_Process],,0,)</f>
        <v/>
      </c>
      <c r="H182" s="17">
        <f>_xlfn.XLOOKUP(C182,Tab_Def_Flows[Name(EN)],Tab_Def_Flows[Process_ID_I],,0,)</f>
        <v/>
      </c>
      <c r="I182" s="17">
        <f>_xlfn.XLOOKUP(C182,Tab_Def_Flows[Name(EN)],#REF!,,0,)</f>
        <v/>
      </c>
      <c r="J182" s="17">
        <f>_xlfn.XLOOKUP(C182,Tab_Def_Flows[Name(EN)],Tab_Def_Flows[WC?],,0,)</f>
        <v/>
      </c>
      <c r="K182" s="17">
        <f>_xlfn.XLOOKUP(C182,Tab_Def_Flows[Name(EN)],Tab_Def_Flows[DM?],,0,)</f>
        <v/>
      </c>
      <c r="L182" s="17">
        <f>_xlfn.XLOOKUP(C182,Tab_Def_Flows[Name(EN)],Tab_Def_Flows[CC?],,0,)</f>
        <v/>
      </c>
      <c r="M182" s="273" t="n"/>
      <c r="N182" s="273" t="inlineStr">
        <is>
          <t>BB</t>
        </is>
      </c>
      <c r="O182" s="48" t="n"/>
      <c r="P182" s="273" t="n"/>
      <c r="Q182" s="273" t="inlineStr">
        <is>
          <t>Mg/a</t>
        </is>
      </c>
      <c r="R182" s="273" t="inlineStr">
        <is>
          <t>Mg/a</t>
        </is>
      </c>
      <c r="S182" s="273" t="inlineStr">
        <is>
          <t>Mg/a</t>
        </is>
      </c>
      <c r="T182" s="273" t="inlineStr">
        <is>
          <t>Mg/a</t>
        </is>
      </c>
      <c r="U182" s="273" t="inlineStr">
        <is>
          <t>Mg/a</t>
        </is>
      </c>
      <c r="V182" s="273" t="inlineStr">
        <is>
          <t>Mg/a</t>
        </is>
      </c>
      <c r="W182" s="273" t="inlineStr">
        <is>
          <t>Mg/a</t>
        </is>
      </c>
      <c r="X182" s="273" t="inlineStr">
        <is>
          <t>No</t>
        </is>
      </c>
      <c r="Y182" s="41" t="n"/>
      <c r="Z182" s="273" t="n"/>
      <c r="AA182" s="35">
        <f>IF(X182="no",O182,O182*Y182)</f>
        <v/>
      </c>
      <c r="AB182" s="273" t="inlineStr">
        <is>
          <t>Mg</t>
        </is>
      </c>
      <c r="AC182" s="190">
        <f>INDEX(Tab_Def_Flows[[Flow_ID]:[CC_DM_source]],MATCH(Tab_Data_Flows[[#This Row],[Name(EN)]],Tab_Def_Flows[Name(EN)],0),13)</f>
        <v/>
      </c>
      <c r="AD182" s="272">
        <f>IF(J182="Yes",AA182*Tab_Data_Flows[[#This Row],[WC_'[%']]],"N.A.")</f>
        <v/>
      </c>
      <c r="AE182" s="272">
        <f>Tab_Data_Flows[[#This Row],[UoM_Flow_Py]]</f>
        <v/>
      </c>
      <c r="AF182" s="190">
        <f>INDEX(Tab_Def_Flows[[Flow_ID]:[CC_DM_source]],MATCH(Tab_Data_Flows[[#This Row],[Name(EN)]],Tab_Def_Flows[Name(EN)],0),15)</f>
        <v/>
      </c>
      <c r="AG182" s="272">
        <f>IF(K182="Yes",AF182*Tab_Data_Flows[[#This Row],[Flow_Py]]-AJ298,"N.A.")</f>
        <v/>
      </c>
      <c r="AH182" s="272">
        <f>Tab_Data_Flows[[#This Row],[UoM_Flow_Py]]</f>
        <v/>
      </c>
      <c r="AI182" s="190">
        <f>INDEX(Tab_Def_Flows[[Flow_ID]:[CC_DM_source]],MATCH(Tab_Data_Flows[[#This Row],[Name(EN)]],Tab_Def_Flows[Name(EN)],0),17)</f>
        <v/>
      </c>
      <c r="AJ182" s="272">
        <f>IF(L182="Yes",AI182*Tab_Data_Flows[[#This Row],[Flow_Py]]*Tab_Data_Flows[[#This Row],[DM_'[%']]],"N.A.")</f>
        <v/>
      </c>
      <c r="AK182" s="272">
        <f>Tab_Data_Flows[[#This Row],[UoM_Flow_Py]]</f>
        <v/>
      </c>
    </row>
    <row r="183">
      <c r="A183" s="296">
        <f>ROW()-1</f>
        <v/>
      </c>
      <c r="B183" s="272">
        <f>_xlfn.XLOOKUP(C183,Tab_Def_Flows[Name(EN)],Tab_Def_Flows[Flow_ID],,0,)</f>
        <v/>
      </c>
      <c r="C183" s="273" t="inlineStr">
        <is>
          <t>N.A.</t>
        </is>
      </c>
      <c r="D183" s="272" t="n"/>
      <c r="E183" s="272">
        <f>_xlfn.XLOOKUP(C183,Tab_Def_Flows[Name(EN)],Tab_Def_Flows[Output_Process],,0,)</f>
        <v/>
      </c>
      <c r="F183" s="272">
        <f>_xlfn.XLOOKUP(C183,Tab_Def_Flows[Name(EN)],Tab_Def_Flows[Process_ID_O],,0,)</f>
        <v/>
      </c>
      <c r="G183" s="272">
        <f>_xlfn.XLOOKUP(C183,Tab_Def_Flows[Name(EN)],Tab_Def_Flows[Input_Process],,0,)</f>
        <v/>
      </c>
      <c r="H183" s="17">
        <f>_xlfn.XLOOKUP(C183,Tab_Def_Flows[Name(EN)],Tab_Def_Flows[Process_ID_I],,0,)</f>
        <v/>
      </c>
      <c r="I183" s="272">
        <f>_xlfn.XLOOKUP(C183,Tab_Def_Flows[Name(EN)],#REF!,,0,)</f>
        <v/>
      </c>
      <c r="J183" s="272">
        <f>_xlfn.XLOOKUP(C183,Tab_Def_Flows[Name(EN)],Tab_Def_Flows[WC?],,0,)</f>
        <v/>
      </c>
      <c r="K183" s="272">
        <f>_xlfn.XLOOKUP(C183,Tab_Def_Flows[Name(EN)],Tab_Def_Flows[DM?],,0,)</f>
        <v/>
      </c>
      <c r="L183" s="272">
        <f>_xlfn.XLOOKUP(C183,Tab_Def_Flows[Name(EN)],Tab_Def_Flows[CC?],,0,)</f>
        <v/>
      </c>
      <c r="M183" s="273" t="n"/>
      <c r="N183" s="273" t="n"/>
      <c r="O183" s="48" t="n"/>
      <c r="P183" s="273" t="n"/>
      <c r="Q183" s="273" t="n"/>
      <c r="R183" s="273">
        <f>INDEX(#REF!,MATCH(Tab_Data_Flows[[#This Row],[Name(EN)]],#REF!,0),12)</f>
        <v/>
      </c>
      <c r="S183" s="273">
        <f>MATCH(Tab_Data_Flows[[#This Row],[Name(EN)]],#REF!,0)</f>
        <v/>
      </c>
      <c r="T183" s="273" t="n"/>
      <c r="U183" s="273" t="n"/>
      <c r="V183" s="273" t="n"/>
      <c r="W183" s="273" t="n"/>
      <c r="X183" s="273" t="inlineStr">
        <is>
          <t>No</t>
        </is>
      </c>
      <c r="Y183" s="273" t="n"/>
      <c r="Z183" s="273" t="n"/>
      <c r="AA183" s="35">
        <f>IF(X183="no",O183,O183*Y183)</f>
        <v/>
      </c>
      <c r="AB183" s="273" t="inlineStr">
        <is>
          <t>Mg</t>
        </is>
      </c>
      <c r="AC183" s="190">
        <f>INDEX(Tab_Def_Flows[[Flow_ID]:[CC_DM_source]],MATCH(Tab_Data_Flows[[#This Row],[Name(EN)]],Tab_Def_Flows[Name(EN)],0),13)</f>
        <v/>
      </c>
      <c r="AD183" s="272">
        <f>IF(J183="Yes",AA183*Tab_Data_Flows[[#This Row],[WC_'[%']]],"N.A.")</f>
        <v/>
      </c>
      <c r="AE183" s="272">
        <f>Tab_Data_Flows[[#This Row],[UoM_Flow_Py]]</f>
        <v/>
      </c>
      <c r="AF183" s="190">
        <f>INDEX(Tab_Def_Flows[[Flow_ID]:[CC_DM_source]],MATCH(Tab_Data_Flows[[#This Row],[Name(EN)]],Tab_Def_Flows[Name(EN)],0),15)</f>
        <v/>
      </c>
      <c r="AG183" s="272">
        <f>IF(K183="Yes",AF183*Tab_Data_Flows[[#This Row],[Flow_Py]]-AJ299,"N.A.")</f>
        <v/>
      </c>
      <c r="AH183" s="272">
        <f>Tab_Data_Flows[[#This Row],[UoM_Flow_Py]]</f>
        <v/>
      </c>
      <c r="AI183" s="190">
        <f>INDEX(Tab_Def_Flows[[Flow_ID]:[CC_DM_source]],MATCH(Tab_Data_Flows[[#This Row],[Name(EN)]],Tab_Def_Flows[Name(EN)],0),17)</f>
        <v/>
      </c>
      <c r="AJ183" s="272">
        <f>IF(L183="Yes",AI183*Tab_Data_Flows[[#This Row],[Flow_Py]]*Tab_Data_Flows[[#This Row],[DM_'[%']]],"N.A.")</f>
        <v/>
      </c>
      <c r="AK183" s="272">
        <f>Tab_Data_Flows[[#This Row],[UoM_Flow_Py]]</f>
        <v/>
      </c>
    </row>
    <row r="184">
      <c r="A184" s="296">
        <f>ROW()-1</f>
        <v/>
      </c>
      <c r="B184" s="272">
        <f>_xlfn.XLOOKUP(C184,Tab_Def_Flows[Name(EN)],Tab_Def_Flows[Flow_ID],,0,)</f>
        <v/>
      </c>
      <c r="C184" s="273" t="inlineStr">
        <is>
          <t>N.A.</t>
        </is>
      </c>
      <c r="D184" s="272" t="n"/>
      <c r="E184" s="272">
        <f>_xlfn.XLOOKUP(C184,Tab_Def_Flows[Name(EN)],Tab_Def_Flows[Output_Process],,0,)</f>
        <v/>
      </c>
      <c r="F184" s="272">
        <f>_xlfn.XLOOKUP(C184,Tab_Def_Flows[Name(EN)],Tab_Def_Flows[Process_ID_O],,0,)</f>
        <v/>
      </c>
      <c r="G184" s="272">
        <f>_xlfn.XLOOKUP(C184,Tab_Def_Flows[Name(EN)],Tab_Def_Flows[Input_Process],,0,)</f>
        <v/>
      </c>
      <c r="H184" s="17">
        <f>_xlfn.XLOOKUP(C184,Tab_Def_Flows[Name(EN)],Tab_Def_Flows[Process_ID_I],,0,)</f>
        <v/>
      </c>
      <c r="I184" s="272">
        <f>_xlfn.XLOOKUP(C184,Tab_Def_Flows[Name(EN)],#REF!,,0,)</f>
        <v/>
      </c>
      <c r="J184" s="272">
        <f>_xlfn.XLOOKUP(C184,Tab_Def_Flows[Name(EN)],Tab_Def_Flows[WC?],,0,)</f>
        <v/>
      </c>
      <c r="K184" s="272">
        <f>_xlfn.XLOOKUP(C184,Tab_Def_Flows[Name(EN)],Tab_Def_Flows[DM?],,0,)</f>
        <v/>
      </c>
      <c r="L184" s="272">
        <f>_xlfn.XLOOKUP(C184,Tab_Def_Flows[Name(EN)],Tab_Def_Flows[CC?],,0,)</f>
        <v/>
      </c>
      <c r="M184" s="273" t="n"/>
      <c r="N184" s="273" t="n"/>
      <c r="O184" s="48" t="n"/>
      <c r="P184" s="273" t="n"/>
      <c r="Q184" s="273" t="n"/>
      <c r="R184" s="273">
        <f>INDEX(#REF!,MATCH(Tab_Data_Flows[[#This Row],[Name(EN)]],#REF!,0),12)</f>
        <v/>
      </c>
      <c r="S184" s="273">
        <f>MATCH(Tab_Data_Flows[[#This Row],[Name(EN)]],#REF!,0)</f>
        <v/>
      </c>
      <c r="T184" s="273" t="n"/>
      <c r="U184" s="273" t="n"/>
      <c r="V184" s="273" t="n"/>
      <c r="W184" s="273" t="n"/>
      <c r="X184" s="273" t="inlineStr">
        <is>
          <t>No</t>
        </is>
      </c>
      <c r="Y184" s="273" t="n"/>
      <c r="Z184" s="273" t="n"/>
      <c r="AA184" s="35">
        <f>IF(X184="no",O184,O184*Y184)</f>
        <v/>
      </c>
      <c r="AB184" s="273" t="inlineStr">
        <is>
          <t>Mg</t>
        </is>
      </c>
      <c r="AC184" s="190">
        <f>INDEX(Tab_Def_Flows[[Flow_ID]:[CC_DM_source]],MATCH(Tab_Data_Flows[[#This Row],[Name(EN)]],Tab_Def_Flows[Name(EN)],0),13)</f>
        <v/>
      </c>
      <c r="AD184" s="272">
        <f>IF(J184="Yes",AA184*Tab_Data_Flows[[#This Row],[WC_'[%']]],"N.A.")</f>
        <v/>
      </c>
      <c r="AE184" s="272">
        <f>Tab_Data_Flows[[#This Row],[UoM_Flow_Py]]</f>
        <v/>
      </c>
      <c r="AF184" s="190">
        <f>INDEX(Tab_Def_Flows[[Flow_ID]:[CC_DM_source]],MATCH(Tab_Data_Flows[[#This Row],[Name(EN)]],Tab_Def_Flows[Name(EN)],0),15)</f>
        <v/>
      </c>
      <c r="AG184" s="272">
        <f>IF(K184="Yes",AF184*Tab_Data_Flows[[#This Row],[Flow_Py]]-AJ300,"N.A.")</f>
        <v/>
      </c>
      <c r="AH184" s="272">
        <f>Tab_Data_Flows[[#This Row],[UoM_Flow_Py]]</f>
        <v/>
      </c>
      <c r="AI184" s="190">
        <f>INDEX(Tab_Def_Flows[[Flow_ID]:[CC_DM_source]],MATCH(Tab_Data_Flows[[#This Row],[Name(EN)]],Tab_Def_Flows[Name(EN)],0),17)</f>
        <v/>
      </c>
      <c r="AJ184" s="272">
        <f>IF(L184="Yes",AI184*Tab_Data_Flows[[#This Row],[Flow_Py]]*Tab_Data_Flows[[#This Row],[DM_'[%']]],"N.A.")</f>
        <v/>
      </c>
      <c r="AK184" s="272">
        <f>Tab_Data_Flows[[#This Row],[UoM_Flow_Py]]</f>
        <v/>
      </c>
    </row>
    <row r="185">
      <c r="A185" s="296">
        <f>ROW()-1</f>
        <v/>
      </c>
      <c r="B185" s="272">
        <f>_xlfn.XLOOKUP(C185,Tab_Def_Flows[Name(EN)],Tab_Def_Flows[Flow_ID],,0,)</f>
        <v/>
      </c>
      <c r="C185" s="273" t="inlineStr">
        <is>
          <t>N.A.</t>
        </is>
      </c>
      <c r="D185" s="272" t="n"/>
      <c r="E185" s="272">
        <f>_xlfn.XLOOKUP(C185,Tab_Def_Flows[Name(EN)],Tab_Def_Flows[Output_Process],,0,)</f>
        <v/>
      </c>
      <c r="F185" s="272">
        <f>_xlfn.XLOOKUP(C185,Tab_Def_Flows[Name(EN)],Tab_Def_Flows[Process_ID_O],,0,)</f>
        <v/>
      </c>
      <c r="G185" s="272">
        <f>_xlfn.XLOOKUP(C185,Tab_Def_Flows[Name(EN)],Tab_Def_Flows[Input_Process],,0,)</f>
        <v/>
      </c>
      <c r="H185" s="17">
        <f>_xlfn.XLOOKUP(C185,Tab_Def_Flows[Name(EN)],Tab_Def_Flows[Process_ID_I],,0,)</f>
        <v/>
      </c>
      <c r="I185" s="272">
        <f>_xlfn.XLOOKUP(C185,Tab_Def_Flows[Name(EN)],#REF!,,0,)</f>
        <v/>
      </c>
      <c r="J185" s="272">
        <f>_xlfn.XLOOKUP(C185,Tab_Def_Flows[Name(EN)],Tab_Def_Flows[WC?],,0,)</f>
        <v/>
      </c>
      <c r="K185" s="272">
        <f>_xlfn.XLOOKUP(C185,Tab_Def_Flows[Name(EN)],Tab_Def_Flows[DM?],,0,)</f>
        <v/>
      </c>
      <c r="L185" s="272">
        <f>_xlfn.XLOOKUP(C185,Tab_Def_Flows[Name(EN)],Tab_Def_Flows[CC?],,0,)</f>
        <v/>
      </c>
      <c r="M185" s="273" t="n"/>
      <c r="N185" s="273" t="n"/>
      <c r="O185" s="48" t="n"/>
      <c r="P185" s="273" t="n"/>
      <c r="Q185" s="273" t="n"/>
      <c r="R185" s="273">
        <f>INDEX(#REF!,MATCH(Tab_Data_Flows[[#This Row],[Name(EN)]],#REF!,0),12)</f>
        <v/>
      </c>
      <c r="S185" s="273">
        <f>MATCH(Tab_Data_Flows[[#This Row],[Name(EN)]],#REF!,0)</f>
        <v/>
      </c>
      <c r="T185" s="273" t="n"/>
      <c r="U185" s="273" t="n"/>
      <c r="V185" s="273" t="n"/>
      <c r="W185" s="273" t="n"/>
      <c r="X185" s="273" t="inlineStr">
        <is>
          <t>No</t>
        </is>
      </c>
      <c r="Y185" s="273" t="n"/>
      <c r="Z185" s="273" t="n"/>
      <c r="AA185" s="35">
        <f>IF(X185="no",O185,O185*Y185)</f>
        <v/>
      </c>
      <c r="AB185" s="273" t="inlineStr">
        <is>
          <t>Mg</t>
        </is>
      </c>
      <c r="AC185" s="190">
        <f>INDEX(Tab_Def_Flows[[Flow_ID]:[CC_DM_source]],MATCH(Tab_Data_Flows[[#This Row],[Name(EN)]],Tab_Def_Flows[Name(EN)],0),13)</f>
        <v/>
      </c>
      <c r="AD185" s="272">
        <f>IF(J185="Yes",AA185*Tab_Data_Flows[[#This Row],[WC_'[%']]],"N.A.")</f>
        <v/>
      </c>
      <c r="AE185" s="272">
        <f>Tab_Data_Flows[[#This Row],[UoM_Flow_Py]]</f>
        <v/>
      </c>
      <c r="AF185" s="190">
        <f>INDEX(Tab_Def_Flows[[Flow_ID]:[CC_DM_source]],MATCH(Tab_Data_Flows[[#This Row],[Name(EN)]],Tab_Def_Flows[Name(EN)],0),15)</f>
        <v/>
      </c>
      <c r="AG185" s="272">
        <f>IF(K185="Yes",AF185*Tab_Data_Flows[[#This Row],[Flow_Py]]-AJ301,"N.A.")</f>
        <v/>
      </c>
      <c r="AH185" s="272">
        <f>Tab_Data_Flows[[#This Row],[UoM_Flow_Py]]</f>
        <v/>
      </c>
      <c r="AI185" s="190">
        <f>INDEX(Tab_Def_Flows[[Flow_ID]:[CC_DM_source]],MATCH(Tab_Data_Flows[[#This Row],[Name(EN)]],Tab_Def_Flows[Name(EN)],0),17)</f>
        <v/>
      </c>
      <c r="AJ185" s="272">
        <f>IF(L185="Yes",AI185*Tab_Data_Flows[[#This Row],[Flow_Py]]*Tab_Data_Flows[[#This Row],[DM_'[%']]],"N.A.")</f>
        <v/>
      </c>
      <c r="AK185" s="272">
        <f>Tab_Data_Flows[[#This Row],[UoM_Flow_Py]]</f>
        <v/>
      </c>
    </row>
    <row r="186">
      <c r="A186" s="296">
        <f>ROW()-1</f>
        <v/>
      </c>
      <c r="B186" s="272">
        <f>_xlfn.XLOOKUP(C186,Tab_Def_Flows[Name(EN)],Tab_Def_Flows[Flow_ID],,0,)</f>
        <v/>
      </c>
      <c r="C186" s="273" t="inlineStr">
        <is>
          <t>N.A.</t>
        </is>
      </c>
      <c r="D186" s="272" t="n"/>
      <c r="E186" s="272">
        <f>_xlfn.XLOOKUP(C186,Tab_Def_Flows[Name(EN)],Tab_Def_Flows[Output_Process],,0,)</f>
        <v/>
      </c>
      <c r="F186" s="272">
        <f>_xlfn.XLOOKUP(C186,Tab_Def_Flows[Name(EN)],Tab_Def_Flows[Process_ID_O],,0,)</f>
        <v/>
      </c>
      <c r="G186" s="272">
        <f>_xlfn.XLOOKUP(C186,Tab_Def_Flows[Name(EN)],Tab_Def_Flows[Input_Process],,0,)</f>
        <v/>
      </c>
      <c r="H186" s="17">
        <f>_xlfn.XLOOKUP(C186,Tab_Def_Flows[Name(EN)],Tab_Def_Flows[Process_ID_I],,0,)</f>
        <v/>
      </c>
      <c r="I186" s="272">
        <f>_xlfn.XLOOKUP(C186,Tab_Def_Flows[Name(EN)],#REF!,,0,)</f>
        <v/>
      </c>
      <c r="J186" s="272">
        <f>_xlfn.XLOOKUP(C186,Tab_Def_Flows[Name(EN)],Tab_Def_Flows[WC?],,0,)</f>
        <v/>
      </c>
      <c r="K186" s="272">
        <f>_xlfn.XLOOKUP(C186,Tab_Def_Flows[Name(EN)],Tab_Def_Flows[DM?],,0,)</f>
        <v/>
      </c>
      <c r="L186" s="272">
        <f>_xlfn.XLOOKUP(C186,Tab_Def_Flows[Name(EN)],Tab_Def_Flows[CC?],,0,)</f>
        <v/>
      </c>
      <c r="M186" s="273" t="n"/>
      <c r="N186" s="273" t="n"/>
      <c r="O186" s="48" t="n"/>
      <c r="P186" s="273" t="n"/>
      <c r="Q186" s="273" t="n"/>
      <c r="R186" s="273">
        <f>INDEX(#REF!,MATCH(Tab_Data_Flows[[#This Row],[Name(EN)]],#REF!,0),12)</f>
        <v/>
      </c>
      <c r="S186" s="273">
        <f>MATCH(Tab_Data_Flows[[#This Row],[Name(EN)]],#REF!,0)</f>
        <v/>
      </c>
      <c r="T186" s="273" t="n"/>
      <c r="U186" s="273" t="n"/>
      <c r="V186" s="273" t="n"/>
      <c r="W186" s="273" t="n"/>
      <c r="X186" s="273" t="inlineStr">
        <is>
          <t>No</t>
        </is>
      </c>
      <c r="Y186" s="273" t="n"/>
      <c r="Z186" s="273" t="n"/>
      <c r="AA186" s="35">
        <f>IF(X186="no",O186,O186*Y186)</f>
        <v/>
      </c>
      <c r="AB186" s="273" t="inlineStr">
        <is>
          <t>Mg</t>
        </is>
      </c>
      <c r="AC186" s="190">
        <f>INDEX(Tab_Def_Flows[[Flow_ID]:[CC_DM_source]],MATCH(Tab_Data_Flows[[#This Row],[Name(EN)]],Tab_Def_Flows[Name(EN)],0),13)</f>
        <v/>
      </c>
      <c r="AD186" s="272">
        <f>IF(J186="Yes",AA186*Tab_Data_Flows[[#This Row],[WC_'[%']]],"N.A.")</f>
        <v/>
      </c>
      <c r="AE186" s="272">
        <f>Tab_Data_Flows[[#This Row],[UoM_Flow_Py]]</f>
        <v/>
      </c>
      <c r="AF186" s="190">
        <f>INDEX(Tab_Def_Flows[[Flow_ID]:[CC_DM_source]],MATCH(Tab_Data_Flows[[#This Row],[Name(EN)]],Tab_Def_Flows[Name(EN)],0),15)</f>
        <v/>
      </c>
      <c r="AG186" s="272">
        <f>IF(K186="Yes",AF186*Tab_Data_Flows[[#This Row],[Flow_Py]]-AJ302,"N.A.")</f>
        <v/>
      </c>
      <c r="AH186" s="272">
        <f>Tab_Data_Flows[[#This Row],[UoM_Flow_Py]]</f>
        <v/>
      </c>
      <c r="AI186" s="190">
        <f>INDEX(Tab_Def_Flows[[Flow_ID]:[CC_DM_source]],MATCH(Tab_Data_Flows[[#This Row],[Name(EN)]],Tab_Def_Flows[Name(EN)],0),17)</f>
        <v/>
      </c>
      <c r="AJ186" s="272">
        <f>IF(L186="Yes",AI186*Tab_Data_Flows[[#This Row],[Flow_Py]]*Tab_Data_Flows[[#This Row],[DM_'[%']]],"N.A.")</f>
        <v/>
      </c>
      <c r="AK186" s="272">
        <f>Tab_Data_Flows[[#This Row],[UoM_Flow_Py]]</f>
        <v/>
      </c>
    </row>
    <row r="187">
      <c r="A187" s="296">
        <f>ROW()-1</f>
        <v/>
      </c>
      <c r="B187" s="272">
        <f>_xlfn.XLOOKUP(C187,Tab_Def_Flows[Name(EN)],Tab_Def_Flows[Flow_ID],,0,)</f>
        <v/>
      </c>
      <c r="C187" s="273" t="inlineStr">
        <is>
          <t>N.A.</t>
        </is>
      </c>
      <c r="D187" s="272" t="n"/>
      <c r="E187" s="272">
        <f>_xlfn.XLOOKUP(C187,Tab_Def_Flows[Name(EN)],Tab_Def_Flows[Output_Process],,0,)</f>
        <v/>
      </c>
      <c r="F187" s="272">
        <f>_xlfn.XLOOKUP(C187,Tab_Def_Flows[Name(EN)],Tab_Def_Flows[Process_ID_O],,0,)</f>
        <v/>
      </c>
      <c r="G187" s="272">
        <f>_xlfn.XLOOKUP(C187,Tab_Def_Flows[Name(EN)],Tab_Def_Flows[Input_Process],,0,)</f>
        <v/>
      </c>
      <c r="H187" s="17">
        <f>_xlfn.XLOOKUP(C187,Tab_Def_Flows[Name(EN)],Tab_Def_Flows[Process_ID_I],,0,)</f>
        <v/>
      </c>
      <c r="I187" s="272">
        <f>_xlfn.XLOOKUP(C187,Tab_Def_Flows[Name(EN)],#REF!,,0,)</f>
        <v/>
      </c>
      <c r="J187" s="272">
        <f>_xlfn.XLOOKUP(C187,Tab_Def_Flows[Name(EN)],Tab_Def_Flows[WC?],,0,)</f>
        <v/>
      </c>
      <c r="K187" s="272">
        <f>_xlfn.XLOOKUP(C187,Tab_Def_Flows[Name(EN)],Tab_Def_Flows[DM?],,0,)</f>
        <v/>
      </c>
      <c r="L187" s="272">
        <f>_xlfn.XLOOKUP(C187,Tab_Def_Flows[Name(EN)],Tab_Def_Flows[CC?],,0,)</f>
        <v/>
      </c>
      <c r="M187" s="273" t="n"/>
      <c r="N187" s="273" t="n"/>
      <c r="O187" s="48" t="n"/>
      <c r="P187" s="273" t="n"/>
      <c r="Q187" s="273" t="n"/>
      <c r="R187" s="273">
        <f>INDEX(#REF!,MATCH(Tab_Data_Flows[[#This Row],[Name(EN)]],#REF!,0),12)</f>
        <v/>
      </c>
      <c r="S187" s="273">
        <f>MATCH(Tab_Data_Flows[[#This Row],[Name(EN)]],#REF!,0)</f>
        <v/>
      </c>
      <c r="T187" s="273" t="n"/>
      <c r="U187" s="273" t="n"/>
      <c r="V187" s="273" t="n"/>
      <c r="W187" s="273" t="n"/>
      <c r="X187" s="273" t="inlineStr">
        <is>
          <t>No</t>
        </is>
      </c>
      <c r="Y187" s="273" t="n"/>
      <c r="Z187" s="273" t="n"/>
      <c r="AA187" s="35">
        <f>IF(X187="no",O187,O187*Y187)</f>
        <v/>
      </c>
      <c r="AB187" s="273" t="inlineStr">
        <is>
          <t>Mg</t>
        </is>
      </c>
      <c r="AC187" s="190">
        <f>INDEX(Tab_Def_Flows[[Flow_ID]:[CC_DM_source]],MATCH(Tab_Data_Flows[[#This Row],[Name(EN)]],Tab_Def_Flows[Name(EN)],0),13)</f>
        <v/>
      </c>
      <c r="AD187" s="272">
        <f>IF(J187="Yes",AA187*Tab_Data_Flows[[#This Row],[WC_'[%']]],"N.A.")</f>
        <v/>
      </c>
      <c r="AE187" s="272">
        <f>Tab_Data_Flows[[#This Row],[UoM_Flow_Py]]</f>
        <v/>
      </c>
      <c r="AF187" s="190">
        <f>INDEX(Tab_Def_Flows[[Flow_ID]:[CC_DM_source]],MATCH(Tab_Data_Flows[[#This Row],[Name(EN)]],Tab_Def_Flows[Name(EN)],0),15)</f>
        <v/>
      </c>
      <c r="AG187" s="272">
        <f>IF(K187="Yes",AF187*Tab_Data_Flows[[#This Row],[Flow_Py]]-AJ303,"N.A.")</f>
        <v/>
      </c>
      <c r="AH187" s="272">
        <f>Tab_Data_Flows[[#This Row],[UoM_Flow_Py]]</f>
        <v/>
      </c>
      <c r="AI187" s="190">
        <f>INDEX(Tab_Def_Flows[[Flow_ID]:[CC_DM_source]],MATCH(Tab_Data_Flows[[#This Row],[Name(EN)]],Tab_Def_Flows[Name(EN)],0),17)</f>
        <v/>
      </c>
      <c r="AJ187" s="272">
        <f>IF(L187="Yes",AI187*Tab_Data_Flows[[#This Row],[Flow_Py]]*Tab_Data_Flows[[#This Row],[DM_'[%']]],"N.A.")</f>
        <v/>
      </c>
      <c r="AK187" s="272">
        <f>Tab_Data_Flows[[#This Row],[UoM_Flow_Py]]</f>
        <v/>
      </c>
    </row>
    <row r="188">
      <c r="A188" s="296">
        <f>ROW()-1</f>
        <v/>
      </c>
      <c r="B188" s="272">
        <f>_xlfn.XLOOKUP(C188,Tab_Def_Flows[Name(EN)],Tab_Def_Flows[Flow_ID],,0,)</f>
        <v/>
      </c>
      <c r="C188" s="273" t="inlineStr">
        <is>
          <t>N.A.</t>
        </is>
      </c>
      <c r="D188" s="272" t="n"/>
      <c r="E188" s="272">
        <f>_xlfn.XLOOKUP(C188,Tab_Def_Flows[Name(EN)],Tab_Def_Flows[Output_Process],,0,)</f>
        <v/>
      </c>
      <c r="F188" s="272">
        <f>_xlfn.XLOOKUP(C188,Tab_Def_Flows[Name(EN)],Tab_Def_Flows[Process_ID_O],,0,)</f>
        <v/>
      </c>
      <c r="G188" s="272">
        <f>_xlfn.XLOOKUP(C188,Tab_Def_Flows[Name(EN)],Tab_Def_Flows[Input_Process],,0,)</f>
        <v/>
      </c>
      <c r="H188" s="17">
        <f>_xlfn.XLOOKUP(C188,Tab_Def_Flows[Name(EN)],Tab_Def_Flows[Process_ID_I],,0,)</f>
        <v/>
      </c>
      <c r="I188" s="272">
        <f>_xlfn.XLOOKUP(C188,Tab_Def_Flows[Name(EN)],#REF!,,0,)</f>
        <v/>
      </c>
      <c r="J188" s="272">
        <f>_xlfn.XLOOKUP(C188,Tab_Def_Flows[Name(EN)],Tab_Def_Flows[WC?],,0,)</f>
        <v/>
      </c>
      <c r="K188" s="272">
        <f>_xlfn.XLOOKUP(C188,Tab_Def_Flows[Name(EN)],Tab_Def_Flows[DM?],,0,)</f>
        <v/>
      </c>
      <c r="L188" s="272">
        <f>_xlfn.XLOOKUP(C188,Tab_Def_Flows[Name(EN)],Tab_Def_Flows[CC?],,0,)</f>
        <v/>
      </c>
      <c r="M188" s="273" t="n"/>
      <c r="N188" s="273" t="n"/>
      <c r="O188" s="48" t="n"/>
      <c r="P188" s="273" t="n"/>
      <c r="Q188" s="273" t="n"/>
      <c r="R188" s="273">
        <f>INDEX(#REF!,MATCH(Tab_Data_Flows[[#This Row],[Name(EN)]],#REF!,0),12)</f>
        <v/>
      </c>
      <c r="S188" s="273">
        <f>MATCH(Tab_Data_Flows[[#This Row],[Name(EN)]],#REF!,0)</f>
        <v/>
      </c>
      <c r="T188" s="273" t="n"/>
      <c r="U188" s="273" t="n"/>
      <c r="V188" s="273" t="n"/>
      <c r="W188" s="273" t="n"/>
      <c r="X188" s="273" t="inlineStr">
        <is>
          <t>No</t>
        </is>
      </c>
      <c r="Y188" s="273" t="n"/>
      <c r="Z188" s="273" t="n"/>
      <c r="AA188" s="35">
        <f>IF(X188="no",O188,O188*Y188)</f>
        <v/>
      </c>
      <c r="AB188" s="273" t="inlineStr">
        <is>
          <t>Mg</t>
        </is>
      </c>
      <c r="AC188" s="190">
        <f>INDEX(Tab_Def_Flows[[Flow_ID]:[CC_DM_source]],MATCH(Tab_Data_Flows[[#This Row],[Name(EN)]],Tab_Def_Flows[Name(EN)],0),13)</f>
        <v/>
      </c>
      <c r="AD188" s="272">
        <f>IF(J188="Yes",AA188*Tab_Data_Flows[[#This Row],[WC_'[%']]],"N.A.")</f>
        <v/>
      </c>
      <c r="AE188" s="272">
        <f>Tab_Data_Flows[[#This Row],[UoM_Flow_Py]]</f>
        <v/>
      </c>
      <c r="AF188" s="190">
        <f>INDEX(Tab_Def_Flows[[Flow_ID]:[CC_DM_source]],MATCH(Tab_Data_Flows[[#This Row],[Name(EN)]],Tab_Def_Flows[Name(EN)],0),15)</f>
        <v/>
      </c>
      <c r="AG188" s="272">
        <f>IF(K188="Yes",AF188*Tab_Data_Flows[[#This Row],[Flow_Py]]-AJ304,"N.A.")</f>
        <v/>
      </c>
      <c r="AH188" s="272">
        <f>Tab_Data_Flows[[#This Row],[UoM_Flow_Py]]</f>
        <v/>
      </c>
      <c r="AI188" s="190">
        <f>INDEX(Tab_Def_Flows[[Flow_ID]:[CC_DM_source]],MATCH(Tab_Data_Flows[[#This Row],[Name(EN)]],Tab_Def_Flows[Name(EN)],0),17)</f>
        <v/>
      </c>
      <c r="AJ188" s="272">
        <f>IF(L188="Yes",AI188*Tab_Data_Flows[[#This Row],[Flow_Py]]*Tab_Data_Flows[[#This Row],[DM_'[%']]],"N.A.")</f>
        <v/>
      </c>
      <c r="AK188" s="272">
        <f>Tab_Data_Flows[[#This Row],[UoM_Flow_Py]]</f>
        <v/>
      </c>
    </row>
    <row r="189">
      <c r="A189" s="296">
        <f>ROW()-1</f>
        <v/>
      </c>
      <c r="B189" s="272">
        <f>_xlfn.XLOOKUP(C189,Tab_Def_Flows[Name(EN)],Tab_Def_Flows[Flow_ID],,0,)</f>
        <v/>
      </c>
      <c r="C189" s="273" t="inlineStr">
        <is>
          <t>N.A.</t>
        </is>
      </c>
      <c r="D189" s="272" t="n"/>
      <c r="E189" s="272">
        <f>_xlfn.XLOOKUP(C189,Tab_Def_Flows[Name(EN)],Tab_Def_Flows[Output_Process],,0,)</f>
        <v/>
      </c>
      <c r="F189" s="272">
        <f>_xlfn.XLOOKUP(C189,Tab_Def_Flows[Name(EN)],Tab_Def_Flows[Process_ID_O],,0,)</f>
        <v/>
      </c>
      <c r="G189" s="272">
        <f>_xlfn.XLOOKUP(C189,Tab_Def_Flows[Name(EN)],Tab_Def_Flows[Input_Process],,0,)</f>
        <v/>
      </c>
      <c r="H189" s="17">
        <f>_xlfn.XLOOKUP(C189,Tab_Def_Flows[Name(EN)],Tab_Def_Flows[Process_ID_I],,0,)</f>
        <v/>
      </c>
      <c r="I189" s="272">
        <f>_xlfn.XLOOKUP(C189,Tab_Def_Flows[Name(EN)],#REF!,,0,)</f>
        <v/>
      </c>
      <c r="J189" s="272">
        <f>_xlfn.XLOOKUP(C189,Tab_Def_Flows[Name(EN)],Tab_Def_Flows[WC?],,0,)</f>
        <v/>
      </c>
      <c r="K189" s="272">
        <f>_xlfn.XLOOKUP(C189,Tab_Def_Flows[Name(EN)],Tab_Def_Flows[DM?],,0,)</f>
        <v/>
      </c>
      <c r="L189" s="272">
        <f>_xlfn.XLOOKUP(C189,Tab_Def_Flows[Name(EN)],Tab_Def_Flows[CC?],,0,)</f>
        <v/>
      </c>
      <c r="M189" s="273" t="n"/>
      <c r="N189" s="273" t="n"/>
      <c r="O189" s="48" t="n"/>
      <c r="P189" s="273" t="n"/>
      <c r="Q189" s="273" t="n"/>
      <c r="R189" s="273">
        <f>INDEX(#REF!,MATCH(Tab_Data_Flows[[#This Row],[Name(EN)]],#REF!,0),12)</f>
        <v/>
      </c>
      <c r="S189" s="273">
        <f>MATCH(Tab_Data_Flows[[#This Row],[Name(EN)]],#REF!,0)</f>
        <v/>
      </c>
      <c r="T189" s="273" t="n"/>
      <c r="U189" s="273" t="n"/>
      <c r="V189" s="273" t="n"/>
      <c r="W189" s="273" t="n"/>
      <c r="X189" s="273" t="inlineStr">
        <is>
          <t>No</t>
        </is>
      </c>
      <c r="Y189" s="273" t="n"/>
      <c r="Z189" s="273" t="n"/>
      <c r="AA189" s="35">
        <f>IF(X189="no",O189,O189*Y189)</f>
        <v/>
      </c>
      <c r="AB189" s="273" t="inlineStr">
        <is>
          <t>Mg</t>
        </is>
      </c>
      <c r="AC189" s="190">
        <f>INDEX(Tab_Def_Flows[[Flow_ID]:[CC_DM_source]],MATCH(Tab_Data_Flows[[#This Row],[Name(EN)]],Tab_Def_Flows[Name(EN)],0),13)</f>
        <v/>
      </c>
      <c r="AD189" s="272">
        <f>IF(J189="Yes",AA189*Tab_Data_Flows[[#This Row],[WC_'[%']]],"N.A.")</f>
        <v/>
      </c>
      <c r="AE189" s="272">
        <f>Tab_Data_Flows[[#This Row],[UoM_Flow_Py]]</f>
        <v/>
      </c>
      <c r="AF189" s="190">
        <f>INDEX(Tab_Def_Flows[[Flow_ID]:[CC_DM_source]],MATCH(Tab_Data_Flows[[#This Row],[Name(EN)]],Tab_Def_Flows[Name(EN)],0),15)</f>
        <v/>
      </c>
      <c r="AG189" s="272">
        <f>IF(K189="Yes",AF189*Tab_Data_Flows[[#This Row],[Flow_Py]]-AJ305,"N.A.")</f>
        <v/>
      </c>
      <c r="AH189" s="272">
        <f>Tab_Data_Flows[[#This Row],[UoM_Flow_Py]]</f>
        <v/>
      </c>
      <c r="AI189" s="190">
        <f>INDEX(Tab_Def_Flows[[Flow_ID]:[CC_DM_source]],MATCH(Tab_Data_Flows[[#This Row],[Name(EN)]],Tab_Def_Flows[Name(EN)],0),17)</f>
        <v/>
      </c>
      <c r="AJ189" s="272">
        <f>IF(L189="Yes",AI189*Tab_Data_Flows[[#This Row],[Flow_Py]]*Tab_Data_Flows[[#This Row],[DM_'[%']]],"N.A.")</f>
        <v/>
      </c>
      <c r="AK189" s="272">
        <f>Tab_Data_Flows[[#This Row],[UoM_Flow_Py]]</f>
        <v/>
      </c>
    </row>
    <row r="190">
      <c r="A190" s="296">
        <f>ROW()-1</f>
        <v/>
      </c>
      <c r="B190" s="272">
        <f>_xlfn.XLOOKUP(C190,Tab_Def_Flows[Name(EN)],Tab_Def_Flows[Flow_ID],,0,)</f>
        <v/>
      </c>
      <c r="C190" s="273" t="inlineStr">
        <is>
          <t>N.A.</t>
        </is>
      </c>
      <c r="D190" s="272" t="n"/>
      <c r="E190" s="272">
        <f>_xlfn.XLOOKUP(C190,Tab_Def_Flows[Name(EN)],Tab_Def_Flows[Output_Process],,0,)</f>
        <v/>
      </c>
      <c r="F190" s="272">
        <f>_xlfn.XLOOKUP(C190,Tab_Def_Flows[Name(EN)],Tab_Def_Flows[Process_ID_O],,0,)</f>
        <v/>
      </c>
      <c r="G190" s="272">
        <f>_xlfn.XLOOKUP(C190,Tab_Def_Flows[Name(EN)],Tab_Def_Flows[Input_Process],,0,)</f>
        <v/>
      </c>
      <c r="H190" s="17">
        <f>_xlfn.XLOOKUP(C190,Tab_Def_Flows[Name(EN)],Tab_Def_Flows[Process_ID_I],,0,)</f>
        <v/>
      </c>
      <c r="I190" s="272">
        <f>_xlfn.XLOOKUP(C190,Tab_Def_Flows[Name(EN)],#REF!,,0,)</f>
        <v/>
      </c>
      <c r="J190" s="272">
        <f>_xlfn.XLOOKUP(C190,Tab_Def_Flows[Name(EN)],Tab_Def_Flows[WC?],,0,)</f>
        <v/>
      </c>
      <c r="K190" s="272">
        <f>_xlfn.XLOOKUP(C190,Tab_Def_Flows[Name(EN)],Tab_Def_Flows[DM?],,0,)</f>
        <v/>
      </c>
      <c r="L190" s="272">
        <f>_xlfn.XLOOKUP(C190,Tab_Def_Flows[Name(EN)],Tab_Def_Flows[CC?],,0,)</f>
        <v/>
      </c>
      <c r="M190" s="273" t="n"/>
      <c r="N190" s="273" t="n"/>
      <c r="O190" s="48" t="n"/>
      <c r="P190" s="273" t="n"/>
      <c r="Q190" s="273" t="n"/>
      <c r="R190" s="273">
        <f>INDEX(#REF!,MATCH(Tab_Data_Flows[[#This Row],[Name(EN)]],#REF!,0),12)</f>
        <v/>
      </c>
      <c r="S190" s="273">
        <f>MATCH(Tab_Data_Flows[[#This Row],[Name(EN)]],#REF!,0)</f>
        <v/>
      </c>
      <c r="T190" s="273" t="n"/>
      <c r="U190" s="273" t="n"/>
      <c r="V190" s="273" t="n"/>
      <c r="W190" s="273" t="n"/>
      <c r="X190" s="273" t="inlineStr">
        <is>
          <t>No</t>
        </is>
      </c>
      <c r="Y190" s="273" t="n"/>
      <c r="Z190" s="273" t="n"/>
      <c r="AA190" s="35">
        <f>IF(X190="no",O190,O190*Y190)</f>
        <v/>
      </c>
      <c r="AB190" s="273" t="inlineStr">
        <is>
          <t>Mg</t>
        </is>
      </c>
      <c r="AC190" s="190">
        <f>INDEX(Tab_Def_Flows[[Flow_ID]:[CC_DM_source]],MATCH(Tab_Data_Flows[[#This Row],[Name(EN)]],Tab_Def_Flows[Name(EN)],0),13)</f>
        <v/>
      </c>
      <c r="AD190" s="272">
        <f>IF(J190="Yes",AA190*Tab_Data_Flows[[#This Row],[WC_'[%']]],"N.A.")</f>
        <v/>
      </c>
      <c r="AE190" s="272">
        <f>Tab_Data_Flows[[#This Row],[UoM_Flow_Py]]</f>
        <v/>
      </c>
      <c r="AF190" s="190">
        <f>INDEX(Tab_Def_Flows[[Flow_ID]:[CC_DM_source]],MATCH(Tab_Data_Flows[[#This Row],[Name(EN)]],Tab_Def_Flows[Name(EN)],0),15)</f>
        <v/>
      </c>
      <c r="AG190" s="272">
        <f>IF(K190="Yes",AF190*Tab_Data_Flows[[#This Row],[Flow_Py]]-AJ306,"N.A.")</f>
        <v/>
      </c>
      <c r="AH190" s="272">
        <f>Tab_Data_Flows[[#This Row],[UoM_Flow_Py]]</f>
        <v/>
      </c>
      <c r="AI190" s="190">
        <f>INDEX(Tab_Def_Flows[[Flow_ID]:[CC_DM_source]],MATCH(Tab_Data_Flows[[#This Row],[Name(EN)]],Tab_Def_Flows[Name(EN)],0),17)</f>
        <v/>
      </c>
      <c r="AJ190" s="272">
        <f>IF(L190="Yes",AI190*Tab_Data_Flows[[#This Row],[Flow_Py]]*Tab_Data_Flows[[#This Row],[DM_'[%']]],"N.A.")</f>
        <v/>
      </c>
      <c r="AK190" s="272">
        <f>Tab_Data_Flows[[#This Row],[UoM_Flow_Py]]</f>
        <v/>
      </c>
    </row>
    <row r="191">
      <c r="A191" s="296">
        <f>ROW()-1</f>
        <v/>
      </c>
      <c r="B191" s="272">
        <f>_xlfn.XLOOKUP(C191,Tab_Def_Flows[Name(EN)],Tab_Def_Flows[Flow_ID],,0,)</f>
        <v/>
      </c>
      <c r="C191" s="273" t="inlineStr">
        <is>
          <t>N.A.</t>
        </is>
      </c>
      <c r="D191" s="272" t="n"/>
      <c r="E191" s="272">
        <f>_xlfn.XLOOKUP(C191,Tab_Def_Flows[Name(EN)],Tab_Def_Flows[Output_Process],,0,)</f>
        <v/>
      </c>
      <c r="F191" s="272">
        <f>_xlfn.XLOOKUP(C191,Tab_Def_Flows[Name(EN)],Tab_Def_Flows[Process_ID_O],,0,)</f>
        <v/>
      </c>
      <c r="G191" s="272">
        <f>_xlfn.XLOOKUP(C191,Tab_Def_Flows[Name(EN)],Tab_Def_Flows[Input_Process],,0,)</f>
        <v/>
      </c>
      <c r="H191" s="17">
        <f>_xlfn.XLOOKUP(C191,Tab_Def_Flows[Name(EN)],Tab_Def_Flows[Process_ID_I],,0,)</f>
        <v/>
      </c>
      <c r="I191" s="272">
        <f>_xlfn.XLOOKUP(C191,Tab_Def_Flows[Name(EN)],#REF!,,0,)</f>
        <v/>
      </c>
      <c r="J191" s="272">
        <f>_xlfn.XLOOKUP(C191,Tab_Def_Flows[Name(EN)],Tab_Def_Flows[WC?],,0,)</f>
        <v/>
      </c>
      <c r="K191" s="272">
        <f>_xlfn.XLOOKUP(C191,Tab_Def_Flows[Name(EN)],Tab_Def_Flows[DM?],,0,)</f>
        <v/>
      </c>
      <c r="L191" s="272">
        <f>_xlfn.XLOOKUP(C191,Tab_Def_Flows[Name(EN)],Tab_Def_Flows[CC?],,0,)</f>
        <v/>
      </c>
      <c r="M191" s="273" t="n"/>
      <c r="N191" s="273" t="n"/>
      <c r="O191" s="48" t="n"/>
      <c r="P191" s="273" t="n"/>
      <c r="Q191" s="273" t="n"/>
      <c r="R191" s="273">
        <f>INDEX(#REF!,MATCH(Tab_Data_Flows[[#This Row],[Name(EN)]],#REF!,0),12)</f>
        <v/>
      </c>
      <c r="S191" s="273">
        <f>MATCH(Tab_Data_Flows[[#This Row],[Name(EN)]],#REF!,0)</f>
        <v/>
      </c>
      <c r="T191" s="273" t="n"/>
      <c r="U191" s="273" t="n"/>
      <c r="V191" s="273" t="n"/>
      <c r="W191" s="273" t="n"/>
      <c r="X191" s="273" t="inlineStr">
        <is>
          <t>No</t>
        </is>
      </c>
      <c r="Y191" s="273" t="n"/>
      <c r="Z191" s="273" t="n"/>
      <c r="AA191" s="35">
        <f>IF(X191="no",O191,O191*Y191)</f>
        <v/>
      </c>
      <c r="AB191" s="273" t="inlineStr">
        <is>
          <t>Mg</t>
        </is>
      </c>
      <c r="AC191" s="190">
        <f>INDEX(Tab_Def_Flows[[Flow_ID]:[CC_DM_source]],MATCH(Tab_Data_Flows[[#This Row],[Name(EN)]],Tab_Def_Flows[Name(EN)],0),13)</f>
        <v/>
      </c>
      <c r="AD191" s="272">
        <f>IF(J191="Yes",AA191*Tab_Data_Flows[[#This Row],[WC_'[%']]],"N.A.")</f>
        <v/>
      </c>
      <c r="AE191" s="272">
        <f>Tab_Data_Flows[[#This Row],[UoM_Flow_Py]]</f>
        <v/>
      </c>
      <c r="AF191" s="190">
        <f>INDEX(Tab_Def_Flows[[Flow_ID]:[CC_DM_source]],MATCH(Tab_Data_Flows[[#This Row],[Name(EN)]],Tab_Def_Flows[Name(EN)],0),15)</f>
        <v/>
      </c>
      <c r="AG191" s="272">
        <f>IF(K191="Yes",AF191*Tab_Data_Flows[[#This Row],[Flow_Py]]-AJ307,"N.A.")</f>
        <v/>
      </c>
      <c r="AH191" s="272">
        <f>Tab_Data_Flows[[#This Row],[UoM_Flow_Py]]</f>
        <v/>
      </c>
      <c r="AI191" s="190">
        <f>INDEX(Tab_Def_Flows[[Flow_ID]:[CC_DM_source]],MATCH(Tab_Data_Flows[[#This Row],[Name(EN)]],Tab_Def_Flows[Name(EN)],0),17)</f>
        <v/>
      </c>
      <c r="AJ191" s="272">
        <f>IF(L191="Yes",AI191*Tab_Data_Flows[[#This Row],[Flow_Py]]*Tab_Data_Flows[[#This Row],[DM_'[%']]],"N.A.")</f>
        <v/>
      </c>
      <c r="AK191" s="272">
        <f>Tab_Data_Flows[[#This Row],[UoM_Flow_Py]]</f>
        <v/>
      </c>
    </row>
    <row r="192">
      <c r="A192" s="296">
        <f>ROW()-1</f>
        <v/>
      </c>
      <c r="B192" s="272">
        <f>_xlfn.XLOOKUP(C192,Tab_Def_Flows[Name(EN)],Tab_Def_Flows[Flow_ID],,0,)</f>
        <v/>
      </c>
      <c r="C192" s="273" t="inlineStr">
        <is>
          <t>N.A.</t>
        </is>
      </c>
      <c r="D192" s="272" t="n"/>
      <c r="E192" s="272">
        <f>_xlfn.XLOOKUP(C192,Tab_Def_Flows[Name(EN)],Tab_Def_Flows[Output_Process],,0,)</f>
        <v/>
      </c>
      <c r="F192" s="272">
        <f>_xlfn.XLOOKUP(C192,Tab_Def_Flows[Name(EN)],Tab_Def_Flows[Process_ID_O],,0,)</f>
        <v/>
      </c>
      <c r="G192" s="272">
        <f>_xlfn.XLOOKUP(C192,Tab_Def_Flows[Name(EN)],Tab_Def_Flows[Input_Process],,0,)</f>
        <v/>
      </c>
      <c r="H192" s="17">
        <f>_xlfn.XLOOKUP(C192,Tab_Def_Flows[Name(EN)],Tab_Def_Flows[Process_ID_I],,0,)</f>
        <v/>
      </c>
      <c r="I192" s="272">
        <f>_xlfn.XLOOKUP(C192,Tab_Def_Flows[Name(EN)],#REF!,,0,)</f>
        <v/>
      </c>
      <c r="J192" s="272">
        <f>_xlfn.XLOOKUP(C192,Tab_Def_Flows[Name(EN)],Tab_Def_Flows[WC?],,0,)</f>
        <v/>
      </c>
      <c r="K192" s="272">
        <f>_xlfn.XLOOKUP(C192,Tab_Def_Flows[Name(EN)],Tab_Def_Flows[DM?],,0,)</f>
        <v/>
      </c>
      <c r="L192" s="272">
        <f>_xlfn.XLOOKUP(C192,Tab_Def_Flows[Name(EN)],Tab_Def_Flows[CC?],,0,)</f>
        <v/>
      </c>
      <c r="M192" s="273" t="n"/>
      <c r="N192" s="273" t="n"/>
      <c r="O192" s="48" t="n"/>
      <c r="P192" s="273" t="n"/>
      <c r="Q192" s="273" t="n"/>
      <c r="R192" s="273">
        <f>INDEX(#REF!,MATCH(Tab_Data_Flows[[#This Row],[Name(EN)]],#REF!,0),12)</f>
        <v/>
      </c>
      <c r="S192" s="273">
        <f>MATCH(Tab_Data_Flows[[#This Row],[Name(EN)]],#REF!,0)</f>
        <v/>
      </c>
      <c r="T192" s="273" t="n"/>
      <c r="U192" s="273" t="n"/>
      <c r="V192" s="273" t="n"/>
      <c r="W192" s="273" t="n"/>
      <c r="X192" s="273" t="inlineStr">
        <is>
          <t>No</t>
        </is>
      </c>
      <c r="Y192" s="273" t="n"/>
      <c r="Z192" s="273" t="n"/>
      <c r="AA192" s="35">
        <f>IF(X192="no",O192,O192*Y192)</f>
        <v/>
      </c>
      <c r="AB192" s="273" t="inlineStr">
        <is>
          <t>Mg</t>
        </is>
      </c>
      <c r="AC192" s="190">
        <f>INDEX(Tab_Def_Flows[[Flow_ID]:[CC_DM_source]],MATCH(Tab_Data_Flows[[#This Row],[Name(EN)]],Tab_Def_Flows[Name(EN)],0),13)</f>
        <v/>
      </c>
      <c r="AD192" s="272">
        <f>IF(J192="Yes",AA192*Tab_Data_Flows[[#This Row],[WC_'[%']]],"N.A.")</f>
        <v/>
      </c>
      <c r="AE192" s="272">
        <f>Tab_Data_Flows[[#This Row],[UoM_Flow_Py]]</f>
        <v/>
      </c>
      <c r="AF192" s="190">
        <f>INDEX(Tab_Def_Flows[[Flow_ID]:[CC_DM_source]],MATCH(Tab_Data_Flows[[#This Row],[Name(EN)]],Tab_Def_Flows[Name(EN)],0),15)</f>
        <v/>
      </c>
      <c r="AG192" s="272">
        <f>IF(K192="Yes",AF192*Tab_Data_Flows[[#This Row],[Flow_Py]]-AJ308,"N.A.")</f>
        <v/>
      </c>
      <c r="AH192" s="272">
        <f>Tab_Data_Flows[[#This Row],[UoM_Flow_Py]]</f>
        <v/>
      </c>
      <c r="AI192" s="190">
        <f>INDEX(Tab_Def_Flows[[Flow_ID]:[CC_DM_source]],MATCH(Tab_Data_Flows[[#This Row],[Name(EN)]],Tab_Def_Flows[Name(EN)],0),17)</f>
        <v/>
      </c>
      <c r="AJ192" s="272">
        <f>IF(L192="Yes",AI192*Tab_Data_Flows[[#This Row],[Flow_Py]]*Tab_Data_Flows[[#This Row],[DM_'[%']]],"N.A.")</f>
        <v/>
      </c>
      <c r="AK192" s="272">
        <f>Tab_Data_Flows[[#This Row],[UoM_Flow_Py]]</f>
        <v/>
      </c>
    </row>
    <row r="193">
      <c r="A193" s="296">
        <f>ROW()-1</f>
        <v/>
      </c>
      <c r="B193" s="272">
        <f>_xlfn.XLOOKUP(C193,Tab_Def_Flows[Name(EN)],Tab_Def_Flows[Flow_ID],,0,)</f>
        <v/>
      </c>
      <c r="C193" s="273" t="inlineStr">
        <is>
          <t>N.A.</t>
        </is>
      </c>
      <c r="D193" s="272" t="n"/>
      <c r="E193" s="272">
        <f>_xlfn.XLOOKUP(C193,Tab_Def_Flows[Name(EN)],Tab_Def_Flows[Output_Process],,0,)</f>
        <v/>
      </c>
      <c r="F193" s="272">
        <f>_xlfn.XLOOKUP(C193,Tab_Def_Flows[Name(EN)],Tab_Def_Flows[Process_ID_O],,0,)</f>
        <v/>
      </c>
      <c r="G193" s="272">
        <f>_xlfn.XLOOKUP(C193,Tab_Def_Flows[Name(EN)],Tab_Def_Flows[Input_Process],,0,)</f>
        <v/>
      </c>
      <c r="H193" s="17">
        <f>_xlfn.XLOOKUP(C193,Tab_Def_Flows[Name(EN)],Tab_Def_Flows[Process_ID_I],,0,)</f>
        <v/>
      </c>
      <c r="I193" s="272">
        <f>_xlfn.XLOOKUP(C193,Tab_Def_Flows[Name(EN)],#REF!,,0,)</f>
        <v/>
      </c>
      <c r="J193" s="272">
        <f>_xlfn.XLOOKUP(C193,Tab_Def_Flows[Name(EN)],Tab_Def_Flows[WC?],,0,)</f>
        <v/>
      </c>
      <c r="K193" s="272">
        <f>_xlfn.XLOOKUP(C193,Tab_Def_Flows[Name(EN)],Tab_Def_Flows[DM?],,0,)</f>
        <v/>
      </c>
      <c r="L193" s="272">
        <f>_xlfn.XLOOKUP(C193,Tab_Def_Flows[Name(EN)],Tab_Def_Flows[CC?],,0,)</f>
        <v/>
      </c>
      <c r="M193" s="273" t="n"/>
      <c r="N193" s="273" t="n"/>
      <c r="O193" s="48" t="n"/>
      <c r="P193" s="273" t="n"/>
      <c r="Q193" s="273" t="n"/>
      <c r="R193" s="273">
        <f>INDEX(#REF!,MATCH(Tab_Data_Flows[[#This Row],[Name(EN)]],#REF!,0),12)</f>
        <v/>
      </c>
      <c r="S193" s="273">
        <f>MATCH(Tab_Data_Flows[[#This Row],[Name(EN)]],#REF!,0)</f>
        <v/>
      </c>
      <c r="T193" s="273" t="n"/>
      <c r="U193" s="273" t="n"/>
      <c r="V193" s="273" t="n"/>
      <c r="W193" s="273" t="n"/>
      <c r="X193" s="273" t="inlineStr">
        <is>
          <t>No</t>
        </is>
      </c>
      <c r="Y193" s="273" t="n"/>
      <c r="Z193" s="273" t="n"/>
      <c r="AA193" s="35">
        <f>IF(X193="no",O193,O193*Y193)</f>
        <v/>
      </c>
      <c r="AB193" s="273" t="inlineStr">
        <is>
          <t>Mg</t>
        </is>
      </c>
      <c r="AC193" s="190">
        <f>INDEX(Tab_Def_Flows[[Flow_ID]:[CC_DM_source]],MATCH(Tab_Data_Flows[[#This Row],[Name(EN)]],Tab_Def_Flows[Name(EN)],0),13)</f>
        <v/>
      </c>
      <c r="AD193" s="272">
        <f>IF(J193="Yes",AA193*Tab_Data_Flows[[#This Row],[WC_'[%']]],"N.A.")</f>
        <v/>
      </c>
      <c r="AE193" s="272">
        <f>Tab_Data_Flows[[#This Row],[UoM_Flow_Py]]</f>
        <v/>
      </c>
      <c r="AF193" s="190">
        <f>INDEX(Tab_Def_Flows[[Flow_ID]:[CC_DM_source]],MATCH(Tab_Data_Flows[[#This Row],[Name(EN)]],Tab_Def_Flows[Name(EN)],0),15)</f>
        <v/>
      </c>
      <c r="AG193" s="272">
        <f>IF(K193="Yes",AF193*Tab_Data_Flows[[#This Row],[Flow_Py]]-AJ309,"N.A.")</f>
        <v/>
      </c>
      <c r="AH193" s="272">
        <f>Tab_Data_Flows[[#This Row],[UoM_Flow_Py]]</f>
        <v/>
      </c>
      <c r="AI193" s="190">
        <f>INDEX(Tab_Def_Flows[[Flow_ID]:[CC_DM_source]],MATCH(Tab_Data_Flows[[#This Row],[Name(EN)]],Tab_Def_Flows[Name(EN)],0),17)</f>
        <v/>
      </c>
      <c r="AJ193" s="272">
        <f>IF(L193="Yes",AI193*Tab_Data_Flows[[#This Row],[Flow_Py]]*Tab_Data_Flows[[#This Row],[DM_'[%']]],"N.A.")</f>
        <v/>
      </c>
      <c r="AK193" s="272">
        <f>Tab_Data_Flows[[#This Row],[UoM_Flow_Py]]</f>
        <v/>
      </c>
    </row>
    <row r="194">
      <c r="A194" s="296">
        <f>ROW()-1</f>
        <v/>
      </c>
      <c r="B194" s="272">
        <f>_xlfn.XLOOKUP(C194,Tab_Def_Flows[Name(EN)],Tab_Def_Flows[Flow_ID],,0,)</f>
        <v/>
      </c>
      <c r="C194" s="273" t="inlineStr">
        <is>
          <t>N.A.</t>
        </is>
      </c>
      <c r="D194" s="272" t="n"/>
      <c r="E194" s="272">
        <f>_xlfn.XLOOKUP(C194,Tab_Def_Flows[Name(EN)],Tab_Def_Flows[Output_Process],,0,)</f>
        <v/>
      </c>
      <c r="F194" s="272">
        <f>_xlfn.XLOOKUP(C194,Tab_Def_Flows[Name(EN)],Tab_Def_Flows[Process_ID_O],,0,)</f>
        <v/>
      </c>
      <c r="G194" s="272">
        <f>_xlfn.XLOOKUP(C194,Tab_Def_Flows[Name(EN)],Tab_Def_Flows[Input_Process],,0,)</f>
        <v/>
      </c>
      <c r="H194" s="17">
        <f>_xlfn.XLOOKUP(C194,Tab_Def_Flows[Name(EN)],Tab_Def_Flows[Process_ID_I],,0,)</f>
        <v/>
      </c>
      <c r="I194" s="272">
        <f>_xlfn.XLOOKUP(C194,Tab_Def_Flows[Name(EN)],#REF!,,0,)</f>
        <v/>
      </c>
      <c r="J194" s="272">
        <f>_xlfn.XLOOKUP(C194,Tab_Def_Flows[Name(EN)],Tab_Def_Flows[WC?],,0,)</f>
        <v/>
      </c>
      <c r="K194" s="272">
        <f>_xlfn.XLOOKUP(C194,Tab_Def_Flows[Name(EN)],Tab_Def_Flows[DM?],,0,)</f>
        <v/>
      </c>
      <c r="L194" s="272">
        <f>_xlfn.XLOOKUP(C194,Tab_Def_Flows[Name(EN)],Tab_Def_Flows[CC?],,0,)</f>
        <v/>
      </c>
      <c r="M194" s="273" t="n"/>
      <c r="N194" s="273" t="n"/>
      <c r="O194" s="48" t="n"/>
      <c r="P194" s="273" t="n"/>
      <c r="Q194" s="273" t="n"/>
      <c r="R194" s="273">
        <f>INDEX(#REF!,MATCH(Tab_Data_Flows[[#This Row],[Name(EN)]],#REF!,0),12)</f>
        <v/>
      </c>
      <c r="S194" s="273">
        <f>MATCH(Tab_Data_Flows[[#This Row],[Name(EN)]],#REF!,0)</f>
        <v/>
      </c>
      <c r="T194" s="273" t="n"/>
      <c r="U194" s="273" t="n"/>
      <c r="V194" s="273" t="n"/>
      <c r="W194" s="273" t="n"/>
      <c r="X194" s="273" t="inlineStr">
        <is>
          <t>No</t>
        </is>
      </c>
      <c r="Y194" s="273" t="n"/>
      <c r="Z194" s="273" t="n"/>
      <c r="AA194" s="35">
        <f>IF(X194="no",O194,O194*Y194)</f>
        <v/>
      </c>
      <c r="AB194" s="273" t="inlineStr">
        <is>
          <t>Mg</t>
        </is>
      </c>
      <c r="AC194" s="190">
        <f>INDEX(Tab_Def_Flows[[Flow_ID]:[CC_DM_source]],MATCH(Tab_Data_Flows[[#This Row],[Name(EN)]],Tab_Def_Flows[Name(EN)],0),13)</f>
        <v/>
      </c>
      <c r="AD194" s="272">
        <f>IF(J194="Yes",AA194*Tab_Data_Flows[[#This Row],[WC_'[%']]],"N.A.")</f>
        <v/>
      </c>
      <c r="AE194" s="272">
        <f>Tab_Data_Flows[[#This Row],[UoM_Flow_Py]]</f>
        <v/>
      </c>
      <c r="AF194" s="190">
        <f>INDEX(Tab_Def_Flows[[Flow_ID]:[CC_DM_source]],MATCH(Tab_Data_Flows[[#This Row],[Name(EN)]],Tab_Def_Flows[Name(EN)],0),15)</f>
        <v/>
      </c>
      <c r="AG194" s="272">
        <f>IF(K194="Yes",AF194*Tab_Data_Flows[[#This Row],[Flow_Py]]-AJ310,"N.A.")</f>
        <v/>
      </c>
      <c r="AH194" s="272">
        <f>Tab_Data_Flows[[#This Row],[UoM_Flow_Py]]</f>
        <v/>
      </c>
      <c r="AI194" s="190">
        <f>INDEX(Tab_Def_Flows[[Flow_ID]:[CC_DM_source]],MATCH(Tab_Data_Flows[[#This Row],[Name(EN)]],Tab_Def_Flows[Name(EN)],0),17)</f>
        <v/>
      </c>
      <c r="AJ194" s="272">
        <f>IF(L194="Yes",AI194*Tab_Data_Flows[[#This Row],[Flow_Py]]*Tab_Data_Flows[[#This Row],[DM_'[%']]],"N.A.")</f>
        <v/>
      </c>
      <c r="AK194" s="272">
        <f>Tab_Data_Flows[[#This Row],[UoM_Flow_Py]]</f>
        <v/>
      </c>
    </row>
    <row r="195">
      <c r="A195" s="296">
        <f>ROW()-1</f>
        <v/>
      </c>
      <c r="B195" s="272">
        <f>_xlfn.XLOOKUP(C195,Tab_Def_Flows[Name(EN)],Tab_Def_Flows[Flow_ID],,0,)</f>
        <v/>
      </c>
      <c r="C195" s="273" t="inlineStr">
        <is>
          <t>N.A.</t>
        </is>
      </c>
      <c r="D195" s="272" t="n"/>
      <c r="E195" s="272">
        <f>_xlfn.XLOOKUP(C195,Tab_Def_Flows[Name(EN)],Tab_Def_Flows[Output_Process],,0,)</f>
        <v/>
      </c>
      <c r="F195" s="272">
        <f>_xlfn.XLOOKUP(C195,Tab_Def_Flows[Name(EN)],Tab_Def_Flows[Process_ID_O],,0,)</f>
        <v/>
      </c>
      <c r="G195" s="272">
        <f>_xlfn.XLOOKUP(C195,Tab_Def_Flows[Name(EN)],Tab_Def_Flows[Input_Process],,0,)</f>
        <v/>
      </c>
      <c r="H195" s="17">
        <f>_xlfn.XLOOKUP(C195,Tab_Def_Flows[Name(EN)],Tab_Def_Flows[Process_ID_I],,0,)</f>
        <v/>
      </c>
      <c r="I195" s="272">
        <f>_xlfn.XLOOKUP(C195,Tab_Def_Flows[Name(EN)],#REF!,,0,)</f>
        <v/>
      </c>
      <c r="J195" s="272">
        <f>_xlfn.XLOOKUP(C195,Tab_Def_Flows[Name(EN)],Tab_Def_Flows[WC?],,0,)</f>
        <v/>
      </c>
      <c r="K195" s="272">
        <f>_xlfn.XLOOKUP(C195,Tab_Def_Flows[Name(EN)],Tab_Def_Flows[DM?],,0,)</f>
        <v/>
      </c>
      <c r="L195" s="272">
        <f>_xlfn.XLOOKUP(C195,Tab_Def_Flows[Name(EN)],Tab_Def_Flows[CC?],,0,)</f>
        <v/>
      </c>
      <c r="M195" s="273" t="n"/>
      <c r="N195" s="273" t="n"/>
      <c r="O195" s="48" t="n"/>
      <c r="P195" s="273" t="n"/>
      <c r="Q195" s="273" t="n"/>
      <c r="R195" s="273">
        <f>INDEX(#REF!,MATCH(Tab_Data_Flows[[#This Row],[Name(EN)]],#REF!,0),12)</f>
        <v/>
      </c>
      <c r="S195" s="273">
        <f>MATCH(Tab_Data_Flows[[#This Row],[Name(EN)]],#REF!,0)</f>
        <v/>
      </c>
      <c r="T195" s="273" t="n"/>
      <c r="U195" s="273" t="n"/>
      <c r="V195" s="273" t="n"/>
      <c r="W195" s="273" t="n"/>
      <c r="X195" s="273" t="inlineStr">
        <is>
          <t>No</t>
        </is>
      </c>
      <c r="Y195" s="273" t="n"/>
      <c r="Z195" s="273" t="n"/>
      <c r="AA195" s="35">
        <f>IF(X195="no",O195,O195*Y195)</f>
        <v/>
      </c>
      <c r="AB195" s="273" t="inlineStr">
        <is>
          <t>Mg</t>
        </is>
      </c>
      <c r="AC195" s="190">
        <f>INDEX(Tab_Def_Flows[[Flow_ID]:[CC_DM_source]],MATCH(Tab_Data_Flows[[#This Row],[Name(EN)]],Tab_Def_Flows[Name(EN)],0),13)</f>
        <v/>
      </c>
      <c r="AD195" s="272">
        <f>IF(J195="Yes",AA195*Tab_Data_Flows[[#This Row],[WC_'[%']]],"N.A.")</f>
        <v/>
      </c>
      <c r="AE195" s="272">
        <f>Tab_Data_Flows[[#This Row],[UoM_Flow_Py]]</f>
        <v/>
      </c>
      <c r="AF195" s="190">
        <f>INDEX(Tab_Def_Flows[[Flow_ID]:[CC_DM_source]],MATCH(Tab_Data_Flows[[#This Row],[Name(EN)]],Tab_Def_Flows[Name(EN)],0),15)</f>
        <v/>
      </c>
      <c r="AG195" s="272">
        <f>IF(K195="Yes",AF195*Tab_Data_Flows[[#This Row],[Flow_Py]]-AJ311,"N.A.")</f>
        <v/>
      </c>
      <c r="AH195" s="272">
        <f>Tab_Data_Flows[[#This Row],[UoM_Flow_Py]]</f>
        <v/>
      </c>
      <c r="AI195" s="190">
        <f>INDEX(Tab_Def_Flows[[Flow_ID]:[CC_DM_source]],MATCH(Tab_Data_Flows[[#This Row],[Name(EN)]],Tab_Def_Flows[Name(EN)],0),17)</f>
        <v/>
      </c>
      <c r="AJ195" s="272">
        <f>IF(L195="Yes",AI195*Tab_Data_Flows[[#This Row],[Flow_Py]]*Tab_Data_Flows[[#This Row],[DM_'[%']]],"N.A.")</f>
        <v/>
      </c>
      <c r="AK195" s="272">
        <f>Tab_Data_Flows[[#This Row],[UoM_Flow_Py]]</f>
        <v/>
      </c>
    </row>
    <row r="196">
      <c r="A196" s="296">
        <f>ROW()-1</f>
        <v/>
      </c>
      <c r="B196" s="272">
        <f>_xlfn.XLOOKUP(C196,Tab_Def_Flows[Name(EN)],Tab_Def_Flows[Flow_ID],,0,)</f>
        <v/>
      </c>
      <c r="C196" s="273" t="inlineStr">
        <is>
          <t>N.A.</t>
        </is>
      </c>
      <c r="D196" s="272" t="n"/>
      <c r="E196" s="272">
        <f>_xlfn.XLOOKUP(C196,Tab_Def_Flows[Name(EN)],Tab_Def_Flows[Output_Process],,0,)</f>
        <v/>
      </c>
      <c r="F196" s="272">
        <f>_xlfn.XLOOKUP(C196,Tab_Def_Flows[Name(EN)],Tab_Def_Flows[Process_ID_O],,0,)</f>
        <v/>
      </c>
      <c r="G196" s="272">
        <f>_xlfn.XLOOKUP(C196,Tab_Def_Flows[Name(EN)],Tab_Def_Flows[Input_Process],,0,)</f>
        <v/>
      </c>
      <c r="H196" s="17">
        <f>_xlfn.XLOOKUP(C196,Tab_Def_Flows[Name(EN)],Tab_Def_Flows[Process_ID_I],,0,)</f>
        <v/>
      </c>
      <c r="I196" s="272">
        <f>_xlfn.XLOOKUP(C196,Tab_Def_Flows[Name(EN)],#REF!,,0,)</f>
        <v/>
      </c>
      <c r="J196" s="272">
        <f>_xlfn.XLOOKUP(C196,Tab_Def_Flows[Name(EN)],Tab_Def_Flows[WC?],,0,)</f>
        <v/>
      </c>
      <c r="K196" s="272">
        <f>_xlfn.XLOOKUP(C196,Tab_Def_Flows[Name(EN)],Tab_Def_Flows[DM?],,0,)</f>
        <v/>
      </c>
      <c r="L196" s="272">
        <f>_xlfn.XLOOKUP(C196,Tab_Def_Flows[Name(EN)],Tab_Def_Flows[CC?],,0,)</f>
        <v/>
      </c>
      <c r="M196" s="273" t="n"/>
      <c r="N196" s="273" t="n"/>
      <c r="O196" s="48" t="n"/>
      <c r="P196" s="273" t="n"/>
      <c r="Q196" s="273" t="n"/>
      <c r="R196" s="273">
        <f>INDEX(#REF!,MATCH(Tab_Data_Flows[[#This Row],[Name(EN)]],#REF!,0),12)</f>
        <v/>
      </c>
      <c r="S196" s="273">
        <f>MATCH(Tab_Data_Flows[[#This Row],[Name(EN)]],#REF!,0)</f>
        <v/>
      </c>
      <c r="T196" s="273" t="n"/>
      <c r="U196" s="273" t="n"/>
      <c r="V196" s="273" t="n"/>
      <c r="W196" s="273" t="n"/>
      <c r="X196" s="273" t="inlineStr">
        <is>
          <t>No</t>
        </is>
      </c>
      <c r="Y196" s="273" t="n"/>
      <c r="Z196" s="273" t="n"/>
      <c r="AA196" s="35">
        <f>IF(X196="no",O196,O196*Y196)</f>
        <v/>
      </c>
      <c r="AB196" s="273" t="inlineStr">
        <is>
          <t>Mg</t>
        </is>
      </c>
      <c r="AC196" s="190">
        <f>INDEX(Tab_Def_Flows[[Flow_ID]:[CC_DM_source]],MATCH(Tab_Data_Flows[[#This Row],[Name(EN)]],Tab_Def_Flows[Name(EN)],0),13)</f>
        <v/>
      </c>
      <c r="AD196" s="272">
        <f>IF(J196="Yes",AA196*Tab_Data_Flows[[#This Row],[WC_'[%']]],"N.A.")</f>
        <v/>
      </c>
      <c r="AE196" s="272">
        <f>Tab_Data_Flows[[#This Row],[UoM_Flow_Py]]</f>
        <v/>
      </c>
      <c r="AF196" s="190">
        <f>INDEX(Tab_Def_Flows[[Flow_ID]:[CC_DM_source]],MATCH(Tab_Data_Flows[[#This Row],[Name(EN)]],Tab_Def_Flows[Name(EN)],0),15)</f>
        <v/>
      </c>
      <c r="AG196" s="272">
        <f>IF(K196="Yes",AF196*Tab_Data_Flows[[#This Row],[Flow_Py]]-AJ312,"N.A.")</f>
        <v/>
      </c>
      <c r="AH196" s="272">
        <f>Tab_Data_Flows[[#This Row],[UoM_Flow_Py]]</f>
        <v/>
      </c>
      <c r="AI196" s="190">
        <f>INDEX(Tab_Def_Flows[[Flow_ID]:[CC_DM_source]],MATCH(Tab_Data_Flows[[#This Row],[Name(EN)]],Tab_Def_Flows[Name(EN)],0),17)</f>
        <v/>
      </c>
      <c r="AJ196" s="272">
        <f>IF(L196="Yes",AI196*Tab_Data_Flows[[#This Row],[Flow_Py]]*Tab_Data_Flows[[#This Row],[DM_'[%']]],"N.A.")</f>
        <v/>
      </c>
      <c r="AK196" s="272">
        <f>Tab_Data_Flows[[#This Row],[UoM_Flow_Py]]</f>
        <v/>
      </c>
    </row>
    <row r="197">
      <c r="A197" s="296">
        <f>ROW()-1</f>
        <v/>
      </c>
      <c r="B197" s="272">
        <f>_xlfn.XLOOKUP(C197,Tab_Def_Flows[Name(EN)],Tab_Def_Flows[Flow_ID],,0,)</f>
        <v/>
      </c>
      <c r="C197" s="273" t="inlineStr">
        <is>
          <t>N.A.</t>
        </is>
      </c>
      <c r="D197" s="272" t="n"/>
      <c r="E197" s="272">
        <f>_xlfn.XLOOKUP(C197,Tab_Def_Flows[Name(EN)],Tab_Def_Flows[Output_Process],,0,)</f>
        <v/>
      </c>
      <c r="F197" s="272">
        <f>_xlfn.XLOOKUP(C197,Tab_Def_Flows[Name(EN)],Tab_Def_Flows[Process_ID_O],,0,)</f>
        <v/>
      </c>
      <c r="G197" s="272">
        <f>_xlfn.XLOOKUP(C197,Tab_Def_Flows[Name(EN)],Tab_Def_Flows[Input_Process],,0,)</f>
        <v/>
      </c>
      <c r="H197" s="17">
        <f>_xlfn.XLOOKUP(C197,Tab_Def_Flows[Name(EN)],Tab_Def_Flows[Process_ID_I],,0,)</f>
        <v/>
      </c>
      <c r="I197" s="272">
        <f>_xlfn.XLOOKUP(C197,Tab_Def_Flows[Name(EN)],#REF!,,0,)</f>
        <v/>
      </c>
      <c r="J197" s="272">
        <f>_xlfn.XLOOKUP(C197,Tab_Def_Flows[Name(EN)],Tab_Def_Flows[WC?],,0,)</f>
        <v/>
      </c>
      <c r="K197" s="272">
        <f>_xlfn.XLOOKUP(C197,Tab_Def_Flows[Name(EN)],Tab_Def_Flows[DM?],,0,)</f>
        <v/>
      </c>
      <c r="L197" s="272">
        <f>_xlfn.XLOOKUP(C197,Tab_Def_Flows[Name(EN)],Tab_Def_Flows[CC?],,0,)</f>
        <v/>
      </c>
      <c r="M197" s="273" t="n"/>
      <c r="N197" s="273" t="n"/>
      <c r="O197" s="48" t="n"/>
      <c r="P197" s="273" t="n"/>
      <c r="Q197" s="273" t="n"/>
      <c r="R197" s="273">
        <f>INDEX(#REF!,MATCH(Tab_Data_Flows[[#This Row],[Name(EN)]],#REF!,0),12)</f>
        <v/>
      </c>
      <c r="S197" s="273">
        <f>MATCH(Tab_Data_Flows[[#This Row],[Name(EN)]],#REF!,0)</f>
        <v/>
      </c>
      <c r="T197" s="273" t="n"/>
      <c r="U197" s="273" t="n"/>
      <c r="V197" s="273" t="n"/>
      <c r="W197" s="273" t="n"/>
      <c r="X197" s="273" t="inlineStr">
        <is>
          <t>No</t>
        </is>
      </c>
      <c r="Y197" s="273" t="n"/>
      <c r="Z197" s="273" t="n"/>
      <c r="AA197" s="35">
        <f>IF(X197="no",O197,O197*Y197)</f>
        <v/>
      </c>
      <c r="AB197" s="273" t="inlineStr">
        <is>
          <t>Mg</t>
        </is>
      </c>
      <c r="AC197" s="190">
        <f>INDEX(Tab_Def_Flows[[Flow_ID]:[CC_DM_source]],MATCH(Tab_Data_Flows[[#This Row],[Name(EN)]],Tab_Def_Flows[Name(EN)],0),13)</f>
        <v/>
      </c>
      <c r="AD197" s="272">
        <f>IF(J197="Yes",AA197*Tab_Data_Flows[[#This Row],[WC_'[%']]],"N.A.")</f>
        <v/>
      </c>
      <c r="AE197" s="272">
        <f>Tab_Data_Flows[[#This Row],[UoM_Flow_Py]]</f>
        <v/>
      </c>
      <c r="AF197" s="190">
        <f>INDEX(Tab_Def_Flows[[Flow_ID]:[CC_DM_source]],MATCH(Tab_Data_Flows[[#This Row],[Name(EN)]],Tab_Def_Flows[Name(EN)],0),15)</f>
        <v/>
      </c>
      <c r="AG197" s="272">
        <f>IF(K197="Yes",AF197*Tab_Data_Flows[[#This Row],[Flow_Py]]-AJ313,"N.A.")</f>
        <v/>
      </c>
      <c r="AH197" s="272">
        <f>Tab_Data_Flows[[#This Row],[UoM_Flow_Py]]</f>
        <v/>
      </c>
      <c r="AI197" s="190">
        <f>INDEX(Tab_Def_Flows[[Flow_ID]:[CC_DM_source]],MATCH(Tab_Data_Flows[[#This Row],[Name(EN)]],Tab_Def_Flows[Name(EN)],0),17)</f>
        <v/>
      </c>
      <c r="AJ197" s="272">
        <f>IF(L197="Yes",AI197*Tab_Data_Flows[[#This Row],[Flow_Py]]*Tab_Data_Flows[[#This Row],[DM_'[%']]],"N.A.")</f>
        <v/>
      </c>
      <c r="AK197" s="272">
        <f>Tab_Data_Flows[[#This Row],[UoM_Flow_Py]]</f>
        <v/>
      </c>
    </row>
    <row r="198">
      <c r="A198" s="296">
        <f>ROW()-1</f>
        <v/>
      </c>
      <c r="B198" s="272">
        <f>_xlfn.XLOOKUP(C198,Tab_Def_Flows[Name(EN)],Tab_Def_Flows[Flow_ID],,0,)</f>
        <v/>
      </c>
      <c r="C198" s="273" t="inlineStr">
        <is>
          <t>N.A.</t>
        </is>
      </c>
      <c r="D198" s="272" t="n"/>
      <c r="E198" s="272">
        <f>_xlfn.XLOOKUP(C198,Tab_Def_Flows[Name(EN)],Tab_Def_Flows[Output_Process],,0,)</f>
        <v/>
      </c>
      <c r="F198" s="272">
        <f>_xlfn.XLOOKUP(C198,Tab_Def_Flows[Name(EN)],Tab_Def_Flows[Process_ID_O],,0,)</f>
        <v/>
      </c>
      <c r="G198" s="272">
        <f>_xlfn.XLOOKUP(C198,Tab_Def_Flows[Name(EN)],Tab_Def_Flows[Input_Process],,0,)</f>
        <v/>
      </c>
      <c r="H198" s="17">
        <f>_xlfn.XLOOKUP(C198,Tab_Def_Flows[Name(EN)],Tab_Def_Flows[Process_ID_I],,0,)</f>
        <v/>
      </c>
      <c r="I198" s="272">
        <f>_xlfn.XLOOKUP(C198,Tab_Def_Flows[Name(EN)],#REF!,,0,)</f>
        <v/>
      </c>
      <c r="J198" s="272">
        <f>_xlfn.XLOOKUP(C198,Tab_Def_Flows[Name(EN)],Tab_Def_Flows[WC?],,0,)</f>
        <v/>
      </c>
      <c r="K198" s="272">
        <f>_xlfn.XLOOKUP(C198,Tab_Def_Flows[Name(EN)],Tab_Def_Flows[DM?],,0,)</f>
        <v/>
      </c>
      <c r="L198" s="272">
        <f>_xlfn.XLOOKUP(C198,Tab_Def_Flows[Name(EN)],Tab_Def_Flows[CC?],,0,)</f>
        <v/>
      </c>
      <c r="M198" s="273" t="n"/>
      <c r="N198" s="273" t="n"/>
      <c r="O198" s="48" t="n"/>
      <c r="P198" s="273" t="n"/>
      <c r="Q198" s="273" t="n"/>
      <c r="R198" s="273">
        <f>INDEX(#REF!,MATCH(Tab_Data_Flows[[#This Row],[Name(EN)]],#REF!,0),12)</f>
        <v/>
      </c>
      <c r="S198" s="273">
        <f>MATCH(Tab_Data_Flows[[#This Row],[Name(EN)]],#REF!,0)</f>
        <v/>
      </c>
      <c r="T198" s="273" t="n"/>
      <c r="U198" s="273" t="n"/>
      <c r="V198" s="273" t="n"/>
      <c r="W198" s="273" t="n"/>
      <c r="X198" s="273" t="inlineStr">
        <is>
          <t>No</t>
        </is>
      </c>
      <c r="Y198" s="273" t="n"/>
      <c r="Z198" s="273" t="n"/>
      <c r="AA198" s="35">
        <f>IF(X198="no",O198,O198*Y198)</f>
        <v/>
      </c>
      <c r="AB198" s="273" t="inlineStr">
        <is>
          <t>Mg</t>
        </is>
      </c>
      <c r="AC198" s="190">
        <f>INDEX(Tab_Def_Flows[[Flow_ID]:[CC_DM_source]],MATCH(Tab_Data_Flows[[#This Row],[Name(EN)]],Tab_Def_Flows[Name(EN)],0),13)</f>
        <v/>
      </c>
      <c r="AD198" s="272">
        <f>IF(J198="Yes",AA198*Tab_Data_Flows[[#This Row],[WC_'[%']]],"N.A.")</f>
        <v/>
      </c>
      <c r="AE198" s="272">
        <f>Tab_Data_Flows[[#This Row],[UoM_Flow_Py]]</f>
        <v/>
      </c>
      <c r="AF198" s="190">
        <f>INDEX(Tab_Def_Flows[[Flow_ID]:[CC_DM_source]],MATCH(Tab_Data_Flows[[#This Row],[Name(EN)]],Tab_Def_Flows[Name(EN)],0),15)</f>
        <v/>
      </c>
      <c r="AG198" s="272">
        <f>IF(K198="Yes",AF198*Tab_Data_Flows[[#This Row],[Flow_Py]]-AJ314,"N.A.")</f>
        <v/>
      </c>
      <c r="AH198" s="272">
        <f>Tab_Data_Flows[[#This Row],[UoM_Flow_Py]]</f>
        <v/>
      </c>
      <c r="AI198" s="190">
        <f>INDEX(Tab_Def_Flows[[Flow_ID]:[CC_DM_source]],MATCH(Tab_Data_Flows[[#This Row],[Name(EN)]],Tab_Def_Flows[Name(EN)],0),17)</f>
        <v/>
      </c>
      <c r="AJ198" s="272">
        <f>IF(L198="Yes",AI198*Tab_Data_Flows[[#This Row],[Flow_Py]]*Tab_Data_Flows[[#This Row],[DM_'[%']]],"N.A.")</f>
        <v/>
      </c>
      <c r="AK198" s="272">
        <f>Tab_Data_Flows[[#This Row],[UoM_Flow_Py]]</f>
        <v/>
      </c>
    </row>
    <row r="199">
      <c r="A199" s="296">
        <f>ROW()-1</f>
        <v/>
      </c>
      <c r="B199" s="272">
        <f>_xlfn.XLOOKUP(C199,Tab_Def_Flows[Name(EN)],Tab_Def_Flows[Flow_ID],,0,)</f>
        <v/>
      </c>
      <c r="C199" s="273" t="inlineStr">
        <is>
          <t>N.A.</t>
        </is>
      </c>
      <c r="D199" s="272" t="n"/>
      <c r="E199" s="272">
        <f>_xlfn.XLOOKUP(C199,Tab_Def_Flows[Name(EN)],Tab_Def_Flows[Output_Process],,0,)</f>
        <v/>
      </c>
      <c r="F199" s="272">
        <f>_xlfn.XLOOKUP(C199,Tab_Def_Flows[Name(EN)],Tab_Def_Flows[Process_ID_O],,0,)</f>
        <v/>
      </c>
      <c r="G199" s="272">
        <f>_xlfn.XLOOKUP(C199,Tab_Def_Flows[Name(EN)],Tab_Def_Flows[Input_Process],,0,)</f>
        <v/>
      </c>
      <c r="H199" s="17">
        <f>_xlfn.XLOOKUP(C199,Tab_Def_Flows[Name(EN)],Tab_Def_Flows[Process_ID_I],,0,)</f>
        <v/>
      </c>
      <c r="I199" s="272">
        <f>_xlfn.XLOOKUP(C199,Tab_Def_Flows[Name(EN)],#REF!,,0,)</f>
        <v/>
      </c>
      <c r="J199" s="272">
        <f>_xlfn.XLOOKUP(C199,Tab_Def_Flows[Name(EN)],Tab_Def_Flows[WC?],,0,)</f>
        <v/>
      </c>
      <c r="K199" s="272">
        <f>_xlfn.XLOOKUP(C199,Tab_Def_Flows[Name(EN)],Tab_Def_Flows[DM?],,0,)</f>
        <v/>
      </c>
      <c r="L199" s="272">
        <f>_xlfn.XLOOKUP(C199,Tab_Def_Flows[Name(EN)],Tab_Def_Flows[CC?],,0,)</f>
        <v/>
      </c>
      <c r="M199" s="273" t="n"/>
      <c r="N199" s="273" t="n"/>
      <c r="O199" s="48" t="n"/>
      <c r="P199" s="273" t="n"/>
      <c r="Q199" s="273" t="n"/>
      <c r="R199" s="273">
        <f>INDEX(#REF!,MATCH(Tab_Data_Flows[[#This Row],[Name(EN)]],#REF!,0),12)</f>
        <v/>
      </c>
      <c r="S199" s="273">
        <f>MATCH(Tab_Data_Flows[[#This Row],[Name(EN)]],#REF!,0)</f>
        <v/>
      </c>
      <c r="T199" s="273" t="n"/>
      <c r="U199" s="273" t="n"/>
      <c r="V199" s="273" t="n"/>
      <c r="W199" s="273" t="n"/>
      <c r="X199" s="273" t="inlineStr">
        <is>
          <t>No</t>
        </is>
      </c>
      <c r="Y199" s="273" t="n"/>
      <c r="Z199" s="273" t="n"/>
      <c r="AA199" s="35">
        <f>IF(X199="no",O199,O199*Y199)</f>
        <v/>
      </c>
      <c r="AB199" s="273" t="inlineStr">
        <is>
          <t>Mg</t>
        </is>
      </c>
      <c r="AC199" s="190">
        <f>INDEX(Tab_Def_Flows[[Flow_ID]:[CC_DM_source]],MATCH(Tab_Data_Flows[[#This Row],[Name(EN)]],Tab_Def_Flows[Name(EN)],0),13)</f>
        <v/>
      </c>
      <c r="AD199" s="272">
        <f>IF(J199="Yes",AA199*Tab_Data_Flows[[#This Row],[WC_'[%']]],"N.A.")</f>
        <v/>
      </c>
      <c r="AE199" s="272">
        <f>Tab_Data_Flows[[#This Row],[UoM_Flow_Py]]</f>
        <v/>
      </c>
      <c r="AF199" s="190">
        <f>INDEX(Tab_Def_Flows[[Flow_ID]:[CC_DM_source]],MATCH(Tab_Data_Flows[[#This Row],[Name(EN)]],Tab_Def_Flows[Name(EN)],0),15)</f>
        <v/>
      </c>
      <c r="AG199" s="272">
        <f>IF(K199="Yes",AF199*Tab_Data_Flows[[#This Row],[Flow_Py]]-AJ315,"N.A.")</f>
        <v/>
      </c>
      <c r="AH199" s="272">
        <f>Tab_Data_Flows[[#This Row],[UoM_Flow_Py]]</f>
        <v/>
      </c>
      <c r="AI199" s="190">
        <f>INDEX(Tab_Def_Flows[[Flow_ID]:[CC_DM_source]],MATCH(Tab_Data_Flows[[#This Row],[Name(EN)]],Tab_Def_Flows[Name(EN)],0),17)</f>
        <v/>
      </c>
      <c r="AJ199" s="272">
        <f>IF(L199="Yes",AI199*Tab_Data_Flows[[#This Row],[Flow_Py]]*Tab_Data_Flows[[#This Row],[DM_'[%']]],"N.A.")</f>
        <v/>
      </c>
      <c r="AK199" s="272">
        <f>Tab_Data_Flows[[#This Row],[UoM_Flow_Py]]</f>
        <v/>
      </c>
    </row>
    <row r="200">
      <c r="A200" s="296">
        <f>ROW()-1</f>
        <v/>
      </c>
      <c r="B200" s="272">
        <f>_xlfn.XLOOKUP(C200,Tab_Def_Flows[Name(EN)],Tab_Def_Flows[Flow_ID],,0,)</f>
        <v/>
      </c>
      <c r="C200" s="273" t="inlineStr">
        <is>
          <t>N.A.</t>
        </is>
      </c>
      <c r="D200" s="272" t="n"/>
      <c r="E200" s="272">
        <f>_xlfn.XLOOKUP(C200,Tab_Def_Flows[Name(EN)],Tab_Def_Flows[Output_Process],,0,)</f>
        <v/>
      </c>
      <c r="F200" s="272">
        <f>_xlfn.XLOOKUP(C200,Tab_Def_Flows[Name(EN)],Tab_Def_Flows[Process_ID_O],,0,)</f>
        <v/>
      </c>
      <c r="G200" s="272">
        <f>_xlfn.XLOOKUP(C200,Tab_Def_Flows[Name(EN)],Tab_Def_Flows[Input_Process],,0,)</f>
        <v/>
      </c>
      <c r="H200" s="17">
        <f>_xlfn.XLOOKUP(C200,Tab_Def_Flows[Name(EN)],Tab_Def_Flows[Process_ID_I],,0,)</f>
        <v/>
      </c>
      <c r="I200" s="272">
        <f>_xlfn.XLOOKUP(C200,Tab_Def_Flows[Name(EN)],#REF!,,0,)</f>
        <v/>
      </c>
      <c r="J200" s="272">
        <f>_xlfn.XLOOKUP(C200,Tab_Def_Flows[Name(EN)],Tab_Def_Flows[WC?],,0,)</f>
        <v/>
      </c>
      <c r="K200" s="272">
        <f>_xlfn.XLOOKUP(C200,Tab_Def_Flows[Name(EN)],Tab_Def_Flows[DM?],,0,)</f>
        <v/>
      </c>
      <c r="L200" s="272">
        <f>_xlfn.XLOOKUP(C200,Tab_Def_Flows[Name(EN)],Tab_Def_Flows[CC?],,0,)</f>
        <v/>
      </c>
      <c r="M200" s="273" t="n"/>
      <c r="N200" s="273" t="n"/>
      <c r="O200" s="48" t="n"/>
      <c r="P200" s="273" t="n"/>
      <c r="Q200" s="273" t="n"/>
      <c r="R200" s="273">
        <f>INDEX(#REF!,MATCH(Tab_Data_Flows[[#This Row],[Name(EN)]],#REF!,0),12)</f>
        <v/>
      </c>
      <c r="S200" s="273">
        <f>MATCH(Tab_Data_Flows[[#This Row],[Name(EN)]],#REF!,0)</f>
        <v/>
      </c>
      <c r="T200" s="273" t="n"/>
      <c r="U200" s="273" t="n"/>
      <c r="V200" s="273" t="n"/>
      <c r="W200" s="273" t="n"/>
      <c r="X200" s="273" t="inlineStr">
        <is>
          <t>No</t>
        </is>
      </c>
      <c r="Y200" s="273" t="n"/>
      <c r="Z200" s="273" t="n"/>
      <c r="AA200" s="35">
        <f>IF(X200="no",O200,O200*Y200)</f>
        <v/>
      </c>
      <c r="AB200" s="273" t="inlineStr">
        <is>
          <t>Mg</t>
        </is>
      </c>
      <c r="AC200" s="190">
        <f>INDEX(Tab_Def_Flows[[Flow_ID]:[CC_DM_source]],MATCH(Tab_Data_Flows[[#This Row],[Name(EN)]],Tab_Def_Flows[Name(EN)],0),13)</f>
        <v/>
      </c>
      <c r="AD200" s="272">
        <f>IF(J200="Yes",AA200*Tab_Data_Flows[[#This Row],[WC_'[%']]],"N.A.")</f>
        <v/>
      </c>
      <c r="AE200" s="272">
        <f>Tab_Data_Flows[[#This Row],[UoM_Flow_Py]]</f>
        <v/>
      </c>
      <c r="AF200" s="190">
        <f>INDEX(Tab_Def_Flows[[Flow_ID]:[CC_DM_source]],MATCH(Tab_Data_Flows[[#This Row],[Name(EN)]],Tab_Def_Flows[Name(EN)],0),15)</f>
        <v/>
      </c>
      <c r="AG200" s="272">
        <f>IF(K200="Yes",AF200*Tab_Data_Flows[[#This Row],[Flow_Py]]-AJ316,"N.A.")</f>
        <v/>
      </c>
      <c r="AH200" s="272">
        <f>Tab_Data_Flows[[#This Row],[UoM_Flow_Py]]</f>
        <v/>
      </c>
      <c r="AI200" s="190">
        <f>INDEX(Tab_Def_Flows[[Flow_ID]:[CC_DM_source]],MATCH(Tab_Data_Flows[[#This Row],[Name(EN)]],Tab_Def_Flows[Name(EN)],0),17)</f>
        <v/>
      </c>
      <c r="AJ200" s="272">
        <f>IF(L200="Yes",AI200*Tab_Data_Flows[[#This Row],[Flow_Py]]*Tab_Data_Flows[[#This Row],[DM_'[%']]],"N.A.")</f>
        <v/>
      </c>
      <c r="AK200" s="272">
        <f>Tab_Data_Flows[[#This Row],[UoM_Flow_Py]]</f>
        <v/>
      </c>
    </row>
    <row r="201">
      <c r="A201" s="296">
        <f>ROW()-1</f>
        <v/>
      </c>
      <c r="B201" s="272">
        <f>_xlfn.XLOOKUP(C201,Tab_Def_Flows[Name(EN)],Tab_Def_Flows[Flow_ID],,0,)</f>
        <v/>
      </c>
      <c r="C201" s="273" t="inlineStr">
        <is>
          <t>N.A.</t>
        </is>
      </c>
      <c r="D201" s="272" t="n"/>
      <c r="E201" s="272">
        <f>_xlfn.XLOOKUP(C201,Tab_Def_Flows[Name(EN)],Tab_Def_Flows[Output_Process],,0,)</f>
        <v/>
      </c>
      <c r="F201" s="272">
        <f>_xlfn.XLOOKUP(C201,Tab_Def_Flows[Name(EN)],Tab_Def_Flows[Process_ID_O],,0,)</f>
        <v/>
      </c>
      <c r="G201" s="272">
        <f>_xlfn.XLOOKUP(C201,Tab_Def_Flows[Name(EN)],Tab_Def_Flows[Input_Process],,0,)</f>
        <v/>
      </c>
      <c r="H201" s="17">
        <f>_xlfn.XLOOKUP(C201,Tab_Def_Flows[Name(EN)],Tab_Def_Flows[Process_ID_I],,0,)</f>
        <v/>
      </c>
      <c r="I201" s="272">
        <f>_xlfn.XLOOKUP(C201,Tab_Def_Flows[Name(EN)],#REF!,,0,)</f>
        <v/>
      </c>
      <c r="J201" s="272">
        <f>_xlfn.XLOOKUP(C201,Tab_Def_Flows[Name(EN)],Tab_Def_Flows[WC?],,0,)</f>
        <v/>
      </c>
      <c r="K201" s="272">
        <f>_xlfn.XLOOKUP(C201,Tab_Def_Flows[Name(EN)],Tab_Def_Flows[DM?],,0,)</f>
        <v/>
      </c>
      <c r="L201" s="272">
        <f>_xlfn.XLOOKUP(C201,Tab_Def_Flows[Name(EN)],Tab_Def_Flows[CC?],,0,)</f>
        <v/>
      </c>
      <c r="M201" s="273" t="n"/>
      <c r="N201" s="273" t="n"/>
      <c r="O201" s="48" t="n"/>
      <c r="P201" s="273" t="n"/>
      <c r="Q201" s="273" t="n"/>
      <c r="R201" s="273">
        <f>INDEX(#REF!,MATCH(Tab_Data_Flows[[#This Row],[Name(EN)]],#REF!,0),12)</f>
        <v/>
      </c>
      <c r="S201" s="273">
        <f>MATCH(Tab_Data_Flows[[#This Row],[Name(EN)]],#REF!,0)</f>
        <v/>
      </c>
      <c r="T201" s="273" t="n"/>
      <c r="U201" s="273" t="n"/>
      <c r="V201" s="273" t="n"/>
      <c r="W201" s="273" t="n"/>
      <c r="X201" s="273" t="inlineStr">
        <is>
          <t>No</t>
        </is>
      </c>
      <c r="Y201" s="273" t="n"/>
      <c r="Z201" s="273" t="n"/>
      <c r="AA201" s="35">
        <f>IF(X201="no",O201,O201*Y201)</f>
        <v/>
      </c>
      <c r="AB201" s="273" t="inlineStr">
        <is>
          <t>Mg</t>
        </is>
      </c>
      <c r="AC201" s="190">
        <f>INDEX(Tab_Def_Flows[[Flow_ID]:[CC_DM_source]],MATCH(Tab_Data_Flows[[#This Row],[Name(EN)]],Tab_Def_Flows[Name(EN)],0),13)</f>
        <v/>
      </c>
      <c r="AD201" s="272">
        <f>IF(J201="Yes",AA201*Tab_Data_Flows[[#This Row],[WC_'[%']]],"N.A.")</f>
        <v/>
      </c>
      <c r="AE201" s="272">
        <f>Tab_Data_Flows[[#This Row],[UoM_Flow_Py]]</f>
        <v/>
      </c>
      <c r="AF201" s="190">
        <f>INDEX(Tab_Def_Flows[[Flow_ID]:[CC_DM_source]],MATCH(Tab_Data_Flows[[#This Row],[Name(EN)]],Tab_Def_Flows[Name(EN)],0),15)</f>
        <v/>
      </c>
      <c r="AG201" s="272">
        <f>IF(K201="Yes",AF201*Tab_Data_Flows[[#This Row],[Flow_Py]]-AJ317,"N.A.")</f>
        <v/>
      </c>
      <c r="AH201" s="272">
        <f>Tab_Data_Flows[[#This Row],[UoM_Flow_Py]]</f>
        <v/>
      </c>
      <c r="AI201" s="190">
        <f>INDEX(Tab_Def_Flows[[Flow_ID]:[CC_DM_source]],MATCH(Tab_Data_Flows[[#This Row],[Name(EN)]],Tab_Def_Flows[Name(EN)],0),17)</f>
        <v/>
      </c>
      <c r="AJ201" s="272">
        <f>IF(L201="Yes",AI201*Tab_Data_Flows[[#This Row],[Flow_Py]]*Tab_Data_Flows[[#This Row],[DM_'[%']]],"N.A.")</f>
        <v/>
      </c>
      <c r="AK201" s="272">
        <f>Tab_Data_Flows[[#This Row],[UoM_Flow_Py]]</f>
        <v/>
      </c>
    </row>
    <row r="202">
      <c r="A202" s="296">
        <f>ROW()-1</f>
        <v/>
      </c>
      <c r="B202" s="272">
        <f>_xlfn.XLOOKUP(C202,Tab_Def_Flows[Name(EN)],Tab_Def_Flows[Flow_ID],,0,)</f>
        <v/>
      </c>
      <c r="C202" s="273" t="inlineStr">
        <is>
          <t>N.A.</t>
        </is>
      </c>
      <c r="D202" s="272" t="n"/>
      <c r="E202" s="272">
        <f>_xlfn.XLOOKUP(C202,Tab_Def_Flows[Name(EN)],Tab_Def_Flows[Output_Process],,0,)</f>
        <v/>
      </c>
      <c r="F202" s="272">
        <f>_xlfn.XLOOKUP(C202,Tab_Def_Flows[Name(EN)],Tab_Def_Flows[Process_ID_O],,0,)</f>
        <v/>
      </c>
      <c r="G202" s="272">
        <f>_xlfn.XLOOKUP(C202,Tab_Def_Flows[Name(EN)],Tab_Def_Flows[Input_Process],,0,)</f>
        <v/>
      </c>
      <c r="H202" s="17">
        <f>_xlfn.XLOOKUP(C202,Tab_Def_Flows[Name(EN)],Tab_Def_Flows[Process_ID_I],,0,)</f>
        <v/>
      </c>
      <c r="I202" s="272">
        <f>_xlfn.XLOOKUP(C202,Tab_Def_Flows[Name(EN)],#REF!,,0,)</f>
        <v/>
      </c>
      <c r="J202" s="272">
        <f>_xlfn.XLOOKUP(C202,Tab_Def_Flows[Name(EN)],Tab_Def_Flows[WC?],,0,)</f>
        <v/>
      </c>
      <c r="K202" s="272">
        <f>_xlfn.XLOOKUP(C202,Tab_Def_Flows[Name(EN)],Tab_Def_Flows[DM?],,0,)</f>
        <v/>
      </c>
      <c r="L202" s="272">
        <f>_xlfn.XLOOKUP(C202,Tab_Def_Flows[Name(EN)],Tab_Def_Flows[CC?],,0,)</f>
        <v/>
      </c>
      <c r="M202" s="273" t="n"/>
      <c r="N202" s="273" t="n"/>
      <c r="O202" s="48" t="n"/>
      <c r="P202" s="273" t="n"/>
      <c r="Q202" s="273" t="n"/>
      <c r="R202" s="273">
        <f>INDEX(#REF!,MATCH(Tab_Data_Flows[[#This Row],[Name(EN)]],#REF!,0),12)</f>
        <v/>
      </c>
      <c r="S202" s="273">
        <f>MATCH(Tab_Data_Flows[[#This Row],[Name(EN)]],#REF!,0)</f>
        <v/>
      </c>
      <c r="T202" s="273" t="n"/>
      <c r="U202" s="273" t="n"/>
      <c r="V202" s="273" t="n"/>
      <c r="W202" s="273" t="n"/>
      <c r="X202" s="273" t="inlineStr">
        <is>
          <t>No</t>
        </is>
      </c>
      <c r="Y202" s="273" t="n"/>
      <c r="Z202" s="273" t="n"/>
      <c r="AA202" s="35">
        <f>IF(X202="no",O202,O202*Y202)</f>
        <v/>
      </c>
      <c r="AB202" s="273" t="inlineStr">
        <is>
          <t>Mg</t>
        </is>
      </c>
      <c r="AC202" s="190">
        <f>INDEX(Tab_Def_Flows[[Flow_ID]:[CC_DM_source]],MATCH(Tab_Data_Flows[[#This Row],[Name(EN)]],Tab_Def_Flows[Name(EN)],0),13)</f>
        <v/>
      </c>
      <c r="AD202" s="272">
        <f>IF(J202="Yes",AA202*Tab_Data_Flows[[#This Row],[WC_'[%']]],"N.A.")</f>
        <v/>
      </c>
      <c r="AE202" s="272">
        <f>Tab_Data_Flows[[#This Row],[UoM_Flow_Py]]</f>
        <v/>
      </c>
      <c r="AF202" s="190">
        <f>INDEX(Tab_Def_Flows[[Flow_ID]:[CC_DM_source]],MATCH(Tab_Data_Flows[[#This Row],[Name(EN)]],Tab_Def_Flows[Name(EN)],0),15)</f>
        <v/>
      </c>
      <c r="AG202" s="272">
        <f>IF(K202="Yes",AF202*Tab_Data_Flows[[#This Row],[Flow_Py]]-AJ318,"N.A.")</f>
        <v/>
      </c>
      <c r="AH202" s="272">
        <f>Tab_Data_Flows[[#This Row],[UoM_Flow_Py]]</f>
        <v/>
      </c>
      <c r="AI202" s="190">
        <f>INDEX(Tab_Def_Flows[[Flow_ID]:[CC_DM_source]],MATCH(Tab_Data_Flows[[#This Row],[Name(EN)]],Tab_Def_Flows[Name(EN)],0),17)</f>
        <v/>
      </c>
      <c r="AJ202" s="272">
        <f>IF(L202="Yes",AI202*Tab_Data_Flows[[#This Row],[Flow_Py]]*Tab_Data_Flows[[#This Row],[DM_'[%']]],"N.A.")</f>
        <v/>
      </c>
      <c r="AK202" s="272">
        <f>Tab_Data_Flows[[#This Row],[UoM_Flow_Py]]</f>
        <v/>
      </c>
    </row>
    <row r="203">
      <c r="A203" s="296">
        <f>ROW()-1</f>
        <v/>
      </c>
      <c r="B203" s="272">
        <f>_xlfn.XLOOKUP(C203,Tab_Def_Flows[Name(EN)],Tab_Def_Flows[Flow_ID],,0,)</f>
        <v/>
      </c>
      <c r="C203" s="273" t="inlineStr">
        <is>
          <t>N.A.</t>
        </is>
      </c>
      <c r="D203" s="272" t="n"/>
      <c r="E203" s="272">
        <f>_xlfn.XLOOKUP(C203,Tab_Def_Flows[Name(EN)],Tab_Def_Flows[Output_Process],,0,)</f>
        <v/>
      </c>
      <c r="F203" s="272">
        <f>_xlfn.XLOOKUP(C203,Tab_Def_Flows[Name(EN)],Tab_Def_Flows[Process_ID_O],,0,)</f>
        <v/>
      </c>
      <c r="G203" s="272">
        <f>_xlfn.XLOOKUP(C203,Tab_Def_Flows[Name(EN)],Tab_Def_Flows[Input_Process],,0,)</f>
        <v/>
      </c>
      <c r="H203" s="17">
        <f>_xlfn.XLOOKUP(C203,Tab_Def_Flows[Name(EN)],Tab_Def_Flows[Process_ID_I],,0,)</f>
        <v/>
      </c>
      <c r="I203" s="272">
        <f>_xlfn.XLOOKUP(C203,Tab_Def_Flows[Name(EN)],#REF!,,0,)</f>
        <v/>
      </c>
      <c r="J203" s="272">
        <f>_xlfn.XLOOKUP(C203,Tab_Def_Flows[Name(EN)],Tab_Def_Flows[WC?],,0,)</f>
        <v/>
      </c>
      <c r="K203" s="272">
        <f>_xlfn.XLOOKUP(C203,Tab_Def_Flows[Name(EN)],Tab_Def_Flows[DM?],,0,)</f>
        <v/>
      </c>
      <c r="L203" s="272">
        <f>_xlfn.XLOOKUP(C203,Tab_Def_Flows[Name(EN)],Tab_Def_Flows[CC?],,0,)</f>
        <v/>
      </c>
      <c r="M203" s="273" t="n"/>
      <c r="N203" s="273" t="n"/>
      <c r="O203" s="48" t="n"/>
      <c r="P203" s="273" t="n"/>
      <c r="Q203" s="273" t="n"/>
      <c r="R203" s="273">
        <f>INDEX(#REF!,MATCH(Tab_Data_Flows[[#This Row],[Name(EN)]],#REF!,0),12)</f>
        <v/>
      </c>
      <c r="S203" s="273">
        <f>MATCH(Tab_Data_Flows[[#This Row],[Name(EN)]],#REF!,0)</f>
        <v/>
      </c>
      <c r="T203" s="273" t="n"/>
      <c r="U203" s="273" t="n"/>
      <c r="V203" s="273" t="n"/>
      <c r="W203" s="273" t="n"/>
      <c r="X203" s="273" t="inlineStr">
        <is>
          <t>No</t>
        </is>
      </c>
      <c r="Y203" s="273" t="n"/>
      <c r="Z203" s="273" t="n"/>
      <c r="AA203" s="35">
        <f>IF(X203="no",O203,O203*Y203)</f>
        <v/>
      </c>
      <c r="AB203" s="273" t="inlineStr">
        <is>
          <t>Mg</t>
        </is>
      </c>
      <c r="AC203" s="190">
        <f>INDEX(Tab_Def_Flows[[Flow_ID]:[CC_DM_source]],MATCH(Tab_Data_Flows[[#This Row],[Name(EN)]],Tab_Def_Flows[Name(EN)],0),13)</f>
        <v/>
      </c>
      <c r="AD203" s="272">
        <f>IF(J203="Yes",AA203*Tab_Data_Flows[[#This Row],[WC_'[%']]],"N.A.")</f>
        <v/>
      </c>
      <c r="AE203" s="272">
        <f>Tab_Data_Flows[[#This Row],[UoM_Flow_Py]]</f>
        <v/>
      </c>
      <c r="AF203" s="190">
        <f>INDEX(Tab_Def_Flows[[Flow_ID]:[CC_DM_source]],MATCH(Tab_Data_Flows[[#This Row],[Name(EN)]],Tab_Def_Flows[Name(EN)],0),15)</f>
        <v/>
      </c>
      <c r="AG203" s="272">
        <f>IF(K203="Yes",AF203*Tab_Data_Flows[[#This Row],[Flow_Py]]-AJ319,"N.A.")</f>
        <v/>
      </c>
      <c r="AH203" s="272">
        <f>Tab_Data_Flows[[#This Row],[UoM_Flow_Py]]</f>
        <v/>
      </c>
      <c r="AI203" s="190">
        <f>INDEX(Tab_Def_Flows[[Flow_ID]:[CC_DM_source]],MATCH(Tab_Data_Flows[[#This Row],[Name(EN)]],Tab_Def_Flows[Name(EN)],0),17)</f>
        <v/>
      </c>
      <c r="AJ203" s="272">
        <f>IF(L203="Yes",AI203*Tab_Data_Flows[[#This Row],[Flow_Py]]*Tab_Data_Flows[[#This Row],[DM_'[%']]],"N.A.")</f>
        <v/>
      </c>
      <c r="AK203" s="272">
        <f>Tab_Data_Flows[[#This Row],[UoM_Flow_Py]]</f>
        <v/>
      </c>
    </row>
    <row r="204">
      <c r="A204" s="296">
        <f>ROW()-1</f>
        <v/>
      </c>
      <c r="B204" s="272">
        <f>_xlfn.XLOOKUP(C204,Tab_Def_Flows[Name(EN)],Tab_Def_Flows[Flow_ID],,0,)</f>
        <v/>
      </c>
      <c r="C204" s="273" t="inlineStr">
        <is>
          <t>N.A.</t>
        </is>
      </c>
      <c r="D204" s="272" t="n"/>
      <c r="E204" s="272">
        <f>_xlfn.XLOOKUP(C204,Tab_Def_Flows[Name(EN)],Tab_Def_Flows[Output_Process],,0,)</f>
        <v/>
      </c>
      <c r="F204" s="272">
        <f>_xlfn.XLOOKUP(C204,Tab_Def_Flows[Name(EN)],Tab_Def_Flows[Process_ID_O],,0,)</f>
        <v/>
      </c>
      <c r="G204" s="272">
        <f>_xlfn.XLOOKUP(C204,Tab_Def_Flows[Name(EN)],Tab_Def_Flows[Input_Process],,0,)</f>
        <v/>
      </c>
      <c r="H204" s="17">
        <f>_xlfn.XLOOKUP(C204,Tab_Def_Flows[Name(EN)],Tab_Def_Flows[Process_ID_I],,0,)</f>
        <v/>
      </c>
      <c r="I204" s="272">
        <f>_xlfn.XLOOKUP(C204,Tab_Def_Flows[Name(EN)],#REF!,,0,)</f>
        <v/>
      </c>
      <c r="J204" s="272">
        <f>_xlfn.XLOOKUP(C204,Tab_Def_Flows[Name(EN)],Tab_Def_Flows[WC?],,0,)</f>
        <v/>
      </c>
      <c r="K204" s="272">
        <f>_xlfn.XLOOKUP(C204,Tab_Def_Flows[Name(EN)],Tab_Def_Flows[DM?],,0,)</f>
        <v/>
      </c>
      <c r="L204" s="272">
        <f>_xlfn.XLOOKUP(C204,Tab_Def_Flows[Name(EN)],Tab_Def_Flows[CC?],,0,)</f>
        <v/>
      </c>
      <c r="M204" s="273" t="n"/>
      <c r="N204" s="273" t="n"/>
      <c r="O204" s="48" t="n"/>
      <c r="P204" s="273" t="n"/>
      <c r="Q204" s="273" t="n"/>
      <c r="R204" s="273">
        <f>INDEX(#REF!,MATCH(Tab_Data_Flows[[#This Row],[Name(EN)]],#REF!,0),12)</f>
        <v/>
      </c>
      <c r="S204" s="273">
        <f>MATCH(Tab_Data_Flows[[#This Row],[Name(EN)]],#REF!,0)</f>
        <v/>
      </c>
      <c r="T204" s="273" t="n"/>
      <c r="U204" s="273" t="n"/>
      <c r="V204" s="273" t="n"/>
      <c r="W204" s="273" t="n"/>
      <c r="X204" s="273" t="inlineStr">
        <is>
          <t>No</t>
        </is>
      </c>
      <c r="Y204" s="273" t="n"/>
      <c r="Z204" s="273" t="n"/>
      <c r="AA204" s="35">
        <f>IF(X204="no",O204,O204*Y204)</f>
        <v/>
      </c>
      <c r="AB204" s="273" t="inlineStr">
        <is>
          <t>Mg</t>
        </is>
      </c>
      <c r="AC204" s="190">
        <f>INDEX(Tab_Def_Flows[[Flow_ID]:[CC_DM_source]],MATCH(Tab_Data_Flows[[#This Row],[Name(EN)]],Tab_Def_Flows[Name(EN)],0),13)</f>
        <v/>
      </c>
      <c r="AD204" s="272">
        <f>IF(J204="Yes",AA204*Tab_Data_Flows[[#This Row],[WC_'[%']]],"N.A.")</f>
        <v/>
      </c>
      <c r="AE204" s="272">
        <f>Tab_Data_Flows[[#This Row],[UoM_Flow_Py]]</f>
        <v/>
      </c>
      <c r="AF204" s="190">
        <f>INDEX(Tab_Def_Flows[[Flow_ID]:[CC_DM_source]],MATCH(Tab_Data_Flows[[#This Row],[Name(EN)]],Tab_Def_Flows[Name(EN)],0),15)</f>
        <v/>
      </c>
      <c r="AG204" s="272">
        <f>IF(K204="Yes",AF204*Tab_Data_Flows[[#This Row],[Flow_Py]]-AJ320,"N.A.")</f>
        <v/>
      </c>
      <c r="AH204" s="272">
        <f>Tab_Data_Flows[[#This Row],[UoM_Flow_Py]]</f>
        <v/>
      </c>
      <c r="AI204" s="190">
        <f>INDEX(Tab_Def_Flows[[Flow_ID]:[CC_DM_source]],MATCH(Tab_Data_Flows[[#This Row],[Name(EN)]],Tab_Def_Flows[Name(EN)],0),17)</f>
        <v/>
      </c>
      <c r="AJ204" s="272">
        <f>IF(L204="Yes",AI204*Tab_Data_Flows[[#This Row],[Flow_Py]]*Tab_Data_Flows[[#This Row],[DM_'[%']]],"N.A.")</f>
        <v/>
      </c>
      <c r="AK204" s="272">
        <f>Tab_Data_Flows[[#This Row],[UoM_Flow_Py]]</f>
        <v/>
      </c>
    </row>
    <row r="205">
      <c r="A205" s="296">
        <f>ROW()-1</f>
        <v/>
      </c>
      <c r="B205" s="272">
        <f>_xlfn.XLOOKUP(C205,Tab_Def_Flows[Name(EN)],Tab_Def_Flows[Flow_ID],,0,)</f>
        <v/>
      </c>
      <c r="C205" s="273" t="inlineStr">
        <is>
          <t>N.A.</t>
        </is>
      </c>
      <c r="D205" s="272">
        <f>_xlfn.XLOOKUP(C205,Tab_Def_Flows[Name(EN)],Tab_Def_Flows[Type_Biomass],,0,)</f>
        <v/>
      </c>
      <c r="E205" s="272">
        <f>_xlfn.XLOOKUP(C205,Tab_Def_Flows[Name(EN)],Tab_Def_Flows[Output_Process],,0,)</f>
        <v/>
      </c>
      <c r="F205" s="272">
        <f>_xlfn.XLOOKUP(C205,Tab_Def_Flows[Name(EN)],Tab_Def_Flows[Process_ID_O],,0,)</f>
        <v/>
      </c>
      <c r="G205" s="272">
        <f>_xlfn.XLOOKUP(C205,Tab_Def_Flows[Name(EN)],Tab_Def_Flows[Input_Process],,0,)</f>
        <v/>
      </c>
      <c r="H205" s="17">
        <f>_xlfn.XLOOKUP(C205,Tab_Def_Flows[Name(EN)],Tab_Def_Flows[Process_ID_I],,0,)</f>
        <v/>
      </c>
      <c r="I205" s="17">
        <f>_xlfn.XLOOKUP(C205,Tab_Def_Flows[Name(EN)],#REF!,,0,)</f>
        <v/>
      </c>
      <c r="J205" s="17">
        <f>_xlfn.XLOOKUP(C205,Tab_Def_Flows[Name(EN)],Tab_Def_Flows[WC?],,0,)</f>
        <v/>
      </c>
      <c r="K205" s="17">
        <f>_xlfn.XLOOKUP(C205,Tab_Def_Flows[Name(EN)],Tab_Def_Flows[DM?],,0,)</f>
        <v/>
      </c>
      <c r="L205" s="17">
        <f>_xlfn.XLOOKUP(C205,Tab_Def_Flows[Name(EN)],Tab_Def_Flows[CC?],,0,)</f>
        <v/>
      </c>
      <c r="M205" s="273" t="n"/>
      <c r="N205" s="273" t="inlineStr">
        <is>
          <t>BB</t>
        </is>
      </c>
      <c r="O205" s="48" t="n"/>
      <c r="P205" s="273" t="n"/>
      <c r="Q205" s="273" t="n"/>
      <c r="R205" s="273" t="n"/>
      <c r="S205" s="273" t="n"/>
      <c r="T205" s="273" t="n"/>
      <c r="U205" s="273" t="n"/>
      <c r="V205" s="273" t="n"/>
      <c r="W205" s="273" t="n"/>
      <c r="X205" s="273" t="inlineStr">
        <is>
          <t>No</t>
        </is>
      </c>
      <c r="Y205" s="41" t="n"/>
      <c r="Z205" s="273" t="n"/>
      <c r="AA205" s="35">
        <f>IF(X205="no",O205,O205*Y205)</f>
        <v/>
      </c>
      <c r="AB205" s="273" t="inlineStr">
        <is>
          <t>Mg</t>
        </is>
      </c>
      <c r="AC205" s="190">
        <f>INDEX(Tab_Def_Flows[[Flow_ID]:[CC_DM_source]],MATCH(Tab_Data_Flows[[#This Row],[Name(EN)]],Tab_Def_Flows[Name(EN)],0),13)</f>
        <v/>
      </c>
      <c r="AD205" s="272">
        <f>IF(J205="Yes",AA205*Tab_Data_Flows[[#This Row],[WC_'[%']]],"N.A.")</f>
        <v/>
      </c>
      <c r="AE205" s="272">
        <f>Tab_Data_Flows[[#This Row],[UoM_Flow_Py]]</f>
        <v/>
      </c>
      <c r="AF205" s="190">
        <f>INDEX(Tab_Def_Flows[[Flow_ID]:[CC_DM_source]],MATCH(Tab_Data_Flows[[#This Row],[Name(EN)]],Tab_Def_Flows[Name(EN)],0),15)</f>
        <v/>
      </c>
      <c r="AG205" s="272">
        <f>IF(K205="Yes",AF205*Tab_Data_Flows[[#This Row],[Flow_Py]],"N.A.")</f>
        <v/>
      </c>
      <c r="AH205" s="272">
        <f>Tab_Data_Flows[[#This Row],[UoM_Flow_Py]]</f>
        <v/>
      </c>
      <c r="AI205" s="190">
        <f>INDEX(Tab_Def_Flows[[Flow_ID]:[CC_DM_source]],MATCH(Tab_Data_Flows[[#This Row],[Name(EN)]],Tab_Def_Flows[Name(EN)],0),17)</f>
        <v/>
      </c>
      <c r="AJ205" s="272">
        <f>IF(L205="Yes",AI205*Tab_Data_Flows[[#This Row],[Flow_Py]]*Tab_Data_Flows[[#This Row],[DM_'[%']]],"N.A.")</f>
        <v/>
      </c>
      <c r="AK205" s="272">
        <f>Tab_Data_Flows[[#This Row],[UoM_Flow_Py]]</f>
        <v/>
      </c>
    </row>
    <row r="206">
      <c r="A206" s="296">
        <f>ROW()-1</f>
        <v/>
      </c>
      <c r="B206" s="272">
        <f>_xlfn.XLOOKUP(C206,Tab_Def_Flows[Name(EN)],Tab_Def_Flows[Flow_ID],,0,)</f>
        <v/>
      </c>
      <c r="C206" s="273" t="inlineStr">
        <is>
          <t>N.A.</t>
        </is>
      </c>
      <c r="D206" s="272">
        <f>_xlfn.XLOOKUP(C206,Tab_Def_Flows[Name(EN)],Tab_Def_Flows[Type_Biomass],,0,)</f>
        <v/>
      </c>
      <c r="E206" s="272">
        <f>_xlfn.XLOOKUP(C206,Tab_Def_Flows[Name(EN)],Tab_Def_Flows[Output_Process],,0,)</f>
        <v/>
      </c>
      <c r="F206" s="272">
        <f>_xlfn.XLOOKUP(C206,Tab_Def_Flows[Name(EN)],Tab_Def_Flows[Process_ID_O],,0,)</f>
        <v/>
      </c>
      <c r="G206" s="272">
        <f>_xlfn.XLOOKUP(C206,Tab_Def_Flows[Name(EN)],Tab_Def_Flows[Input_Process],,0,)</f>
        <v/>
      </c>
      <c r="H206" s="17">
        <f>_xlfn.XLOOKUP(C206,Tab_Def_Flows[Name(EN)],Tab_Def_Flows[Process_ID_I],,0,)</f>
        <v/>
      </c>
      <c r="I206" s="17">
        <f>_xlfn.XLOOKUP(C206,Tab_Def_Flows[Name(EN)],#REF!,,0,)</f>
        <v/>
      </c>
      <c r="J206" s="17">
        <f>_xlfn.XLOOKUP(C206,Tab_Def_Flows[Name(EN)],Tab_Def_Flows[WC?],,0,)</f>
        <v/>
      </c>
      <c r="K206" s="17">
        <f>_xlfn.XLOOKUP(C206,Tab_Def_Flows[Name(EN)],Tab_Def_Flows[DM?],,0,)</f>
        <v/>
      </c>
      <c r="L206" s="17">
        <f>_xlfn.XLOOKUP(C206,Tab_Def_Flows[Name(EN)],Tab_Def_Flows[CC?],,0,)</f>
        <v/>
      </c>
      <c r="M206" s="273" t="n"/>
      <c r="N206" s="273" t="inlineStr">
        <is>
          <t>BB</t>
        </is>
      </c>
      <c r="O206" s="48" t="n"/>
      <c r="P206" s="273" t="n"/>
      <c r="Q206" s="273" t="n"/>
      <c r="R206" s="273" t="n"/>
      <c r="S206" s="273" t="n"/>
      <c r="T206" s="273" t="n"/>
      <c r="U206" s="273" t="n"/>
      <c r="V206" s="273" t="n"/>
      <c r="W206" s="273" t="n"/>
      <c r="X206" s="273" t="inlineStr">
        <is>
          <t>No</t>
        </is>
      </c>
      <c r="Y206" s="41" t="n"/>
      <c r="Z206" s="273" t="n"/>
      <c r="AA206" s="35">
        <f>IF(X206="no",O206,O206*Y206)</f>
        <v/>
      </c>
      <c r="AB206" s="273" t="inlineStr">
        <is>
          <t>Mg</t>
        </is>
      </c>
      <c r="AC206" s="190">
        <f>INDEX(Tab_Def_Flows[[Flow_ID]:[CC_DM_source]],MATCH(Tab_Data_Flows[[#This Row],[Name(EN)]],Tab_Def_Flows[Name(EN)],0),13)</f>
        <v/>
      </c>
      <c r="AD206" s="272">
        <f>IF(J206="Yes",AA206*Tab_Data_Flows[[#This Row],[WC_'[%']]],"N.A.")</f>
        <v/>
      </c>
      <c r="AE206" s="272">
        <f>Tab_Data_Flows[[#This Row],[UoM_Flow_Py]]</f>
        <v/>
      </c>
      <c r="AF206" s="190">
        <f>INDEX(Tab_Def_Flows[[Flow_ID]:[CC_DM_source]],MATCH(Tab_Data_Flows[[#This Row],[Name(EN)]],Tab_Def_Flows[Name(EN)],0),15)</f>
        <v/>
      </c>
      <c r="AG206" s="272">
        <f>IF(K206="Yes",AF206*Tab_Data_Flows[[#This Row],[Flow_Py]],"N.A.")</f>
        <v/>
      </c>
      <c r="AH206" s="272">
        <f>Tab_Data_Flows[[#This Row],[UoM_Flow_Py]]</f>
        <v/>
      </c>
      <c r="AI206" s="190">
        <f>INDEX(Tab_Def_Flows[[Flow_ID]:[CC_DM_source]],MATCH(Tab_Data_Flows[[#This Row],[Name(EN)]],Tab_Def_Flows[Name(EN)],0),17)</f>
        <v/>
      </c>
      <c r="AJ206" s="272">
        <f>IF(L206="Yes",AI206*Tab_Data_Flows[[#This Row],[Flow_Py]]*Tab_Data_Flows[[#This Row],[DM_'[%']]],"N.A.")</f>
        <v/>
      </c>
      <c r="AK206" s="272">
        <f>Tab_Data_Flows[[#This Row],[UoM_Flow_Py]]</f>
        <v/>
      </c>
    </row>
    <row r="207">
      <c r="A207" s="296">
        <f>ROW()-1</f>
        <v/>
      </c>
      <c r="B207" s="272">
        <f>_xlfn.XLOOKUP(C207,Tab_Def_Flows[Name(EN)],Tab_Def_Flows[Flow_ID],,0,)</f>
        <v/>
      </c>
      <c r="C207" s="273" t="inlineStr">
        <is>
          <t>N.A.</t>
        </is>
      </c>
      <c r="D207" s="272">
        <f>_xlfn.XLOOKUP(C207,Tab_Def_Flows[Name(EN)],Tab_Def_Flows[Type_Biomass],,0,)</f>
        <v/>
      </c>
      <c r="E207" s="272">
        <f>_xlfn.XLOOKUP(C207,Tab_Def_Flows[Name(EN)],Tab_Def_Flows[Output_Process],,0,)</f>
        <v/>
      </c>
      <c r="F207" s="272">
        <f>_xlfn.XLOOKUP(C207,Tab_Def_Flows[Name(EN)],Tab_Def_Flows[Process_ID_O],,0,)</f>
        <v/>
      </c>
      <c r="G207" s="272">
        <f>_xlfn.XLOOKUP(C207,Tab_Def_Flows[Name(EN)],Tab_Def_Flows[Input_Process],,0,)</f>
        <v/>
      </c>
      <c r="H207" s="17">
        <f>_xlfn.XLOOKUP(C207,Tab_Def_Flows[Name(EN)],Tab_Def_Flows[Process_ID_I],,0,)</f>
        <v/>
      </c>
      <c r="I207" s="17">
        <f>_xlfn.XLOOKUP(C207,Tab_Def_Flows[Name(EN)],#REF!,,0,)</f>
        <v/>
      </c>
      <c r="J207" s="17">
        <f>_xlfn.XLOOKUP(C207,Tab_Def_Flows[Name(EN)],Tab_Def_Flows[WC?],,0,)</f>
        <v/>
      </c>
      <c r="K207" s="17">
        <f>_xlfn.XLOOKUP(C207,Tab_Def_Flows[Name(EN)],Tab_Def_Flows[DM?],,0,)</f>
        <v/>
      </c>
      <c r="L207" s="17">
        <f>_xlfn.XLOOKUP(C207,Tab_Def_Flows[Name(EN)],Tab_Def_Flows[CC?],,0,)</f>
        <v/>
      </c>
      <c r="M207" s="273" t="n"/>
      <c r="N207" s="273" t="inlineStr">
        <is>
          <t>BB</t>
        </is>
      </c>
      <c r="O207" s="48" t="n"/>
      <c r="P207" s="273" t="n"/>
      <c r="Q207" s="273" t="n"/>
      <c r="R207" s="273" t="n"/>
      <c r="S207" s="273" t="n"/>
      <c r="T207" s="273" t="n"/>
      <c r="U207" s="273" t="n"/>
      <c r="V207" s="273" t="n"/>
      <c r="W207" s="273" t="n"/>
      <c r="X207" s="273" t="inlineStr">
        <is>
          <t>No</t>
        </is>
      </c>
      <c r="Y207" s="41" t="n"/>
      <c r="Z207" s="273" t="n"/>
      <c r="AA207" s="35">
        <f>IF(X207="no",O207,O207*Y207)</f>
        <v/>
      </c>
      <c r="AB207" s="273" t="inlineStr">
        <is>
          <t>Mg</t>
        </is>
      </c>
      <c r="AC207" s="190">
        <f>INDEX(Tab_Def_Flows[[Flow_ID]:[CC_DM_source]],MATCH(Tab_Data_Flows[[#This Row],[Name(EN)]],Tab_Def_Flows[Name(EN)],0),13)</f>
        <v/>
      </c>
      <c r="AD207" s="272">
        <f>IF(J207="Yes",AA207*Tab_Data_Flows[[#This Row],[WC_'[%']]],"N.A.")</f>
        <v/>
      </c>
      <c r="AE207" s="272">
        <f>Tab_Data_Flows[[#This Row],[UoM_Flow_Py]]</f>
        <v/>
      </c>
      <c r="AF207" s="190">
        <f>INDEX(Tab_Def_Flows[[Flow_ID]:[CC_DM_source]],MATCH(Tab_Data_Flows[[#This Row],[Name(EN)]],Tab_Def_Flows[Name(EN)],0),15)</f>
        <v/>
      </c>
      <c r="AG207" s="272">
        <f>IF(K207="Yes",AF207*Tab_Data_Flows[[#This Row],[Flow_Py]],"N.A.")</f>
        <v/>
      </c>
      <c r="AH207" s="272">
        <f>Tab_Data_Flows[[#This Row],[UoM_Flow_Py]]</f>
        <v/>
      </c>
      <c r="AI207" s="190">
        <f>INDEX(Tab_Def_Flows[[Flow_ID]:[CC_DM_source]],MATCH(Tab_Data_Flows[[#This Row],[Name(EN)]],Tab_Def_Flows[Name(EN)],0),17)</f>
        <v/>
      </c>
      <c r="AJ207" s="272">
        <f>IF(L207="Yes",AI207*Tab_Data_Flows[[#This Row],[Flow_Py]]*Tab_Data_Flows[[#This Row],[DM_'[%']]],"N.A.")</f>
        <v/>
      </c>
      <c r="AK207" s="272">
        <f>Tab_Data_Flows[[#This Row],[UoM_Flow_Py]]</f>
        <v/>
      </c>
    </row>
    <row r="208">
      <c r="A208" s="296">
        <f>ROW()-1</f>
        <v/>
      </c>
      <c r="B208" s="272">
        <f>_xlfn.XLOOKUP(C208,Tab_Def_Flows[Name(EN)],Tab_Def_Flows[Flow_ID],,0,)</f>
        <v/>
      </c>
      <c r="C208" s="273" t="inlineStr">
        <is>
          <t>N.A.</t>
        </is>
      </c>
      <c r="D208" s="272">
        <f>_xlfn.XLOOKUP(C208,Tab_Def_Flows[Name(EN)],Tab_Def_Flows[Type_Biomass],,0,)</f>
        <v/>
      </c>
      <c r="E208" s="272">
        <f>_xlfn.XLOOKUP(C208,Tab_Def_Flows[Name(EN)],Tab_Def_Flows[Output_Process],,0,)</f>
        <v/>
      </c>
      <c r="F208" s="272">
        <f>_xlfn.XLOOKUP(C208,Tab_Def_Flows[Name(EN)],Tab_Def_Flows[Process_ID_O],,0,)</f>
        <v/>
      </c>
      <c r="G208" s="272">
        <f>_xlfn.XLOOKUP(C208,Tab_Def_Flows[Name(EN)],Tab_Def_Flows[Input_Process],,0,)</f>
        <v/>
      </c>
      <c r="H208" s="17">
        <f>_xlfn.XLOOKUP(C208,Tab_Def_Flows[Name(EN)],Tab_Def_Flows[Process_ID_I],,0,)</f>
        <v/>
      </c>
      <c r="I208" s="17">
        <f>_xlfn.XLOOKUP(C208,Tab_Def_Flows[Name(EN)],#REF!,,0,)</f>
        <v/>
      </c>
      <c r="J208" s="17">
        <f>_xlfn.XLOOKUP(C208,Tab_Def_Flows[Name(EN)],Tab_Def_Flows[WC?],,0,)</f>
        <v/>
      </c>
      <c r="K208" s="17">
        <f>_xlfn.XLOOKUP(C208,Tab_Def_Flows[Name(EN)],Tab_Def_Flows[DM?],,0,)</f>
        <v/>
      </c>
      <c r="L208" s="17">
        <f>_xlfn.XLOOKUP(C208,Tab_Def_Flows[Name(EN)],Tab_Def_Flows[CC?],,0,)</f>
        <v/>
      </c>
      <c r="M208" s="273" t="n"/>
      <c r="N208" s="273" t="inlineStr">
        <is>
          <t>BB</t>
        </is>
      </c>
      <c r="O208" s="48" t="n"/>
      <c r="P208" s="273" t="n"/>
      <c r="Q208" s="273" t="n"/>
      <c r="R208" s="273" t="n"/>
      <c r="S208" s="273" t="n"/>
      <c r="T208" s="273" t="n"/>
      <c r="U208" s="273" t="n"/>
      <c r="V208" s="273" t="n"/>
      <c r="W208" s="273" t="n"/>
      <c r="X208" s="273" t="inlineStr">
        <is>
          <t>No</t>
        </is>
      </c>
      <c r="Y208" s="41" t="n"/>
      <c r="Z208" s="273" t="n"/>
      <c r="AA208" s="35">
        <f>IF(X208="no",O208,O208*Y208)</f>
        <v/>
      </c>
      <c r="AB208" s="273" t="inlineStr">
        <is>
          <t>Mg</t>
        </is>
      </c>
      <c r="AC208" s="190">
        <f>INDEX(Tab_Def_Flows[[Flow_ID]:[CC_DM_source]],MATCH(Tab_Data_Flows[[#This Row],[Name(EN)]],Tab_Def_Flows[Name(EN)],0),13)</f>
        <v/>
      </c>
      <c r="AD208" s="272">
        <f>IF(J208="Yes",AA208*Tab_Data_Flows[[#This Row],[WC_'[%']]],"N.A.")</f>
        <v/>
      </c>
      <c r="AE208" s="272">
        <f>Tab_Data_Flows[[#This Row],[UoM_Flow_Py]]</f>
        <v/>
      </c>
      <c r="AF208" s="190">
        <f>INDEX(Tab_Def_Flows[[Flow_ID]:[CC_DM_source]],MATCH(Tab_Data_Flows[[#This Row],[Name(EN)]],Tab_Def_Flows[Name(EN)],0),15)</f>
        <v/>
      </c>
      <c r="AG208" s="272">
        <f>IF(K208="Yes",AF208*Tab_Data_Flows[[#This Row],[Flow_Py]],"N.A.")</f>
        <v/>
      </c>
      <c r="AH208" s="272">
        <f>Tab_Data_Flows[[#This Row],[UoM_Flow_Py]]</f>
        <v/>
      </c>
      <c r="AI208" s="190">
        <f>INDEX(Tab_Def_Flows[[Flow_ID]:[CC_DM_source]],MATCH(Tab_Data_Flows[[#This Row],[Name(EN)]],Tab_Def_Flows[Name(EN)],0),17)</f>
        <v/>
      </c>
      <c r="AJ208" s="272">
        <f>IF(L208="Yes",AI208*Tab_Data_Flows[[#This Row],[Flow_Py]]*Tab_Data_Flows[[#This Row],[DM_'[%']]],"N.A.")</f>
        <v/>
      </c>
      <c r="AK208" s="272">
        <f>Tab_Data_Flows[[#This Row],[UoM_Flow_Py]]</f>
        <v/>
      </c>
    </row>
    <row r="209">
      <c r="A209" s="296">
        <f>ROW()-1</f>
        <v/>
      </c>
      <c r="B209" s="272">
        <f>_xlfn.XLOOKUP(C209,Tab_Def_Flows[Name(EN)],Tab_Def_Flows[Flow_ID],,0,)</f>
        <v/>
      </c>
      <c r="C209" s="273" t="inlineStr">
        <is>
          <t>N.A.</t>
        </is>
      </c>
      <c r="D209" s="272">
        <f>_xlfn.XLOOKUP(C209,Tab_Def_Flows[Name(EN)],Tab_Def_Flows[Type_Biomass],,0,)</f>
        <v/>
      </c>
      <c r="E209" s="272">
        <f>_xlfn.XLOOKUP(C209,Tab_Def_Flows[Name(EN)],Tab_Def_Flows[Output_Process],,0,)</f>
        <v/>
      </c>
      <c r="F209" s="272">
        <f>_xlfn.XLOOKUP(C209,Tab_Def_Flows[Name(EN)],Tab_Def_Flows[Process_ID_O],,0,)</f>
        <v/>
      </c>
      <c r="G209" s="272">
        <f>_xlfn.XLOOKUP(C209,Tab_Def_Flows[Name(EN)],Tab_Def_Flows[Input_Process],,0,)</f>
        <v/>
      </c>
      <c r="H209" s="17">
        <f>_xlfn.XLOOKUP(C209,Tab_Def_Flows[Name(EN)],Tab_Def_Flows[Process_ID_I],,0,)</f>
        <v/>
      </c>
      <c r="I209" s="17">
        <f>_xlfn.XLOOKUP(C209,Tab_Def_Flows[Name(EN)],#REF!,,0,)</f>
        <v/>
      </c>
      <c r="J209" s="17">
        <f>_xlfn.XLOOKUP(C209,Tab_Def_Flows[Name(EN)],Tab_Def_Flows[WC?],,0,)</f>
        <v/>
      </c>
      <c r="K209" s="17">
        <f>_xlfn.XLOOKUP(C209,Tab_Def_Flows[Name(EN)],Tab_Def_Flows[DM?],,0,)</f>
        <v/>
      </c>
      <c r="L209" s="17">
        <f>_xlfn.XLOOKUP(C209,Tab_Def_Flows[Name(EN)],Tab_Def_Flows[CC?],,0,)</f>
        <v/>
      </c>
      <c r="M209" s="273" t="n"/>
      <c r="N209" s="273" t="inlineStr">
        <is>
          <t>BB</t>
        </is>
      </c>
      <c r="O209" s="48" t="n"/>
      <c r="P209" s="273" t="n"/>
      <c r="Q209" s="273" t="n"/>
      <c r="R209" s="273" t="n"/>
      <c r="S209" s="273" t="n"/>
      <c r="T209" s="273" t="n"/>
      <c r="U209" s="273" t="n"/>
      <c r="V209" s="273" t="n"/>
      <c r="W209" s="273" t="n"/>
      <c r="X209" s="273" t="inlineStr">
        <is>
          <t>No</t>
        </is>
      </c>
      <c r="Y209" s="41" t="n"/>
      <c r="Z209" s="273" t="n"/>
      <c r="AA209" s="35">
        <f>IF(X209="no",O209,O209*Y209)</f>
        <v/>
      </c>
      <c r="AB209" s="273" t="inlineStr">
        <is>
          <t>Mg</t>
        </is>
      </c>
      <c r="AC209" s="190">
        <f>INDEX(Tab_Def_Flows[[Flow_ID]:[CC_DM_source]],MATCH(Tab_Data_Flows[[#This Row],[Name(EN)]],Tab_Def_Flows[Name(EN)],0),13)</f>
        <v/>
      </c>
      <c r="AD209" s="272">
        <f>IF(J209="Yes",AA209*Tab_Data_Flows[[#This Row],[WC_'[%']]],"N.A.")</f>
        <v/>
      </c>
      <c r="AE209" s="272">
        <f>Tab_Data_Flows[[#This Row],[UoM_Flow_Py]]</f>
        <v/>
      </c>
      <c r="AF209" s="190">
        <f>INDEX(Tab_Def_Flows[[Flow_ID]:[CC_DM_source]],MATCH(Tab_Data_Flows[[#This Row],[Name(EN)]],Tab_Def_Flows[Name(EN)],0),15)</f>
        <v/>
      </c>
      <c r="AG209" s="272">
        <f>IF(K209="Yes",AF209*Tab_Data_Flows[[#This Row],[Flow_Py]],"N.A.")</f>
        <v/>
      </c>
      <c r="AH209" s="272">
        <f>Tab_Data_Flows[[#This Row],[UoM_Flow_Py]]</f>
        <v/>
      </c>
      <c r="AI209" s="190">
        <f>INDEX(Tab_Def_Flows[[Flow_ID]:[CC_DM_source]],MATCH(Tab_Data_Flows[[#This Row],[Name(EN)]],Tab_Def_Flows[Name(EN)],0),17)</f>
        <v/>
      </c>
      <c r="AJ209" s="272">
        <f>IF(L209="Yes",AI209*Tab_Data_Flows[[#This Row],[Flow_Py]]*Tab_Data_Flows[[#This Row],[DM_'[%']]],"N.A.")</f>
        <v/>
      </c>
      <c r="AK209" s="272">
        <f>Tab_Data_Flows[[#This Row],[UoM_Flow_Py]]</f>
        <v/>
      </c>
    </row>
    <row r="210">
      <c r="A210" s="296">
        <f>ROW()-1</f>
        <v/>
      </c>
      <c r="B210" s="272">
        <f>_xlfn.XLOOKUP(C210,Tab_Def_Flows[Name(EN)],Tab_Def_Flows[Flow_ID],,0,)</f>
        <v/>
      </c>
      <c r="C210" s="273" t="inlineStr">
        <is>
          <t>N.A.</t>
        </is>
      </c>
      <c r="D210" s="272">
        <f>_xlfn.XLOOKUP(C210,Tab_Def_Flows[Name(EN)],Tab_Def_Flows[Type_Biomass],,0,)</f>
        <v/>
      </c>
      <c r="E210" s="272">
        <f>_xlfn.XLOOKUP(C210,Tab_Def_Flows[Name(EN)],Tab_Def_Flows[Output_Process],,0,)</f>
        <v/>
      </c>
      <c r="F210" s="272">
        <f>_xlfn.XLOOKUP(C210,Tab_Def_Flows[Name(EN)],Tab_Def_Flows[Process_ID_O],,0,)</f>
        <v/>
      </c>
      <c r="G210" s="272">
        <f>_xlfn.XLOOKUP(C210,Tab_Def_Flows[Name(EN)],Tab_Def_Flows[Input_Process],,0,)</f>
        <v/>
      </c>
      <c r="H210" s="17">
        <f>_xlfn.XLOOKUP(C210,Tab_Def_Flows[Name(EN)],Tab_Def_Flows[Process_ID_I],,0,)</f>
        <v/>
      </c>
      <c r="I210" s="17">
        <f>_xlfn.XLOOKUP(C210,Tab_Def_Flows[Name(EN)],#REF!,,0,)</f>
        <v/>
      </c>
      <c r="J210" s="17">
        <f>_xlfn.XLOOKUP(C210,Tab_Def_Flows[Name(EN)],Tab_Def_Flows[WC?],,0,)</f>
        <v/>
      </c>
      <c r="K210" s="17">
        <f>_xlfn.XLOOKUP(C210,Tab_Def_Flows[Name(EN)],Tab_Def_Flows[DM?],,0,)</f>
        <v/>
      </c>
      <c r="L210" s="17">
        <f>_xlfn.XLOOKUP(C210,Tab_Def_Flows[Name(EN)],Tab_Def_Flows[CC?],,0,)</f>
        <v/>
      </c>
      <c r="M210" s="273" t="n"/>
      <c r="N210" s="273" t="inlineStr">
        <is>
          <t>BB</t>
        </is>
      </c>
      <c r="O210" s="48" t="n"/>
      <c r="P210" s="273" t="n"/>
      <c r="Q210" s="273" t="n"/>
      <c r="R210" s="273" t="n"/>
      <c r="S210" s="273" t="n"/>
      <c r="T210" s="273" t="n"/>
      <c r="U210" s="273" t="n"/>
      <c r="V210" s="273" t="n"/>
      <c r="W210" s="273" t="n"/>
      <c r="X210" s="273" t="inlineStr">
        <is>
          <t>No</t>
        </is>
      </c>
      <c r="Y210" s="41" t="n"/>
      <c r="Z210" s="273" t="n"/>
      <c r="AA210" s="35">
        <f>IF(X210="no",O210,O210*Y210)</f>
        <v/>
      </c>
      <c r="AB210" s="273" t="inlineStr">
        <is>
          <t>Mg</t>
        </is>
      </c>
      <c r="AC210" s="190">
        <f>INDEX(Tab_Def_Flows[[Flow_ID]:[CC_DM_source]],MATCH(Tab_Data_Flows[[#This Row],[Name(EN)]],Tab_Def_Flows[Name(EN)],0),13)</f>
        <v/>
      </c>
      <c r="AD210" s="272">
        <f>IF(J210="Yes",AA210*Tab_Data_Flows[[#This Row],[WC_'[%']]],"N.A.")</f>
        <v/>
      </c>
      <c r="AE210" s="272">
        <f>Tab_Data_Flows[[#This Row],[UoM_Flow_Py]]</f>
        <v/>
      </c>
      <c r="AF210" s="190">
        <f>INDEX(Tab_Def_Flows[[Flow_ID]:[CC_DM_source]],MATCH(Tab_Data_Flows[[#This Row],[Name(EN)]],Tab_Def_Flows[Name(EN)],0),15)</f>
        <v/>
      </c>
      <c r="AG210" s="272">
        <f>IF(K210="Yes",AF210*Tab_Data_Flows[[#This Row],[Flow_Py]],"N.A.")</f>
        <v/>
      </c>
      <c r="AH210" s="272">
        <f>Tab_Data_Flows[[#This Row],[UoM_Flow_Py]]</f>
        <v/>
      </c>
      <c r="AI210" s="190">
        <f>INDEX(Tab_Def_Flows[[Flow_ID]:[CC_DM_source]],MATCH(Tab_Data_Flows[[#This Row],[Name(EN)]],Tab_Def_Flows[Name(EN)],0),17)</f>
        <v/>
      </c>
      <c r="AJ210" s="272">
        <f>IF(L210="Yes",AI210*Tab_Data_Flows[[#This Row],[Flow_Py]]*Tab_Data_Flows[[#This Row],[DM_'[%']]],"N.A.")</f>
        <v/>
      </c>
      <c r="AK210" s="272">
        <f>Tab_Data_Flows[[#This Row],[UoM_Flow_Py]]</f>
        <v/>
      </c>
    </row>
    <row r="211">
      <c r="A211" s="296">
        <f>ROW()-1</f>
        <v/>
      </c>
      <c r="B211" s="272">
        <f>_xlfn.XLOOKUP(C211,Tab_Def_Flows[Name(EN)],Tab_Def_Flows[Flow_ID],,0,)</f>
        <v/>
      </c>
      <c r="C211" s="273" t="inlineStr">
        <is>
          <t>N.A.</t>
        </is>
      </c>
      <c r="D211" s="272">
        <f>_xlfn.XLOOKUP(C211,Tab_Def_Flows[Name(EN)],Tab_Def_Flows[Type_Biomass],,0,)</f>
        <v/>
      </c>
      <c r="E211" s="272">
        <f>_xlfn.XLOOKUP(C211,Tab_Def_Flows[Name(EN)],Tab_Def_Flows[Output_Process],,0,)</f>
        <v/>
      </c>
      <c r="F211" s="272">
        <f>_xlfn.XLOOKUP(C211,Tab_Def_Flows[Name(EN)],Tab_Def_Flows[Process_ID_O],,0,)</f>
        <v/>
      </c>
      <c r="G211" s="272">
        <f>_xlfn.XLOOKUP(C211,Tab_Def_Flows[Name(EN)],Tab_Def_Flows[Input_Process],,0,)</f>
        <v/>
      </c>
      <c r="H211" s="17">
        <f>_xlfn.XLOOKUP(C211,Tab_Def_Flows[Name(EN)],Tab_Def_Flows[Process_ID_I],,0,)</f>
        <v/>
      </c>
      <c r="I211" s="17">
        <f>_xlfn.XLOOKUP(C211,Tab_Def_Flows[Name(EN)],#REF!,,0,)</f>
        <v/>
      </c>
      <c r="J211" s="17">
        <f>_xlfn.XLOOKUP(C211,Tab_Def_Flows[Name(EN)],Tab_Def_Flows[WC?],,0,)</f>
        <v/>
      </c>
      <c r="K211" s="17">
        <f>_xlfn.XLOOKUP(C211,Tab_Def_Flows[Name(EN)],Tab_Def_Flows[DM?],,0,)</f>
        <v/>
      </c>
      <c r="L211" s="17">
        <f>_xlfn.XLOOKUP(C211,Tab_Def_Flows[Name(EN)],Tab_Def_Flows[CC?],,0,)</f>
        <v/>
      </c>
      <c r="M211" s="273" t="n"/>
      <c r="N211" s="273" t="inlineStr">
        <is>
          <t>BB</t>
        </is>
      </c>
      <c r="O211" s="48" t="n"/>
      <c r="P211" s="273" t="n"/>
      <c r="Q211" s="273" t="n"/>
      <c r="R211" s="273" t="n"/>
      <c r="S211" s="273" t="n"/>
      <c r="T211" s="273" t="n"/>
      <c r="U211" s="273" t="n"/>
      <c r="V211" s="273" t="n"/>
      <c r="W211" s="273" t="n"/>
      <c r="X211" s="273" t="inlineStr">
        <is>
          <t>No</t>
        </is>
      </c>
      <c r="Y211" s="41" t="n"/>
      <c r="Z211" s="273" t="n"/>
      <c r="AA211" s="35">
        <f>IF(X211="no",O211,O211*Y211)</f>
        <v/>
      </c>
      <c r="AB211" s="273" t="inlineStr">
        <is>
          <t>Mg</t>
        </is>
      </c>
      <c r="AC211" s="190">
        <f>INDEX(Tab_Def_Flows[[Flow_ID]:[CC_DM_source]],MATCH(Tab_Data_Flows[[#This Row],[Name(EN)]],Tab_Def_Flows[Name(EN)],0),13)</f>
        <v/>
      </c>
      <c r="AD211" s="272">
        <f>IF(J211="Yes",AA211*Tab_Data_Flows[[#This Row],[WC_'[%']]],"N.A.")</f>
        <v/>
      </c>
      <c r="AE211" s="272">
        <f>Tab_Data_Flows[[#This Row],[UoM_Flow_Py]]</f>
        <v/>
      </c>
      <c r="AF211" s="190">
        <f>INDEX(Tab_Def_Flows[[Flow_ID]:[CC_DM_source]],MATCH(Tab_Data_Flows[[#This Row],[Name(EN)]],Tab_Def_Flows[Name(EN)],0),15)</f>
        <v/>
      </c>
      <c r="AG211" s="272">
        <f>IF(K211="Yes",AF211*Tab_Data_Flows[[#This Row],[Flow_Py]],"N.A.")</f>
        <v/>
      </c>
      <c r="AH211" s="272">
        <f>Tab_Data_Flows[[#This Row],[UoM_Flow_Py]]</f>
        <v/>
      </c>
      <c r="AI211" s="190">
        <f>INDEX(Tab_Def_Flows[[Flow_ID]:[CC_DM_source]],MATCH(Tab_Data_Flows[[#This Row],[Name(EN)]],Tab_Def_Flows[Name(EN)],0),17)</f>
        <v/>
      </c>
      <c r="AJ211" s="272">
        <f>IF(L211="Yes",AI211*Tab_Data_Flows[[#This Row],[Flow_Py]]*Tab_Data_Flows[[#This Row],[DM_'[%']]],"N.A.")</f>
        <v/>
      </c>
      <c r="AK211" s="272">
        <f>Tab_Data_Flows[[#This Row],[UoM_Flow_Py]]</f>
        <v/>
      </c>
    </row>
    <row r="212">
      <c r="A212" s="296">
        <f>ROW()-1</f>
        <v/>
      </c>
      <c r="B212" s="272">
        <f>_xlfn.XLOOKUP(C212,Tab_Def_Flows[Name(EN)],Tab_Def_Flows[Flow_ID],,0,)</f>
        <v/>
      </c>
      <c r="C212" s="273" t="inlineStr">
        <is>
          <t>N.A.</t>
        </is>
      </c>
      <c r="D212" s="272">
        <f>_xlfn.XLOOKUP(C212,Tab_Def_Flows[Name(EN)],Tab_Def_Flows[Type_Biomass],,0,)</f>
        <v/>
      </c>
      <c r="E212" s="272">
        <f>_xlfn.XLOOKUP(C212,Tab_Def_Flows[Name(EN)],Tab_Def_Flows[Output_Process],,0,)</f>
        <v/>
      </c>
      <c r="F212" s="272">
        <f>_xlfn.XLOOKUP(C212,Tab_Def_Flows[Name(EN)],Tab_Def_Flows[Process_ID_O],,0,)</f>
        <v/>
      </c>
      <c r="G212" s="272">
        <f>_xlfn.XLOOKUP(C212,Tab_Def_Flows[Name(EN)],Tab_Def_Flows[Input_Process],,0,)</f>
        <v/>
      </c>
      <c r="H212" s="17">
        <f>_xlfn.XLOOKUP(C212,Tab_Def_Flows[Name(EN)],Tab_Def_Flows[Process_ID_I],,0,)</f>
        <v/>
      </c>
      <c r="I212" s="17">
        <f>_xlfn.XLOOKUP(C212,Tab_Def_Flows[Name(EN)],#REF!,,0,)</f>
        <v/>
      </c>
      <c r="J212" s="17">
        <f>_xlfn.XLOOKUP(C212,Tab_Def_Flows[Name(EN)],Tab_Def_Flows[WC?],,0,)</f>
        <v/>
      </c>
      <c r="K212" s="17">
        <f>_xlfn.XLOOKUP(C212,Tab_Def_Flows[Name(EN)],Tab_Def_Flows[DM?],,0,)</f>
        <v/>
      </c>
      <c r="L212" s="17">
        <f>_xlfn.XLOOKUP(C212,Tab_Def_Flows[Name(EN)],Tab_Def_Flows[CC?],,0,)</f>
        <v/>
      </c>
      <c r="M212" s="273" t="n"/>
      <c r="N212" s="273" t="n"/>
      <c r="O212" s="48" t="n"/>
      <c r="P212" s="273" t="n"/>
      <c r="Q212" s="273" t="n"/>
      <c r="R212" s="273" t="n"/>
      <c r="S212" s="273" t="n"/>
      <c r="T212" s="273" t="n"/>
      <c r="U212" s="273" t="n"/>
      <c r="V212" s="273" t="n"/>
      <c r="W212" s="273" t="n"/>
      <c r="X212" s="273" t="inlineStr">
        <is>
          <t>No</t>
        </is>
      </c>
      <c r="Y212" s="41" t="n"/>
      <c r="Z212" s="273" t="n"/>
      <c r="AA212" s="35">
        <f>IF(X212="no",O212,O212*Y212)</f>
        <v/>
      </c>
      <c r="AB212" s="273" t="inlineStr">
        <is>
          <t>Mg</t>
        </is>
      </c>
      <c r="AC212" s="190">
        <f>INDEX(Tab_Def_Flows[[Flow_ID]:[CC_DM_source]],MATCH(Tab_Data_Flows[[#This Row],[Name(EN)]],Tab_Def_Flows[Name(EN)],0),13)</f>
        <v/>
      </c>
      <c r="AD212" s="272">
        <f>IF(J212="Yes",AA212*Tab_Data_Flows[[#This Row],[WC_'[%']]],"N.A.")</f>
        <v/>
      </c>
      <c r="AE212" s="272">
        <f>Tab_Data_Flows[[#This Row],[UoM_Flow_Py]]</f>
        <v/>
      </c>
      <c r="AF212" s="190">
        <f>INDEX(Tab_Def_Flows[[Flow_ID]:[CC_DM_source]],MATCH(Tab_Data_Flows[[#This Row],[Name(EN)]],Tab_Def_Flows[Name(EN)],0),15)</f>
        <v/>
      </c>
      <c r="AG212" s="272">
        <f>IF(K212="Yes",AF212*Tab_Data_Flows[[#This Row],[Flow_Py]],"N.A.")</f>
        <v/>
      </c>
      <c r="AH212" s="272">
        <f>Tab_Data_Flows[[#This Row],[UoM_Flow_Py]]</f>
        <v/>
      </c>
      <c r="AI212" s="190">
        <f>INDEX(Tab_Def_Flows[[Flow_ID]:[CC_DM_source]],MATCH(Tab_Data_Flows[[#This Row],[Name(EN)]],Tab_Def_Flows[Name(EN)],0),17)</f>
        <v/>
      </c>
      <c r="AJ212" s="272">
        <f>IF(L212="Yes",AI212*Tab_Data_Flows[[#This Row],[Flow_Py]]*Tab_Data_Flows[[#This Row],[DM_'[%']]],"N.A.")</f>
        <v/>
      </c>
      <c r="AK212" s="272">
        <f>Tab_Data_Flows[[#This Row],[UoM_Flow_Py]]</f>
        <v/>
      </c>
    </row>
    <row r="213">
      <c r="A213" s="296">
        <f>ROW()-1</f>
        <v/>
      </c>
      <c r="B213" s="272">
        <f>_xlfn.XLOOKUP(C213,Tab_Def_Flows[Name(EN)],Tab_Def_Flows[Flow_ID],,0,)</f>
        <v/>
      </c>
      <c r="C213" s="273" t="inlineStr">
        <is>
          <t>N.A.</t>
        </is>
      </c>
      <c r="D213" s="272">
        <f>_xlfn.XLOOKUP(C213,Tab_Def_Flows[Name(EN)],Tab_Def_Flows[Type_Biomass],,0,)</f>
        <v/>
      </c>
      <c r="E213" s="272">
        <f>_xlfn.XLOOKUP(C213,Tab_Def_Flows[Name(EN)],Tab_Def_Flows[Output_Process],,0,)</f>
        <v/>
      </c>
      <c r="F213" s="272">
        <f>_xlfn.XLOOKUP(C213,Tab_Def_Flows[Name(EN)],Tab_Def_Flows[Process_ID_O],,0,)</f>
        <v/>
      </c>
      <c r="G213" s="272">
        <f>_xlfn.XLOOKUP(C213,Tab_Def_Flows[Name(EN)],Tab_Def_Flows[Input_Process],,0,)</f>
        <v/>
      </c>
      <c r="H213" s="17">
        <f>_xlfn.XLOOKUP(C213,Tab_Def_Flows[Name(EN)],Tab_Def_Flows[Process_ID_I],,0,)</f>
        <v/>
      </c>
      <c r="I213" s="17">
        <f>_xlfn.XLOOKUP(C213,Tab_Def_Flows[Name(EN)],#REF!,,0,)</f>
        <v/>
      </c>
      <c r="J213" s="17">
        <f>_xlfn.XLOOKUP(C213,Tab_Def_Flows[Name(EN)],Tab_Def_Flows[WC?],,0,)</f>
        <v/>
      </c>
      <c r="K213" s="17">
        <f>_xlfn.XLOOKUP(C213,Tab_Def_Flows[Name(EN)],Tab_Def_Flows[DM?],,0,)</f>
        <v/>
      </c>
      <c r="L213" s="17">
        <f>_xlfn.XLOOKUP(C213,Tab_Def_Flows[Name(EN)],Tab_Def_Flows[CC?],,0,)</f>
        <v/>
      </c>
      <c r="M213" s="273" t="n"/>
      <c r="N213" s="273" t="n"/>
      <c r="O213" s="48" t="n"/>
      <c r="P213" s="273" t="n"/>
      <c r="Q213" s="273" t="n"/>
      <c r="R213" s="273" t="n"/>
      <c r="S213" s="273" t="n"/>
      <c r="T213" s="273" t="n"/>
      <c r="U213" s="273" t="n"/>
      <c r="V213" s="273" t="n"/>
      <c r="W213" s="273" t="n"/>
      <c r="X213" s="273" t="inlineStr">
        <is>
          <t>No</t>
        </is>
      </c>
      <c r="Y213" s="41" t="n"/>
      <c r="Z213" s="273" t="n"/>
      <c r="AA213" s="35">
        <f>IF(X213="no",O213,O213*Y213)</f>
        <v/>
      </c>
      <c r="AB213" s="273" t="inlineStr">
        <is>
          <t>Mg</t>
        </is>
      </c>
      <c r="AC213" s="190">
        <f>INDEX(Tab_Def_Flows[[Flow_ID]:[CC_DM_source]],MATCH(Tab_Data_Flows[[#This Row],[Name(EN)]],Tab_Def_Flows[Name(EN)],0),13)</f>
        <v/>
      </c>
      <c r="AD213" s="272">
        <f>IF(J213="Yes",AA213*Tab_Data_Flows[[#This Row],[WC_'[%']]],"N.A.")</f>
        <v/>
      </c>
      <c r="AE213" s="272">
        <f>Tab_Data_Flows[[#This Row],[UoM_Flow_Py]]</f>
        <v/>
      </c>
      <c r="AF213" s="190">
        <f>INDEX(Tab_Def_Flows[[Flow_ID]:[CC_DM_source]],MATCH(Tab_Data_Flows[[#This Row],[Name(EN)]],Tab_Def_Flows[Name(EN)],0),15)</f>
        <v/>
      </c>
      <c r="AG213" s="272">
        <f>IF(K213="Yes",AF213*Tab_Data_Flows[[#This Row],[Flow_Py]],"N.A.")</f>
        <v/>
      </c>
      <c r="AH213" s="272">
        <f>Tab_Data_Flows[[#This Row],[UoM_Flow_Py]]</f>
        <v/>
      </c>
      <c r="AI213" s="190">
        <f>INDEX(Tab_Def_Flows[[Flow_ID]:[CC_DM_source]],MATCH(Tab_Data_Flows[[#This Row],[Name(EN)]],Tab_Def_Flows[Name(EN)],0),17)</f>
        <v/>
      </c>
      <c r="AJ213" s="272">
        <f>IF(L213="Yes",AI213*Tab_Data_Flows[[#This Row],[Flow_Py]]*Tab_Data_Flows[[#This Row],[DM_'[%']]],"N.A.")</f>
        <v/>
      </c>
      <c r="AK213" s="272">
        <f>Tab_Data_Flows[[#This Row],[UoM_Flow_Py]]</f>
        <v/>
      </c>
    </row>
    <row r="214">
      <c r="A214" s="296">
        <f>ROW()-1</f>
        <v/>
      </c>
      <c r="B214" s="272">
        <f>_xlfn.XLOOKUP(C214,Tab_Def_Flows[Name(EN)],Tab_Def_Flows[Flow_ID],,0,)</f>
        <v/>
      </c>
      <c r="C214" s="273" t="inlineStr">
        <is>
          <t>N.A.</t>
        </is>
      </c>
      <c r="D214" s="272">
        <f>_xlfn.XLOOKUP(C214,Tab_Def_Flows[Name(EN)],Tab_Def_Flows[Type_Biomass],,0,)</f>
        <v/>
      </c>
      <c r="E214" s="272">
        <f>_xlfn.XLOOKUP(C214,Tab_Def_Flows[Name(EN)],Tab_Def_Flows[Output_Process],,0,)</f>
        <v/>
      </c>
      <c r="F214" s="272">
        <f>_xlfn.XLOOKUP(C214,Tab_Def_Flows[Name(EN)],Tab_Def_Flows[Process_ID_O],,0,)</f>
        <v/>
      </c>
      <c r="G214" s="272">
        <f>_xlfn.XLOOKUP(C214,Tab_Def_Flows[Name(EN)],Tab_Def_Flows[Input_Process],,0,)</f>
        <v/>
      </c>
      <c r="H214" s="17">
        <f>_xlfn.XLOOKUP(C214,Tab_Def_Flows[Name(EN)],Tab_Def_Flows[Process_ID_I],,0,)</f>
        <v/>
      </c>
      <c r="I214" s="17">
        <f>_xlfn.XLOOKUP(C214,Tab_Def_Flows[Name(EN)],#REF!,,0,)</f>
        <v/>
      </c>
      <c r="J214" s="17">
        <f>_xlfn.XLOOKUP(C214,Tab_Def_Flows[Name(EN)],Tab_Def_Flows[WC?],,0,)</f>
        <v/>
      </c>
      <c r="K214" s="17">
        <f>_xlfn.XLOOKUP(C214,Tab_Def_Flows[Name(EN)],Tab_Def_Flows[DM?],,0,)</f>
        <v/>
      </c>
      <c r="L214" s="17">
        <f>_xlfn.XLOOKUP(C214,Tab_Def_Flows[Name(EN)],Tab_Def_Flows[CC?],,0,)</f>
        <v/>
      </c>
      <c r="M214" s="273" t="n"/>
      <c r="N214" s="273" t="n"/>
      <c r="O214" s="48" t="n"/>
      <c r="P214" s="273" t="n"/>
      <c r="Q214" s="273" t="n"/>
      <c r="R214" s="273" t="n"/>
      <c r="S214" s="273" t="n"/>
      <c r="T214" s="273" t="n"/>
      <c r="U214" s="273" t="n"/>
      <c r="V214" s="273" t="n"/>
      <c r="W214" s="273" t="n"/>
      <c r="X214" s="273" t="inlineStr">
        <is>
          <t>No</t>
        </is>
      </c>
      <c r="Y214" s="41" t="n"/>
      <c r="Z214" s="273" t="n"/>
      <c r="AA214" s="35">
        <f>IF(X214="no",O214,O214*Y214)</f>
        <v/>
      </c>
      <c r="AB214" s="273" t="inlineStr">
        <is>
          <t>Mg</t>
        </is>
      </c>
      <c r="AC214" s="190">
        <f>INDEX(Tab_Def_Flows[[Flow_ID]:[CC_DM_source]],MATCH(Tab_Data_Flows[[#This Row],[Name(EN)]],Tab_Def_Flows[Name(EN)],0),13)</f>
        <v/>
      </c>
      <c r="AD214" s="272">
        <f>IF(J214="Yes",AA214*Tab_Data_Flows[[#This Row],[WC_'[%']]],"N.A.")</f>
        <v/>
      </c>
      <c r="AE214" s="272">
        <f>Tab_Data_Flows[[#This Row],[UoM_Flow_Py]]</f>
        <v/>
      </c>
      <c r="AF214" s="190">
        <f>INDEX(Tab_Def_Flows[[Flow_ID]:[CC_DM_source]],MATCH(Tab_Data_Flows[[#This Row],[Name(EN)]],Tab_Def_Flows[Name(EN)],0),15)</f>
        <v/>
      </c>
      <c r="AG214" s="272">
        <f>IF(K214="Yes",AF214*Tab_Data_Flows[[#This Row],[Flow_Py]],"N.A.")</f>
        <v/>
      </c>
      <c r="AH214" s="272">
        <f>Tab_Data_Flows[[#This Row],[UoM_Flow_Py]]</f>
        <v/>
      </c>
      <c r="AI214" s="190">
        <f>INDEX(Tab_Def_Flows[[Flow_ID]:[CC_DM_source]],MATCH(Tab_Data_Flows[[#This Row],[Name(EN)]],Tab_Def_Flows[Name(EN)],0),17)</f>
        <v/>
      </c>
      <c r="AJ214" s="272">
        <f>IF(L214="Yes",AI214*Tab_Data_Flows[[#This Row],[Flow_Py]]*Tab_Data_Flows[[#This Row],[DM_'[%']]],"N.A.")</f>
        <v/>
      </c>
      <c r="AK214" s="272">
        <f>Tab_Data_Flows[[#This Row],[UoM_Flow_Py]]</f>
        <v/>
      </c>
    </row>
    <row r="215">
      <c r="A215" s="296">
        <f>ROW()-1</f>
        <v/>
      </c>
      <c r="B215" s="272">
        <f>_xlfn.XLOOKUP(C215,Tab_Def_Flows[Name(EN)],Tab_Def_Flows[Flow_ID],,0,)</f>
        <v/>
      </c>
      <c r="C215" s="273" t="inlineStr">
        <is>
          <t>N.A.</t>
        </is>
      </c>
      <c r="D215" s="272">
        <f>_xlfn.XLOOKUP(C215,Tab_Def_Flows[Name(EN)],Tab_Def_Flows[Type_Biomass],,0,)</f>
        <v/>
      </c>
      <c r="E215" s="272">
        <f>_xlfn.XLOOKUP(C215,Tab_Def_Flows[Name(EN)],Tab_Def_Flows[Output_Process],,0,)</f>
        <v/>
      </c>
      <c r="F215" s="272">
        <f>_xlfn.XLOOKUP(C215,Tab_Def_Flows[Name(EN)],Tab_Def_Flows[Process_ID_O],,0,)</f>
        <v/>
      </c>
      <c r="G215" s="272">
        <f>_xlfn.XLOOKUP(C215,Tab_Def_Flows[Name(EN)],Tab_Def_Flows[Input_Process],,0,)</f>
        <v/>
      </c>
      <c r="H215" s="17">
        <f>_xlfn.XLOOKUP(C215,Tab_Def_Flows[Name(EN)],Tab_Def_Flows[Process_ID_I],,0,)</f>
        <v/>
      </c>
      <c r="I215" s="17">
        <f>_xlfn.XLOOKUP(C215,Tab_Def_Flows[Name(EN)],#REF!,,0,)</f>
        <v/>
      </c>
      <c r="J215" s="17">
        <f>_xlfn.XLOOKUP(C215,Tab_Def_Flows[Name(EN)],Tab_Def_Flows[WC?],,0,)</f>
        <v/>
      </c>
      <c r="K215" s="17">
        <f>_xlfn.XLOOKUP(C215,Tab_Def_Flows[Name(EN)],Tab_Def_Flows[DM?],,0,)</f>
        <v/>
      </c>
      <c r="L215" s="17">
        <f>_xlfn.XLOOKUP(C215,Tab_Def_Flows[Name(EN)],Tab_Def_Flows[CC?],,0,)</f>
        <v/>
      </c>
      <c r="M215" s="273" t="n"/>
      <c r="N215" s="273" t="n"/>
      <c r="O215" s="48" t="n"/>
      <c r="P215" s="273" t="n"/>
      <c r="Q215" s="273" t="n"/>
      <c r="R215" s="273" t="n"/>
      <c r="S215" s="273" t="n"/>
      <c r="T215" s="273" t="n"/>
      <c r="U215" s="273" t="n"/>
      <c r="V215" s="273" t="n"/>
      <c r="W215" s="273" t="n"/>
      <c r="X215" s="273" t="inlineStr">
        <is>
          <t>No</t>
        </is>
      </c>
      <c r="Y215" s="41" t="n"/>
      <c r="Z215" s="273" t="n"/>
      <c r="AA215" s="35">
        <f>IF(X215="no",O215,O215*Y215)</f>
        <v/>
      </c>
      <c r="AB215" s="273" t="inlineStr">
        <is>
          <t>Mg</t>
        </is>
      </c>
      <c r="AC215" s="190">
        <f>INDEX(Tab_Def_Flows[[Flow_ID]:[CC_DM_source]],MATCH(Tab_Data_Flows[[#This Row],[Name(EN)]],Tab_Def_Flows[Name(EN)],0),13)</f>
        <v/>
      </c>
      <c r="AD215" s="272">
        <f>IF(J215="Yes",AA215*Tab_Data_Flows[[#This Row],[WC_'[%']]],"N.A.")</f>
        <v/>
      </c>
      <c r="AE215" s="272">
        <f>Tab_Data_Flows[[#This Row],[UoM_Flow_Py]]</f>
        <v/>
      </c>
      <c r="AF215" s="190">
        <f>INDEX(Tab_Def_Flows[[Flow_ID]:[CC_DM_source]],MATCH(Tab_Data_Flows[[#This Row],[Name(EN)]],Tab_Def_Flows[Name(EN)],0),15)</f>
        <v/>
      </c>
      <c r="AG215" s="272">
        <f>IF(K215="Yes",AF215*Tab_Data_Flows[[#This Row],[Flow_Py]],"N.A.")</f>
        <v/>
      </c>
      <c r="AH215" s="272">
        <f>Tab_Data_Flows[[#This Row],[UoM_Flow_Py]]</f>
        <v/>
      </c>
      <c r="AI215" s="190">
        <f>INDEX(Tab_Def_Flows[[Flow_ID]:[CC_DM_source]],MATCH(Tab_Data_Flows[[#This Row],[Name(EN)]],Tab_Def_Flows[Name(EN)],0),17)</f>
        <v/>
      </c>
      <c r="AJ215" s="272">
        <f>IF(L215="Yes",AI215*Tab_Data_Flows[[#This Row],[Flow_Py]]*Tab_Data_Flows[[#This Row],[DM_'[%']]],"N.A.")</f>
        <v/>
      </c>
      <c r="AK215" s="272">
        <f>Tab_Data_Flows[[#This Row],[UoM_Flow_Py]]</f>
        <v/>
      </c>
    </row>
    <row r="216">
      <c r="A216" s="296">
        <f>ROW()-1</f>
        <v/>
      </c>
      <c r="B216" s="272">
        <f>_xlfn.XLOOKUP(C216,Tab_Def_Flows[Name(EN)],Tab_Def_Flows[Flow_ID],,0,)</f>
        <v/>
      </c>
      <c r="C216" s="273" t="inlineStr">
        <is>
          <t>N.A.</t>
        </is>
      </c>
      <c r="D216" s="272">
        <f>_xlfn.XLOOKUP(C216,Tab_Def_Flows[Name(EN)],Tab_Def_Flows[Type_Biomass],,0,)</f>
        <v/>
      </c>
      <c r="E216" s="272">
        <f>_xlfn.XLOOKUP(C216,Tab_Def_Flows[Name(EN)],Tab_Def_Flows[Output_Process],,0,)</f>
        <v/>
      </c>
      <c r="F216" s="272">
        <f>_xlfn.XLOOKUP(C216,Tab_Def_Flows[Name(EN)],Tab_Def_Flows[Process_ID_O],,0,)</f>
        <v/>
      </c>
      <c r="G216" s="272">
        <f>_xlfn.XLOOKUP(C216,Tab_Def_Flows[Name(EN)],Tab_Def_Flows[Input_Process],,0,)</f>
        <v/>
      </c>
      <c r="H216" s="17">
        <f>_xlfn.XLOOKUP(C216,Tab_Def_Flows[Name(EN)],Tab_Def_Flows[Process_ID_I],,0,)</f>
        <v/>
      </c>
      <c r="I216" s="17">
        <f>_xlfn.XLOOKUP(C216,Tab_Def_Flows[Name(EN)],#REF!,,0,)</f>
        <v/>
      </c>
      <c r="J216" s="17">
        <f>_xlfn.XLOOKUP(C216,Tab_Def_Flows[Name(EN)],Tab_Def_Flows[WC?],,0,)</f>
        <v/>
      </c>
      <c r="K216" s="17">
        <f>_xlfn.XLOOKUP(C216,Tab_Def_Flows[Name(EN)],Tab_Def_Flows[DM?],,0,)</f>
        <v/>
      </c>
      <c r="L216" s="17">
        <f>_xlfn.XLOOKUP(C216,Tab_Def_Flows[Name(EN)],Tab_Def_Flows[CC?],,0,)</f>
        <v/>
      </c>
      <c r="M216" s="273" t="n"/>
      <c r="N216" s="273" t="n"/>
      <c r="O216" s="48" t="n"/>
      <c r="P216" s="273" t="n"/>
      <c r="Q216" s="273" t="n"/>
      <c r="R216" s="273" t="n"/>
      <c r="S216" s="273" t="n"/>
      <c r="T216" s="273" t="n"/>
      <c r="U216" s="273" t="n"/>
      <c r="V216" s="273" t="n"/>
      <c r="W216" s="273" t="n"/>
      <c r="X216" s="273" t="inlineStr">
        <is>
          <t>No</t>
        </is>
      </c>
      <c r="Y216" s="41" t="n"/>
      <c r="Z216" s="273" t="n"/>
      <c r="AA216" s="35">
        <f>IF(X216="no",O216,O216*Y216)</f>
        <v/>
      </c>
      <c r="AB216" s="273" t="inlineStr">
        <is>
          <t>Mg</t>
        </is>
      </c>
      <c r="AC216" s="190">
        <f>INDEX(Tab_Def_Flows[[Flow_ID]:[CC_DM_source]],MATCH(Tab_Data_Flows[[#This Row],[Name(EN)]],Tab_Def_Flows[Name(EN)],0),13)</f>
        <v/>
      </c>
      <c r="AD216" s="272">
        <f>IF(J216="Yes",AA216*Tab_Data_Flows[[#This Row],[WC_'[%']]],"N.A.")</f>
        <v/>
      </c>
      <c r="AE216" s="272">
        <f>Tab_Data_Flows[[#This Row],[UoM_Flow_Py]]</f>
        <v/>
      </c>
      <c r="AF216" s="190">
        <f>INDEX(Tab_Def_Flows[[Flow_ID]:[CC_DM_source]],MATCH(Tab_Data_Flows[[#This Row],[Name(EN)]],Tab_Def_Flows[Name(EN)],0),15)</f>
        <v/>
      </c>
      <c r="AG216" s="272">
        <f>IF(K216="Yes",AF216*Tab_Data_Flows[[#This Row],[Flow_Py]],"N.A.")</f>
        <v/>
      </c>
      <c r="AH216" s="272">
        <f>Tab_Data_Flows[[#This Row],[UoM_Flow_Py]]</f>
        <v/>
      </c>
      <c r="AI216" s="190">
        <f>INDEX(Tab_Def_Flows[[Flow_ID]:[CC_DM_source]],MATCH(Tab_Data_Flows[[#This Row],[Name(EN)]],Tab_Def_Flows[Name(EN)],0),17)</f>
        <v/>
      </c>
      <c r="AJ216" s="272">
        <f>IF(L216="Yes",AI216*Tab_Data_Flows[[#This Row],[Flow_Py]]*Tab_Data_Flows[[#This Row],[DM_'[%']]],"N.A.")</f>
        <v/>
      </c>
      <c r="AK216" s="272">
        <f>Tab_Data_Flows[[#This Row],[UoM_Flow_Py]]</f>
        <v/>
      </c>
    </row>
    <row r="217">
      <c r="A217" s="296">
        <f>ROW()-1</f>
        <v/>
      </c>
      <c r="B217" s="272">
        <f>_xlfn.XLOOKUP(C217,Tab_Def_Flows[Name(EN)],Tab_Def_Flows[Flow_ID],,0,)</f>
        <v/>
      </c>
      <c r="C217" s="273" t="inlineStr">
        <is>
          <t>N.A.</t>
        </is>
      </c>
      <c r="D217" s="272">
        <f>_xlfn.XLOOKUP(C217,Tab_Def_Flows[Name(EN)],Tab_Def_Flows[Type_Biomass],,0,)</f>
        <v/>
      </c>
      <c r="E217" s="272">
        <f>_xlfn.XLOOKUP(C217,Tab_Def_Flows[Name(EN)],Tab_Def_Flows[Output_Process],,0,)</f>
        <v/>
      </c>
      <c r="F217" s="272">
        <f>_xlfn.XLOOKUP(C217,Tab_Def_Flows[Name(EN)],Tab_Def_Flows[Process_ID_O],,0,)</f>
        <v/>
      </c>
      <c r="G217" s="272">
        <f>_xlfn.XLOOKUP(C217,Tab_Def_Flows[Name(EN)],Tab_Def_Flows[Input_Process],,0,)</f>
        <v/>
      </c>
      <c r="H217" s="17">
        <f>_xlfn.XLOOKUP(C217,Tab_Def_Flows[Name(EN)],Tab_Def_Flows[Process_ID_I],,0,)</f>
        <v/>
      </c>
      <c r="I217" s="17">
        <f>_xlfn.XLOOKUP(C217,Tab_Def_Flows[Name(EN)],#REF!,,0,)</f>
        <v/>
      </c>
      <c r="J217" s="17">
        <f>_xlfn.XLOOKUP(C217,Tab_Def_Flows[Name(EN)],Tab_Def_Flows[WC?],,0,)</f>
        <v/>
      </c>
      <c r="K217" s="17">
        <f>_xlfn.XLOOKUP(C217,Tab_Def_Flows[Name(EN)],Tab_Def_Flows[DM?],,0,)</f>
        <v/>
      </c>
      <c r="L217" s="17">
        <f>_xlfn.XLOOKUP(C217,Tab_Def_Flows[Name(EN)],Tab_Def_Flows[CC?],,0,)</f>
        <v/>
      </c>
      <c r="M217" s="273" t="n"/>
      <c r="N217" s="273" t="n"/>
      <c r="O217" s="48" t="n"/>
      <c r="P217" s="273" t="n"/>
      <c r="Q217" s="273" t="n"/>
      <c r="R217" s="273" t="n"/>
      <c r="S217" s="273" t="n"/>
      <c r="T217" s="273" t="n"/>
      <c r="U217" s="273" t="n"/>
      <c r="V217" s="273" t="n"/>
      <c r="W217" s="273" t="n"/>
      <c r="X217" s="273" t="inlineStr">
        <is>
          <t>No</t>
        </is>
      </c>
      <c r="Y217" s="41" t="n"/>
      <c r="Z217" s="273" t="n"/>
      <c r="AA217" s="35">
        <f>IF(X217="no",O217,O217*Y217)</f>
        <v/>
      </c>
      <c r="AB217" s="273" t="inlineStr">
        <is>
          <t>Mg</t>
        </is>
      </c>
      <c r="AC217" s="190">
        <f>INDEX(Tab_Def_Flows[[Flow_ID]:[CC_DM_source]],MATCH(Tab_Data_Flows[[#This Row],[Name(EN)]],Tab_Def_Flows[Name(EN)],0),13)</f>
        <v/>
      </c>
      <c r="AD217" s="272">
        <f>IF(J217="Yes",AA217*Tab_Data_Flows[[#This Row],[WC_'[%']]],"N.A.")</f>
        <v/>
      </c>
      <c r="AE217" s="272">
        <f>Tab_Data_Flows[[#This Row],[UoM_Flow_Py]]</f>
        <v/>
      </c>
      <c r="AF217" s="190">
        <f>INDEX(Tab_Def_Flows[[Flow_ID]:[CC_DM_source]],MATCH(Tab_Data_Flows[[#This Row],[Name(EN)]],Tab_Def_Flows[Name(EN)],0),15)</f>
        <v/>
      </c>
      <c r="AG217" s="272">
        <f>IF(K217="Yes",AF217*Tab_Data_Flows[[#This Row],[Flow_Py]],"N.A.")</f>
        <v/>
      </c>
      <c r="AH217" s="272">
        <f>Tab_Data_Flows[[#This Row],[UoM_Flow_Py]]</f>
        <v/>
      </c>
      <c r="AI217" s="190">
        <f>INDEX(Tab_Def_Flows[[Flow_ID]:[CC_DM_source]],MATCH(Tab_Data_Flows[[#This Row],[Name(EN)]],Tab_Def_Flows[Name(EN)],0),17)</f>
        <v/>
      </c>
      <c r="AJ217" s="272">
        <f>IF(L217="Yes",AI217*Tab_Data_Flows[[#This Row],[Flow_Py]]*Tab_Data_Flows[[#This Row],[DM_'[%']]],"N.A.")</f>
        <v/>
      </c>
      <c r="AK217" s="272">
        <f>Tab_Data_Flows[[#This Row],[UoM_Flow_Py]]</f>
        <v/>
      </c>
    </row>
    <row r="218">
      <c r="A218" s="296">
        <f>ROW()-1</f>
        <v/>
      </c>
      <c r="B218" s="272">
        <f>_xlfn.XLOOKUP(C218,Tab_Def_Flows[Name(EN)],Tab_Def_Flows[Flow_ID],,0,)</f>
        <v/>
      </c>
      <c r="C218" s="273" t="inlineStr">
        <is>
          <t>N.A.</t>
        </is>
      </c>
      <c r="D218" s="272">
        <f>_xlfn.XLOOKUP(C218,Tab_Def_Flows[Name(EN)],Tab_Def_Flows[Type_Biomass],,0,)</f>
        <v/>
      </c>
      <c r="E218" s="272">
        <f>_xlfn.XLOOKUP(C218,Tab_Def_Flows[Name(EN)],Tab_Def_Flows[Output_Process],,0,)</f>
        <v/>
      </c>
      <c r="F218" s="272">
        <f>_xlfn.XLOOKUP(C218,Tab_Def_Flows[Name(EN)],Tab_Def_Flows[Process_ID_O],,0,)</f>
        <v/>
      </c>
      <c r="G218" s="272">
        <f>_xlfn.XLOOKUP(C218,Tab_Def_Flows[Name(EN)],Tab_Def_Flows[Input_Process],,0,)</f>
        <v/>
      </c>
      <c r="H218" s="17">
        <f>_xlfn.XLOOKUP(C218,Tab_Def_Flows[Name(EN)],Tab_Def_Flows[Process_ID_I],,0,)</f>
        <v/>
      </c>
      <c r="I218" s="17">
        <f>_xlfn.XLOOKUP(C218,Tab_Def_Flows[Name(EN)],#REF!,,0,)</f>
        <v/>
      </c>
      <c r="J218" s="17">
        <f>_xlfn.XLOOKUP(C218,Tab_Def_Flows[Name(EN)],Tab_Def_Flows[WC?],,0,)</f>
        <v/>
      </c>
      <c r="K218" s="17">
        <f>_xlfn.XLOOKUP(C218,Tab_Def_Flows[Name(EN)],Tab_Def_Flows[DM?],,0,)</f>
        <v/>
      </c>
      <c r="L218" s="17">
        <f>_xlfn.XLOOKUP(C218,Tab_Def_Flows[Name(EN)],Tab_Def_Flows[CC?],,0,)</f>
        <v/>
      </c>
      <c r="M218" s="273" t="n"/>
      <c r="N218" s="273" t="n"/>
      <c r="O218" s="48" t="n"/>
      <c r="P218" s="273" t="n"/>
      <c r="Q218" s="273" t="n"/>
      <c r="R218" s="273" t="n"/>
      <c r="S218" s="273" t="n"/>
      <c r="T218" s="273" t="n"/>
      <c r="U218" s="273" t="n"/>
      <c r="V218" s="273" t="n"/>
      <c r="W218" s="273" t="n"/>
      <c r="X218" s="273" t="inlineStr">
        <is>
          <t>No</t>
        </is>
      </c>
      <c r="Y218" s="41" t="n"/>
      <c r="Z218" s="273" t="n"/>
      <c r="AA218" s="35">
        <f>IF(X218="no",O218,O218*Y218)</f>
        <v/>
      </c>
      <c r="AB218" s="273" t="inlineStr">
        <is>
          <t>Mg</t>
        </is>
      </c>
      <c r="AC218" s="190">
        <f>INDEX(Tab_Def_Flows[[Flow_ID]:[CC_DM_source]],MATCH(Tab_Data_Flows[[#This Row],[Name(EN)]],Tab_Def_Flows[Name(EN)],0),13)</f>
        <v/>
      </c>
      <c r="AD218" s="272">
        <f>IF(J218="Yes",AA218*Tab_Data_Flows[[#This Row],[WC_'[%']]],"N.A.")</f>
        <v/>
      </c>
      <c r="AE218" s="272">
        <f>Tab_Data_Flows[[#This Row],[UoM_Flow_Py]]</f>
        <v/>
      </c>
      <c r="AF218" s="190">
        <f>INDEX(Tab_Def_Flows[[Flow_ID]:[CC_DM_source]],MATCH(Tab_Data_Flows[[#This Row],[Name(EN)]],Tab_Def_Flows[Name(EN)],0),15)</f>
        <v/>
      </c>
      <c r="AG218" s="272">
        <f>IF(K218="Yes",AF218*Tab_Data_Flows[[#This Row],[Flow_Py]],"N.A.")</f>
        <v/>
      </c>
      <c r="AH218" s="272">
        <f>Tab_Data_Flows[[#This Row],[UoM_Flow_Py]]</f>
        <v/>
      </c>
      <c r="AI218" s="190">
        <f>INDEX(Tab_Def_Flows[[Flow_ID]:[CC_DM_source]],MATCH(Tab_Data_Flows[[#This Row],[Name(EN)]],Tab_Def_Flows[Name(EN)],0),17)</f>
        <v/>
      </c>
      <c r="AJ218" s="272">
        <f>IF(L218="Yes",AI218*Tab_Data_Flows[[#This Row],[Flow_Py]]*Tab_Data_Flows[[#This Row],[DM_'[%']]],"N.A.")</f>
        <v/>
      </c>
      <c r="AK218" s="272">
        <f>Tab_Data_Flows[[#This Row],[UoM_Flow_Py]]</f>
        <v/>
      </c>
    </row>
    <row r="219">
      <c r="A219" s="296">
        <f>ROW()-1</f>
        <v/>
      </c>
      <c r="B219" s="272">
        <f>_xlfn.XLOOKUP(C219,Tab_Def_Flows[Name(EN)],Tab_Def_Flows[Flow_ID],,0,)</f>
        <v/>
      </c>
      <c r="C219" s="273" t="inlineStr">
        <is>
          <t>N.A.</t>
        </is>
      </c>
      <c r="D219" s="272">
        <f>_xlfn.XLOOKUP(C219,Tab_Def_Flows[Name(EN)],Tab_Def_Flows[Type_Biomass],,0,)</f>
        <v/>
      </c>
      <c r="E219" s="272">
        <f>_xlfn.XLOOKUP(C219,Tab_Def_Flows[Name(EN)],Tab_Def_Flows[Output_Process],,0,)</f>
        <v/>
      </c>
      <c r="F219" s="272">
        <f>_xlfn.XLOOKUP(C219,Tab_Def_Flows[Name(EN)],Tab_Def_Flows[Process_ID_O],,0,)</f>
        <v/>
      </c>
      <c r="G219" s="272">
        <f>_xlfn.XLOOKUP(C219,Tab_Def_Flows[Name(EN)],Tab_Def_Flows[Input_Process],,0,)</f>
        <v/>
      </c>
      <c r="H219" s="17">
        <f>_xlfn.XLOOKUP(C219,Tab_Def_Flows[Name(EN)],Tab_Def_Flows[Process_ID_I],,0,)</f>
        <v/>
      </c>
      <c r="I219" s="17">
        <f>_xlfn.XLOOKUP(C219,Tab_Def_Flows[Name(EN)],#REF!,,0,)</f>
        <v/>
      </c>
      <c r="J219" s="17">
        <f>_xlfn.XLOOKUP(C219,Tab_Def_Flows[Name(EN)],Tab_Def_Flows[WC?],,0,)</f>
        <v/>
      </c>
      <c r="K219" s="17">
        <f>_xlfn.XLOOKUP(C219,Tab_Def_Flows[Name(EN)],Tab_Def_Flows[DM?],,0,)</f>
        <v/>
      </c>
      <c r="L219" s="17">
        <f>_xlfn.XLOOKUP(C219,Tab_Def_Flows[Name(EN)],Tab_Def_Flows[CC?],,0,)</f>
        <v/>
      </c>
      <c r="M219" s="273" t="n"/>
      <c r="N219" s="273" t="n"/>
      <c r="O219" s="48" t="n"/>
      <c r="P219" s="273" t="n"/>
      <c r="Q219" s="273" t="n"/>
      <c r="R219" s="273" t="n"/>
      <c r="S219" s="273" t="n"/>
      <c r="T219" s="273" t="n"/>
      <c r="U219" s="273" t="n"/>
      <c r="V219" s="273" t="n"/>
      <c r="W219" s="273" t="n"/>
      <c r="X219" s="273" t="inlineStr">
        <is>
          <t>No</t>
        </is>
      </c>
      <c r="Y219" s="41" t="n"/>
      <c r="Z219" s="273" t="n"/>
      <c r="AA219" s="35">
        <f>IF(X219="no",O219,O219*Y219)</f>
        <v/>
      </c>
      <c r="AB219" s="273" t="inlineStr">
        <is>
          <t>Mg</t>
        </is>
      </c>
      <c r="AC219" s="190">
        <f>INDEX(Tab_Def_Flows[[Flow_ID]:[CC_DM_source]],MATCH(Tab_Data_Flows[[#This Row],[Name(EN)]],Tab_Def_Flows[Name(EN)],0),13)</f>
        <v/>
      </c>
      <c r="AD219" s="272">
        <f>IF(J219="Yes",AA219*Tab_Data_Flows[[#This Row],[WC_'[%']]],"N.A.")</f>
        <v/>
      </c>
      <c r="AE219" s="272">
        <f>Tab_Data_Flows[[#This Row],[UoM_Flow_Py]]</f>
        <v/>
      </c>
      <c r="AF219" s="190">
        <f>INDEX(Tab_Def_Flows[[Flow_ID]:[CC_DM_source]],MATCH(Tab_Data_Flows[[#This Row],[Name(EN)]],Tab_Def_Flows[Name(EN)],0),15)</f>
        <v/>
      </c>
      <c r="AG219" s="272">
        <f>IF(K219="Yes",AF219*Tab_Data_Flows[[#This Row],[Flow_Py]],"N.A.")</f>
        <v/>
      </c>
      <c r="AH219" s="272">
        <f>Tab_Data_Flows[[#This Row],[UoM_Flow_Py]]</f>
        <v/>
      </c>
      <c r="AI219" s="190">
        <f>INDEX(Tab_Def_Flows[[Flow_ID]:[CC_DM_source]],MATCH(Tab_Data_Flows[[#This Row],[Name(EN)]],Tab_Def_Flows[Name(EN)],0),17)</f>
        <v/>
      </c>
      <c r="AJ219" s="272">
        <f>IF(L219="Yes",AI219*Tab_Data_Flows[[#This Row],[Flow_Py]]*Tab_Data_Flows[[#This Row],[DM_'[%']]],"N.A.")</f>
        <v/>
      </c>
      <c r="AK219" s="272">
        <f>Tab_Data_Flows[[#This Row],[UoM_Flow_Py]]</f>
        <v/>
      </c>
    </row>
    <row r="220">
      <c r="A220" s="296">
        <f>ROW()-1</f>
        <v/>
      </c>
      <c r="B220" s="272">
        <f>_xlfn.XLOOKUP(C220,Tab_Def_Flows[Name(EN)],Tab_Def_Flows[Flow_ID],,0,)</f>
        <v/>
      </c>
      <c r="C220" s="273" t="inlineStr">
        <is>
          <t>N.A.</t>
        </is>
      </c>
      <c r="D220" s="272">
        <f>_xlfn.XLOOKUP(C220,Tab_Def_Flows[Name(EN)],Tab_Def_Flows[Type_Biomass],,0,)</f>
        <v/>
      </c>
      <c r="E220" s="272">
        <f>_xlfn.XLOOKUP(C220,Tab_Def_Flows[Name(EN)],Tab_Def_Flows[Output_Process],,0,)</f>
        <v/>
      </c>
      <c r="F220" s="272">
        <f>_xlfn.XLOOKUP(C220,Tab_Def_Flows[Name(EN)],Tab_Def_Flows[Process_ID_O],,0,)</f>
        <v/>
      </c>
      <c r="G220" s="272">
        <f>_xlfn.XLOOKUP(C220,Tab_Def_Flows[Name(EN)],Tab_Def_Flows[Input_Process],,0,)</f>
        <v/>
      </c>
      <c r="H220" s="17">
        <f>_xlfn.XLOOKUP(C220,Tab_Def_Flows[Name(EN)],Tab_Def_Flows[Process_ID_I],,0,)</f>
        <v/>
      </c>
      <c r="I220" s="17">
        <f>_xlfn.XLOOKUP(C220,Tab_Def_Flows[Name(EN)],#REF!,,0,)</f>
        <v/>
      </c>
      <c r="J220" s="17">
        <f>_xlfn.XLOOKUP(C220,Tab_Def_Flows[Name(EN)],Tab_Def_Flows[WC?],,0,)</f>
        <v/>
      </c>
      <c r="K220" s="17">
        <f>_xlfn.XLOOKUP(C220,Tab_Def_Flows[Name(EN)],Tab_Def_Flows[DM?],,0,)</f>
        <v/>
      </c>
      <c r="L220" s="17">
        <f>_xlfn.XLOOKUP(C220,Tab_Def_Flows[Name(EN)],Tab_Def_Flows[CC?],,0,)</f>
        <v/>
      </c>
      <c r="M220" s="273" t="n"/>
      <c r="N220" s="273" t="n"/>
      <c r="O220" s="48" t="n"/>
      <c r="P220" s="273" t="n"/>
      <c r="Q220" s="273" t="n"/>
      <c r="R220" s="273" t="n"/>
      <c r="S220" s="273" t="n"/>
      <c r="T220" s="273" t="n"/>
      <c r="U220" s="273" t="n"/>
      <c r="V220" s="273" t="n"/>
      <c r="W220" s="273" t="n"/>
      <c r="X220" s="273" t="inlineStr">
        <is>
          <t>No</t>
        </is>
      </c>
      <c r="Y220" s="41" t="n"/>
      <c r="Z220" s="273" t="n"/>
      <c r="AA220" s="35">
        <f>IF(X220="no",O220,O220*Y220)</f>
        <v/>
      </c>
      <c r="AB220" s="273" t="inlineStr">
        <is>
          <t>Mg</t>
        </is>
      </c>
      <c r="AC220" s="190">
        <f>INDEX(Tab_Def_Flows[[Flow_ID]:[CC_DM_source]],MATCH(Tab_Data_Flows[[#This Row],[Name(EN)]],Tab_Def_Flows[Name(EN)],0),13)</f>
        <v/>
      </c>
      <c r="AD220" s="272">
        <f>IF(J220="Yes",AA220*Tab_Data_Flows[[#This Row],[WC_'[%']]],"N.A.")</f>
        <v/>
      </c>
      <c r="AE220" s="272">
        <f>Tab_Data_Flows[[#This Row],[UoM_Flow_Py]]</f>
        <v/>
      </c>
      <c r="AF220" s="190">
        <f>INDEX(Tab_Def_Flows[[Flow_ID]:[CC_DM_source]],MATCH(Tab_Data_Flows[[#This Row],[Name(EN)]],Tab_Def_Flows[Name(EN)],0),15)</f>
        <v/>
      </c>
      <c r="AG220" s="272">
        <f>IF(K220="Yes",AF220*Tab_Data_Flows[[#This Row],[Flow_Py]],"N.A.")</f>
        <v/>
      </c>
      <c r="AH220" s="272">
        <f>Tab_Data_Flows[[#This Row],[UoM_Flow_Py]]</f>
        <v/>
      </c>
      <c r="AI220" s="190">
        <f>INDEX(Tab_Def_Flows[[Flow_ID]:[CC_DM_source]],MATCH(Tab_Data_Flows[[#This Row],[Name(EN)]],Tab_Def_Flows[Name(EN)],0),17)</f>
        <v/>
      </c>
      <c r="AJ220" s="272">
        <f>IF(L220="Yes",AI220*Tab_Data_Flows[[#This Row],[Flow_Py]]*Tab_Data_Flows[[#This Row],[DM_'[%']]],"N.A.")</f>
        <v/>
      </c>
      <c r="AK220" s="272">
        <f>Tab_Data_Flows[[#This Row],[UoM_Flow_Py]]</f>
        <v/>
      </c>
    </row>
    <row r="221">
      <c r="A221" s="296">
        <f>ROW()-1</f>
        <v/>
      </c>
      <c r="B221" s="272">
        <f>_xlfn.XLOOKUP(C221,Tab_Def_Flows[Name(EN)],Tab_Def_Flows[Flow_ID],,0,)</f>
        <v/>
      </c>
      <c r="C221" s="273" t="inlineStr">
        <is>
          <t>N.A.</t>
        </is>
      </c>
      <c r="D221" s="272">
        <f>_xlfn.XLOOKUP(C221,Tab_Def_Flows[Name(EN)],Tab_Def_Flows[Type_Biomass],,0,)</f>
        <v/>
      </c>
      <c r="E221" s="272">
        <f>_xlfn.XLOOKUP(C221,Tab_Def_Flows[Name(EN)],Tab_Def_Flows[Output_Process],,0,)</f>
        <v/>
      </c>
      <c r="F221" s="272">
        <f>_xlfn.XLOOKUP(C221,Tab_Def_Flows[Name(EN)],Tab_Def_Flows[Process_ID_O],,0,)</f>
        <v/>
      </c>
      <c r="G221" s="272">
        <f>_xlfn.XLOOKUP(C221,Tab_Def_Flows[Name(EN)],Tab_Def_Flows[Input_Process],,0,)</f>
        <v/>
      </c>
      <c r="H221" s="17">
        <f>_xlfn.XLOOKUP(C221,Tab_Def_Flows[Name(EN)],Tab_Def_Flows[Process_ID_I],,0,)</f>
        <v/>
      </c>
      <c r="I221" s="17">
        <f>_xlfn.XLOOKUP(C221,Tab_Def_Flows[Name(EN)],#REF!,,0,)</f>
        <v/>
      </c>
      <c r="J221" s="17">
        <f>_xlfn.XLOOKUP(C221,Tab_Def_Flows[Name(EN)],Tab_Def_Flows[WC?],,0,)</f>
        <v/>
      </c>
      <c r="K221" s="17">
        <f>_xlfn.XLOOKUP(C221,Tab_Def_Flows[Name(EN)],Tab_Def_Flows[DM?],,0,)</f>
        <v/>
      </c>
      <c r="L221" s="17">
        <f>_xlfn.XLOOKUP(C221,Tab_Def_Flows[Name(EN)],Tab_Def_Flows[CC?],,0,)</f>
        <v/>
      </c>
      <c r="M221" s="273" t="n"/>
      <c r="N221" s="273" t="n"/>
      <c r="O221" s="48" t="n"/>
      <c r="P221" s="273" t="n"/>
      <c r="Q221" s="273" t="n"/>
      <c r="R221" s="273" t="n"/>
      <c r="S221" s="273" t="n"/>
      <c r="T221" s="273" t="n"/>
      <c r="U221" s="273" t="n"/>
      <c r="V221" s="273" t="n"/>
      <c r="W221" s="273" t="n"/>
      <c r="X221" s="273" t="inlineStr">
        <is>
          <t>No</t>
        </is>
      </c>
      <c r="Y221" s="41" t="n"/>
      <c r="Z221" s="273" t="n"/>
      <c r="AA221" s="35">
        <f>IF(X221="no",O221,O221*Y221)</f>
        <v/>
      </c>
      <c r="AB221" s="273" t="inlineStr">
        <is>
          <t>Mg</t>
        </is>
      </c>
      <c r="AC221" s="190">
        <f>INDEX(Tab_Def_Flows[[Flow_ID]:[CC_DM_source]],MATCH(Tab_Data_Flows[[#This Row],[Name(EN)]],Tab_Def_Flows[Name(EN)],0),13)</f>
        <v/>
      </c>
      <c r="AD221" s="272">
        <f>IF(J221="Yes",AA221*Tab_Data_Flows[[#This Row],[WC_'[%']]],"N.A.")</f>
        <v/>
      </c>
      <c r="AE221" s="272">
        <f>Tab_Data_Flows[[#This Row],[UoM_Flow_Py]]</f>
        <v/>
      </c>
      <c r="AF221" s="190">
        <f>INDEX(Tab_Def_Flows[[Flow_ID]:[CC_DM_source]],MATCH(Tab_Data_Flows[[#This Row],[Name(EN)]],Tab_Def_Flows[Name(EN)],0),15)</f>
        <v/>
      </c>
      <c r="AG221" s="272">
        <f>IF(K221="Yes",AF221*Tab_Data_Flows[[#This Row],[Flow_Py]],"N.A.")</f>
        <v/>
      </c>
      <c r="AH221" s="272">
        <f>Tab_Data_Flows[[#This Row],[UoM_Flow_Py]]</f>
        <v/>
      </c>
      <c r="AI221" s="190">
        <f>INDEX(Tab_Def_Flows[[Flow_ID]:[CC_DM_source]],MATCH(Tab_Data_Flows[[#This Row],[Name(EN)]],Tab_Def_Flows[Name(EN)],0),17)</f>
        <v/>
      </c>
      <c r="AJ221" s="272">
        <f>IF(L221="Yes",AI221*Tab_Data_Flows[[#This Row],[Flow_Py]]*Tab_Data_Flows[[#This Row],[DM_'[%']]],"N.A.")</f>
        <v/>
      </c>
      <c r="AK221" s="272">
        <f>Tab_Data_Flows[[#This Row],[UoM_Flow_Py]]</f>
        <v/>
      </c>
    </row>
    <row r="222">
      <c r="A222" s="296">
        <f>ROW()-1</f>
        <v/>
      </c>
      <c r="B222" s="272">
        <f>_xlfn.XLOOKUP(C222,Tab_Def_Flows[Name(EN)],Tab_Def_Flows[Flow_ID],,0,)</f>
        <v/>
      </c>
      <c r="C222" s="273" t="inlineStr">
        <is>
          <t>N.A.</t>
        </is>
      </c>
      <c r="D222" s="272">
        <f>_xlfn.XLOOKUP(C222,Tab_Def_Flows[Name(EN)],Tab_Def_Flows[Type_Biomass],,0,)</f>
        <v/>
      </c>
      <c r="E222" s="272">
        <f>_xlfn.XLOOKUP(C222,Tab_Def_Flows[Name(EN)],Tab_Def_Flows[Output_Process],,0,)</f>
        <v/>
      </c>
      <c r="F222" s="272">
        <f>_xlfn.XLOOKUP(C222,Tab_Def_Flows[Name(EN)],Tab_Def_Flows[Process_ID_O],,0,)</f>
        <v/>
      </c>
      <c r="G222" s="272">
        <f>_xlfn.XLOOKUP(C222,Tab_Def_Flows[Name(EN)],Tab_Def_Flows[Input_Process],,0,)</f>
        <v/>
      </c>
      <c r="H222" s="17">
        <f>_xlfn.XLOOKUP(C222,Tab_Def_Flows[Name(EN)],Tab_Def_Flows[Process_ID_I],,0,)</f>
        <v/>
      </c>
      <c r="I222" s="17">
        <f>_xlfn.XLOOKUP(C222,Tab_Def_Flows[Name(EN)],#REF!,,0,)</f>
        <v/>
      </c>
      <c r="J222" s="17">
        <f>_xlfn.XLOOKUP(C222,Tab_Def_Flows[Name(EN)],Tab_Def_Flows[WC?],,0,)</f>
        <v/>
      </c>
      <c r="K222" s="17">
        <f>_xlfn.XLOOKUP(C222,Tab_Def_Flows[Name(EN)],Tab_Def_Flows[DM?],,0,)</f>
        <v/>
      </c>
      <c r="L222" s="17">
        <f>_xlfn.XLOOKUP(C222,Tab_Def_Flows[Name(EN)],Tab_Def_Flows[CC?],,0,)</f>
        <v/>
      </c>
      <c r="M222" s="273" t="n"/>
      <c r="N222" s="273" t="n"/>
      <c r="O222" s="48" t="n"/>
      <c r="P222" s="273" t="n"/>
      <c r="Q222" s="273" t="n"/>
      <c r="R222" s="273" t="n"/>
      <c r="S222" s="273" t="n"/>
      <c r="T222" s="273" t="n"/>
      <c r="U222" s="273" t="n"/>
      <c r="V222" s="273" t="n"/>
      <c r="W222" s="273" t="n"/>
      <c r="X222" s="273" t="inlineStr">
        <is>
          <t>No</t>
        </is>
      </c>
      <c r="Y222" s="41" t="n"/>
      <c r="Z222" s="273" t="n"/>
      <c r="AA222" s="35">
        <f>IF(X222="no",O222,O222*Y222)</f>
        <v/>
      </c>
      <c r="AB222" s="273" t="inlineStr">
        <is>
          <t>Mg</t>
        </is>
      </c>
      <c r="AC222" s="190">
        <f>INDEX(Tab_Def_Flows[[Flow_ID]:[CC_DM_source]],MATCH(Tab_Data_Flows[[#This Row],[Name(EN)]],Tab_Def_Flows[Name(EN)],0),13)</f>
        <v/>
      </c>
      <c r="AD222" s="272">
        <f>IF(J222="Yes",AA222*Tab_Data_Flows[[#This Row],[WC_'[%']]],"N.A.")</f>
        <v/>
      </c>
      <c r="AE222" s="272">
        <f>Tab_Data_Flows[[#This Row],[UoM_Flow_Py]]</f>
        <v/>
      </c>
      <c r="AF222" s="190">
        <f>INDEX(Tab_Def_Flows[[Flow_ID]:[CC_DM_source]],MATCH(Tab_Data_Flows[[#This Row],[Name(EN)]],Tab_Def_Flows[Name(EN)],0),15)</f>
        <v/>
      </c>
      <c r="AG222" s="272">
        <f>IF(K222="Yes",AF222*Tab_Data_Flows[[#This Row],[Flow_Py]],"N.A.")</f>
        <v/>
      </c>
      <c r="AH222" s="272">
        <f>Tab_Data_Flows[[#This Row],[UoM_Flow_Py]]</f>
        <v/>
      </c>
      <c r="AI222" s="190">
        <f>INDEX(Tab_Def_Flows[[Flow_ID]:[CC_DM_source]],MATCH(Tab_Data_Flows[[#This Row],[Name(EN)]],Tab_Def_Flows[Name(EN)],0),17)</f>
        <v/>
      </c>
      <c r="AJ222" s="272">
        <f>IF(L222="Yes",AI222*Tab_Data_Flows[[#This Row],[Flow_Py]]*Tab_Data_Flows[[#This Row],[DM_'[%']]],"N.A.")</f>
        <v/>
      </c>
      <c r="AK222" s="272">
        <f>Tab_Data_Flows[[#This Row],[UoM_Flow_Py]]</f>
        <v/>
      </c>
    </row>
    <row r="223">
      <c r="A223" s="296">
        <f>ROW()-1</f>
        <v/>
      </c>
      <c r="B223" s="272">
        <f>_xlfn.XLOOKUP(C223,Tab_Def_Flows[Name(EN)],Tab_Def_Flows[Flow_ID],,0,)</f>
        <v/>
      </c>
      <c r="C223" s="273" t="inlineStr">
        <is>
          <t>N.A.</t>
        </is>
      </c>
      <c r="D223" s="272">
        <f>_xlfn.XLOOKUP(C223,Tab_Def_Flows[Name(EN)],Tab_Def_Flows[Type_Biomass],,0,)</f>
        <v/>
      </c>
      <c r="E223" s="272">
        <f>_xlfn.XLOOKUP(C223,Tab_Def_Flows[Name(EN)],Tab_Def_Flows[Output_Process],,0,)</f>
        <v/>
      </c>
      <c r="F223" s="272">
        <f>_xlfn.XLOOKUP(C223,Tab_Def_Flows[Name(EN)],Tab_Def_Flows[Process_ID_O],,0,)</f>
        <v/>
      </c>
      <c r="G223" s="272">
        <f>_xlfn.XLOOKUP(C223,Tab_Def_Flows[Name(EN)],Tab_Def_Flows[Input_Process],,0,)</f>
        <v/>
      </c>
      <c r="H223" s="17">
        <f>_xlfn.XLOOKUP(C223,Tab_Def_Flows[Name(EN)],Tab_Def_Flows[Process_ID_I],,0,)</f>
        <v/>
      </c>
      <c r="I223" s="17">
        <f>_xlfn.XLOOKUP(C223,Tab_Def_Flows[Name(EN)],#REF!,,0,)</f>
        <v/>
      </c>
      <c r="J223" s="17">
        <f>_xlfn.XLOOKUP(C223,Tab_Def_Flows[Name(EN)],Tab_Def_Flows[WC?],,0,)</f>
        <v/>
      </c>
      <c r="K223" s="17">
        <f>_xlfn.XLOOKUP(C223,Tab_Def_Flows[Name(EN)],Tab_Def_Flows[DM?],,0,)</f>
        <v/>
      </c>
      <c r="L223" s="17">
        <f>_xlfn.XLOOKUP(C223,Tab_Def_Flows[Name(EN)],Tab_Def_Flows[CC?],,0,)</f>
        <v/>
      </c>
      <c r="M223" s="273" t="n"/>
      <c r="N223" s="273" t="n"/>
      <c r="O223" s="48" t="n"/>
      <c r="P223" s="273" t="n"/>
      <c r="Q223" s="273" t="n"/>
      <c r="R223" s="273" t="n"/>
      <c r="S223" s="273" t="n"/>
      <c r="T223" s="273" t="n"/>
      <c r="U223" s="273" t="n"/>
      <c r="V223" s="273" t="n"/>
      <c r="W223" s="273" t="n"/>
      <c r="X223" s="273" t="inlineStr">
        <is>
          <t>No</t>
        </is>
      </c>
      <c r="Y223" s="41" t="n"/>
      <c r="Z223" s="273" t="n"/>
      <c r="AA223" s="35">
        <f>IF(X223="no",O223,O223*Y223)</f>
        <v/>
      </c>
      <c r="AB223" s="273" t="inlineStr">
        <is>
          <t>Mg</t>
        </is>
      </c>
      <c r="AC223" s="190">
        <f>INDEX(Tab_Def_Flows[[Flow_ID]:[CC_DM_source]],MATCH(Tab_Data_Flows[[#This Row],[Name(EN)]],Tab_Def_Flows[Name(EN)],0),13)</f>
        <v/>
      </c>
      <c r="AD223" s="272">
        <f>IF(J223="Yes",AA223*Tab_Data_Flows[[#This Row],[WC_'[%']]],"N.A.")</f>
        <v/>
      </c>
      <c r="AE223" s="272">
        <f>Tab_Data_Flows[[#This Row],[UoM_Flow_Py]]</f>
        <v/>
      </c>
      <c r="AF223" s="190">
        <f>INDEX(Tab_Def_Flows[[Flow_ID]:[CC_DM_source]],MATCH(Tab_Data_Flows[[#This Row],[Name(EN)]],Tab_Def_Flows[Name(EN)],0),15)</f>
        <v/>
      </c>
      <c r="AG223" s="272">
        <f>IF(K223="Yes",AF223*Tab_Data_Flows[[#This Row],[Flow_Py]],"N.A.")</f>
        <v/>
      </c>
      <c r="AH223" s="272">
        <f>Tab_Data_Flows[[#This Row],[UoM_Flow_Py]]</f>
        <v/>
      </c>
      <c r="AI223" s="190">
        <f>INDEX(Tab_Def_Flows[[Flow_ID]:[CC_DM_source]],MATCH(Tab_Data_Flows[[#This Row],[Name(EN)]],Tab_Def_Flows[Name(EN)],0),17)</f>
        <v/>
      </c>
      <c r="AJ223" s="272">
        <f>IF(L223="Yes",AI223*Tab_Data_Flows[[#This Row],[Flow_Py]]*Tab_Data_Flows[[#This Row],[DM_'[%']]],"N.A.")</f>
        <v/>
      </c>
      <c r="AK223" s="272">
        <f>Tab_Data_Flows[[#This Row],[UoM_Flow_Py]]</f>
        <v/>
      </c>
    </row>
    <row r="224">
      <c r="A224" s="296">
        <f>ROW()-1</f>
        <v/>
      </c>
      <c r="B224" s="272">
        <f>_xlfn.XLOOKUP(C224,Tab_Def_Flows[Name(EN)],Tab_Def_Flows[Flow_ID],,0,)</f>
        <v/>
      </c>
      <c r="C224" s="273" t="inlineStr">
        <is>
          <t>N.A.</t>
        </is>
      </c>
      <c r="D224" s="272">
        <f>_xlfn.XLOOKUP(C224,Tab_Def_Flows[Name(EN)],Tab_Def_Flows[Type_Biomass],,0,)</f>
        <v/>
      </c>
      <c r="E224" s="272">
        <f>_xlfn.XLOOKUP(C224,Tab_Def_Flows[Name(EN)],Tab_Def_Flows[Output_Process],,0,)</f>
        <v/>
      </c>
      <c r="F224" s="272">
        <f>_xlfn.XLOOKUP(C224,Tab_Def_Flows[Name(EN)],Tab_Def_Flows[Process_ID_O],,0,)</f>
        <v/>
      </c>
      <c r="G224" s="272">
        <f>_xlfn.XLOOKUP(C224,Tab_Def_Flows[Name(EN)],Tab_Def_Flows[Input_Process],,0,)</f>
        <v/>
      </c>
      <c r="H224" s="17">
        <f>_xlfn.XLOOKUP(C224,Tab_Def_Flows[Name(EN)],Tab_Def_Flows[Process_ID_I],,0,)</f>
        <v/>
      </c>
      <c r="I224" s="17">
        <f>_xlfn.XLOOKUP(C224,Tab_Def_Flows[Name(EN)],#REF!,,0,)</f>
        <v/>
      </c>
      <c r="J224" s="17">
        <f>_xlfn.XLOOKUP(C224,Tab_Def_Flows[Name(EN)],Tab_Def_Flows[WC?],,0,)</f>
        <v/>
      </c>
      <c r="K224" s="17">
        <f>_xlfn.XLOOKUP(C224,Tab_Def_Flows[Name(EN)],Tab_Def_Flows[DM?],,0,)</f>
        <v/>
      </c>
      <c r="L224" s="17">
        <f>_xlfn.XLOOKUP(C224,Tab_Def_Flows[Name(EN)],Tab_Def_Flows[CC?],,0,)</f>
        <v/>
      </c>
      <c r="M224" s="273" t="n"/>
      <c r="N224" s="273" t="n"/>
      <c r="O224" s="48" t="n"/>
      <c r="P224" s="273" t="n"/>
      <c r="Q224" s="273" t="n"/>
      <c r="R224" s="273" t="n"/>
      <c r="S224" s="273" t="n"/>
      <c r="T224" s="273" t="n"/>
      <c r="U224" s="273" t="n"/>
      <c r="V224" s="273" t="n"/>
      <c r="W224" s="273" t="n"/>
      <c r="X224" s="273" t="inlineStr">
        <is>
          <t>No</t>
        </is>
      </c>
      <c r="Y224" s="41" t="n"/>
      <c r="Z224" s="273" t="n"/>
      <c r="AA224" s="35">
        <f>IF(X224="no",O224,O224*Y224)</f>
        <v/>
      </c>
      <c r="AB224" s="273" t="inlineStr">
        <is>
          <t>Mg</t>
        </is>
      </c>
      <c r="AC224" s="190">
        <f>INDEX(Tab_Def_Flows[[Flow_ID]:[CC_DM_source]],MATCH(Tab_Data_Flows[[#This Row],[Name(EN)]],Tab_Def_Flows[Name(EN)],0),13)</f>
        <v/>
      </c>
      <c r="AD224" s="272">
        <f>IF(J224="Yes",AA224*Tab_Data_Flows[[#This Row],[WC_'[%']]],"N.A.")</f>
        <v/>
      </c>
      <c r="AE224" s="272">
        <f>Tab_Data_Flows[[#This Row],[UoM_Flow_Py]]</f>
        <v/>
      </c>
      <c r="AF224" s="190">
        <f>INDEX(Tab_Def_Flows[[Flow_ID]:[CC_DM_source]],MATCH(Tab_Data_Flows[[#This Row],[Name(EN)]],Tab_Def_Flows[Name(EN)],0),15)</f>
        <v/>
      </c>
      <c r="AG224" s="272">
        <f>IF(K224="Yes",AF224*Tab_Data_Flows[[#This Row],[Flow_Py]],"N.A.")</f>
        <v/>
      </c>
      <c r="AH224" s="272">
        <f>Tab_Data_Flows[[#This Row],[UoM_Flow_Py]]</f>
        <v/>
      </c>
      <c r="AI224" s="190">
        <f>INDEX(Tab_Def_Flows[[Flow_ID]:[CC_DM_source]],MATCH(Tab_Data_Flows[[#This Row],[Name(EN)]],Tab_Def_Flows[Name(EN)],0),17)</f>
        <v/>
      </c>
      <c r="AJ224" s="272">
        <f>IF(L224="Yes",AI224*Tab_Data_Flows[[#This Row],[Flow_Py]]*Tab_Data_Flows[[#This Row],[DM_'[%']]],"N.A.")</f>
        <v/>
      </c>
      <c r="AK224" s="272">
        <f>Tab_Data_Flows[[#This Row],[UoM_Flow_Py]]</f>
        <v/>
      </c>
    </row>
    <row r="225">
      <c r="A225" s="296">
        <f>ROW()-1</f>
        <v/>
      </c>
      <c r="B225" s="272">
        <f>_xlfn.XLOOKUP(C225,Tab_Def_Flows[Name(EN)],Tab_Def_Flows[Flow_ID],,0,)</f>
        <v/>
      </c>
      <c r="C225" s="273" t="inlineStr">
        <is>
          <t>N.A.</t>
        </is>
      </c>
      <c r="D225" s="272">
        <f>_xlfn.XLOOKUP(C225,Tab_Def_Flows[Name(EN)],Tab_Def_Flows[Type_Biomass],,0,)</f>
        <v/>
      </c>
      <c r="E225" s="272">
        <f>_xlfn.XLOOKUP(C225,Tab_Def_Flows[Name(EN)],Tab_Def_Flows[Output_Process],,0,)</f>
        <v/>
      </c>
      <c r="F225" s="272">
        <f>_xlfn.XLOOKUP(C225,Tab_Def_Flows[Name(EN)],Tab_Def_Flows[Process_ID_O],,0,)</f>
        <v/>
      </c>
      <c r="G225" s="272">
        <f>_xlfn.XLOOKUP(C225,Tab_Def_Flows[Name(EN)],Tab_Def_Flows[Input_Process],,0,)</f>
        <v/>
      </c>
      <c r="H225" s="17">
        <f>_xlfn.XLOOKUP(C225,Tab_Def_Flows[Name(EN)],Tab_Def_Flows[Process_ID_I],,0,)</f>
        <v/>
      </c>
      <c r="I225" s="17">
        <f>_xlfn.XLOOKUP(C225,Tab_Def_Flows[Name(EN)],#REF!,,0,)</f>
        <v/>
      </c>
      <c r="J225" s="17">
        <f>_xlfn.XLOOKUP(C225,Tab_Def_Flows[Name(EN)],Tab_Def_Flows[WC?],,0,)</f>
        <v/>
      </c>
      <c r="K225" s="17">
        <f>_xlfn.XLOOKUP(C225,Tab_Def_Flows[Name(EN)],Tab_Def_Flows[DM?],,0,)</f>
        <v/>
      </c>
      <c r="L225" s="17">
        <f>_xlfn.XLOOKUP(C225,Tab_Def_Flows[Name(EN)],Tab_Def_Flows[CC?],,0,)</f>
        <v/>
      </c>
      <c r="M225" s="273" t="n"/>
      <c r="N225" s="273" t="n"/>
      <c r="O225" s="48" t="n"/>
      <c r="P225" s="273" t="n"/>
      <c r="Q225" s="273" t="n"/>
      <c r="R225" s="273" t="n"/>
      <c r="S225" s="273" t="n"/>
      <c r="T225" s="273" t="n"/>
      <c r="U225" s="273" t="n"/>
      <c r="V225" s="273" t="n"/>
      <c r="W225" s="273" t="n"/>
      <c r="X225" s="273" t="inlineStr">
        <is>
          <t>No</t>
        </is>
      </c>
      <c r="Y225" s="41" t="n"/>
      <c r="Z225" s="273" t="n"/>
      <c r="AA225" s="35">
        <f>IF(X225="no",O225,O225*Y225)</f>
        <v/>
      </c>
      <c r="AB225" s="273" t="inlineStr">
        <is>
          <t>Mg</t>
        </is>
      </c>
      <c r="AC225" s="190">
        <f>INDEX(Tab_Def_Flows[[Flow_ID]:[CC_DM_source]],MATCH(Tab_Data_Flows[[#This Row],[Name(EN)]],Tab_Def_Flows[Name(EN)],0),13)</f>
        <v/>
      </c>
      <c r="AD225" s="272">
        <f>IF(J225="Yes",AA225*Tab_Data_Flows[[#This Row],[WC_'[%']]],"N.A.")</f>
        <v/>
      </c>
      <c r="AE225" s="272">
        <f>Tab_Data_Flows[[#This Row],[UoM_Flow_Py]]</f>
        <v/>
      </c>
      <c r="AF225" s="190">
        <f>INDEX(Tab_Def_Flows[[Flow_ID]:[CC_DM_source]],MATCH(Tab_Data_Flows[[#This Row],[Name(EN)]],Tab_Def_Flows[Name(EN)],0),15)</f>
        <v/>
      </c>
      <c r="AG225" s="272">
        <f>IF(K225="Yes",AF225*Tab_Data_Flows[[#This Row],[Flow_Py]],"N.A.")</f>
        <v/>
      </c>
      <c r="AH225" s="272">
        <f>Tab_Data_Flows[[#This Row],[UoM_Flow_Py]]</f>
        <v/>
      </c>
      <c r="AI225" s="190">
        <f>INDEX(Tab_Def_Flows[[Flow_ID]:[CC_DM_source]],MATCH(Tab_Data_Flows[[#This Row],[Name(EN)]],Tab_Def_Flows[Name(EN)],0),17)</f>
        <v/>
      </c>
      <c r="AJ225" s="272">
        <f>IF(L225="Yes",AI225*Tab_Data_Flows[[#This Row],[Flow_Py]]*Tab_Data_Flows[[#This Row],[DM_'[%']]],"N.A.")</f>
        <v/>
      </c>
      <c r="AK225" s="272">
        <f>Tab_Data_Flows[[#This Row],[UoM_Flow_Py]]</f>
        <v/>
      </c>
    </row>
    <row r="226">
      <c r="A226" s="296">
        <f>ROW()-1</f>
        <v/>
      </c>
      <c r="B226" s="272">
        <f>_xlfn.XLOOKUP(C226,Tab_Def_Flows[Name(EN)],Tab_Def_Flows[Flow_ID],,0,)</f>
        <v/>
      </c>
      <c r="C226" s="273" t="inlineStr">
        <is>
          <t>N.A.</t>
        </is>
      </c>
      <c r="D226" s="272">
        <f>_xlfn.XLOOKUP(C226,Tab_Def_Flows[Name(EN)],Tab_Def_Flows[Type_Biomass],,0,)</f>
        <v/>
      </c>
      <c r="E226" s="272">
        <f>_xlfn.XLOOKUP(C226,Tab_Def_Flows[Name(EN)],Tab_Def_Flows[Output_Process],,0,)</f>
        <v/>
      </c>
      <c r="F226" s="272">
        <f>_xlfn.XLOOKUP(C226,Tab_Def_Flows[Name(EN)],Tab_Def_Flows[Process_ID_O],,0,)</f>
        <v/>
      </c>
      <c r="G226" s="272">
        <f>_xlfn.XLOOKUP(C226,Tab_Def_Flows[Name(EN)],Tab_Def_Flows[Input_Process],,0,)</f>
        <v/>
      </c>
      <c r="H226" s="17">
        <f>_xlfn.XLOOKUP(C226,Tab_Def_Flows[Name(EN)],Tab_Def_Flows[Process_ID_I],,0,)</f>
        <v/>
      </c>
      <c r="I226" s="17">
        <f>_xlfn.XLOOKUP(C226,Tab_Def_Flows[Name(EN)],#REF!,,0,)</f>
        <v/>
      </c>
      <c r="J226" s="17">
        <f>_xlfn.XLOOKUP(C226,Tab_Def_Flows[Name(EN)],Tab_Def_Flows[WC?],,0,)</f>
        <v/>
      </c>
      <c r="K226" s="17">
        <f>_xlfn.XLOOKUP(C226,Tab_Def_Flows[Name(EN)],Tab_Def_Flows[DM?],,0,)</f>
        <v/>
      </c>
      <c r="L226" s="17">
        <f>_xlfn.XLOOKUP(C226,Tab_Def_Flows[Name(EN)],Tab_Def_Flows[CC?],,0,)</f>
        <v/>
      </c>
      <c r="M226" s="273" t="n"/>
      <c r="N226" s="273" t="n"/>
      <c r="O226" s="48" t="n"/>
      <c r="P226" s="273" t="n"/>
      <c r="Q226" s="273" t="n"/>
      <c r="R226" s="273" t="n"/>
      <c r="S226" s="273" t="n"/>
      <c r="T226" s="273" t="n"/>
      <c r="U226" s="273" t="n"/>
      <c r="V226" s="273" t="n"/>
      <c r="W226" s="273" t="n"/>
      <c r="X226" s="273" t="inlineStr">
        <is>
          <t>No</t>
        </is>
      </c>
      <c r="Y226" s="41" t="n"/>
      <c r="Z226" s="273" t="n"/>
      <c r="AA226" s="35">
        <f>IF(X226="no",O226,O226*Y226)</f>
        <v/>
      </c>
      <c r="AB226" s="273" t="inlineStr">
        <is>
          <t>Mg</t>
        </is>
      </c>
      <c r="AC226" s="190">
        <f>INDEX(Tab_Def_Flows[[Flow_ID]:[CC_DM_source]],MATCH(Tab_Data_Flows[[#This Row],[Name(EN)]],Tab_Def_Flows[Name(EN)],0),13)</f>
        <v/>
      </c>
      <c r="AD226" s="272">
        <f>IF(J226="Yes",AA226*Tab_Data_Flows[[#This Row],[WC_'[%']]],"N.A.")</f>
        <v/>
      </c>
      <c r="AE226" s="272">
        <f>Tab_Data_Flows[[#This Row],[UoM_Flow_Py]]</f>
        <v/>
      </c>
      <c r="AF226" s="190">
        <f>INDEX(Tab_Def_Flows[[Flow_ID]:[CC_DM_source]],MATCH(Tab_Data_Flows[[#This Row],[Name(EN)]],Tab_Def_Flows[Name(EN)],0),15)</f>
        <v/>
      </c>
      <c r="AG226" s="272">
        <f>IF(K226="Yes",AF226*Tab_Data_Flows[[#This Row],[Flow_Py]],"N.A.")</f>
        <v/>
      </c>
      <c r="AH226" s="272">
        <f>Tab_Data_Flows[[#This Row],[UoM_Flow_Py]]</f>
        <v/>
      </c>
      <c r="AI226" s="190">
        <f>INDEX(Tab_Def_Flows[[Flow_ID]:[CC_DM_source]],MATCH(Tab_Data_Flows[[#This Row],[Name(EN)]],Tab_Def_Flows[Name(EN)],0),17)</f>
        <v/>
      </c>
      <c r="AJ226" s="272">
        <f>IF(L226="Yes",AI226*Tab_Data_Flows[[#This Row],[Flow_Py]]*Tab_Data_Flows[[#This Row],[DM_'[%']]],"N.A.")</f>
        <v/>
      </c>
      <c r="AK226" s="272">
        <f>Tab_Data_Flows[[#This Row],[UoM_Flow_Py]]</f>
        <v/>
      </c>
    </row>
    <row r="227">
      <c r="A227" s="296">
        <f>ROW()-1</f>
        <v/>
      </c>
      <c r="B227" s="272">
        <f>_xlfn.XLOOKUP(C227,Tab_Def_Flows[Name(EN)],Tab_Def_Flows[Flow_ID],,0,)</f>
        <v/>
      </c>
      <c r="C227" s="273" t="inlineStr">
        <is>
          <t>N.A.</t>
        </is>
      </c>
      <c r="D227" s="272">
        <f>_xlfn.XLOOKUP(C227,Tab_Def_Flows[Name(EN)],Tab_Def_Flows[Type_Biomass],,0,)</f>
        <v/>
      </c>
      <c r="E227" s="272">
        <f>_xlfn.XLOOKUP(C227,Tab_Def_Flows[Name(EN)],Tab_Def_Flows[Output_Process],,0,)</f>
        <v/>
      </c>
      <c r="F227" s="272">
        <f>_xlfn.XLOOKUP(C227,Tab_Def_Flows[Name(EN)],Tab_Def_Flows[Process_ID_O],,0,)</f>
        <v/>
      </c>
      <c r="G227" s="272">
        <f>_xlfn.XLOOKUP(C227,Tab_Def_Flows[Name(EN)],Tab_Def_Flows[Input_Process],,0,)</f>
        <v/>
      </c>
      <c r="H227" s="17">
        <f>_xlfn.XLOOKUP(C227,Tab_Def_Flows[Name(EN)],Tab_Def_Flows[Process_ID_I],,0,)</f>
        <v/>
      </c>
      <c r="I227" s="17">
        <f>_xlfn.XLOOKUP(C227,Tab_Def_Flows[Name(EN)],#REF!,,0,)</f>
        <v/>
      </c>
      <c r="J227" s="17">
        <f>_xlfn.XLOOKUP(C227,Tab_Def_Flows[Name(EN)],Tab_Def_Flows[WC?],,0,)</f>
        <v/>
      </c>
      <c r="K227" s="17">
        <f>_xlfn.XLOOKUP(C227,Tab_Def_Flows[Name(EN)],Tab_Def_Flows[DM?],,0,)</f>
        <v/>
      </c>
      <c r="L227" s="17">
        <f>_xlfn.XLOOKUP(C227,Tab_Def_Flows[Name(EN)],Tab_Def_Flows[CC?],,0,)</f>
        <v/>
      </c>
      <c r="M227" s="273" t="n"/>
      <c r="N227" s="273" t="n"/>
      <c r="O227" s="48" t="n"/>
      <c r="P227" s="273" t="n"/>
      <c r="Q227" s="273" t="n"/>
      <c r="R227" s="273" t="n"/>
      <c r="S227" s="273" t="n"/>
      <c r="T227" s="273" t="n"/>
      <c r="U227" s="273" t="n"/>
      <c r="V227" s="273" t="n"/>
      <c r="W227" s="273" t="n"/>
      <c r="X227" s="273" t="inlineStr">
        <is>
          <t>No</t>
        </is>
      </c>
      <c r="Y227" s="41" t="n"/>
      <c r="Z227" s="273" t="n"/>
      <c r="AA227" s="35">
        <f>IF(X227="no",O227,O227*Y227)</f>
        <v/>
      </c>
      <c r="AB227" s="273" t="inlineStr">
        <is>
          <t>Mg</t>
        </is>
      </c>
      <c r="AC227" s="190">
        <f>INDEX(Tab_Def_Flows[[Flow_ID]:[CC_DM_source]],MATCH(Tab_Data_Flows[[#This Row],[Name(EN)]],Tab_Def_Flows[Name(EN)],0),13)</f>
        <v/>
      </c>
      <c r="AD227" s="272">
        <f>IF(J227="Yes",AA227*Tab_Data_Flows[[#This Row],[WC_'[%']]],"N.A.")</f>
        <v/>
      </c>
      <c r="AE227" s="272">
        <f>Tab_Data_Flows[[#This Row],[UoM_Flow_Py]]</f>
        <v/>
      </c>
      <c r="AF227" s="190">
        <f>INDEX(Tab_Def_Flows[[Flow_ID]:[CC_DM_source]],MATCH(Tab_Data_Flows[[#This Row],[Name(EN)]],Tab_Def_Flows[Name(EN)],0),15)</f>
        <v/>
      </c>
      <c r="AG227" s="272">
        <f>IF(K227="Yes",AF227*Tab_Data_Flows[[#This Row],[Flow_Py]],"N.A.")</f>
        <v/>
      </c>
      <c r="AH227" s="272">
        <f>Tab_Data_Flows[[#This Row],[UoM_Flow_Py]]</f>
        <v/>
      </c>
      <c r="AI227" s="190">
        <f>INDEX(Tab_Def_Flows[[Flow_ID]:[CC_DM_source]],MATCH(Tab_Data_Flows[[#This Row],[Name(EN)]],Tab_Def_Flows[Name(EN)],0),17)</f>
        <v/>
      </c>
      <c r="AJ227" s="272">
        <f>IF(L227="Yes",AI227*Tab_Data_Flows[[#This Row],[Flow_Py]]*Tab_Data_Flows[[#This Row],[DM_'[%']]],"N.A.")</f>
        <v/>
      </c>
      <c r="AK227" s="272">
        <f>Tab_Data_Flows[[#This Row],[UoM_Flow_Py]]</f>
        <v/>
      </c>
    </row>
    <row r="228">
      <c r="A228" s="296">
        <f>ROW()-1</f>
        <v/>
      </c>
      <c r="B228" s="272">
        <f>_xlfn.XLOOKUP(C228,Tab_Def_Flows[Name(EN)],Tab_Def_Flows[Flow_ID],,0,)</f>
        <v/>
      </c>
      <c r="C228" s="273" t="inlineStr">
        <is>
          <t>N.A.</t>
        </is>
      </c>
      <c r="D228" s="272">
        <f>_xlfn.XLOOKUP(C228,Tab_Def_Flows[Name(EN)],Tab_Def_Flows[Type_Biomass],,0,)</f>
        <v/>
      </c>
      <c r="E228" s="272">
        <f>_xlfn.XLOOKUP(C228,Tab_Def_Flows[Name(EN)],Tab_Def_Flows[Output_Process],,0,)</f>
        <v/>
      </c>
      <c r="F228" s="272">
        <f>_xlfn.XLOOKUP(C228,Tab_Def_Flows[Name(EN)],Tab_Def_Flows[Process_ID_O],,0,)</f>
        <v/>
      </c>
      <c r="G228" s="272">
        <f>_xlfn.XLOOKUP(C228,Tab_Def_Flows[Name(EN)],Tab_Def_Flows[Input_Process],,0,)</f>
        <v/>
      </c>
      <c r="H228" s="17">
        <f>_xlfn.XLOOKUP(C228,Tab_Def_Flows[Name(EN)],Tab_Def_Flows[Process_ID_I],,0,)</f>
        <v/>
      </c>
      <c r="I228" s="17">
        <f>_xlfn.XLOOKUP(C228,Tab_Def_Flows[Name(EN)],#REF!,,0,)</f>
        <v/>
      </c>
      <c r="J228" s="17">
        <f>_xlfn.XLOOKUP(C228,Tab_Def_Flows[Name(EN)],Tab_Def_Flows[WC?],,0,)</f>
        <v/>
      </c>
      <c r="K228" s="17">
        <f>_xlfn.XLOOKUP(C228,Tab_Def_Flows[Name(EN)],Tab_Def_Flows[DM?],,0,)</f>
        <v/>
      </c>
      <c r="L228" s="17">
        <f>_xlfn.XLOOKUP(C228,Tab_Def_Flows[Name(EN)],Tab_Def_Flows[CC?],,0,)</f>
        <v/>
      </c>
      <c r="M228" s="273" t="n"/>
      <c r="N228" s="273" t="n"/>
      <c r="O228" s="48" t="n"/>
      <c r="P228" s="273" t="n"/>
      <c r="Q228" s="273" t="n"/>
      <c r="R228" s="273" t="n"/>
      <c r="S228" s="273" t="n"/>
      <c r="T228" s="273" t="n"/>
      <c r="U228" s="273" t="n"/>
      <c r="V228" s="273" t="n"/>
      <c r="W228" s="273" t="n"/>
      <c r="X228" s="273" t="inlineStr">
        <is>
          <t>No</t>
        </is>
      </c>
      <c r="Y228" s="41" t="n"/>
      <c r="Z228" s="273" t="n"/>
      <c r="AA228" s="35">
        <f>IF(X228="no",O228,O228*Y228)</f>
        <v/>
      </c>
      <c r="AB228" s="273" t="inlineStr">
        <is>
          <t>Mg</t>
        </is>
      </c>
      <c r="AC228" s="190">
        <f>INDEX(Tab_Def_Flows[[Flow_ID]:[CC_DM_source]],MATCH(Tab_Data_Flows[[#This Row],[Name(EN)]],Tab_Def_Flows[Name(EN)],0),13)</f>
        <v/>
      </c>
      <c r="AD228" s="272">
        <f>IF(J228="Yes",AA228*Tab_Data_Flows[[#This Row],[WC_'[%']]],"N.A.")</f>
        <v/>
      </c>
      <c r="AE228" s="272">
        <f>Tab_Data_Flows[[#This Row],[UoM_Flow_Py]]</f>
        <v/>
      </c>
      <c r="AF228" s="190">
        <f>INDEX(Tab_Def_Flows[[Flow_ID]:[CC_DM_source]],MATCH(Tab_Data_Flows[[#This Row],[Name(EN)]],Tab_Def_Flows[Name(EN)],0),15)</f>
        <v/>
      </c>
      <c r="AG228" s="272">
        <f>IF(K228="Yes",AF228*Tab_Data_Flows[[#This Row],[Flow_Py]],"N.A.")</f>
        <v/>
      </c>
      <c r="AH228" s="272">
        <f>Tab_Data_Flows[[#This Row],[UoM_Flow_Py]]</f>
        <v/>
      </c>
      <c r="AI228" s="190">
        <f>INDEX(Tab_Def_Flows[[Flow_ID]:[CC_DM_source]],MATCH(Tab_Data_Flows[[#This Row],[Name(EN)]],Tab_Def_Flows[Name(EN)],0),17)</f>
        <v/>
      </c>
      <c r="AJ228" s="272">
        <f>IF(L228="Yes",AI228*Tab_Data_Flows[[#This Row],[Flow_Py]]*Tab_Data_Flows[[#This Row],[DM_'[%']]],"N.A.")</f>
        <v/>
      </c>
      <c r="AK228" s="272">
        <f>Tab_Data_Flows[[#This Row],[UoM_Flow_Py]]</f>
        <v/>
      </c>
    </row>
    <row r="229">
      <c r="A229" s="296">
        <f>ROW()-1</f>
        <v/>
      </c>
      <c r="B229" s="272">
        <f>_xlfn.XLOOKUP(C229,Tab_Def_Flows[Name(EN)],Tab_Def_Flows[Flow_ID],,0,)</f>
        <v/>
      </c>
      <c r="C229" s="273" t="inlineStr">
        <is>
          <t>N.A.</t>
        </is>
      </c>
      <c r="D229" s="272">
        <f>_xlfn.XLOOKUP(C229,Tab_Def_Flows[Name(EN)],Tab_Def_Flows[Type_Biomass],,0,)</f>
        <v/>
      </c>
      <c r="E229" s="272">
        <f>_xlfn.XLOOKUP(C229,Tab_Def_Flows[Name(EN)],Tab_Def_Flows[Output_Process],,0,)</f>
        <v/>
      </c>
      <c r="F229" s="272">
        <f>_xlfn.XLOOKUP(C229,Tab_Def_Flows[Name(EN)],Tab_Def_Flows[Process_ID_O],,0,)</f>
        <v/>
      </c>
      <c r="G229" s="272">
        <f>_xlfn.XLOOKUP(C229,Tab_Def_Flows[Name(EN)],Tab_Def_Flows[Input_Process],,0,)</f>
        <v/>
      </c>
      <c r="H229" s="17">
        <f>_xlfn.XLOOKUP(C229,Tab_Def_Flows[Name(EN)],Tab_Def_Flows[Process_ID_I],,0,)</f>
        <v/>
      </c>
      <c r="I229" s="17">
        <f>_xlfn.XLOOKUP(C229,Tab_Def_Flows[Name(EN)],#REF!,,0,)</f>
        <v/>
      </c>
      <c r="J229" s="17">
        <f>_xlfn.XLOOKUP(C229,Tab_Def_Flows[Name(EN)],Tab_Def_Flows[WC?],,0,)</f>
        <v/>
      </c>
      <c r="K229" s="17">
        <f>_xlfn.XLOOKUP(C229,Tab_Def_Flows[Name(EN)],Tab_Def_Flows[DM?],,0,)</f>
        <v/>
      </c>
      <c r="L229" s="17">
        <f>_xlfn.XLOOKUP(C229,Tab_Def_Flows[Name(EN)],Tab_Def_Flows[CC?],,0,)</f>
        <v/>
      </c>
      <c r="M229" s="273" t="n"/>
      <c r="N229" s="273" t="n"/>
      <c r="O229" s="48" t="n"/>
      <c r="P229" s="273" t="n"/>
      <c r="Q229" s="273" t="n"/>
      <c r="R229" s="273" t="n"/>
      <c r="S229" s="273" t="n"/>
      <c r="T229" s="273" t="n"/>
      <c r="U229" s="273" t="n"/>
      <c r="V229" s="273" t="n"/>
      <c r="W229" s="273" t="n"/>
      <c r="X229" s="273" t="inlineStr">
        <is>
          <t>No</t>
        </is>
      </c>
      <c r="Y229" s="41" t="n"/>
      <c r="Z229" s="273" t="n"/>
      <c r="AA229" s="35">
        <f>IF(X229="no",O229,O229*Y229)</f>
        <v/>
      </c>
      <c r="AB229" s="273" t="inlineStr">
        <is>
          <t>Mg</t>
        </is>
      </c>
      <c r="AC229" s="190">
        <f>INDEX(Tab_Def_Flows[[Flow_ID]:[CC_DM_source]],MATCH(Tab_Data_Flows[[#This Row],[Name(EN)]],Tab_Def_Flows[Name(EN)],0),13)</f>
        <v/>
      </c>
      <c r="AD229" s="272">
        <f>IF(J229="Yes",AA229*Tab_Data_Flows[[#This Row],[WC_'[%']]],"N.A.")</f>
        <v/>
      </c>
      <c r="AE229" s="272">
        <f>Tab_Data_Flows[[#This Row],[UoM_Flow_Py]]</f>
        <v/>
      </c>
      <c r="AF229" s="190">
        <f>INDEX(Tab_Def_Flows[[Flow_ID]:[CC_DM_source]],MATCH(Tab_Data_Flows[[#This Row],[Name(EN)]],Tab_Def_Flows[Name(EN)],0),15)</f>
        <v/>
      </c>
      <c r="AG229" s="272">
        <f>IF(K229="Yes",AF229*Tab_Data_Flows[[#This Row],[Flow_Py]],"N.A.")</f>
        <v/>
      </c>
      <c r="AH229" s="272">
        <f>Tab_Data_Flows[[#This Row],[UoM_Flow_Py]]</f>
        <v/>
      </c>
      <c r="AI229" s="190">
        <f>INDEX(Tab_Def_Flows[[Flow_ID]:[CC_DM_source]],MATCH(Tab_Data_Flows[[#This Row],[Name(EN)]],Tab_Def_Flows[Name(EN)],0),17)</f>
        <v/>
      </c>
      <c r="AJ229" s="272">
        <f>IF(L229="Yes",AI229*Tab_Data_Flows[[#This Row],[Flow_Py]]*Tab_Data_Flows[[#This Row],[DM_'[%']]],"N.A.")</f>
        <v/>
      </c>
      <c r="AK229" s="272">
        <f>Tab_Data_Flows[[#This Row],[UoM_Flow_Py]]</f>
        <v/>
      </c>
    </row>
    <row r="230">
      <c r="A230" s="296">
        <f>ROW()-1</f>
        <v/>
      </c>
      <c r="B230" s="272">
        <f>_xlfn.XLOOKUP(C230,Tab_Def_Flows[Name(EN)],Tab_Def_Flows[Flow_ID],,0,)</f>
        <v/>
      </c>
      <c r="C230" s="273" t="inlineStr">
        <is>
          <t>N.A.</t>
        </is>
      </c>
      <c r="D230" s="272">
        <f>_xlfn.XLOOKUP(C230,Tab_Def_Flows[Name(EN)],Tab_Def_Flows[Type_Biomass],,0,)</f>
        <v/>
      </c>
      <c r="E230" s="272">
        <f>_xlfn.XLOOKUP(C230,Tab_Def_Flows[Name(EN)],Tab_Def_Flows[Output_Process],,0,)</f>
        <v/>
      </c>
      <c r="F230" s="272">
        <f>_xlfn.XLOOKUP(C230,Tab_Def_Flows[Name(EN)],Tab_Def_Flows[Process_ID_O],,0,)</f>
        <v/>
      </c>
      <c r="G230" s="272">
        <f>_xlfn.XLOOKUP(C230,Tab_Def_Flows[Name(EN)],Tab_Def_Flows[Input_Process],,0,)</f>
        <v/>
      </c>
      <c r="H230" s="17">
        <f>_xlfn.XLOOKUP(C230,Tab_Def_Flows[Name(EN)],Tab_Def_Flows[Process_ID_I],,0,)</f>
        <v/>
      </c>
      <c r="I230" s="17">
        <f>_xlfn.XLOOKUP(C230,Tab_Def_Flows[Name(EN)],#REF!,,0,)</f>
        <v/>
      </c>
      <c r="J230" s="17">
        <f>_xlfn.XLOOKUP(C230,Tab_Def_Flows[Name(EN)],Tab_Def_Flows[WC?],,0,)</f>
        <v/>
      </c>
      <c r="K230" s="17">
        <f>_xlfn.XLOOKUP(C230,Tab_Def_Flows[Name(EN)],Tab_Def_Flows[DM?],,0,)</f>
        <v/>
      </c>
      <c r="L230" s="17">
        <f>_xlfn.XLOOKUP(C230,Tab_Def_Flows[Name(EN)],Tab_Def_Flows[CC?],,0,)</f>
        <v/>
      </c>
      <c r="M230" s="273" t="n"/>
      <c r="N230" s="273" t="n"/>
      <c r="O230" s="48" t="n"/>
      <c r="P230" s="273" t="n"/>
      <c r="Q230" s="273" t="n"/>
      <c r="R230" s="273" t="n"/>
      <c r="S230" s="273" t="n"/>
      <c r="T230" s="273" t="n"/>
      <c r="U230" s="273" t="n"/>
      <c r="V230" s="273" t="n"/>
      <c r="W230" s="273" t="n"/>
      <c r="X230" s="273" t="inlineStr">
        <is>
          <t>No</t>
        </is>
      </c>
      <c r="Y230" s="41" t="n"/>
      <c r="Z230" s="273" t="n"/>
      <c r="AA230" s="35">
        <f>IF(X230="no",O230,O230*Y230)</f>
        <v/>
      </c>
      <c r="AB230" s="273" t="inlineStr">
        <is>
          <t>Mg</t>
        </is>
      </c>
      <c r="AC230" s="190">
        <f>INDEX(Tab_Def_Flows[[Flow_ID]:[CC_DM_source]],MATCH(Tab_Data_Flows[[#This Row],[Name(EN)]],Tab_Def_Flows[Name(EN)],0),13)</f>
        <v/>
      </c>
      <c r="AD230" s="272">
        <f>IF(J230="Yes",AA230*Tab_Data_Flows[[#This Row],[WC_'[%']]],"N.A.")</f>
        <v/>
      </c>
      <c r="AE230" s="272">
        <f>Tab_Data_Flows[[#This Row],[UoM_Flow_Py]]</f>
        <v/>
      </c>
      <c r="AF230" s="190">
        <f>INDEX(Tab_Def_Flows[[Flow_ID]:[CC_DM_source]],MATCH(Tab_Data_Flows[[#This Row],[Name(EN)]],Tab_Def_Flows[Name(EN)],0),15)</f>
        <v/>
      </c>
      <c r="AG230" s="272">
        <f>IF(K230="Yes",AF230*Tab_Data_Flows[[#This Row],[Flow_Py]],"N.A.")</f>
        <v/>
      </c>
      <c r="AH230" s="272">
        <f>Tab_Data_Flows[[#This Row],[UoM_Flow_Py]]</f>
        <v/>
      </c>
      <c r="AI230" s="190">
        <f>INDEX(Tab_Def_Flows[[Flow_ID]:[CC_DM_source]],MATCH(Tab_Data_Flows[[#This Row],[Name(EN)]],Tab_Def_Flows[Name(EN)],0),17)</f>
        <v/>
      </c>
      <c r="AJ230" s="272">
        <f>IF(L230="Yes",AI230*Tab_Data_Flows[[#This Row],[Flow_Py]]*Tab_Data_Flows[[#This Row],[DM_'[%']]],"N.A.")</f>
        <v/>
      </c>
      <c r="AK230" s="272">
        <f>Tab_Data_Flows[[#This Row],[UoM_Flow_Py]]</f>
        <v/>
      </c>
    </row>
    <row r="231">
      <c r="A231" s="296">
        <f>ROW()-1</f>
        <v/>
      </c>
      <c r="B231" s="272">
        <f>_xlfn.XLOOKUP(C231,Tab_Def_Flows[Name(EN)],Tab_Def_Flows[Flow_ID],,0,)</f>
        <v/>
      </c>
      <c r="C231" s="273" t="inlineStr">
        <is>
          <t>N.A.</t>
        </is>
      </c>
      <c r="D231" s="272">
        <f>_xlfn.XLOOKUP(C231,Tab_Def_Flows[Name(EN)],Tab_Def_Flows[Type_Biomass],,0,)</f>
        <v/>
      </c>
      <c r="E231" s="272">
        <f>_xlfn.XLOOKUP(C231,Tab_Def_Flows[Name(EN)],Tab_Def_Flows[Output_Process],,0,)</f>
        <v/>
      </c>
      <c r="F231" s="272">
        <f>_xlfn.XLOOKUP(C231,Tab_Def_Flows[Name(EN)],Tab_Def_Flows[Process_ID_O],,0,)</f>
        <v/>
      </c>
      <c r="G231" s="272">
        <f>_xlfn.XLOOKUP(C231,Tab_Def_Flows[Name(EN)],Tab_Def_Flows[Input_Process],,0,)</f>
        <v/>
      </c>
      <c r="H231" s="17">
        <f>_xlfn.XLOOKUP(C231,Tab_Def_Flows[Name(EN)],Tab_Def_Flows[Process_ID_I],,0,)</f>
        <v/>
      </c>
      <c r="I231" s="17">
        <f>_xlfn.XLOOKUP(C231,Tab_Def_Flows[Name(EN)],#REF!,,0,)</f>
        <v/>
      </c>
      <c r="J231" s="17">
        <f>_xlfn.XLOOKUP(C231,Tab_Def_Flows[Name(EN)],Tab_Def_Flows[WC?],,0,)</f>
        <v/>
      </c>
      <c r="K231" s="17">
        <f>_xlfn.XLOOKUP(C231,Tab_Def_Flows[Name(EN)],Tab_Def_Flows[DM?],,0,)</f>
        <v/>
      </c>
      <c r="L231" s="17">
        <f>_xlfn.XLOOKUP(C231,Tab_Def_Flows[Name(EN)],Tab_Def_Flows[CC?],,0,)</f>
        <v/>
      </c>
      <c r="M231" s="273" t="n"/>
      <c r="N231" s="273" t="n"/>
      <c r="O231" s="48" t="n"/>
      <c r="P231" s="273" t="n"/>
      <c r="Q231" s="273" t="n"/>
      <c r="R231" s="273" t="n"/>
      <c r="S231" s="273" t="n"/>
      <c r="T231" s="273" t="n"/>
      <c r="U231" s="273" t="n"/>
      <c r="V231" s="273" t="n"/>
      <c r="W231" s="273" t="n"/>
      <c r="X231" s="273" t="inlineStr">
        <is>
          <t>No</t>
        </is>
      </c>
      <c r="Y231" s="41" t="n"/>
      <c r="Z231" s="273" t="n"/>
      <c r="AA231" s="35">
        <f>IF(X231="no",O231,O231*Y231)</f>
        <v/>
      </c>
      <c r="AB231" s="273" t="inlineStr">
        <is>
          <t>Mg</t>
        </is>
      </c>
      <c r="AC231" s="190">
        <f>INDEX(Tab_Def_Flows[[Flow_ID]:[CC_DM_source]],MATCH(Tab_Data_Flows[[#This Row],[Name(EN)]],Tab_Def_Flows[Name(EN)],0),13)</f>
        <v/>
      </c>
      <c r="AD231" s="272">
        <f>IF(J231="Yes",AA231*Tab_Data_Flows[[#This Row],[WC_'[%']]],"N.A.")</f>
        <v/>
      </c>
      <c r="AE231" s="272">
        <f>Tab_Data_Flows[[#This Row],[UoM_Flow_Py]]</f>
        <v/>
      </c>
      <c r="AF231" s="190">
        <f>INDEX(Tab_Def_Flows[[Flow_ID]:[CC_DM_source]],MATCH(Tab_Data_Flows[[#This Row],[Name(EN)]],Tab_Def_Flows[Name(EN)],0),15)</f>
        <v/>
      </c>
      <c r="AG231" s="272">
        <f>IF(K231="Yes",AF231*Tab_Data_Flows[[#This Row],[Flow_Py]],"N.A.")</f>
        <v/>
      </c>
      <c r="AH231" s="272">
        <f>Tab_Data_Flows[[#This Row],[UoM_Flow_Py]]</f>
        <v/>
      </c>
      <c r="AI231" s="190">
        <f>INDEX(Tab_Def_Flows[[Flow_ID]:[CC_DM_source]],MATCH(Tab_Data_Flows[[#This Row],[Name(EN)]],Tab_Def_Flows[Name(EN)],0),17)</f>
        <v/>
      </c>
      <c r="AJ231" s="272">
        <f>IF(L231="Yes",AI231*Tab_Data_Flows[[#This Row],[Flow_Py]]*Tab_Data_Flows[[#This Row],[DM_'[%']]],"N.A.")</f>
        <v/>
      </c>
      <c r="AK231" s="272">
        <f>Tab_Data_Flows[[#This Row],[UoM_Flow_Py]]</f>
        <v/>
      </c>
    </row>
    <row r="232">
      <c r="A232" s="296">
        <f>ROW()-1</f>
        <v/>
      </c>
      <c r="B232" s="272">
        <f>_xlfn.XLOOKUP(C232,Tab_Def_Flows[Name(EN)],Tab_Def_Flows[Flow_ID],,0,)</f>
        <v/>
      </c>
      <c r="C232" s="273" t="inlineStr">
        <is>
          <t>N.A.</t>
        </is>
      </c>
      <c r="D232" s="272">
        <f>_xlfn.XLOOKUP(C232,Tab_Def_Flows[Name(EN)],Tab_Def_Flows[Type_Biomass],,0,)</f>
        <v/>
      </c>
      <c r="E232" s="272">
        <f>_xlfn.XLOOKUP(C232,Tab_Def_Flows[Name(EN)],Tab_Def_Flows[Output_Process],,0,)</f>
        <v/>
      </c>
      <c r="F232" s="272">
        <f>_xlfn.XLOOKUP(C232,Tab_Def_Flows[Name(EN)],Tab_Def_Flows[Process_ID_O],,0,)</f>
        <v/>
      </c>
      <c r="G232" s="272">
        <f>_xlfn.XLOOKUP(C232,Tab_Def_Flows[Name(EN)],Tab_Def_Flows[Input_Process],,0,)</f>
        <v/>
      </c>
      <c r="H232" s="17">
        <f>_xlfn.XLOOKUP(C232,Tab_Def_Flows[Name(EN)],Tab_Def_Flows[Process_ID_I],,0,)</f>
        <v/>
      </c>
      <c r="I232" s="17">
        <f>_xlfn.XLOOKUP(C232,Tab_Def_Flows[Name(EN)],#REF!,,0,)</f>
        <v/>
      </c>
      <c r="J232" s="17">
        <f>_xlfn.XLOOKUP(C232,Tab_Def_Flows[Name(EN)],Tab_Def_Flows[WC?],,0,)</f>
        <v/>
      </c>
      <c r="K232" s="17">
        <f>_xlfn.XLOOKUP(C232,Tab_Def_Flows[Name(EN)],Tab_Def_Flows[DM?],,0,)</f>
        <v/>
      </c>
      <c r="L232" s="17">
        <f>_xlfn.XLOOKUP(C232,Tab_Def_Flows[Name(EN)],Tab_Def_Flows[CC?],,0,)</f>
        <v/>
      </c>
      <c r="M232" s="273" t="n"/>
      <c r="N232" s="273" t="n"/>
      <c r="O232" s="48" t="n"/>
      <c r="P232" s="273" t="n"/>
      <c r="Q232" s="273" t="n"/>
      <c r="R232" s="273" t="n"/>
      <c r="S232" s="273" t="n"/>
      <c r="T232" s="273" t="n"/>
      <c r="U232" s="273" t="n"/>
      <c r="V232" s="273" t="n"/>
      <c r="W232" s="273" t="n"/>
      <c r="X232" s="273" t="inlineStr">
        <is>
          <t>No</t>
        </is>
      </c>
      <c r="Y232" s="41" t="n"/>
      <c r="Z232" s="273" t="n"/>
      <c r="AA232" s="35">
        <f>IF(X232="no",O232,O232*Y232)</f>
        <v/>
      </c>
      <c r="AB232" s="273" t="inlineStr">
        <is>
          <t>Mg</t>
        </is>
      </c>
      <c r="AC232" s="190">
        <f>INDEX(Tab_Def_Flows[[Flow_ID]:[CC_DM_source]],MATCH(Tab_Data_Flows[[#This Row],[Name(EN)]],Tab_Def_Flows[Name(EN)],0),13)</f>
        <v/>
      </c>
      <c r="AD232" s="272">
        <f>IF(J232="Yes",AA232*Tab_Data_Flows[[#This Row],[WC_'[%']]],"N.A.")</f>
        <v/>
      </c>
      <c r="AE232" s="272">
        <f>Tab_Data_Flows[[#This Row],[UoM_Flow_Py]]</f>
        <v/>
      </c>
      <c r="AF232" s="190">
        <f>INDEX(Tab_Def_Flows[[Flow_ID]:[CC_DM_source]],MATCH(Tab_Data_Flows[[#This Row],[Name(EN)]],Tab_Def_Flows[Name(EN)],0),15)</f>
        <v/>
      </c>
      <c r="AG232" s="272">
        <f>IF(K232="Yes",AF232*Tab_Data_Flows[[#This Row],[Flow_Py]],"N.A.")</f>
        <v/>
      </c>
      <c r="AH232" s="272">
        <f>Tab_Data_Flows[[#This Row],[UoM_Flow_Py]]</f>
        <v/>
      </c>
      <c r="AI232" s="190">
        <f>INDEX(Tab_Def_Flows[[Flow_ID]:[CC_DM_source]],MATCH(Tab_Data_Flows[[#This Row],[Name(EN)]],Tab_Def_Flows[Name(EN)],0),17)</f>
        <v/>
      </c>
      <c r="AJ232" s="272">
        <f>IF(L232="Yes",AI232*Tab_Data_Flows[[#This Row],[Flow_Py]]*Tab_Data_Flows[[#This Row],[DM_'[%']]],"N.A.")</f>
        <v/>
      </c>
      <c r="AK232" s="272">
        <f>Tab_Data_Flows[[#This Row],[UoM_Flow_Py]]</f>
        <v/>
      </c>
    </row>
    <row r="233">
      <c r="A233" s="296">
        <f>ROW()-1</f>
        <v/>
      </c>
      <c r="B233" s="272">
        <f>_xlfn.XLOOKUP(C233,Tab_Def_Flows[Name(EN)],Tab_Def_Flows[Flow_ID],,0,)</f>
        <v/>
      </c>
      <c r="C233" s="273" t="inlineStr">
        <is>
          <t>N.A.</t>
        </is>
      </c>
      <c r="D233" s="272">
        <f>_xlfn.XLOOKUP(C233,Tab_Def_Flows[Name(EN)],Tab_Def_Flows[Type_Biomass],,0,)</f>
        <v/>
      </c>
      <c r="E233" s="272">
        <f>_xlfn.XLOOKUP(C233,Tab_Def_Flows[Name(EN)],Tab_Def_Flows[Output_Process],,0,)</f>
        <v/>
      </c>
      <c r="F233" s="272">
        <f>_xlfn.XLOOKUP(C233,Tab_Def_Flows[Name(EN)],Tab_Def_Flows[Process_ID_O],,0,)</f>
        <v/>
      </c>
      <c r="G233" s="272">
        <f>_xlfn.XLOOKUP(C233,Tab_Def_Flows[Name(EN)],Tab_Def_Flows[Input_Process],,0,)</f>
        <v/>
      </c>
      <c r="H233" s="17">
        <f>_xlfn.XLOOKUP(C233,Tab_Def_Flows[Name(EN)],Tab_Def_Flows[Process_ID_I],,0,)</f>
        <v/>
      </c>
      <c r="I233" s="272">
        <f>_xlfn.XLOOKUP(C233,Tab_Def_Flows[Name(EN)],#REF!,,0,)</f>
        <v/>
      </c>
      <c r="J233" s="17">
        <f>_xlfn.XLOOKUP(C233,Tab_Def_Flows[Name(EN)],Tab_Def_Flows[WC?],,0,)</f>
        <v/>
      </c>
      <c r="K233" s="17">
        <f>_xlfn.XLOOKUP(C233,Tab_Def_Flows[Name(EN)],Tab_Def_Flows[DM?],,0,)</f>
        <v/>
      </c>
      <c r="L233" s="17">
        <f>_xlfn.XLOOKUP(C233,Tab_Def_Flows[Name(EN)],Tab_Def_Flows[CC?],,0,)</f>
        <v/>
      </c>
      <c r="M233" s="273" t="n"/>
      <c r="N233" s="273" t="n"/>
      <c r="O233" s="48" t="n"/>
      <c r="P233" s="273" t="n"/>
      <c r="Q233" s="273" t="n"/>
      <c r="R233" s="273" t="n"/>
      <c r="S233" s="273" t="n"/>
      <c r="T233" s="273" t="n"/>
      <c r="U233" s="273" t="n"/>
      <c r="V233" s="273" t="n"/>
      <c r="W233" s="273" t="n"/>
      <c r="X233" s="273" t="inlineStr">
        <is>
          <t>No</t>
        </is>
      </c>
      <c r="Y233" s="41" t="n"/>
      <c r="Z233" s="273" t="n"/>
      <c r="AA233" s="35">
        <f>IF(X233="no",O233,O233*Y233)</f>
        <v/>
      </c>
      <c r="AB233" s="273" t="inlineStr">
        <is>
          <t>Mg</t>
        </is>
      </c>
      <c r="AC233" s="190">
        <f>INDEX(Tab_Def_Flows[[Flow_ID]:[CC_DM_source]],MATCH(Tab_Data_Flows[[#This Row],[Name(EN)]],Tab_Def_Flows[Name(EN)],0),13)</f>
        <v/>
      </c>
      <c r="AD233" s="272">
        <f>IF(J233="Yes",AA233*Tab_Data_Flows[[#This Row],[WC_'[%']]],"N.A.")</f>
        <v/>
      </c>
      <c r="AE233" s="272">
        <f>Tab_Data_Flows[[#This Row],[UoM_Flow_Py]]</f>
        <v/>
      </c>
      <c r="AF233" s="190">
        <f>INDEX(Tab_Def_Flows[[Flow_ID]:[CC_DM_source]],MATCH(Tab_Data_Flows[[#This Row],[Name(EN)]],Tab_Def_Flows[Name(EN)],0),15)</f>
        <v/>
      </c>
      <c r="AG233" s="272">
        <f>IF(K233="Yes",AF233*Tab_Data_Flows[[#This Row],[Flow_Py]],"N.A.")</f>
        <v/>
      </c>
      <c r="AH233" s="272">
        <f>Tab_Data_Flows[[#This Row],[UoM_Flow_Py]]</f>
        <v/>
      </c>
      <c r="AI233" s="190">
        <f>INDEX(Tab_Def_Flows[[Flow_ID]:[CC_DM_source]],MATCH(Tab_Data_Flows[[#This Row],[Name(EN)]],Tab_Def_Flows[Name(EN)],0),17)</f>
        <v/>
      </c>
      <c r="AJ233" s="272">
        <f>IF(L233="Yes",AI233*Tab_Data_Flows[[#This Row],[Flow_Py]]*Tab_Data_Flows[[#This Row],[DM_'[%']]],"N.A.")</f>
        <v/>
      </c>
      <c r="AK233" s="272">
        <f>Tab_Data_Flows[[#This Row],[UoM_Flow_Py]]</f>
        <v/>
      </c>
    </row>
    <row r="234">
      <c r="A234" s="296">
        <f>ROW()-1</f>
        <v/>
      </c>
      <c r="B234" s="272">
        <f>_xlfn.XLOOKUP(C234,Tab_Def_Flows[Name(EN)],Tab_Def_Flows[Flow_ID],,0,)</f>
        <v/>
      </c>
      <c r="C234" s="273" t="inlineStr">
        <is>
          <t>N.A.</t>
        </is>
      </c>
      <c r="D234" s="272">
        <f>_xlfn.XLOOKUP(C234,Tab_Def_Flows[Name(EN)],Tab_Def_Flows[Type_Biomass],,0,)</f>
        <v/>
      </c>
      <c r="E234" s="272">
        <f>_xlfn.XLOOKUP(C234,Tab_Def_Flows[Name(EN)],Tab_Def_Flows[Output_Process],,0,)</f>
        <v/>
      </c>
      <c r="F234" s="272">
        <f>_xlfn.XLOOKUP(C234,Tab_Def_Flows[Name(EN)],Tab_Def_Flows[Process_ID_O],,0,)</f>
        <v/>
      </c>
      <c r="G234" s="272">
        <f>_xlfn.XLOOKUP(C234,Tab_Def_Flows[Name(EN)],Tab_Def_Flows[Input_Process],,0,)</f>
        <v/>
      </c>
      <c r="H234" s="17">
        <f>_xlfn.XLOOKUP(C234,Tab_Def_Flows[Name(EN)],Tab_Def_Flows[Process_ID_I],,0,)</f>
        <v/>
      </c>
      <c r="I234" s="272">
        <f>_xlfn.XLOOKUP(C234,Tab_Def_Flows[Name(EN)],#REF!,,0,)</f>
        <v/>
      </c>
      <c r="J234" s="17">
        <f>_xlfn.XLOOKUP(C234,Tab_Def_Flows[Name(EN)],Tab_Def_Flows[WC?],,0,)</f>
        <v/>
      </c>
      <c r="K234" s="17">
        <f>_xlfn.XLOOKUP(C234,Tab_Def_Flows[Name(EN)],Tab_Def_Flows[DM?],,0,)</f>
        <v/>
      </c>
      <c r="L234" s="17">
        <f>_xlfn.XLOOKUP(C234,Tab_Def_Flows[Name(EN)],Tab_Def_Flows[CC?],,0,)</f>
        <v/>
      </c>
      <c r="M234" s="273" t="n"/>
      <c r="N234" s="273" t="n"/>
      <c r="O234" s="48" t="n"/>
      <c r="P234" s="273" t="n"/>
      <c r="Q234" s="273" t="n"/>
      <c r="R234" s="273" t="n"/>
      <c r="S234" s="273" t="n"/>
      <c r="T234" s="273" t="n"/>
      <c r="U234" s="273" t="n"/>
      <c r="V234" s="273" t="n"/>
      <c r="W234" s="273" t="n"/>
      <c r="X234" s="273" t="inlineStr">
        <is>
          <t>No</t>
        </is>
      </c>
      <c r="Y234" s="41" t="n"/>
      <c r="Z234" s="273" t="n"/>
      <c r="AA234" s="35">
        <f>IF(X234="no",O234,O234*Y234)</f>
        <v/>
      </c>
      <c r="AB234" s="273" t="inlineStr">
        <is>
          <t>Mg</t>
        </is>
      </c>
      <c r="AC234" s="190">
        <f>INDEX(Tab_Def_Flows[[Flow_ID]:[CC_DM_source]],MATCH(Tab_Data_Flows[[#This Row],[Name(EN)]],Tab_Def_Flows[Name(EN)],0),13)</f>
        <v/>
      </c>
      <c r="AD234" s="272">
        <f>IF(J234="Yes",AA234*Tab_Data_Flows[[#This Row],[WC_'[%']]],"N.A.")</f>
        <v/>
      </c>
      <c r="AE234" s="272">
        <f>Tab_Data_Flows[[#This Row],[UoM_Flow_Py]]</f>
        <v/>
      </c>
      <c r="AF234" s="190">
        <f>INDEX(Tab_Def_Flows[[Flow_ID]:[CC_DM_source]],MATCH(Tab_Data_Flows[[#This Row],[Name(EN)]],Tab_Def_Flows[Name(EN)],0),15)</f>
        <v/>
      </c>
      <c r="AG234" s="272">
        <f>IF(K234="Yes",AF234*Tab_Data_Flows[[#This Row],[Flow_Py]],"N.A.")</f>
        <v/>
      </c>
      <c r="AH234" s="272">
        <f>Tab_Data_Flows[[#This Row],[UoM_Flow_Py]]</f>
        <v/>
      </c>
      <c r="AI234" s="190">
        <f>INDEX(Tab_Def_Flows[[Flow_ID]:[CC_DM_source]],MATCH(Tab_Data_Flows[[#This Row],[Name(EN)]],Tab_Def_Flows[Name(EN)],0),17)</f>
        <v/>
      </c>
      <c r="AJ234" s="272">
        <f>IF(L234="Yes",AI234*Tab_Data_Flows[[#This Row],[Flow_Py]]*Tab_Data_Flows[[#This Row],[DM_'[%']]],"N.A.")</f>
        <v/>
      </c>
      <c r="AK234" s="272">
        <f>Tab_Data_Flows[[#This Row],[UoM_Flow_Py]]</f>
        <v/>
      </c>
    </row>
    <row r="235">
      <c r="A235" s="296">
        <f>ROW()-1</f>
        <v/>
      </c>
      <c r="B235" s="272">
        <f>_xlfn.XLOOKUP(C235,Tab_Def_Flows[Name(EN)],Tab_Def_Flows[Flow_ID],,0,)</f>
        <v/>
      </c>
      <c r="C235" s="273" t="inlineStr">
        <is>
          <t>N.A.</t>
        </is>
      </c>
      <c r="D235" s="272">
        <f>_xlfn.XLOOKUP(C235,Tab_Def_Flows[Name(EN)],Tab_Def_Flows[Type_Biomass],,0,)</f>
        <v/>
      </c>
      <c r="E235" s="272">
        <f>_xlfn.XLOOKUP(C235,Tab_Def_Flows[Name(EN)],Tab_Def_Flows[Output_Process],,0,)</f>
        <v/>
      </c>
      <c r="F235" s="272">
        <f>_xlfn.XLOOKUP(C235,Tab_Def_Flows[Name(EN)],Tab_Def_Flows[Process_ID_O],,0,)</f>
        <v/>
      </c>
      <c r="G235" s="272">
        <f>_xlfn.XLOOKUP(C235,Tab_Def_Flows[Name(EN)],Tab_Def_Flows[Input_Process],,0,)</f>
        <v/>
      </c>
      <c r="H235" s="17">
        <f>_xlfn.XLOOKUP(C235,Tab_Def_Flows[Name(EN)],Tab_Def_Flows[Process_ID_I],,0,)</f>
        <v/>
      </c>
      <c r="I235" s="272">
        <f>_xlfn.XLOOKUP(C235,Tab_Def_Flows[Name(EN)],#REF!,,0,)</f>
        <v/>
      </c>
      <c r="J235" s="17">
        <f>_xlfn.XLOOKUP(C235,Tab_Def_Flows[Name(EN)],Tab_Def_Flows[WC?],,0,)</f>
        <v/>
      </c>
      <c r="K235" s="17">
        <f>_xlfn.XLOOKUP(C235,Tab_Def_Flows[Name(EN)],Tab_Def_Flows[DM?],,0,)</f>
        <v/>
      </c>
      <c r="L235" s="17">
        <f>_xlfn.XLOOKUP(C235,Tab_Def_Flows[Name(EN)],Tab_Def_Flows[CC?],,0,)</f>
        <v/>
      </c>
      <c r="M235" s="273" t="n"/>
      <c r="N235" s="273" t="n"/>
      <c r="O235" s="48" t="n"/>
      <c r="P235" s="273" t="n"/>
      <c r="Q235" s="273" t="n"/>
      <c r="R235" s="273" t="n"/>
      <c r="S235" s="273" t="n"/>
      <c r="T235" s="273" t="n"/>
      <c r="U235" s="273" t="n"/>
      <c r="V235" s="273" t="n"/>
      <c r="W235" s="273" t="n"/>
      <c r="X235" s="273" t="inlineStr">
        <is>
          <t>No</t>
        </is>
      </c>
      <c r="Y235" s="41" t="n"/>
      <c r="Z235" s="273" t="n"/>
      <c r="AA235" s="35">
        <f>IF(X235="no",O235,O235*Y235)</f>
        <v/>
      </c>
      <c r="AB235" s="273" t="inlineStr">
        <is>
          <t>Mg</t>
        </is>
      </c>
      <c r="AC235" s="190">
        <f>INDEX(Tab_Def_Flows[[Flow_ID]:[CC_DM_source]],MATCH(Tab_Data_Flows[[#This Row],[Name(EN)]],Tab_Def_Flows[Name(EN)],0),13)</f>
        <v/>
      </c>
      <c r="AD235" s="272">
        <f>IF(J235="Yes",AA235*Tab_Data_Flows[[#This Row],[WC_'[%']]],"N.A.")</f>
        <v/>
      </c>
      <c r="AE235" s="272">
        <f>Tab_Data_Flows[[#This Row],[UoM_Flow_Py]]</f>
        <v/>
      </c>
      <c r="AF235" s="190">
        <f>INDEX(Tab_Def_Flows[[Flow_ID]:[CC_DM_source]],MATCH(Tab_Data_Flows[[#This Row],[Name(EN)]],Tab_Def_Flows[Name(EN)],0),15)</f>
        <v/>
      </c>
      <c r="AG235" s="272">
        <f>IF(K235="Yes",AF235*Tab_Data_Flows[[#This Row],[Flow_Py]],"N.A.")</f>
        <v/>
      </c>
      <c r="AH235" s="272">
        <f>Tab_Data_Flows[[#This Row],[UoM_Flow_Py]]</f>
        <v/>
      </c>
      <c r="AI235" s="190">
        <f>INDEX(Tab_Def_Flows[[Flow_ID]:[CC_DM_source]],MATCH(Tab_Data_Flows[[#This Row],[Name(EN)]],Tab_Def_Flows[Name(EN)],0),17)</f>
        <v/>
      </c>
      <c r="AJ235" s="272">
        <f>IF(L235="Yes",AI235*Tab_Data_Flows[[#This Row],[Flow_Py]]*Tab_Data_Flows[[#This Row],[DM_'[%']]],"N.A.")</f>
        <v/>
      </c>
      <c r="AK235" s="272">
        <f>Tab_Data_Flows[[#This Row],[UoM_Flow_Py]]</f>
        <v/>
      </c>
    </row>
    <row r="236">
      <c r="A236" s="296">
        <f>ROW()-1</f>
        <v/>
      </c>
      <c r="B236" s="272">
        <f>_xlfn.XLOOKUP(C236,Tab_Def_Flows[Name(EN)],Tab_Def_Flows[Flow_ID],,0,)</f>
        <v/>
      </c>
      <c r="C236" s="273" t="inlineStr">
        <is>
          <t>N.A.</t>
        </is>
      </c>
      <c r="D236" s="272">
        <f>_xlfn.XLOOKUP(C236,Tab_Def_Flows[Name(EN)],Tab_Def_Flows[Type_Biomass],,0,)</f>
        <v/>
      </c>
      <c r="E236" s="272">
        <f>_xlfn.XLOOKUP(C236,Tab_Def_Flows[Name(EN)],Tab_Def_Flows[Output_Process],,0,)</f>
        <v/>
      </c>
      <c r="F236" s="272">
        <f>_xlfn.XLOOKUP(C236,Tab_Def_Flows[Name(EN)],Tab_Def_Flows[Process_ID_O],,0,)</f>
        <v/>
      </c>
      <c r="G236" s="272">
        <f>_xlfn.XLOOKUP(C236,Tab_Def_Flows[Name(EN)],Tab_Def_Flows[Input_Process],,0,)</f>
        <v/>
      </c>
      <c r="H236" s="17">
        <f>_xlfn.XLOOKUP(C236,Tab_Def_Flows[Name(EN)],Tab_Def_Flows[Process_ID_I],,0,)</f>
        <v/>
      </c>
      <c r="I236" s="272">
        <f>_xlfn.XLOOKUP(C236,Tab_Def_Flows[Name(EN)],#REF!,,0,)</f>
        <v/>
      </c>
      <c r="J236" s="17">
        <f>_xlfn.XLOOKUP(C236,Tab_Def_Flows[Name(EN)],Tab_Def_Flows[WC?],,0,)</f>
        <v/>
      </c>
      <c r="K236" s="17">
        <f>_xlfn.XLOOKUP(C236,Tab_Def_Flows[Name(EN)],Tab_Def_Flows[DM?],,0,)</f>
        <v/>
      </c>
      <c r="L236" s="17">
        <f>_xlfn.XLOOKUP(C236,Tab_Def_Flows[Name(EN)],Tab_Def_Flows[CC?],,0,)</f>
        <v/>
      </c>
      <c r="M236" s="273" t="n"/>
      <c r="N236" s="273" t="n"/>
      <c r="O236" s="48" t="n"/>
      <c r="P236" s="273" t="n"/>
      <c r="Q236" s="273" t="n"/>
      <c r="R236" s="273" t="n"/>
      <c r="S236" s="273" t="n"/>
      <c r="T236" s="273" t="n"/>
      <c r="U236" s="273" t="n"/>
      <c r="V236" s="273" t="n"/>
      <c r="W236" s="273" t="n"/>
      <c r="X236" s="273" t="inlineStr">
        <is>
          <t>No</t>
        </is>
      </c>
      <c r="Y236" s="41" t="n"/>
      <c r="Z236" s="273" t="n"/>
      <c r="AA236" s="35">
        <f>IF(X236="no",O236,O236*Y236)</f>
        <v/>
      </c>
      <c r="AB236" s="273" t="inlineStr">
        <is>
          <t>Mg</t>
        </is>
      </c>
      <c r="AC236" s="190">
        <f>INDEX(Tab_Def_Flows[[Flow_ID]:[CC_DM_source]],MATCH(Tab_Data_Flows[[#This Row],[Name(EN)]],Tab_Def_Flows[Name(EN)],0),13)</f>
        <v/>
      </c>
      <c r="AD236" s="272">
        <f>IF(J236="Yes",AA236*Tab_Data_Flows[[#This Row],[WC_'[%']]],"N.A.")</f>
        <v/>
      </c>
      <c r="AE236" s="272">
        <f>Tab_Data_Flows[[#This Row],[UoM_Flow_Py]]</f>
        <v/>
      </c>
      <c r="AF236" s="190">
        <f>INDEX(Tab_Def_Flows[[Flow_ID]:[CC_DM_source]],MATCH(Tab_Data_Flows[[#This Row],[Name(EN)]],Tab_Def_Flows[Name(EN)],0),15)</f>
        <v/>
      </c>
      <c r="AG236" s="272">
        <f>IF(K236="Yes",AF236*Tab_Data_Flows[[#This Row],[Flow_Py]],"N.A.")</f>
        <v/>
      </c>
      <c r="AH236" s="272">
        <f>Tab_Data_Flows[[#This Row],[UoM_Flow_Py]]</f>
        <v/>
      </c>
      <c r="AI236" s="190">
        <f>INDEX(Tab_Def_Flows[[Flow_ID]:[CC_DM_source]],MATCH(Tab_Data_Flows[[#This Row],[Name(EN)]],Tab_Def_Flows[Name(EN)],0),17)</f>
        <v/>
      </c>
      <c r="AJ236" s="272">
        <f>IF(L236="Yes",AI236*Tab_Data_Flows[[#This Row],[Flow_Py]]*Tab_Data_Flows[[#This Row],[DM_'[%']]],"N.A.")</f>
        <v/>
      </c>
      <c r="AK236" s="272">
        <f>Tab_Data_Flows[[#This Row],[UoM_Flow_Py]]</f>
        <v/>
      </c>
    </row>
    <row r="237">
      <c r="A237" s="296">
        <f>ROW()-1</f>
        <v/>
      </c>
      <c r="B237" s="272">
        <f>_xlfn.XLOOKUP(C237,Tab_Def_Flows[Name(EN)],Tab_Def_Flows[Flow_ID],,0,)</f>
        <v/>
      </c>
      <c r="C237" s="273" t="inlineStr">
        <is>
          <t>N.A.</t>
        </is>
      </c>
      <c r="D237" s="272">
        <f>_xlfn.XLOOKUP(C237,Tab_Def_Flows[Name(EN)],Tab_Def_Flows[Type_Biomass],,0,)</f>
        <v/>
      </c>
      <c r="E237" s="272">
        <f>_xlfn.XLOOKUP(C237,Tab_Def_Flows[Name(EN)],Tab_Def_Flows[Output_Process],,0,)</f>
        <v/>
      </c>
      <c r="F237" s="272">
        <f>_xlfn.XLOOKUP(C237,Tab_Def_Flows[Name(EN)],Tab_Def_Flows[Process_ID_O],,0,)</f>
        <v/>
      </c>
      <c r="G237" s="272">
        <f>_xlfn.XLOOKUP(C237,Tab_Def_Flows[Name(EN)],Tab_Def_Flows[Input_Process],,0,)</f>
        <v/>
      </c>
      <c r="H237" s="17">
        <f>_xlfn.XLOOKUP(C237,Tab_Def_Flows[Name(EN)],Tab_Def_Flows[Process_ID_I],,0,)</f>
        <v/>
      </c>
      <c r="I237" s="272">
        <f>_xlfn.XLOOKUP(C237,Tab_Def_Flows[Name(EN)],#REF!,,0,)</f>
        <v/>
      </c>
      <c r="J237" s="17">
        <f>_xlfn.XLOOKUP(C237,Tab_Def_Flows[Name(EN)],Tab_Def_Flows[WC?],,0,)</f>
        <v/>
      </c>
      <c r="K237" s="17">
        <f>_xlfn.XLOOKUP(C237,Tab_Def_Flows[Name(EN)],Tab_Def_Flows[DM?],,0,)</f>
        <v/>
      </c>
      <c r="L237" s="17">
        <f>_xlfn.XLOOKUP(C237,Tab_Def_Flows[Name(EN)],Tab_Def_Flows[CC?],,0,)</f>
        <v/>
      </c>
      <c r="M237" s="273" t="n"/>
      <c r="N237" s="273" t="n"/>
      <c r="O237" s="48" t="n"/>
      <c r="P237" s="273" t="n"/>
      <c r="Q237" s="273" t="n"/>
      <c r="R237" s="273" t="n"/>
      <c r="S237" s="273" t="n"/>
      <c r="T237" s="273" t="n"/>
      <c r="U237" s="273" t="n"/>
      <c r="V237" s="273" t="n"/>
      <c r="W237" s="273" t="n"/>
      <c r="X237" s="273" t="inlineStr">
        <is>
          <t>No</t>
        </is>
      </c>
      <c r="Y237" s="41" t="n"/>
      <c r="Z237" s="273" t="n"/>
      <c r="AA237" s="35">
        <f>IF(X237="no",O237,O237*Y237)</f>
        <v/>
      </c>
      <c r="AB237" s="273" t="inlineStr">
        <is>
          <t>Mg</t>
        </is>
      </c>
      <c r="AC237" s="190">
        <f>INDEX(Tab_Def_Flows[[Flow_ID]:[CC_DM_source]],MATCH(Tab_Data_Flows[[#This Row],[Name(EN)]],Tab_Def_Flows[Name(EN)],0),13)</f>
        <v/>
      </c>
      <c r="AD237" s="272">
        <f>IF(J237="Yes",AA237*Tab_Data_Flows[[#This Row],[WC_'[%']]],"N.A.")</f>
        <v/>
      </c>
      <c r="AE237" s="272">
        <f>Tab_Data_Flows[[#This Row],[UoM_Flow_Py]]</f>
        <v/>
      </c>
      <c r="AF237" s="190">
        <f>INDEX(Tab_Def_Flows[[Flow_ID]:[CC_DM_source]],MATCH(Tab_Data_Flows[[#This Row],[Name(EN)]],Tab_Def_Flows[Name(EN)],0),15)</f>
        <v/>
      </c>
      <c r="AG237" s="272">
        <f>IF(K237="Yes",AF237*Tab_Data_Flows[[#This Row],[Flow_Py]],"N.A.")</f>
        <v/>
      </c>
      <c r="AH237" s="272">
        <f>Tab_Data_Flows[[#This Row],[UoM_Flow_Py]]</f>
        <v/>
      </c>
      <c r="AI237" s="190">
        <f>INDEX(Tab_Def_Flows[[Flow_ID]:[CC_DM_source]],MATCH(Tab_Data_Flows[[#This Row],[Name(EN)]],Tab_Def_Flows[Name(EN)],0),17)</f>
        <v/>
      </c>
      <c r="AJ237" s="272">
        <f>IF(L237="Yes",AI237*Tab_Data_Flows[[#This Row],[Flow_Py]]*Tab_Data_Flows[[#This Row],[DM_'[%']]],"N.A.")</f>
        <v/>
      </c>
      <c r="AK237" s="272">
        <f>Tab_Data_Flows[[#This Row],[UoM_Flow_Py]]</f>
        <v/>
      </c>
    </row>
    <row r="238">
      <c r="A238" s="296">
        <f>ROW()-1</f>
        <v/>
      </c>
      <c r="B238" s="272">
        <f>_xlfn.XLOOKUP(C238,Tab_Def_Flows[Name(EN)],Tab_Def_Flows[Flow_ID],,0,)</f>
        <v/>
      </c>
      <c r="C238" s="273" t="inlineStr">
        <is>
          <t>N.A.</t>
        </is>
      </c>
      <c r="D238" s="272">
        <f>_xlfn.XLOOKUP(C238,Tab_Def_Flows[Name(EN)],Tab_Def_Flows[Type_Biomass],,0,)</f>
        <v/>
      </c>
      <c r="E238" s="272">
        <f>_xlfn.XLOOKUP(C238,Tab_Def_Flows[Name(EN)],Tab_Def_Flows[Output_Process],,0,)</f>
        <v/>
      </c>
      <c r="F238" s="272">
        <f>_xlfn.XLOOKUP(C238,Tab_Def_Flows[Name(EN)],Tab_Def_Flows[Process_ID_O],,0,)</f>
        <v/>
      </c>
      <c r="G238" s="272">
        <f>_xlfn.XLOOKUP(C238,Tab_Def_Flows[Name(EN)],Tab_Def_Flows[Input_Process],,0,)</f>
        <v/>
      </c>
      <c r="H238" s="17">
        <f>_xlfn.XLOOKUP(C238,Tab_Def_Flows[Name(EN)],Tab_Def_Flows[Process_ID_I],,0,)</f>
        <v/>
      </c>
      <c r="I238" s="272">
        <f>_xlfn.XLOOKUP(C238,Tab_Def_Flows[Name(EN)],#REF!,,0,)</f>
        <v/>
      </c>
      <c r="J238" s="17">
        <f>_xlfn.XLOOKUP(C238,Tab_Def_Flows[Name(EN)],Tab_Def_Flows[WC?],,0,)</f>
        <v/>
      </c>
      <c r="K238" s="17">
        <f>_xlfn.XLOOKUP(C238,Tab_Def_Flows[Name(EN)],Tab_Def_Flows[DM?],,0,)</f>
        <v/>
      </c>
      <c r="L238" s="17">
        <f>_xlfn.XLOOKUP(C238,Tab_Def_Flows[Name(EN)],Tab_Def_Flows[CC?],,0,)</f>
        <v/>
      </c>
      <c r="M238" s="273" t="n"/>
      <c r="N238" s="273" t="n"/>
      <c r="O238" s="48" t="n"/>
      <c r="P238" s="273" t="n"/>
      <c r="Q238" s="273" t="n"/>
      <c r="R238" s="273" t="n"/>
      <c r="S238" s="273" t="n"/>
      <c r="T238" s="273" t="n"/>
      <c r="U238" s="273" t="n"/>
      <c r="V238" s="273" t="n"/>
      <c r="W238" s="273" t="n"/>
      <c r="X238" s="273" t="inlineStr">
        <is>
          <t>No</t>
        </is>
      </c>
      <c r="Y238" s="41" t="n"/>
      <c r="Z238" s="273" t="n"/>
      <c r="AA238" s="35">
        <f>IF(X238="no",O238,O238*Y238)</f>
        <v/>
      </c>
      <c r="AB238" s="273" t="inlineStr">
        <is>
          <t>Mg</t>
        </is>
      </c>
      <c r="AC238" s="190">
        <f>INDEX(Tab_Def_Flows[[Flow_ID]:[CC_DM_source]],MATCH(Tab_Data_Flows[[#This Row],[Name(EN)]],Tab_Def_Flows[Name(EN)],0),13)</f>
        <v/>
      </c>
      <c r="AD238" s="272">
        <f>IF(J238="Yes",AA238*Tab_Data_Flows[[#This Row],[WC_'[%']]],"N.A.")</f>
        <v/>
      </c>
      <c r="AE238" s="272">
        <f>Tab_Data_Flows[[#This Row],[UoM_Flow_Py]]</f>
        <v/>
      </c>
      <c r="AF238" s="190">
        <f>INDEX(Tab_Def_Flows[[Flow_ID]:[CC_DM_source]],MATCH(Tab_Data_Flows[[#This Row],[Name(EN)]],Tab_Def_Flows[Name(EN)],0),15)</f>
        <v/>
      </c>
      <c r="AG238" s="272">
        <f>IF(K238="Yes",AF238*Tab_Data_Flows[[#This Row],[Flow_Py]],"N.A.")</f>
        <v/>
      </c>
      <c r="AH238" s="272">
        <f>Tab_Data_Flows[[#This Row],[UoM_Flow_Py]]</f>
        <v/>
      </c>
      <c r="AI238" s="190">
        <f>INDEX(Tab_Def_Flows[[Flow_ID]:[CC_DM_source]],MATCH(Tab_Data_Flows[[#This Row],[Name(EN)]],Tab_Def_Flows[Name(EN)],0),17)</f>
        <v/>
      </c>
      <c r="AJ238" s="272">
        <f>IF(L238="Yes",AI238*Tab_Data_Flows[[#This Row],[Flow_Py]]*Tab_Data_Flows[[#This Row],[DM_'[%']]],"N.A.")</f>
        <v/>
      </c>
      <c r="AK238" s="272">
        <f>Tab_Data_Flows[[#This Row],[UoM_Flow_Py]]</f>
        <v/>
      </c>
    </row>
    <row r="239">
      <c r="A239" s="296">
        <f>ROW()-1</f>
        <v/>
      </c>
      <c r="B239" s="272">
        <f>_xlfn.XLOOKUP(C239,Tab_Def_Flows[Name(EN)],Tab_Def_Flows[Flow_ID],,0,)</f>
        <v/>
      </c>
      <c r="C239" s="273" t="inlineStr">
        <is>
          <t>N.A.</t>
        </is>
      </c>
      <c r="D239" s="272">
        <f>_xlfn.XLOOKUP(C239,Tab_Def_Flows[Name(EN)],Tab_Def_Flows[Type_Biomass],,0,)</f>
        <v/>
      </c>
      <c r="E239" s="272">
        <f>_xlfn.XLOOKUP(C239,Tab_Def_Flows[Name(EN)],Tab_Def_Flows[Output_Process],,0,)</f>
        <v/>
      </c>
      <c r="F239" s="272">
        <f>_xlfn.XLOOKUP(C239,Tab_Def_Flows[Name(EN)],Tab_Def_Flows[Process_ID_O],,0,)</f>
        <v/>
      </c>
      <c r="G239" s="272">
        <f>_xlfn.XLOOKUP(C239,Tab_Def_Flows[Name(EN)],Tab_Def_Flows[Input_Process],,0,)</f>
        <v/>
      </c>
      <c r="H239" s="17">
        <f>_xlfn.XLOOKUP(C239,Tab_Def_Flows[Name(EN)],Tab_Def_Flows[Process_ID_I],,0,)</f>
        <v/>
      </c>
      <c r="I239" s="272">
        <f>_xlfn.XLOOKUP(C239,Tab_Def_Flows[Name(EN)],#REF!,,0,)</f>
        <v/>
      </c>
      <c r="J239" s="17">
        <f>_xlfn.XLOOKUP(C239,Tab_Def_Flows[Name(EN)],Tab_Def_Flows[WC?],,0,)</f>
        <v/>
      </c>
      <c r="K239" s="17">
        <f>_xlfn.XLOOKUP(C239,Tab_Def_Flows[Name(EN)],Tab_Def_Flows[DM?],,0,)</f>
        <v/>
      </c>
      <c r="L239" s="17">
        <f>_xlfn.XLOOKUP(C239,Tab_Def_Flows[Name(EN)],Tab_Def_Flows[CC?],,0,)</f>
        <v/>
      </c>
      <c r="M239" s="273" t="n"/>
      <c r="N239" s="273" t="n"/>
      <c r="O239" s="48" t="n"/>
      <c r="P239" s="273" t="n"/>
      <c r="Q239" s="273" t="n"/>
      <c r="R239" s="273" t="n"/>
      <c r="S239" s="273" t="n"/>
      <c r="T239" s="273" t="n"/>
      <c r="U239" s="273" t="n"/>
      <c r="V239" s="273" t="n"/>
      <c r="W239" s="273" t="n"/>
      <c r="X239" s="273" t="inlineStr">
        <is>
          <t>No</t>
        </is>
      </c>
      <c r="Y239" s="41" t="n"/>
      <c r="Z239" s="273" t="n"/>
      <c r="AA239" s="35">
        <f>IF(X239="no",O239,O239*Y239)</f>
        <v/>
      </c>
      <c r="AB239" s="273" t="inlineStr">
        <is>
          <t>Mg</t>
        </is>
      </c>
      <c r="AC239" s="190">
        <f>INDEX(Tab_Def_Flows[[Flow_ID]:[CC_DM_source]],MATCH(Tab_Data_Flows[[#This Row],[Name(EN)]],Tab_Def_Flows[Name(EN)],0),13)</f>
        <v/>
      </c>
      <c r="AD239" s="272">
        <f>IF(J239="Yes",AA239*Tab_Data_Flows[[#This Row],[WC_'[%']]],"N.A.")</f>
        <v/>
      </c>
      <c r="AE239" s="272">
        <f>Tab_Data_Flows[[#This Row],[UoM_Flow_Py]]</f>
        <v/>
      </c>
      <c r="AF239" s="190">
        <f>INDEX(Tab_Def_Flows[[Flow_ID]:[CC_DM_source]],MATCH(Tab_Data_Flows[[#This Row],[Name(EN)]],Tab_Def_Flows[Name(EN)],0),15)</f>
        <v/>
      </c>
      <c r="AG239" s="272">
        <f>IF(K239="Yes",AF239*Tab_Data_Flows[[#This Row],[Flow_Py]],"N.A.")</f>
        <v/>
      </c>
      <c r="AH239" s="272">
        <f>Tab_Data_Flows[[#This Row],[UoM_Flow_Py]]</f>
        <v/>
      </c>
      <c r="AI239" s="190">
        <f>INDEX(Tab_Def_Flows[[Flow_ID]:[CC_DM_source]],MATCH(Tab_Data_Flows[[#This Row],[Name(EN)]],Tab_Def_Flows[Name(EN)],0),17)</f>
        <v/>
      </c>
      <c r="AJ239" s="272">
        <f>IF(L239="Yes",AI239*Tab_Data_Flows[[#This Row],[Flow_Py]]*Tab_Data_Flows[[#This Row],[DM_'[%']]],"N.A.")</f>
        <v/>
      </c>
      <c r="AK239" s="272">
        <f>Tab_Data_Flows[[#This Row],[UoM_Flow_Py]]</f>
        <v/>
      </c>
    </row>
    <row r="240">
      <c r="A240" s="296">
        <f>ROW()-1</f>
        <v/>
      </c>
      <c r="B240" s="272">
        <f>_xlfn.XLOOKUP(C240,Tab_Def_Flows[Name(EN)],Tab_Def_Flows[Flow_ID],,0,)</f>
        <v/>
      </c>
      <c r="C240" s="273" t="inlineStr">
        <is>
          <t>N.A.</t>
        </is>
      </c>
      <c r="D240" s="272">
        <f>_xlfn.XLOOKUP(C240,Tab_Def_Flows[Name(EN)],Tab_Def_Flows[Type_Biomass],,0,)</f>
        <v/>
      </c>
      <c r="E240" s="272">
        <f>_xlfn.XLOOKUP(C240,Tab_Def_Flows[Name(EN)],Tab_Def_Flows[Output_Process],,0,)</f>
        <v/>
      </c>
      <c r="F240" s="272">
        <f>_xlfn.XLOOKUP(C240,Tab_Def_Flows[Name(EN)],Tab_Def_Flows[Process_ID_O],,0,)</f>
        <v/>
      </c>
      <c r="G240" s="272">
        <f>_xlfn.XLOOKUP(C240,Tab_Def_Flows[Name(EN)],Tab_Def_Flows[Input_Process],,0,)</f>
        <v/>
      </c>
      <c r="H240" s="17">
        <f>_xlfn.XLOOKUP(C240,Tab_Def_Flows[Name(EN)],Tab_Def_Flows[Process_ID_I],,0,)</f>
        <v/>
      </c>
      <c r="I240" s="272">
        <f>_xlfn.XLOOKUP(C240,Tab_Def_Flows[Name(EN)],#REF!,,0,)</f>
        <v/>
      </c>
      <c r="J240" s="17">
        <f>_xlfn.XLOOKUP(C240,Tab_Def_Flows[Name(EN)],Tab_Def_Flows[WC?],,0,)</f>
        <v/>
      </c>
      <c r="K240" s="17">
        <f>_xlfn.XLOOKUP(C240,Tab_Def_Flows[Name(EN)],Tab_Def_Flows[DM?],,0,)</f>
        <v/>
      </c>
      <c r="L240" s="17">
        <f>_xlfn.XLOOKUP(C240,Tab_Def_Flows[Name(EN)],Tab_Def_Flows[CC?],,0,)</f>
        <v/>
      </c>
      <c r="M240" s="273" t="n"/>
      <c r="N240" s="273" t="n"/>
      <c r="O240" s="48" t="n"/>
      <c r="P240" s="273" t="n"/>
      <c r="Q240" s="273" t="n"/>
      <c r="R240" s="273" t="n"/>
      <c r="S240" s="273" t="n"/>
      <c r="T240" s="273" t="n"/>
      <c r="U240" s="273" t="n"/>
      <c r="V240" s="273" t="n"/>
      <c r="W240" s="273" t="n"/>
      <c r="X240" s="273" t="inlineStr">
        <is>
          <t>No</t>
        </is>
      </c>
      <c r="Y240" s="41" t="n"/>
      <c r="Z240" s="273" t="n"/>
      <c r="AA240" s="35">
        <f>IF(X240="no",O240,O240*Y240)</f>
        <v/>
      </c>
      <c r="AB240" s="273" t="inlineStr">
        <is>
          <t>Mg</t>
        </is>
      </c>
      <c r="AC240" s="190">
        <f>INDEX(Tab_Def_Flows[[Flow_ID]:[CC_DM_source]],MATCH(Tab_Data_Flows[[#This Row],[Name(EN)]],Tab_Def_Flows[Name(EN)],0),13)</f>
        <v/>
      </c>
      <c r="AD240" s="272">
        <f>IF(J240="Yes",AA240*Tab_Data_Flows[[#This Row],[WC_'[%']]],"N.A.")</f>
        <v/>
      </c>
      <c r="AE240" s="272">
        <f>Tab_Data_Flows[[#This Row],[UoM_Flow_Py]]</f>
        <v/>
      </c>
      <c r="AF240" s="190">
        <f>INDEX(Tab_Def_Flows[[Flow_ID]:[CC_DM_source]],MATCH(Tab_Data_Flows[[#This Row],[Name(EN)]],Tab_Def_Flows[Name(EN)],0),15)</f>
        <v/>
      </c>
      <c r="AG240" s="272">
        <f>IF(K240="Yes",AF240*Tab_Data_Flows[[#This Row],[Flow_Py]],"N.A.")</f>
        <v/>
      </c>
      <c r="AH240" s="272">
        <f>Tab_Data_Flows[[#This Row],[UoM_Flow_Py]]</f>
        <v/>
      </c>
      <c r="AI240" s="190">
        <f>INDEX(Tab_Def_Flows[[Flow_ID]:[CC_DM_source]],MATCH(Tab_Data_Flows[[#This Row],[Name(EN)]],Tab_Def_Flows[Name(EN)],0),17)</f>
        <v/>
      </c>
      <c r="AJ240" s="272">
        <f>IF(L240="Yes",AI240*Tab_Data_Flows[[#This Row],[Flow_Py]]*Tab_Data_Flows[[#This Row],[DM_'[%']]],"N.A.")</f>
        <v/>
      </c>
      <c r="AK240" s="272">
        <f>Tab_Data_Flows[[#This Row],[UoM_Flow_Py]]</f>
        <v/>
      </c>
    </row>
    <row r="241">
      <c r="A241" s="296">
        <f>ROW()-1</f>
        <v/>
      </c>
      <c r="B241" s="272">
        <f>_xlfn.XLOOKUP(C241,Tab_Def_Flows[Name(EN)],Tab_Def_Flows[Flow_ID],,0,)</f>
        <v/>
      </c>
      <c r="C241" s="273" t="inlineStr">
        <is>
          <t>N.A.</t>
        </is>
      </c>
      <c r="D241" s="272">
        <f>_xlfn.XLOOKUP(C241,Tab_Def_Flows[Name(EN)],Tab_Def_Flows[Type_Biomass],,0,)</f>
        <v/>
      </c>
      <c r="E241" s="272">
        <f>_xlfn.XLOOKUP(C241,Tab_Def_Flows[Name(EN)],Tab_Def_Flows[Output_Process],,0,)</f>
        <v/>
      </c>
      <c r="F241" s="272">
        <f>_xlfn.XLOOKUP(C241,Tab_Def_Flows[Name(EN)],Tab_Def_Flows[Process_ID_O],,0,)</f>
        <v/>
      </c>
      <c r="G241" s="272">
        <f>_xlfn.XLOOKUP(C241,Tab_Def_Flows[Name(EN)],Tab_Def_Flows[Input_Process],,0,)</f>
        <v/>
      </c>
      <c r="H241" s="17">
        <f>_xlfn.XLOOKUP(C241,Tab_Def_Flows[Name(EN)],Tab_Def_Flows[Process_ID_I],,0,)</f>
        <v/>
      </c>
      <c r="I241" s="272">
        <f>_xlfn.XLOOKUP(C241,Tab_Def_Flows[Name(EN)],#REF!,,0,)</f>
        <v/>
      </c>
      <c r="J241" s="17">
        <f>_xlfn.XLOOKUP(C241,Tab_Def_Flows[Name(EN)],Tab_Def_Flows[WC?],,0,)</f>
        <v/>
      </c>
      <c r="K241" s="17">
        <f>_xlfn.XLOOKUP(C241,Tab_Def_Flows[Name(EN)],Tab_Def_Flows[DM?],,0,)</f>
        <v/>
      </c>
      <c r="L241" s="17">
        <f>_xlfn.XLOOKUP(C241,Tab_Def_Flows[Name(EN)],Tab_Def_Flows[CC?],,0,)</f>
        <v/>
      </c>
      <c r="M241" s="273" t="n"/>
      <c r="N241" s="273" t="n"/>
      <c r="O241" s="48" t="n"/>
      <c r="P241" s="273" t="n"/>
      <c r="Q241" s="273" t="n"/>
      <c r="R241" s="273" t="n"/>
      <c r="S241" s="273" t="n"/>
      <c r="T241" s="273" t="n"/>
      <c r="U241" s="273" t="n"/>
      <c r="V241" s="273" t="n"/>
      <c r="W241" s="273" t="n"/>
      <c r="X241" s="273" t="inlineStr">
        <is>
          <t>No</t>
        </is>
      </c>
      <c r="Y241" s="41" t="n"/>
      <c r="Z241" s="273" t="n"/>
      <c r="AA241" s="35">
        <f>IF(X241="no",O241,O241*Y241)</f>
        <v/>
      </c>
      <c r="AB241" s="273" t="inlineStr">
        <is>
          <t>Mg</t>
        </is>
      </c>
      <c r="AC241" s="190">
        <f>INDEX(Tab_Def_Flows[[Flow_ID]:[CC_DM_source]],MATCH(Tab_Data_Flows[[#This Row],[Name(EN)]],Tab_Def_Flows[Name(EN)],0),13)</f>
        <v/>
      </c>
      <c r="AD241" s="272">
        <f>IF(J241="Yes",AA241*Tab_Data_Flows[[#This Row],[WC_'[%']]],"N.A.")</f>
        <v/>
      </c>
      <c r="AE241" s="272">
        <f>Tab_Data_Flows[[#This Row],[UoM_Flow_Py]]</f>
        <v/>
      </c>
      <c r="AF241" s="190">
        <f>INDEX(Tab_Def_Flows[[Flow_ID]:[CC_DM_source]],MATCH(Tab_Data_Flows[[#This Row],[Name(EN)]],Tab_Def_Flows[Name(EN)],0),15)</f>
        <v/>
      </c>
      <c r="AG241" s="272">
        <f>IF(K241="Yes",AF241*Tab_Data_Flows[[#This Row],[Flow_Py]],"N.A.")</f>
        <v/>
      </c>
      <c r="AH241" s="272">
        <f>Tab_Data_Flows[[#This Row],[UoM_Flow_Py]]</f>
        <v/>
      </c>
      <c r="AI241" s="190">
        <f>INDEX(Tab_Def_Flows[[Flow_ID]:[CC_DM_source]],MATCH(Tab_Data_Flows[[#This Row],[Name(EN)]],Tab_Def_Flows[Name(EN)],0),17)</f>
        <v/>
      </c>
      <c r="AJ241" s="272">
        <f>IF(L241="Yes",AI241*Tab_Data_Flows[[#This Row],[Flow_Py]]*Tab_Data_Flows[[#This Row],[DM_'[%']]],"N.A.")</f>
        <v/>
      </c>
      <c r="AK241" s="272">
        <f>Tab_Data_Flows[[#This Row],[UoM_Flow_Py]]</f>
        <v/>
      </c>
    </row>
    <row r="242">
      <c r="A242" s="296">
        <f>ROW()-1</f>
        <v/>
      </c>
      <c r="B242" s="272">
        <f>_xlfn.XLOOKUP(C242,Tab_Def_Flows[Name(EN)],Tab_Def_Flows[Flow_ID],,0,)</f>
        <v/>
      </c>
      <c r="C242" s="273" t="inlineStr">
        <is>
          <t>N.A.</t>
        </is>
      </c>
      <c r="D242" s="272">
        <f>_xlfn.XLOOKUP(C242,Tab_Def_Flows[Name(EN)],Tab_Def_Flows[Type_Biomass],,0,)</f>
        <v/>
      </c>
      <c r="E242" s="272">
        <f>_xlfn.XLOOKUP(C242,Tab_Def_Flows[Name(EN)],Tab_Def_Flows[Output_Process],,0,)</f>
        <v/>
      </c>
      <c r="F242" s="272">
        <f>_xlfn.XLOOKUP(C242,Tab_Def_Flows[Name(EN)],Tab_Def_Flows[Process_ID_O],,0,)</f>
        <v/>
      </c>
      <c r="G242" s="272">
        <f>_xlfn.XLOOKUP(C242,Tab_Def_Flows[Name(EN)],Tab_Def_Flows[Input_Process],,0,)</f>
        <v/>
      </c>
      <c r="H242" s="17">
        <f>_xlfn.XLOOKUP(C242,Tab_Def_Flows[Name(EN)],Tab_Def_Flows[Process_ID_I],,0,)</f>
        <v/>
      </c>
      <c r="I242" s="272">
        <f>_xlfn.XLOOKUP(C242,Tab_Def_Flows[Name(EN)],#REF!,,0,)</f>
        <v/>
      </c>
      <c r="J242" s="17">
        <f>_xlfn.XLOOKUP(C242,Tab_Def_Flows[Name(EN)],Tab_Def_Flows[WC?],,0,)</f>
        <v/>
      </c>
      <c r="K242" s="17">
        <f>_xlfn.XLOOKUP(C242,Tab_Def_Flows[Name(EN)],Tab_Def_Flows[DM?],,0,)</f>
        <v/>
      </c>
      <c r="L242" s="17">
        <f>_xlfn.XLOOKUP(C242,Tab_Def_Flows[Name(EN)],Tab_Def_Flows[CC?],,0,)</f>
        <v/>
      </c>
      <c r="M242" s="273" t="n"/>
      <c r="N242" s="273" t="n"/>
      <c r="O242" s="48" t="n"/>
      <c r="P242" s="273" t="n"/>
      <c r="Q242" s="273" t="n"/>
      <c r="R242" s="273" t="n"/>
      <c r="S242" s="273" t="n"/>
      <c r="T242" s="273" t="n"/>
      <c r="U242" s="273" t="n"/>
      <c r="V242" s="273" t="n"/>
      <c r="W242" s="273" t="n"/>
      <c r="X242" s="273" t="inlineStr">
        <is>
          <t>No</t>
        </is>
      </c>
      <c r="Y242" s="41" t="n"/>
      <c r="Z242" s="273" t="n"/>
      <c r="AA242" s="35">
        <f>IF(X242="no",O242,O242*Y242)</f>
        <v/>
      </c>
      <c r="AB242" s="273" t="inlineStr">
        <is>
          <t>Mg</t>
        </is>
      </c>
      <c r="AC242" s="190">
        <f>INDEX(Tab_Def_Flows[[Flow_ID]:[CC_DM_source]],MATCH(Tab_Data_Flows[[#This Row],[Name(EN)]],Tab_Def_Flows[Name(EN)],0),13)</f>
        <v/>
      </c>
      <c r="AD242" s="272">
        <f>IF(J242="Yes",AA242*Tab_Data_Flows[[#This Row],[WC_'[%']]],"N.A.")</f>
        <v/>
      </c>
      <c r="AE242" s="272">
        <f>Tab_Data_Flows[[#This Row],[UoM_Flow_Py]]</f>
        <v/>
      </c>
      <c r="AF242" s="190">
        <f>INDEX(Tab_Def_Flows[[Flow_ID]:[CC_DM_source]],MATCH(Tab_Data_Flows[[#This Row],[Name(EN)]],Tab_Def_Flows[Name(EN)],0),15)</f>
        <v/>
      </c>
      <c r="AG242" s="272">
        <f>IF(K242="Yes",AF242*Tab_Data_Flows[[#This Row],[Flow_Py]],"N.A.")</f>
        <v/>
      </c>
      <c r="AH242" s="272">
        <f>Tab_Data_Flows[[#This Row],[UoM_Flow_Py]]</f>
        <v/>
      </c>
      <c r="AI242" s="190">
        <f>INDEX(Tab_Def_Flows[[Flow_ID]:[CC_DM_source]],MATCH(Tab_Data_Flows[[#This Row],[Name(EN)]],Tab_Def_Flows[Name(EN)],0),17)</f>
        <v/>
      </c>
      <c r="AJ242" s="272">
        <f>IF(L242="Yes",AI242*Tab_Data_Flows[[#This Row],[Flow_Py]]*Tab_Data_Flows[[#This Row],[DM_'[%']]],"N.A.")</f>
        <v/>
      </c>
      <c r="AK242" s="272">
        <f>Tab_Data_Flows[[#This Row],[UoM_Flow_Py]]</f>
        <v/>
      </c>
    </row>
    <row r="243">
      <c r="A243" s="296">
        <f>ROW()-1</f>
        <v/>
      </c>
      <c r="B243" s="272">
        <f>_xlfn.XLOOKUP(C243,Tab_Def_Flows[Name(EN)],Tab_Def_Flows[Flow_ID],,0,)</f>
        <v/>
      </c>
      <c r="C243" s="273" t="inlineStr">
        <is>
          <t>N.A.</t>
        </is>
      </c>
      <c r="D243" s="272">
        <f>_xlfn.XLOOKUP(C243,Tab_Def_Flows[Name(EN)],Tab_Def_Flows[Type_Biomass],,0,)</f>
        <v/>
      </c>
      <c r="E243" s="272">
        <f>_xlfn.XLOOKUP(C243,Tab_Def_Flows[Name(EN)],Tab_Def_Flows[Output_Process],,0,)</f>
        <v/>
      </c>
      <c r="F243" s="272">
        <f>_xlfn.XLOOKUP(C243,Tab_Def_Flows[Name(EN)],Tab_Def_Flows[Process_ID_O],,0,)</f>
        <v/>
      </c>
      <c r="G243" s="272">
        <f>_xlfn.XLOOKUP(C243,Tab_Def_Flows[Name(EN)],Tab_Def_Flows[Input_Process],,0,)</f>
        <v/>
      </c>
      <c r="H243" s="17">
        <f>_xlfn.XLOOKUP(C243,Tab_Def_Flows[Name(EN)],Tab_Def_Flows[Process_ID_I],,0,)</f>
        <v/>
      </c>
      <c r="I243" s="272">
        <f>_xlfn.XLOOKUP(C243,Tab_Def_Flows[Name(EN)],#REF!,,0,)</f>
        <v/>
      </c>
      <c r="J243" s="17">
        <f>_xlfn.XLOOKUP(C243,Tab_Def_Flows[Name(EN)],Tab_Def_Flows[WC?],,0,)</f>
        <v/>
      </c>
      <c r="K243" s="17">
        <f>_xlfn.XLOOKUP(C243,Tab_Def_Flows[Name(EN)],Tab_Def_Flows[DM?],,0,)</f>
        <v/>
      </c>
      <c r="L243" s="17">
        <f>_xlfn.XLOOKUP(C243,Tab_Def_Flows[Name(EN)],Tab_Def_Flows[CC?],,0,)</f>
        <v/>
      </c>
      <c r="M243" s="273" t="n"/>
      <c r="N243" s="273" t="n"/>
      <c r="O243" s="48" t="n"/>
      <c r="P243" s="273" t="n"/>
      <c r="Q243" s="273" t="n"/>
      <c r="R243" s="273" t="n"/>
      <c r="S243" s="273" t="n"/>
      <c r="T243" s="273" t="n"/>
      <c r="U243" s="273" t="n"/>
      <c r="V243" s="273" t="n"/>
      <c r="W243" s="273" t="n"/>
      <c r="X243" s="273" t="inlineStr">
        <is>
          <t>No</t>
        </is>
      </c>
      <c r="Y243" s="41" t="n"/>
      <c r="Z243" s="273" t="n"/>
      <c r="AA243" s="35">
        <f>IF(X243="no",O243,O243*Y243)</f>
        <v/>
      </c>
      <c r="AB243" s="273" t="inlineStr">
        <is>
          <t>Mg</t>
        </is>
      </c>
      <c r="AC243" s="190">
        <f>INDEX(Tab_Def_Flows[[Flow_ID]:[CC_DM_source]],MATCH(Tab_Data_Flows[[#This Row],[Name(EN)]],Tab_Def_Flows[Name(EN)],0),13)</f>
        <v/>
      </c>
      <c r="AD243" s="272">
        <f>IF(J243="Yes",AA243*Tab_Data_Flows[[#This Row],[WC_'[%']]],"N.A.")</f>
        <v/>
      </c>
      <c r="AE243" s="272">
        <f>Tab_Data_Flows[[#This Row],[UoM_Flow_Py]]</f>
        <v/>
      </c>
      <c r="AF243" s="190">
        <f>INDEX(Tab_Def_Flows[[Flow_ID]:[CC_DM_source]],MATCH(Tab_Data_Flows[[#This Row],[Name(EN)]],Tab_Def_Flows[Name(EN)],0),15)</f>
        <v/>
      </c>
      <c r="AG243" s="272">
        <f>IF(K243="Yes",AF243*Tab_Data_Flows[[#This Row],[Flow_Py]],"N.A.")</f>
        <v/>
      </c>
      <c r="AH243" s="272">
        <f>Tab_Data_Flows[[#This Row],[UoM_Flow_Py]]</f>
        <v/>
      </c>
      <c r="AI243" s="190">
        <f>INDEX(Tab_Def_Flows[[Flow_ID]:[CC_DM_source]],MATCH(Tab_Data_Flows[[#This Row],[Name(EN)]],Tab_Def_Flows[Name(EN)],0),17)</f>
        <v/>
      </c>
      <c r="AJ243" s="272">
        <f>IF(L243="Yes",AI243*Tab_Data_Flows[[#This Row],[Flow_Py]]*Tab_Data_Flows[[#This Row],[DM_'[%']]],"N.A.")</f>
        <v/>
      </c>
      <c r="AK243" s="272">
        <f>Tab_Data_Flows[[#This Row],[UoM_Flow_Py]]</f>
        <v/>
      </c>
    </row>
    <row r="244">
      <c r="A244" s="296">
        <f>ROW()-1</f>
        <v/>
      </c>
      <c r="B244" s="272">
        <f>_xlfn.XLOOKUP(C244,Tab_Def_Flows[Name(EN)],Tab_Def_Flows[Flow_ID],,0,)</f>
        <v/>
      </c>
      <c r="C244" s="273" t="inlineStr">
        <is>
          <t>N.A.</t>
        </is>
      </c>
      <c r="D244" s="272">
        <f>_xlfn.XLOOKUP(C244,Tab_Def_Flows[Name(EN)],Tab_Def_Flows[Type_Biomass],,0,)</f>
        <v/>
      </c>
      <c r="E244" s="272">
        <f>_xlfn.XLOOKUP(C244,Tab_Def_Flows[Name(EN)],Tab_Def_Flows[Output_Process],,0,)</f>
        <v/>
      </c>
      <c r="F244" s="272">
        <f>_xlfn.XLOOKUP(C244,Tab_Def_Flows[Name(EN)],Tab_Def_Flows[Process_ID_O],,0,)</f>
        <v/>
      </c>
      <c r="G244" s="272">
        <f>_xlfn.XLOOKUP(C244,Tab_Def_Flows[Name(EN)],Tab_Def_Flows[Input_Process],,0,)</f>
        <v/>
      </c>
      <c r="H244" s="17">
        <f>_xlfn.XLOOKUP(C244,Tab_Def_Flows[Name(EN)],Tab_Def_Flows[Process_ID_I],,0,)</f>
        <v/>
      </c>
      <c r="I244" s="272">
        <f>_xlfn.XLOOKUP(C244,Tab_Def_Flows[Name(EN)],#REF!,,0,)</f>
        <v/>
      </c>
      <c r="J244" s="17">
        <f>_xlfn.XLOOKUP(C244,Tab_Def_Flows[Name(EN)],Tab_Def_Flows[WC?],,0,)</f>
        <v/>
      </c>
      <c r="K244" s="17">
        <f>_xlfn.XLOOKUP(C244,Tab_Def_Flows[Name(EN)],Tab_Def_Flows[DM?],,0,)</f>
        <v/>
      </c>
      <c r="L244" s="17">
        <f>_xlfn.XLOOKUP(C244,Tab_Def_Flows[Name(EN)],Tab_Def_Flows[CC?],,0,)</f>
        <v/>
      </c>
      <c r="M244" s="273" t="n"/>
      <c r="N244" s="273" t="n"/>
      <c r="O244" s="48" t="n"/>
      <c r="P244" s="273" t="n"/>
      <c r="Q244" s="273" t="n"/>
      <c r="R244" s="273" t="n"/>
      <c r="S244" s="273" t="n"/>
      <c r="T244" s="273" t="n"/>
      <c r="U244" s="273" t="n"/>
      <c r="V244" s="273" t="n"/>
      <c r="W244" s="273" t="n"/>
      <c r="X244" s="273" t="inlineStr">
        <is>
          <t>No</t>
        </is>
      </c>
      <c r="Y244" s="41" t="n"/>
      <c r="Z244" s="273" t="n"/>
      <c r="AA244" s="35">
        <f>IF(X244="no",O244,O244*Y244)</f>
        <v/>
      </c>
      <c r="AB244" s="273" t="inlineStr">
        <is>
          <t>Mg</t>
        </is>
      </c>
      <c r="AC244" s="190">
        <f>INDEX(Tab_Def_Flows[[Flow_ID]:[CC_DM_source]],MATCH(Tab_Data_Flows[[#This Row],[Name(EN)]],Tab_Def_Flows[Name(EN)],0),13)</f>
        <v/>
      </c>
      <c r="AD244" s="272">
        <f>IF(J244="Yes",AA244*Tab_Data_Flows[[#This Row],[WC_'[%']]],"N.A.")</f>
        <v/>
      </c>
      <c r="AE244" s="272">
        <f>Tab_Data_Flows[[#This Row],[UoM_Flow_Py]]</f>
        <v/>
      </c>
      <c r="AF244" s="190">
        <f>INDEX(Tab_Def_Flows[[Flow_ID]:[CC_DM_source]],MATCH(Tab_Data_Flows[[#This Row],[Name(EN)]],Tab_Def_Flows[Name(EN)],0),15)</f>
        <v/>
      </c>
      <c r="AG244" s="272">
        <f>IF(K244="Yes",AF244*Tab_Data_Flows[[#This Row],[Flow_Py]],"N.A.")</f>
        <v/>
      </c>
      <c r="AH244" s="272">
        <f>Tab_Data_Flows[[#This Row],[UoM_Flow_Py]]</f>
        <v/>
      </c>
      <c r="AI244" s="190">
        <f>INDEX(Tab_Def_Flows[[Flow_ID]:[CC_DM_source]],MATCH(Tab_Data_Flows[[#This Row],[Name(EN)]],Tab_Def_Flows[Name(EN)],0),17)</f>
        <v/>
      </c>
      <c r="AJ244" s="272">
        <f>IF(L244="Yes",AI244*Tab_Data_Flows[[#This Row],[Flow_Py]]*Tab_Data_Flows[[#This Row],[DM_'[%']]],"N.A.")</f>
        <v/>
      </c>
      <c r="AK244" s="272">
        <f>Tab_Data_Flows[[#This Row],[UoM_Flow_Py]]</f>
        <v/>
      </c>
    </row>
    <row r="245">
      <c r="A245" s="296">
        <f>ROW()-1</f>
        <v/>
      </c>
      <c r="B245" s="272">
        <f>_xlfn.XLOOKUP(C245,Tab_Def_Flows[Name(EN)],Tab_Def_Flows[Flow_ID],,0,)</f>
        <v/>
      </c>
      <c r="C245" s="273" t="inlineStr">
        <is>
          <t>N.A.</t>
        </is>
      </c>
      <c r="D245" s="272">
        <f>_xlfn.XLOOKUP(C245,Tab_Def_Flows[Name(EN)],Tab_Def_Flows[Type_Biomass],,0,)</f>
        <v/>
      </c>
      <c r="E245" s="272">
        <f>_xlfn.XLOOKUP(C245,Tab_Def_Flows[Name(EN)],Tab_Def_Flows[Output_Process],,0,)</f>
        <v/>
      </c>
      <c r="F245" s="272">
        <f>_xlfn.XLOOKUP(C245,Tab_Def_Flows[Name(EN)],Tab_Def_Flows[Process_ID_O],,0,)</f>
        <v/>
      </c>
      <c r="G245" s="272">
        <f>_xlfn.XLOOKUP(C245,Tab_Def_Flows[Name(EN)],Tab_Def_Flows[Input_Process],,0,)</f>
        <v/>
      </c>
      <c r="H245" s="17">
        <f>_xlfn.XLOOKUP(C245,Tab_Def_Flows[Name(EN)],Tab_Def_Flows[Process_ID_I],,0,)</f>
        <v/>
      </c>
      <c r="I245" s="272">
        <f>_xlfn.XLOOKUP(C245,Tab_Def_Flows[Name(EN)],#REF!,,0,)</f>
        <v/>
      </c>
      <c r="J245" s="17">
        <f>_xlfn.XLOOKUP(C245,Tab_Def_Flows[Name(EN)],Tab_Def_Flows[WC?],,0,)</f>
        <v/>
      </c>
      <c r="K245" s="17">
        <f>_xlfn.XLOOKUP(C245,Tab_Def_Flows[Name(EN)],Tab_Def_Flows[DM?],,0,)</f>
        <v/>
      </c>
      <c r="L245" s="17">
        <f>_xlfn.XLOOKUP(C245,Tab_Def_Flows[Name(EN)],Tab_Def_Flows[CC?],,0,)</f>
        <v/>
      </c>
      <c r="M245" s="273" t="n"/>
      <c r="N245" s="273" t="n"/>
      <c r="O245" s="48" t="n"/>
      <c r="P245" s="273" t="n"/>
      <c r="Q245" s="273" t="n"/>
      <c r="R245" s="273" t="n"/>
      <c r="S245" s="273" t="n"/>
      <c r="T245" s="273" t="n"/>
      <c r="U245" s="273" t="n"/>
      <c r="V245" s="273" t="n"/>
      <c r="W245" s="273" t="n"/>
      <c r="X245" s="273" t="inlineStr">
        <is>
          <t>No</t>
        </is>
      </c>
      <c r="Y245" s="41" t="n"/>
      <c r="Z245" s="273" t="n"/>
      <c r="AA245" s="35">
        <f>IF(X245="no",O245,O245*Y245)</f>
        <v/>
      </c>
      <c r="AB245" s="273" t="inlineStr">
        <is>
          <t>Mg</t>
        </is>
      </c>
      <c r="AC245" s="190">
        <f>INDEX(Tab_Def_Flows[[Flow_ID]:[CC_DM_source]],MATCH(Tab_Data_Flows[[#This Row],[Name(EN)]],Tab_Def_Flows[Name(EN)],0),13)</f>
        <v/>
      </c>
      <c r="AD245" s="272">
        <f>IF(J245="Yes",AA245*Tab_Data_Flows[[#This Row],[WC_'[%']]],"N.A.")</f>
        <v/>
      </c>
      <c r="AE245" s="272">
        <f>Tab_Data_Flows[[#This Row],[UoM_Flow_Py]]</f>
        <v/>
      </c>
      <c r="AF245" s="190">
        <f>INDEX(Tab_Def_Flows[[Flow_ID]:[CC_DM_source]],MATCH(Tab_Data_Flows[[#This Row],[Name(EN)]],Tab_Def_Flows[Name(EN)],0),15)</f>
        <v/>
      </c>
      <c r="AG245" s="272">
        <f>IF(K245="Yes",AF245*Tab_Data_Flows[[#This Row],[Flow_Py]],"N.A.")</f>
        <v/>
      </c>
      <c r="AH245" s="272">
        <f>Tab_Data_Flows[[#This Row],[UoM_Flow_Py]]</f>
        <v/>
      </c>
      <c r="AI245" s="190">
        <f>INDEX(Tab_Def_Flows[[Flow_ID]:[CC_DM_source]],MATCH(Tab_Data_Flows[[#This Row],[Name(EN)]],Tab_Def_Flows[Name(EN)],0),17)</f>
        <v/>
      </c>
      <c r="AJ245" s="272">
        <f>IF(L245="Yes",AI245*Tab_Data_Flows[[#This Row],[Flow_Py]]*Tab_Data_Flows[[#This Row],[DM_'[%']]],"N.A.")</f>
        <v/>
      </c>
      <c r="AK245" s="272">
        <f>Tab_Data_Flows[[#This Row],[UoM_Flow_Py]]</f>
        <v/>
      </c>
    </row>
    <row r="246">
      <c r="A246" s="296">
        <f>ROW()-1</f>
        <v/>
      </c>
      <c r="B246" s="272">
        <f>_xlfn.XLOOKUP(C246,Tab_Def_Flows[Name(EN)],Tab_Def_Flows[Flow_ID],,0,)</f>
        <v/>
      </c>
      <c r="C246" s="273" t="inlineStr">
        <is>
          <t>N.A.</t>
        </is>
      </c>
      <c r="D246" s="272">
        <f>_xlfn.XLOOKUP(C246,Tab_Def_Flows[Name(EN)],Tab_Def_Flows[Type_Biomass],,0,)</f>
        <v/>
      </c>
      <c r="E246" s="272">
        <f>_xlfn.XLOOKUP(C246,Tab_Def_Flows[Name(EN)],Tab_Def_Flows[Output_Process],,0,)</f>
        <v/>
      </c>
      <c r="F246" s="272">
        <f>_xlfn.XLOOKUP(C246,Tab_Def_Flows[Name(EN)],Tab_Def_Flows[Process_ID_O],,0,)</f>
        <v/>
      </c>
      <c r="G246" s="272">
        <f>_xlfn.XLOOKUP(C246,Tab_Def_Flows[Name(EN)],Tab_Def_Flows[Input_Process],,0,)</f>
        <v/>
      </c>
      <c r="H246" s="17">
        <f>_xlfn.XLOOKUP(C246,Tab_Def_Flows[Name(EN)],Tab_Def_Flows[Process_ID_I],,0,)</f>
        <v/>
      </c>
      <c r="I246" s="272">
        <f>_xlfn.XLOOKUP(C246,Tab_Def_Flows[Name(EN)],#REF!,,0,)</f>
        <v/>
      </c>
      <c r="J246" s="17">
        <f>_xlfn.XLOOKUP(C246,Tab_Def_Flows[Name(EN)],Tab_Def_Flows[WC?],,0,)</f>
        <v/>
      </c>
      <c r="K246" s="17">
        <f>_xlfn.XLOOKUP(C246,Tab_Def_Flows[Name(EN)],Tab_Def_Flows[DM?],,0,)</f>
        <v/>
      </c>
      <c r="L246" s="17">
        <f>_xlfn.XLOOKUP(C246,Tab_Def_Flows[Name(EN)],Tab_Def_Flows[CC?],,0,)</f>
        <v/>
      </c>
      <c r="M246" s="273" t="n"/>
      <c r="N246" s="273" t="n"/>
      <c r="O246" s="48" t="n"/>
      <c r="P246" s="273" t="n"/>
      <c r="Q246" s="273" t="n"/>
      <c r="R246" s="273" t="n"/>
      <c r="S246" s="273" t="n"/>
      <c r="T246" s="273" t="n"/>
      <c r="U246" s="273" t="n"/>
      <c r="V246" s="273" t="n"/>
      <c r="W246" s="273" t="n"/>
      <c r="X246" s="273" t="inlineStr">
        <is>
          <t>No</t>
        </is>
      </c>
      <c r="Y246" s="41" t="n"/>
      <c r="Z246" s="273" t="n"/>
      <c r="AA246" s="35">
        <f>IF(X246="no",O246,O246*Y246)</f>
        <v/>
      </c>
      <c r="AB246" s="273" t="inlineStr">
        <is>
          <t>Mg</t>
        </is>
      </c>
      <c r="AC246" s="190">
        <f>INDEX(Tab_Def_Flows[[Flow_ID]:[CC_DM_source]],MATCH(Tab_Data_Flows[[#This Row],[Name(EN)]],Tab_Def_Flows[Name(EN)],0),13)</f>
        <v/>
      </c>
      <c r="AD246" s="272">
        <f>IF(J246="Yes",AA246*Tab_Data_Flows[[#This Row],[WC_'[%']]],"N.A.")</f>
        <v/>
      </c>
      <c r="AE246" s="272">
        <f>Tab_Data_Flows[[#This Row],[UoM_Flow_Py]]</f>
        <v/>
      </c>
      <c r="AF246" s="190">
        <f>INDEX(Tab_Def_Flows[[Flow_ID]:[CC_DM_source]],MATCH(Tab_Data_Flows[[#This Row],[Name(EN)]],Tab_Def_Flows[Name(EN)],0),15)</f>
        <v/>
      </c>
      <c r="AG246" s="272">
        <f>IF(K246="Yes",AF246*Tab_Data_Flows[[#This Row],[Flow_Py]],"N.A.")</f>
        <v/>
      </c>
      <c r="AH246" s="272">
        <f>Tab_Data_Flows[[#This Row],[UoM_Flow_Py]]</f>
        <v/>
      </c>
      <c r="AI246" s="190">
        <f>INDEX(Tab_Def_Flows[[Flow_ID]:[CC_DM_source]],MATCH(Tab_Data_Flows[[#This Row],[Name(EN)]],Tab_Def_Flows[Name(EN)],0),17)</f>
        <v/>
      </c>
      <c r="AJ246" s="272">
        <f>IF(L246="Yes",AI246*Tab_Data_Flows[[#This Row],[Flow_Py]]*Tab_Data_Flows[[#This Row],[DM_'[%']]],"N.A.")</f>
        <v/>
      </c>
      <c r="AK246" s="272">
        <f>Tab_Data_Flows[[#This Row],[UoM_Flow_Py]]</f>
        <v/>
      </c>
    </row>
    <row r="247">
      <c r="A247" s="296">
        <f>ROW()-1</f>
        <v/>
      </c>
      <c r="B247" s="272">
        <f>_xlfn.XLOOKUP(C247,Tab_Def_Flows[Name(EN)],Tab_Def_Flows[Flow_ID],,0,)</f>
        <v/>
      </c>
      <c r="C247" s="273" t="inlineStr">
        <is>
          <t>N.A.</t>
        </is>
      </c>
      <c r="D247" s="272">
        <f>_xlfn.XLOOKUP(C247,Tab_Def_Flows[Name(EN)],Tab_Def_Flows[Type_Biomass],,0,)</f>
        <v/>
      </c>
      <c r="E247" s="272">
        <f>_xlfn.XLOOKUP(C247,Tab_Def_Flows[Name(EN)],Tab_Def_Flows[Output_Process],,0,)</f>
        <v/>
      </c>
      <c r="F247" s="272">
        <f>_xlfn.XLOOKUP(C247,Tab_Def_Flows[Name(EN)],Tab_Def_Flows[Process_ID_O],,0,)</f>
        <v/>
      </c>
      <c r="G247" s="272">
        <f>_xlfn.XLOOKUP(C247,Tab_Def_Flows[Name(EN)],Tab_Def_Flows[Input_Process],,0,)</f>
        <v/>
      </c>
      <c r="H247" s="17">
        <f>_xlfn.XLOOKUP(C247,Tab_Def_Flows[Name(EN)],Tab_Def_Flows[Process_ID_I],,0,)</f>
        <v/>
      </c>
      <c r="I247" s="272">
        <f>_xlfn.XLOOKUP(C247,Tab_Def_Flows[Name(EN)],#REF!,,0,)</f>
        <v/>
      </c>
      <c r="J247" s="17">
        <f>_xlfn.XLOOKUP(C247,Tab_Def_Flows[Name(EN)],Tab_Def_Flows[WC?],,0,)</f>
        <v/>
      </c>
      <c r="K247" s="17">
        <f>_xlfn.XLOOKUP(C247,Tab_Def_Flows[Name(EN)],Tab_Def_Flows[DM?],,0,)</f>
        <v/>
      </c>
      <c r="L247" s="17">
        <f>_xlfn.XLOOKUP(C247,Tab_Def_Flows[Name(EN)],Tab_Def_Flows[CC?],,0,)</f>
        <v/>
      </c>
      <c r="M247" s="273" t="n"/>
      <c r="N247" s="273" t="n"/>
      <c r="O247" s="48" t="n"/>
      <c r="P247" s="273" t="n"/>
      <c r="Q247" s="273" t="n"/>
      <c r="R247" s="273" t="n"/>
      <c r="S247" s="273" t="n"/>
      <c r="T247" s="273" t="n"/>
      <c r="U247" s="273" t="n"/>
      <c r="V247" s="273" t="n"/>
      <c r="W247" s="273" t="n"/>
      <c r="X247" s="273" t="inlineStr">
        <is>
          <t>No</t>
        </is>
      </c>
      <c r="Y247" s="41" t="n"/>
      <c r="Z247" s="273" t="n"/>
      <c r="AA247" s="35">
        <f>IF(X247="no",O247,O247*Y247)</f>
        <v/>
      </c>
      <c r="AB247" s="273" t="inlineStr">
        <is>
          <t>Mg</t>
        </is>
      </c>
      <c r="AC247" s="190">
        <f>INDEX(Tab_Def_Flows[[Flow_ID]:[CC_DM_source]],MATCH(Tab_Data_Flows[[#This Row],[Name(EN)]],Tab_Def_Flows[Name(EN)],0),13)</f>
        <v/>
      </c>
      <c r="AD247" s="272">
        <f>IF(J247="Yes",AA247*Tab_Data_Flows[[#This Row],[WC_'[%']]],"N.A.")</f>
        <v/>
      </c>
      <c r="AE247" s="272">
        <f>Tab_Data_Flows[[#This Row],[UoM_Flow_Py]]</f>
        <v/>
      </c>
      <c r="AF247" s="190">
        <f>INDEX(Tab_Def_Flows[[Flow_ID]:[CC_DM_source]],MATCH(Tab_Data_Flows[[#This Row],[Name(EN)]],Tab_Def_Flows[Name(EN)],0),15)</f>
        <v/>
      </c>
      <c r="AG247" s="272">
        <f>IF(K247="Yes",AF247*Tab_Data_Flows[[#This Row],[Flow_Py]],"N.A.")</f>
        <v/>
      </c>
      <c r="AH247" s="272">
        <f>Tab_Data_Flows[[#This Row],[UoM_Flow_Py]]</f>
        <v/>
      </c>
      <c r="AI247" s="190">
        <f>INDEX(Tab_Def_Flows[[Flow_ID]:[CC_DM_source]],MATCH(Tab_Data_Flows[[#This Row],[Name(EN)]],Tab_Def_Flows[Name(EN)],0),17)</f>
        <v/>
      </c>
      <c r="AJ247" s="272">
        <f>IF(L247="Yes",AI247*Tab_Data_Flows[[#This Row],[Flow_Py]]*Tab_Data_Flows[[#This Row],[DM_'[%']]],"N.A.")</f>
        <v/>
      </c>
      <c r="AK247" s="272">
        <f>Tab_Data_Flows[[#This Row],[UoM_Flow_Py]]</f>
        <v/>
      </c>
    </row>
    <row r="248">
      <c r="A248" s="296">
        <f>ROW()-1</f>
        <v/>
      </c>
      <c r="B248" s="272">
        <f>_xlfn.XLOOKUP(C248,Tab_Def_Flows[Name(EN)],Tab_Def_Flows[Flow_ID],,0,)</f>
        <v/>
      </c>
      <c r="C248" s="273" t="inlineStr">
        <is>
          <t>N.A.</t>
        </is>
      </c>
      <c r="D248" s="272">
        <f>_xlfn.XLOOKUP(C248,Tab_Def_Flows[Name(EN)],Tab_Def_Flows[Type_Biomass],,0,)</f>
        <v/>
      </c>
      <c r="E248" s="272">
        <f>_xlfn.XLOOKUP(C248,Tab_Def_Flows[Name(EN)],Tab_Def_Flows[Output_Process],,0,)</f>
        <v/>
      </c>
      <c r="F248" s="272">
        <f>_xlfn.XLOOKUP(C248,Tab_Def_Flows[Name(EN)],Tab_Def_Flows[Process_ID_O],,0,)</f>
        <v/>
      </c>
      <c r="G248" s="272">
        <f>_xlfn.XLOOKUP(C248,Tab_Def_Flows[Name(EN)],Tab_Def_Flows[Input_Process],,0,)</f>
        <v/>
      </c>
      <c r="H248" s="17">
        <f>_xlfn.XLOOKUP(C248,Tab_Def_Flows[Name(EN)],Tab_Def_Flows[Process_ID_I],,0,)</f>
        <v/>
      </c>
      <c r="I248" s="272">
        <f>_xlfn.XLOOKUP(C248,Tab_Def_Flows[Name(EN)],#REF!,,0,)</f>
        <v/>
      </c>
      <c r="J248" s="17">
        <f>_xlfn.XLOOKUP(C248,Tab_Def_Flows[Name(EN)],Tab_Def_Flows[WC?],,0,)</f>
        <v/>
      </c>
      <c r="K248" s="17">
        <f>_xlfn.XLOOKUP(C248,Tab_Def_Flows[Name(EN)],Tab_Def_Flows[DM?],,0,)</f>
        <v/>
      </c>
      <c r="L248" s="17">
        <f>_xlfn.XLOOKUP(C248,Tab_Def_Flows[Name(EN)],Tab_Def_Flows[CC?],,0,)</f>
        <v/>
      </c>
      <c r="M248" s="273" t="n"/>
      <c r="N248" s="273" t="n"/>
      <c r="O248" s="48" t="n"/>
      <c r="P248" s="273" t="n"/>
      <c r="Q248" s="273" t="n"/>
      <c r="R248" s="273" t="n"/>
      <c r="S248" s="273" t="n"/>
      <c r="T248" s="273" t="n"/>
      <c r="U248" s="273" t="n"/>
      <c r="V248" s="273" t="n"/>
      <c r="W248" s="273" t="n"/>
      <c r="X248" s="273" t="inlineStr">
        <is>
          <t>No</t>
        </is>
      </c>
      <c r="Y248" s="41" t="n"/>
      <c r="Z248" s="273" t="n"/>
      <c r="AA248" s="35">
        <f>IF(X248="no",O248,O248*Y248)</f>
        <v/>
      </c>
      <c r="AB248" s="273" t="inlineStr">
        <is>
          <t>Mg</t>
        </is>
      </c>
      <c r="AC248" s="190">
        <f>INDEX(Tab_Def_Flows[[Flow_ID]:[CC_DM_source]],MATCH(Tab_Data_Flows[[#This Row],[Name(EN)]],Tab_Def_Flows[Name(EN)],0),13)</f>
        <v/>
      </c>
      <c r="AD248" s="272">
        <f>IF(J248="Yes",AA248*Tab_Data_Flows[[#This Row],[WC_'[%']]],"N.A.")</f>
        <v/>
      </c>
      <c r="AE248" s="272">
        <f>Tab_Data_Flows[[#This Row],[UoM_Flow_Py]]</f>
        <v/>
      </c>
      <c r="AF248" s="190">
        <f>INDEX(Tab_Def_Flows[[Flow_ID]:[CC_DM_source]],MATCH(Tab_Data_Flows[[#This Row],[Name(EN)]],Tab_Def_Flows[Name(EN)],0),15)</f>
        <v/>
      </c>
      <c r="AG248" s="272">
        <f>IF(K248="Yes",AF248*Tab_Data_Flows[[#This Row],[Flow_Py]],"N.A.")</f>
        <v/>
      </c>
      <c r="AH248" s="272">
        <f>Tab_Data_Flows[[#This Row],[UoM_Flow_Py]]</f>
        <v/>
      </c>
      <c r="AI248" s="190">
        <f>INDEX(Tab_Def_Flows[[Flow_ID]:[CC_DM_source]],MATCH(Tab_Data_Flows[[#This Row],[Name(EN)]],Tab_Def_Flows[Name(EN)],0),17)</f>
        <v/>
      </c>
      <c r="AJ248" s="272">
        <f>IF(L248="Yes",AI248*Tab_Data_Flows[[#This Row],[Flow_Py]]*Tab_Data_Flows[[#This Row],[DM_'[%']]],"N.A.")</f>
        <v/>
      </c>
      <c r="AK248" s="272">
        <f>Tab_Data_Flows[[#This Row],[UoM_Flow_Py]]</f>
        <v/>
      </c>
    </row>
    <row r="249">
      <c r="A249" s="296">
        <f>ROW()-1</f>
        <v/>
      </c>
      <c r="B249" s="272">
        <f>_xlfn.XLOOKUP(C249,Tab_Def_Flows[Name(EN)],Tab_Def_Flows[Flow_ID],,0,)</f>
        <v/>
      </c>
      <c r="C249" s="273" t="inlineStr">
        <is>
          <t>N.A.</t>
        </is>
      </c>
      <c r="D249" s="272">
        <f>_xlfn.XLOOKUP(C249,Tab_Def_Flows[Name(EN)],Tab_Def_Flows[Type_Biomass],,0,)</f>
        <v/>
      </c>
      <c r="E249" s="272">
        <f>_xlfn.XLOOKUP(C249,Tab_Def_Flows[Name(EN)],Tab_Def_Flows[Output_Process],,0,)</f>
        <v/>
      </c>
      <c r="F249" s="272">
        <f>_xlfn.XLOOKUP(C249,Tab_Def_Flows[Name(EN)],Tab_Def_Flows[Process_ID_O],,0,)</f>
        <v/>
      </c>
      <c r="G249" s="272">
        <f>_xlfn.XLOOKUP(C249,Tab_Def_Flows[Name(EN)],Tab_Def_Flows[Input_Process],,0,)</f>
        <v/>
      </c>
      <c r="H249" s="17">
        <f>_xlfn.XLOOKUP(C249,Tab_Def_Flows[Name(EN)],Tab_Def_Flows[Process_ID_I],,0,)</f>
        <v/>
      </c>
      <c r="I249" s="272">
        <f>_xlfn.XLOOKUP(C249,Tab_Def_Flows[Name(EN)],#REF!,,0,)</f>
        <v/>
      </c>
      <c r="J249" s="17">
        <f>_xlfn.XLOOKUP(C249,Tab_Def_Flows[Name(EN)],Tab_Def_Flows[WC?],,0,)</f>
        <v/>
      </c>
      <c r="K249" s="17">
        <f>_xlfn.XLOOKUP(C249,Tab_Def_Flows[Name(EN)],Tab_Def_Flows[DM?],,0,)</f>
        <v/>
      </c>
      <c r="L249" s="17">
        <f>_xlfn.XLOOKUP(C249,Tab_Def_Flows[Name(EN)],Tab_Def_Flows[CC?],,0,)</f>
        <v/>
      </c>
      <c r="M249" s="273" t="n"/>
      <c r="N249" s="273" t="n"/>
      <c r="O249" s="48" t="n"/>
      <c r="P249" s="273" t="n"/>
      <c r="Q249" s="273" t="n"/>
      <c r="R249" s="273" t="n"/>
      <c r="S249" s="273" t="n"/>
      <c r="T249" s="273" t="n"/>
      <c r="U249" s="273" t="n"/>
      <c r="V249" s="273" t="n"/>
      <c r="W249" s="273" t="n"/>
      <c r="X249" s="273" t="inlineStr">
        <is>
          <t>No</t>
        </is>
      </c>
      <c r="Y249" s="41" t="n"/>
      <c r="Z249" s="273" t="n"/>
      <c r="AA249" s="35">
        <f>IF(X249="no",O249,O249*Y249)</f>
        <v/>
      </c>
      <c r="AB249" s="273" t="inlineStr">
        <is>
          <t>Mg</t>
        </is>
      </c>
      <c r="AC249" s="190">
        <f>INDEX(Tab_Def_Flows[[Flow_ID]:[CC_DM_source]],MATCH(Tab_Data_Flows[[#This Row],[Name(EN)]],Tab_Def_Flows[Name(EN)],0),13)</f>
        <v/>
      </c>
      <c r="AD249" s="272">
        <f>IF(J249="Yes",AA249*Tab_Data_Flows[[#This Row],[WC_'[%']]],"N.A.")</f>
        <v/>
      </c>
      <c r="AE249" s="272">
        <f>Tab_Data_Flows[[#This Row],[UoM_Flow_Py]]</f>
        <v/>
      </c>
      <c r="AF249" s="190">
        <f>INDEX(Tab_Def_Flows[[Flow_ID]:[CC_DM_source]],MATCH(Tab_Data_Flows[[#This Row],[Name(EN)]],Tab_Def_Flows[Name(EN)],0),15)</f>
        <v/>
      </c>
      <c r="AG249" s="272">
        <f>IF(K249="Yes",AF249*Tab_Data_Flows[[#This Row],[Flow_Py]],"N.A.")</f>
        <v/>
      </c>
      <c r="AH249" s="272">
        <f>Tab_Data_Flows[[#This Row],[UoM_Flow_Py]]</f>
        <v/>
      </c>
      <c r="AI249" s="190">
        <f>INDEX(Tab_Def_Flows[[Flow_ID]:[CC_DM_source]],MATCH(Tab_Data_Flows[[#This Row],[Name(EN)]],Tab_Def_Flows[Name(EN)],0),17)</f>
        <v/>
      </c>
      <c r="AJ249" s="272">
        <f>IF(L249="Yes",AI249*Tab_Data_Flows[[#This Row],[Flow_Py]]*Tab_Data_Flows[[#This Row],[DM_'[%']]],"N.A.")</f>
        <v/>
      </c>
      <c r="AK249" s="272">
        <f>Tab_Data_Flows[[#This Row],[UoM_Flow_Py]]</f>
        <v/>
      </c>
    </row>
    <row r="250">
      <c r="A250" s="296">
        <f>ROW()-1</f>
        <v/>
      </c>
      <c r="B250" s="272">
        <f>_xlfn.XLOOKUP(C250,Tab_Def_Flows[Name(EN)],Tab_Def_Flows[Flow_ID],,0,)</f>
        <v/>
      </c>
      <c r="C250" s="273" t="inlineStr">
        <is>
          <t>N.A.</t>
        </is>
      </c>
      <c r="D250" s="272">
        <f>_xlfn.XLOOKUP(C250,Tab_Def_Flows[Name(EN)],Tab_Def_Flows[Type_Biomass],,0,)</f>
        <v/>
      </c>
      <c r="E250" s="272">
        <f>_xlfn.XLOOKUP(C250,Tab_Def_Flows[Name(EN)],Tab_Def_Flows[Output_Process],,0,)</f>
        <v/>
      </c>
      <c r="F250" s="272">
        <f>_xlfn.XLOOKUP(C250,Tab_Def_Flows[Name(EN)],Tab_Def_Flows[Process_ID_O],,0,)</f>
        <v/>
      </c>
      <c r="G250" s="272">
        <f>_xlfn.XLOOKUP(C250,Tab_Def_Flows[Name(EN)],Tab_Def_Flows[Input_Process],,0,)</f>
        <v/>
      </c>
      <c r="H250" s="17">
        <f>_xlfn.XLOOKUP(C250,Tab_Def_Flows[Name(EN)],Tab_Def_Flows[Process_ID_I],,0,)</f>
        <v/>
      </c>
      <c r="I250" s="272">
        <f>_xlfn.XLOOKUP(C250,Tab_Def_Flows[Name(EN)],#REF!,,0,)</f>
        <v/>
      </c>
      <c r="J250" s="17">
        <f>_xlfn.XLOOKUP(C250,Tab_Def_Flows[Name(EN)],Tab_Def_Flows[WC?],,0,)</f>
        <v/>
      </c>
      <c r="K250" s="17">
        <f>_xlfn.XLOOKUP(C250,Tab_Def_Flows[Name(EN)],Tab_Def_Flows[DM?],,0,)</f>
        <v/>
      </c>
      <c r="L250" s="17">
        <f>_xlfn.XLOOKUP(C250,Tab_Def_Flows[Name(EN)],Tab_Def_Flows[CC?],,0,)</f>
        <v/>
      </c>
      <c r="M250" s="273" t="n"/>
      <c r="N250" s="273" t="n"/>
      <c r="O250" s="48" t="n"/>
      <c r="P250" s="273" t="n"/>
      <c r="Q250" s="273" t="n"/>
      <c r="R250" s="273" t="n"/>
      <c r="S250" s="273" t="n"/>
      <c r="T250" s="273" t="n"/>
      <c r="U250" s="273" t="n"/>
      <c r="V250" s="273" t="n"/>
      <c r="W250" s="273" t="n"/>
      <c r="X250" s="273" t="inlineStr">
        <is>
          <t>No</t>
        </is>
      </c>
      <c r="Y250" s="41" t="n"/>
      <c r="Z250" s="273" t="n"/>
      <c r="AA250" s="35">
        <f>IF(X250="no",O250,O250*Y250)</f>
        <v/>
      </c>
      <c r="AB250" s="273" t="inlineStr">
        <is>
          <t>Mg</t>
        </is>
      </c>
      <c r="AC250" s="190">
        <f>INDEX(Tab_Def_Flows[[Flow_ID]:[CC_DM_source]],MATCH(Tab_Data_Flows[[#This Row],[Name(EN)]],Tab_Def_Flows[Name(EN)],0),13)</f>
        <v/>
      </c>
      <c r="AD250" s="272">
        <f>IF(J250="Yes",AA250*Tab_Data_Flows[[#This Row],[WC_'[%']]],"N.A.")</f>
        <v/>
      </c>
      <c r="AE250" s="272">
        <f>Tab_Data_Flows[[#This Row],[UoM_Flow_Py]]</f>
        <v/>
      </c>
      <c r="AF250" s="190">
        <f>INDEX(Tab_Def_Flows[[Flow_ID]:[CC_DM_source]],MATCH(Tab_Data_Flows[[#This Row],[Name(EN)]],Tab_Def_Flows[Name(EN)],0),15)</f>
        <v/>
      </c>
      <c r="AG250" s="272">
        <f>IF(K250="Yes",AF250*Tab_Data_Flows[[#This Row],[Flow_Py]],"N.A.")</f>
        <v/>
      </c>
      <c r="AH250" s="272">
        <f>Tab_Data_Flows[[#This Row],[UoM_Flow_Py]]</f>
        <v/>
      </c>
      <c r="AI250" s="190">
        <f>INDEX(Tab_Def_Flows[[Flow_ID]:[CC_DM_source]],MATCH(Tab_Data_Flows[[#This Row],[Name(EN)]],Tab_Def_Flows[Name(EN)],0),17)</f>
        <v/>
      </c>
      <c r="AJ250" s="272">
        <f>IF(L250="Yes",AI250*Tab_Data_Flows[[#This Row],[Flow_Py]]*Tab_Data_Flows[[#This Row],[DM_'[%']]],"N.A.")</f>
        <v/>
      </c>
      <c r="AK250" s="272">
        <f>Tab_Data_Flows[[#This Row],[UoM_Flow_Py]]</f>
        <v/>
      </c>
    </row>
    <row r="251">
      <c r="A251" s="296">
        <f>ROW()-1</f>
        <v/>
      </c>
      <c r="B251" s="272">
        <f>_xlfn.XLOOKUP(C251,Tab_Def_Flows[Name(EN)],Tab_Def_Flows[Flow_ID],,0,)</f>
        <v/>
      </c>
      <c r="C251" s="273" t="inlineStr">
        <is>
          <t>N.A.</t>
        </is>
      </c>
      <c r="D251" s="272">
        <f>_xlfn.XLOOKUP(C251,Tab_Def_Flows[Name(EN)],Tab_Def_Flows[Type_Biomass],,0,)</f>
        <v/>
      </c>
      <c r="E251" s="272">
        <f>_xlfn.XLOOKUP(C251,Tab_Def_Flows[Name(EN)],Tab_Def_Flows[Output_Process],,0,)</f>
        <v/>
      </c>
      <c r="F251" s="272">
        <f>_xlfn.XLOOKUP(C251,Tab_Def_Flows[Name(EN)],Tab_Def_Flows[Process_ID_O],,0,)</f>
        <v/>
      </c>
      <c r="G251" s="272">
        <f>_xlfn.XLOOKUP(C251,Tab_Def_Flows[Name(EN)],Tab_Def_Flows[Input_Process],,0,)</f>
        <v/>
      </c>
      <c r="H251" s="17">
        <f>_xlfn.XLOOKUP(C251,Tab_Def_Flows[Name(EN)],Tab_Def_Flows[Process_ID_I],,0,)</f>
        <v/>
      </c>
      <c r="I251" s="272">
        <f>_xlfn.XLOOKUP(C251,Tab_Def_Flows[Name(EN)],#REF!,,0,)</f>
        <v/>
      </c>
      <c r="J251" s="17">
        <f>_xlfn.XLOOKUP(C251,Tab_Def_Flows[Name(EN)],Tab_Def_Flows[WC?],,0,)</f>
        <v/>
      </c>
      <c r="K251" s="17">
        <f>_xlfn.XLOOKUP(C251,Tab_Def_Flows[Name(EN)],Tab_Def_Flows[DM?],,0,)</f>
        <v/>
      </c>
      <c r="L251" s="17">
        <f>_xlfn.XLOOKUP(C251,Tab_Def_Flows[Name(EN)],Tab_Def_Flows[CC?],,0,)</f>
        <v/>
      </c>
      <c r="M251" s="273" t="n"/>
      <c r="N251" s="273" t="n"/>
      <c r="O251" s="48" t="n"/>
      <c r="P251" s="273" t="n"/>
      <c r="Q251" s="273" t="n"/>
      <c r="R251" s="273" t="n"/>
      <c r="S251" s="273" t="n"/>
      <c r="T251" s="273" t="n"/>
      <c r="U251" s="273" t="n"/>
      <c r="V251" s="273" t="n"/>
      <c r="W251" s="273" t="n"/>
      <c r="X251" s="273" t="inlineStr">
        <is>
          <t>No</t>
        </is>
      </c>
      <c r="Y251" s="41" t="n"/>
      <c r="Z251" s="273" t="n"/>
      <c r="AA251" s="35">
        <f>IF(X251="no",O251,O251*Y251)</f>
        <v/>
      </c>
      <c r="AB251" s="273" t="inlineStr">
        <is>
          <t>Mg</t>
        </is>
      </c>
      <c r="AC251" s="190">
        <f>INDEX(Tab_Def_Flows[[Flow_ID]:[CC_DM_source]],MATCH(Tab_Data_Flows[[#This Row],[Name(EN)]],Tab_Def_Flows[Name(EN)],0),13)</f>
        <v/>
      </c>
      <c r="AD251" s="272">
        <f>IF(J251="Yes",AA251*Tab_Data_Flows[[#This Row],[WC_'[%']]],"N.A.")</f>
        <v/>
      </c>
      <c r="AE251" s="272">
        <f>Tab_Data_Flows[[#This Row],[UoM_Flow_Py]]</f>
        <v/>
      </c>
      <c r="AF251" s="190">
        <f>INDEX(Tab_Def_Flows[[Flow_ID]:[CC_DM_source]],MATCH(Tab_Data_Flows[[#This Row],[Name(EN)]],Tab_Def_Flows[Name(EN)],0),15)</f>
        <v/>
      </c>
      <c r="AG251" s="272">
        <f>IF(K251="Yes",AF251*Tab_Data_Flows[[#This Row],[Flow_Py]],"N.A.")</f>
        <v/>
      </c>
      <c r="AH251" s="272">
        <f>Tab_Data_Flows[[#This Row],[UoM_Flow_Py]]</f>
        <v/>
      </c>
      <c r="AI251" s="190">
        <f>INDEX(Tab_Def_Flows[[Flow_ID]:[CC_DM_source]],MATCH(Tab_Data_Flows[[#This Row],[Name(EN)]],Tab_Def_Flows[Name(EN)],0),17)</f>
        <v/>
      </c>
      <c r="AJ251" s="272">
        <f>IF(L251="Yes",AI251*Tab_Data_Flows[[#This Row],[Flow_Py]]*Tab_Data_Flows[[#This Row],[DM_'[%']]],"N.A.")</f>
        <v/>
      </c>
      <c r="AK251" s="272">
        <f>Tab_Data_Flows[[#This Row],[UoM_Flow_Py]]</f>
        <v/>
      </c>
    </row>
    <row r="252">
      <c r="A252" s="296">
        <f>ROW()-1</f>
        <v/>
      </c>
      <c r="B252" s="272">
        <f>_xlfn.XLOOKUP(C252,Tab_Def_Flows[Name(EN)],Tab_Def_Flows[Flow_ID],,0,)</f>
        <v/>
      </c>
      <c r="C252" s="273" t="inlineStr">
        <is>
          <t>N.A.</t>
        </is>
      </c>
      <c r="D252" s="272">
        <f>_xlfn.XLOOKUP(C252,Tab_Def_Flows[Name(EN)],Tab_Def_Flows[Type_Biomass],,0,)</f>
        <v/>
      </c>
      <c r="E252" s="272">
        <f>_xlfn.XLOOKUP(C252,Tab_Def_Flows[Name(EN)],Tab_Def_Flows[Output_Process],,0,)</f>
        <v/>
      </c>
      <c r="F252" s="272">
        <f>_xlfn.XLOOKUP(C252,Tab_Def_Flows[Name(EN)],Tab_Def_Flows[Process_ID_O],,0,)</f>
        <v/>
      </c>
      <c r="G252" s="272">
        <f>_xlfn.XLOOKUP(C252,Tab_Def_Flows[Name(EN)],Tab_Def_Flows[Input_Process],,0,)</f>
        <v/>
      </c>
      <c r="H252" s="17">
        <f>_xlfn.XLOOKUP(C252,Tab_Def_Flows[Name(EN)],Tab_Def_Flows[Process_ID_I],,0,)</f>
        <v/>
      </c>
      <c r="I252" s="272">
        <f>_xlfn.XLOOKUP(C252,Tab_Def_Flows[Name(EN)],#REF!,,0,)</f>
        <v/>
      </c>
      <c r="J252" s="17">
        <f>_xlfn.XLOOKUP(C252,Tab_Def_Flows[Name(EN)],Tab_Def_Flows[WC?],,0,)</f>
        <v/>
      </c>
      <c r="K252" s="17">
        <f>_xlfn.XLOOKUP(C252,Tab_Def_Flows[Name(EN)],Tab_Def_Flows[DM?],,0,)</f>
        <v/>
      </c>
      <c r="L252" s="17">
        <f>_xlfn.XLOOKUP(C252,Tab_Def_Flows[Name(EN)],Tab_Def_Flows[CC?],,0,)</f>
        <v/>
      </c>
      <c r="M252" s="273" t="n"/>
      <c r="N252" s="273" t="n"/>
      <c r="O252" s="48" t="n"/>
      <c r="P252" s="273" t="n"/>
      <c r="Q252" s="273" t="n"/>
      <c r="R252" s="273" t="n"/>
      <c r="S252" s="273" t="n"/>
      <c r="T252" s="273" t="n"/>
      <c r="U252" s="273" t="n"/>
      <c r="V252" s="273" t="n"/>
      <c r="W252" s="273" t="n"/>
      <c r="X252" s="273" t="inlineStr">
        <is>
          <t>No</t>
        </is>
      </c>
      <c r="Y252" s="41" t="n"/>
      <c r="Z252" s="273" t="n"/>
      <c r="AA252" s="35">
        <f>IF(X252="no",O252,O252*Y252)</f>
        <v/>
      </c>
      <c r="AB252" s="273" t="inlineStr">
        <is>
          <t>Mg</t>
        </is>
      </c>
      <c r="AC252" s="190">
        <f>INDEX(Tab_Def_Flows[[Flow_ID]:[CC_DM_source]],MATCH(Tab_Data_Flows[[#This Row],[Name(EN)]],Tab_Def_Flows[Name(EN)],0),13)</f>
        <v/>
      </c>
      <c r="AD252" s="272">
        <f>IF(J252="Yes",AA252*Tab_Data_Flows[[#This Row],[WC_'[%']]],"N.A.")</f>
        <v/>
      </c>
      <c r="AE252" s="272">
        <f>Tab_Data_Flows[[#This Row],[UoM_Flow_Py]]</f>
        <v/>
      </c>
      <c r="AF252" s="190">
        <f>INDEX(Tab_Def_Flows[[Flow_ID]:[CC_DM_source]],MATCH(Tab_Data_Flows[[#This Row],[Name(EN)]],Tab_Def_Flows[Name(EN)],0),15)</f>
        <v/>
      </c>
      <c r="AG252" s="272">
        <f>IF(K252="Yes",AF252*Tab_Data_Flows[[#This Row],[Flow_Py]],"N.A.")</f>
        <v/>
      </c>
      <c r="AH252" s="272">
        <f>Tab_Data_Flows[[#This Row],[UoM_Flow_Py]]</f>
        <v/>
      </c>
      <c r="AI252" s="190">
        <f>INDEX(Tab_Def_Flows[[Flow_ID]:[CC_DM_source]],MATCH(Tab_Data_Flows[[#This Row],[Name(EN)]],Tab_Def_Flows[Name(EN)],0),17)</f>
        <v/>
      </c>
      <c r="AJ252" s="272">
        <f>IF(L252="Yes",AI252*Tab_Data_Flows[[#This Row],[Flow_Py]]*Tab_Data_Flows[[#This Row],[DM_'[%']]],"N.A.")</f>
        <v/>
      </c>
      <c r="AK252" s="272">
        <f>Tab_Data_Flows[[#This Row],[UoM_Flow_Py]]</f>
        <v/>
      </c>
    </row>
    <row r="253">
      <c r="A253" s="296">
        <f>ROW()-1</f>
        <v/>
      </c>
      <c r="B253" s="272">
        <f>_xlfn.XLOOKUP(C253,Tab_Def_Flows[Name(EN)],Tab_Def_Flows[Flow_ID],,0,)</f>
        <v/>
      </c>
      <c r="C253" s="273" t="inlineStr">
        <is>
          <t>N.A.</t>
        </is>
      </c>
      <c r="D253" s="272">
        <f>_xlfn.XLOOKUP(C253,Tab_Def_Flows[Name(EN)],Tab_Def_Flows[Type_Biomass],,0,)</f>
        <v/>
      </c>
      <c r="E253" s="272">
        <f>_xlfn.XLOOKUP(C253,Tab_Def_Flows[Name(EN)],Tab_Def_Flows[Output_Process],,0,)</f>
        <v/>
      </c>
      <c r="F253" s="272">
        <f>_xlfn.XLOOKUP(C253,Tab_Def_Flows[Name(EN)],Tab_Def_Flows[Process_ID_O],,0,)</f>
        <v/>
      </c>
      <c r="G253" s="272">
        <f>_xlfn.XLOOKUP(C253,Tab_Def_Flows[Name(EN)],Tab_Def_Flows[Input_Process],,0,)</f>
        <v/>
      </c>
      <c r="H253" s="17">
        <f>_xlfn.XLOOKUP(C253,Tab_Def_Flows[Name(EN)],Tab_Def_Flows[Process_ID_I],,0,)</f>
        <v/>
      </c>
      <c r="I253" s="272">
        <f>_xlfn.XLOOKUP(C253,Tab_Def_Flows[Name(EN)],#REF!,,0,)</f>
        <v/>
      </c>
      <c r="J253" s="17">
        <f>_xlfn.XLOOKUP(C253,Tab_Def_Flows[Name(EN)],Tab_Def_Flows[WC?],,0,)</f>
        <v/>
      </c>
      <c r="K253" s="17">
        <f>_xlfn.XLOOKUP(C253,Tab_Def_Flows[Name(EN)],Tab_Def_Flows[DM?],,0,)</f>
        <v/>
      </c>
      <c r="L253" s="17">
        <f>_xlfn.XLOOKUP(C253,Tab_Def_Flows[Name(EN)],Tab_Def_Flows[CC?],,0,)</f>
        <v/>
      </c>
      <c r="M253" s="273" t="n"/>
      <c r="N253" s="273" t="n"/>
      <c r="O253" s="48" t="n"/>
      <c r="P253" s="273" t="n"/>
      <c r="Q253" s="273" t="n"/>
      <c r="R253" s="273" t="n"/>
      <c r="S253" s="273" t="n"/>
      <c r="T253" s="273" t="n"/>
      <c r="U253" s="273" t="n"/>
      <c r="V253" s="273" t="n"/>
      <c r="W253" s="273" t="n"/>
      <c r="X253" s="273" t="inlineStr">
        <is>
          <t>No</t>
        </is>
      </c>
      <c r="Y253" s="41" t="n"/>
      <c r="Z253" s="273" t="n"/>
      <c r="AA253" s="35">
        <f>IF(X253="no",O253,O253*Y253)</f>
        <v/>
      </c>
      <c r="AB253" s="273" t="inlineStr">
        <is>
          <t>Mg</t>
        </is>
      </c>
      <c r="AC253" s="190">
        <f>INDEX(Tab_Def_Flows[[Flow_ID]:[CC_DM_source]],MATCH(Tab_Data_Flows[[#This Row],[Name(EN)]],Tab_Def_Flows[Name(EN)],0),13)</f>
        <v/>
      </c>
      <c r="AD253" s="272">
        <f>IF(J253="Yes",AA253*Tab_Data_Flows[[#This Row],[WC_'[%']]],"N.A.")</f>
        <v/>
      </c>
      <c r="AE253" s="272">
        <f>Tab_Data_Flows[[#This Row],[UoM_Flow_Py]]</f>
        <v/>
      </c>
      <c r="AF253" s="190">
        <f>INDEX(Tab_Def_Flows[[Flow_ID]:[CC_DM_source]],MATCH(Tab_Data_Flows[[#This Row],[Name(EN)]],Tab_Def_Flows[Name(EN)],0),15)</f>
        <v/>
      </c>
      <c r="AG253" s="272">
        <f>IF(K253="Yes",AF253*Tab_Data_Flows[[#This Row],[Flow_Py]],"N.A.")</f>
        <v/>
      </c>
      <c r="AH253" s="272">
        <f>Tab_Data_Flows[[#This Row],[UoM_Flow_Py]]</f>
        <v/>
      </c>
      <c r="AI253" s="190">
        <f>INDEX(Tab_Def_Flows[[Flow_ID]:[CC_DM_source]],MATCH(Tab_Data_Flows[[#This Row],[Name(EN)]],Tab_Def_Flows[Name(EN)],0),17)</f>
        <v/>
      </c>
      <c r="AJ253" s="272">
        <f>IF(L253="Yes",AI253*Tab_Data_Flows[[#This Row],[Flow_Py]]*Tab_Data_Flows[[#This Row],[DM_'[%']]],"N.A.")</f>
        <v/>
      </c>
      <c r="AK253" s="272">
        <f>Tab_Data_Flows[[#This Row],[UoM_Flow_Py]]</f>
        <v/>
      </c>
    </row>
    <row r="254">
      <c r="A254" s="296">
        <f>ROW()-1</f>
        <v/>
      </c>
      <c r="B254" s="272">
        <f>_xlfn.XLOOKUP(C254,Tab_Def_Flows[Name(EN)],Tab_Def_Flows[Flow_ID],,0,)</f>
        <v/>
      </c>
      <c r="C254" s="273" t="inlineStr">
        <is>
          <t>N.A.</t>
        </is>
      </c>
      <c r="D254" s="272">
        <f>_xlfn.XLOOKUP(C254,Tab_Def_Flows[Name(EN)],Tab_Def_Flows[Type_Biomass],,0,)</f>
        <v/>
      </c>
      <c r="E254" s="272">
        <f>_xlfn.XLOOKUP(C254,Tab_Def_Flows[Name(EN)],Tab_Def_Flows[Output_Process],,0,)</f>
        <v/>
      </c>
      <c r="F254" s="272">
        <f>_xlfn.XLOOKUP(C254,Tab_Def_Flows[Name(EN)],Tab_Def_Flows[Process_ID_O],,0,)</f>
        <v/>
      </c>
      <c r="G254" s="272">
        <f>_xlfn.XLOOKUP(C254,Tab_Def_Flows[Name(EN)],Tab_Def_Flows[Input_Process],,0,)</f>
        <v/>
      </c>
      <c r="H254" s="17">
        <f>_xlfn.XLOOKUP(C254,Tab_Def_Flows[Name(EN)],Tab_Def_Flows[Process_ID_I],,0,)</f>
        <v/>
      </c>
      <c r="I254" s="272">
        <f>_xlfn.XLOOKUP(C254,Tab_Def_Flows[Name(EN)],#REF!,,0,)</f>
        <v/>
      </c>
      <c r="J254" s="17">
        <f>_xlfn.XLOOKUP(C254,Tab_Def_Flows[Name(EN)],Tab_Def_Flows[WC?],,0,)</f>
        <v/>
      </c>
      <c r="K254" s="17">
        <f>_xlfn.XLOOKUP(C254,Tab_Def_Flows[Name(EN)],Tab_Def_Flows[DM?],,0,)</f>
        <v/>
      </c>
      <c r="L254" s="17">
        <f>_xlfn.XLOOKUP(C254,Tab_Def_Flows[Name(EN)],Tab_Def_Flows[CC?],,0,)</f>
        <v/>
      </c>
      <c r="M254" s="273" t="n"/>
      <c r="N254" s="273" t="n"/>
      <c r="O254" s="48" t="n"/>
      <c r="P254" s="273" t="n"/>
      <c r="Q254" s="273" t="n"/>
      <c r="R254" s="273" t="n"/>
      <c r="S254" s="273" t="n"/>
      <c r="T254" s="273" t="n"/>
      <c r="U254" s="273" t="n"/>
      <c r="V254" s="273" t="n"/>
      <c r="W254" s="273" t="n"/>
      <c r="X254" s="273" t="inlineStr">
        <is>
          <t>No</t>
        </is>
      </c>
      <c r="Y254" s="41" t="n"/>
      <c r="Z254" s="273" t="n"/>
      <c r="AA254" s="35">
        <f>IF(X254="no",O254,O254*Y254)</f>
        <v/>
      </c>
      <c r="AB254" s="273" t="inlineStr">
        <is>
          <t>Mg</t>
        </is>
      </c>
      <c r="AC254" s="190">
        <f>INDEX(Tab_Def_Flows[[Flow_ID]:[CC_DM_source]],MATCH(Tab_Data_Flows[[#This Row],[Name(EN)]],Tab_Def_Flows[Name(EN)],0),13)</f>
        <v/>
      </c>
      <c r="AD254" s="272">
        <f>IF(J254="Yes",AA254*Tab_Data_Flows[[#This Row],[WC_'[%']]],"N.A.")</f>
        <v/>
      </c>
      <c r="AE254" s="272">
        <f>Tab_Data_Flows[[#This Row],[UoM_Flow_Py]]</f>
        <v/>
      </c>
      <c r="AF254" s="190">
        <f>INDEX(Tab_Def_Flows[[Flow_ID]:[CC_DM_source]],MATCH(Tab_Data_Flows[[#This Row],[Name(EN)]],Tab_Def_Flows[Name(EN)],0),15)</f>
        <v/>
      </c>
      <c r="AG254" s="272">
        <f>IF(K254="Yes",AF254*Tab_Data_Flows[[#This Row],[Flow_Py]],"N.A.")</f>
        <v/>
      </c>
      <c r="AH254" s="272">
        <f>Tab_Data_Flows[[#This Row],[UoM_Flow_Py]]</f>
        <v/>
      </c>
      <c r="AI254" s="190">
        <f>INDEX(Tab_Def_Flows[[Flow_ID]:[CC_DM_source]],MATCH(Tab_Data_Flows[[#This Row],[Name(EN)]],Tab_Def_Flows[Name(EN)],0),17)</f>
        <v/>
      </c>
      <c r="AJ254" s="272">
        <f>IF(L254="Yes",AI254*Tab_Data_Flows[[#This Row],[Flow_Py]]*Tab_Data_Flows[[#This Row],[DM_'[%']]],"N.A.")</f>
        <v/>
      </c>
      <c r="AK254" s="272">
        <f>Tab_Data_Flows[[#This Row],[UoM_Flow_Py]]</f>
        <v/>
      </c>
    </row>
    <row r="255">
      <c r="A255" s="296">
        <f>ROW()-1</f>
        <v/>
      </c>
      <c r="B255" s="272">
        <f>_xlfn.XLOOKUP(C255,Tab_Def_Flows[Name(EN)],Tab_Def_Flows[Flow_ID],,0,)</f>
        <v/>
      </c>
      <c r="C255" s="273" t="inlineStr">
        <is>
          <t>N.A.</t>
        </is>
      </c>
      <c r="D255" s="272">
        <f>_xlfn.XLOOKUP(C255,Tab_Def_Flows[Name(EN)],Tab_Def_Flows[Type_Biomass],,0,)</f>
        <v/>
      </c>
      <c r="E255" s="272">
        <f>_xlfn.XLOOKUP(C255,Tab_Def_Flows[Name(EN)],Tab_Def_Flows[Output_Process],,0,)</f>
        <v/>
      </c>
      <c r="F255" s="272">
        <f>_xlfn.XLOOKUP(C255,Tab_Def_Flows[Name(EN)],Tab_Def_Flows[Process_ID_O],,0,)</f>
        <v/>
      </c>
      <c r="G255" s="272">
        <f>_xlfn.XLOOKUP(C255,Tab_Def_Flows[Name(EN)],Tab_Def_Flows[Input_Process],,0,)</f>
        <v/>
      </c>
      <c r="H255" s="17">
        <f>_xlfn.XLOOKUP(C255,Tab_Def_Flows[Name(EN)],Tab_Def_Flows[Process_ID_I],,0,)</f>
        <v/>
      </c>
      <c r="I255" s="272">
        <f>_xlfn.XLOOKUP(C255,Tab_Def_Flows[Name(EN)],#REF!,,0,)</f>
        <v/>
      </c>
      <c r="J255" s="17">
        <f>_xlfn.XLOOKUP(C255,Tab_Def_Flows[Name(EN)],Tab_Def_Flows[WC?],,0,)</f>
        <v/>
      </c>
      <c r="K255" s="17">
        <f>_xlfn.XLOOKUP(C255,Tab_Def_Flows[Name(EN)],Tab_Def_Flows[DM?],,0,)</f>
        <v/>
      </c>
      <c r="L255" s="17">
        <f>_xlfn.XLOOKUP(C255,Tab_Def_Flows[Name(EN)],Tab_Def_Flows[CC?],,0,)</f>
        <v/>
      </c>
      <c r="M255" s="273" t="n"/>
      <c r="N255" s="273" t="n"/>
      <c r="O255" s="48" t="n"/>
      <c r="P255" s="273" t="n"/>
      <c r="Q255" s="273" t="n"/>
      <c r="R255" s="273" t="n"/>
      <c r="S255" s="273" t="n"/>
      <c r="T255" s="273" t="n"/>
      <c r="U255" s="273" t="n"/>
      <c r="V255" s="273" t="n"/>
      <c r="W255" s="273" t="n"/>
      <c r="X255" s="273" t="inlineStr">
        <is>
          <t>No</t>
        </is>
      </c>
      <c r="Y255" s="41" t="n"/>
      <c r="Z255" s="273" t="n"/>
      <c r="AA255" s="35">
        <f>IF(X255="no",O255,O255*Y255)</f>
        <v/>
      </c>
      <c r="AB255" s="273" t="inlineStr">
        <is>
          <t>Mg</t>
        </is>
      </c>
      <c r="AC255" s="190">
        <f>INDEX(Tab_Def_Flows[[Flow_ID]:[CC_DM_source]],MATCH(Tab_Data_Flows[[#This Row],[Name(EN)]],Tab_Def_Flows[Name(EN)],0),13)</f>
        <v/>
      </c>
      <c r="AD255" s="272">
        <f>IF(J255="Yes",AA255*Tab_Data_Flows[[#This Row],[WC_'[%']]],"N.A.")</f>
        <v/>
      </c>
      <c r="AE255" s="272">
        <f>Tab_Data_Flows[[#This Row],[UoM_Flow_Py]]</f>
        <v/>
      </c>
      <c r="AF255" s="190">
        <f>INDEX(Tab_Def_Flows[[Flow_ID]:[CC_DM_source]],MATCH(Tab_Data_Flows[[#This Row],[Name(EN)]],Tab_Def_Flows[Name(EN)],0),15)</f>
        <v/>
      </c>
      <c r="AG255" s="272">
        <f>IF(K255="Yes",AF255*Tab_Data_Flows[[#This Row],[Flow_Py]],"N.A.")</f>
        <v/>
      </c>
      <c r="AH255" s="272">
        <f>Tab_Data_Flows[[#This Row],[UoM_Flow_Py]]</f>
        <v/>
      </c>
      <c r="AI255" s="190">
        <f>INDEX(Tab_Def_Flows[[Flow_ID]:[CC_DM_source]],MATCH(Tab_Data_Flows[[#This Row],[Name(EN)]],Tab_Def_Flows[Name(EN)],0),17)</f>
        <v/>
      </c>
      <c r="AJ255" s="272">
        <f>IF(L255="Yes",AI255*Tab_Data_Flows[[#This Row],[Flow_Py]]*Tab_Data_Flows[[#This Row],[DM_'[%']]],"N.A.")</f>
        <v/>
      </c>
      <c r="AK255" s="272">
        <f>Tab_Data_Flows[[#This Row],[UoM_Flow_Py]]</f>
        <v/>
      </c>
    </row>
    <row r="256">
      <c r="A256" s="296">
        <f>ROW()-1</f>
        <v/>
      </c>
      <c r="B256" s="272">
        <f>_xlfn.XLOOKUP(C256,Tab_Def_Flows[Name(EN)],Tab_Def_Flows[Flow_ID],,0,)</f>
        <v/>
      </c>
      <c r="C256" s="273" t="inlineStr">
        <is>
          <t>N.A.</t>
        </is>
      </c>
      <c r="D256" s="272">
        <f>_xlfn.XLOOKUP(C256,Tab_Def_Flows[Name(EN)],Tab_Def_Flows[Type_Biomass],,0,)</f>
        <v/>
      </c>
      <c r="E256" s="272">
        <f>_xlfn.XLOOKUP(C256,Tab_Def_Flows[Name(EN)],Tab_Def_Flows[Output_Process],,0,)</f>
        <v/>
      </c>
      <c r="F256" s="272">
        <f>_xlfn.XLOOKUP(C256,Tab_Def_Flows[Name(EN)],Tab_Def_Flows[Process_ID_O],,0,)</f>
        <v/>
      </c>
      <c r="G256" s="272">
        <f>_xlfn.XLOOKUP(C256,Tab_Def_Flows[Name(EN)],Tab_Def_Flows[Input_Process],,0,)</f>
        <v/>
      </c>
      <c r="H256" s="17">
        <f>_xlfn.XLOOKUP(C256,Tab_Def_Flows[Name(EN)],Tab_Def_Flows[Process_ID_I],,0,)</f>
        <v/>
      </c>
      <c r="I256" s="272">
        <f>_xlfn.XLOOKUP(C256,Tab_Def_Flows[Name(EN)],#REF!,,0,)</f>
        <v/>
      </c>
      <c r="J256" s="17">
        <f>_xlfn.XLOOKUP(C256,Tab_Def_Flows[Name(EN)],Tab_Def_Flows[WC?],,0,)</f>
        <v/>
      </c>
      <c r="K256" s="17">
        <f>_xlfn.XLOOKUP(C256,Tab_Def_Flows[Name(EN)],Tab_Def_Flows[DM?],,0,)</f>
        <v/>
      </c>
      <c r="L256" s="17">
        <f>_xlfn.XLOOKUP(C256,Tab_Def_Flows[Name(EN)],Tab_Def_Flows[CC?],,0,)</f>
        <v/>
      </c>
      <c r="M256" s="273" t="n"/>
      <c r="N256" s="273" t="n"/>
      <c r="O256" s="48" t="n"/>
      <c r="P256" s="273" t="n"/>
      <c r="Q256" s="273" t="n"/>
      <c r="R256" s="273" t="n"/>
      <c r="S256" s="273" t="n"/>
      <c r="T256" s="273" t="n"/>
      <c r="U256" s="273" t="n"/>
      <c r="V256" s="273" t="n"/>
      <c r="W256" s="273" t="n"/>
      <c r="X256" s="273" t="inlineStr">
        <is>
          <t>No</t>
        </is>
      </c>
      <c r="Y256" s="41" t="n"/>
      <c r="Z256" s="273" t="n"/>
      <c r="AA256" s="35">
        <f>IF(X256="no",O256,O256*Y256)</f>
        <v/>
      </c>
      <c r="AB256" s="273" t="inlineStr">
        <is>
          <t>Mg</t>
        </is>
      </c>
      <c r="AC256" s="190">
        <f>INDEX(Tab_Def_Flows[[Flow_ID]:[CC_DM_source]],MATCH(Tab_Data_Flows[[#This Row],[Name(EN)]],Tab_Def_Flows[Name(EN)],0),13)</f>
        <v/>
      </c>
      <c r="AD256" s="272">
        <f>IF(J256="Yes",AA256*Tab_Data_Flows[[#This Row],[WC_'[%']]],"N.A.")</f>
        <v/>
      </c>
      <c r="AE256" s="272">
        <f>Tab_Data_Flows[[#This Row],[UoM_Flow_Py]]</f>
        <v/>
      </c>
      <c r="AF256" s="190">
        <f>INDEX(Tab_Def_Flows[[Flow_ID]:[CC_DM_source]],MATCH(Tab_Data_Flows[[#This Row],[Name(EN)]],Tab_Def_Flows[Name(EN)],0),15)</f>
        <v/>
      </c>
      <c r="AG256" s="272">
        <f>IF(K256="Yes",AF256*Tab_Data_Flows[[#This Row],[Flow_Py]],"N.A.")</f>
        <v/>
      </c>
      <c r="AH256" s="272">
        <f>Tab_Data_Flows[[#This Row],[UoM_Flow_Py]]</f>
        <v/>
      </c>
      <c r="AI256" s="190">
        <f>INDEX(Tab_Def_Flows[[Flow_ID]:[CC_DM_source]],MATCH(Tab_Data_Flows[[#This Row],[Name(EN)]],Tab_Def_Flows[Name(EN)],0),17)</f>
        <v/>
      </c>
      <c r="AJ256" s="272">
        <f>IF(L256="Yes",AI256*Tab_Data_Flows[[#This Row],[Flow_Py]]*Tab_Data_Flows[[#This Row],[DM_'[%']]],"N.A.")</f>
        <v/>
      </c>
      <c r="AK256" s="272">
        <f>Tab_Data_Flows[[#This Row],[UoM_Flow_Py]]</f>
        <v/>
      </c>
    </row>
    <row r="257">
      <c r="A257" s="296">
        <f>ROW()-1</f>
        <v/>
      </c>
      <c r="B257" s="272">
        <f>_xlfn.XLOOKUP(C257,Tab_Def_Flows[Name(EN)],Tab_Def_Flows[Flow_ID],,0,)</f>
        <v/>
      </c>
      <c r="C257" s="273" t="inlineStr">
        <is>
          <t>N.A.</t>
        </is>
      </c>
      <c r="D257" s="272">
        <f>_xlfn.XLOOKUP(C257,Tab_Def_Flows[Name(EN)],Tab_Def_Flows[Type_Biomass],,0,)</f>
        <v/>
      </c>
      <c r="E257" s="272">
        <f>_xlfn.XLOOKUP(C257,Tab_Def_Flows[Name(EN)],Tab_Def_Flows[Output_Process],,0,)</f>
        <v/>
      </c>
      <c r="F257" s="272">
        <f>_xlfn.XLOOKUP(C257,Tab_Def_Flows[Name(EN)],Tab_Def_Flows[Process_ID_O],,0,)</f>
        <v/>
      </c>
      <c r="G257" s="272">
        <f>_xlfn.XLOOKUP(C257,Tab_Def_Flows[Name(EN)],Tab_Def_Flows[Input_Process],,0,)</f>
        <v/>
      </c>
      <c r="H257" s="17">
        <f>_xlfn.XLOOKUP(C257,Tab_Def_Flows[Name(EN)],Tab_Def_Flows[Process_ID_I],,0,)</f>
        <v/>
      </c>
      <c r="I257" s="272">
        <f>_xlfn.XLOOKUP(C257,Tab_Def_Flows[Name(EN)],#REF!,,0,)</f>
        <v/>
      </c>
      <c r="J257" s="17">
        <f>_xlfn.XLOOKUP(C257,Tab_Def_Flows[Name(EN)],Tab_Def_Flows[WC?],,0,)</f>
        <v/>
      </c>
      <c r="K257" s="17">
        <f>_xlfn.XLOOKUP(C257,Tab_Def_Flows[Name(EN)],Tab_Def_Flows[DM?],,0,)</f>
        <v/>
      </c>
      <c r="L257" s="17">
        <f>_xlfn.XLOOKUP(C257,Tab_Def_Flows[Name(EN)],Tab_Def_Flows[CC?],,0,)</f>
        <v/>
      </c>
      <c r="M257" s="273" t="n"/>
      <c r="N257" s="273" t="n"/>
      <c r="O257" s="48" t="n"/>
      <c r="P257" s="273" t="n"/>
      <c r="Q257" s="273" t="n"/>
      <c r="R257" s="273" t="n"/>
      <c r="S257" s="273" t="n"/>
      <c r="T257" s="273" t="n"/>
      <c r="U257" s="273" t="n"/>
      <c r="V257" s="273" t="n"/>
      <c r="W257" s="273" t="n"/>
      <c r="X257" s="273" t="inlineStr">
        <is>
          <t>No</t>
        </is>
      </c>
      <c r="Y257" s="41" t="n"/>
      <c r="Z257" s="273" t="n"/>
      <c r="AA257" s="35">
        <f>IF(X257="no",O257,O257*Y257)</f>
        <v/>
      </c>
      <c r="AB257" s="273" t="inlineStr">
        <is>
          <t>Mg</t>
        </is>
      </c>
      <c r="AC257" s="190">
        <f>INDEX(Tab_Def_Flows[[Flow_ID]:[CC_DM_source]],MATCH(Tab_Data_Flows[[#This Row],[Name(EN)]],Tab_Def_Flows[Name(EN)],0),13)</f>
        <v/>
      </c>
      <c r="AD257" s="272">
        <f>IF(J257="Yes",AA257*Tab_Data_Flows[[#This Row],[WC_'[%']]],"N.A.")</f>
        <v/>
      </c>
      <c r="AE257" s="272">
        <f>Tab_Data_Flows[[#This Row],[UoM_Flow_Py]]</f>
        <v/>
      </c>
      <c r="AF257" s="190">
        <f>INDEX(Tab_Def_Flows[[Flow_ID]:[CC_DM_source]],MATCH(Tab_Data_Flows[[#This Row],[Name(EN)]],Tab_Def_Flows[Name(EN)],0),15)</f>
        <v/>
      </c>
      <c r="AG257" s="272">
        <f>IF(K257="Yes",AF257*Tab_Data_Flows[[#This Row],[Flow_Py]],"N.A.")</f>
        <v/>
      </c>
      <c r="AH257" s="272">
        <f>Tab_Data_Flows[[#This Row],[UoM_Flow_Py]]</f>
        <v/>
      </c>
      <c r="AI257" s="190">
        <f>INDEX(Tab_Def_Flows[[Flow_ID]:[CC_DM_source]],MATCH(Tab_Data_Flows[[#This Row],[Name(EN)]],Tab_Def_Flows[Name(EN)],0),17)</f>
        <v/>
      </c>
      <c r="AJ257" s="272">
        <f>IF(L257="Yes",AI257*Tab_Data_Flows[[#This Row],[Flow_Py]]*Tab_Data_Flows[[#This Row],[DM_'[%']]],"N.A.")</f>
        <v/>
      </c>
      <c r="AK257" s="272">
        <f>Tab_Data_Flows[[#This Row],[UoM_Flow_Py]]</f>
        <v/>
      </c>
    </row>
    <row r="258">
      <c r="A258" s="296">
        <f>ROW()-1</f>
        <v/>
      </c>
      <c r="B258" s="272">
        <f>_xlfn.XLOOKUP(C258,Tab_Def_Flows[Name(EN)],Tab_Def_Flows[Flow_ID],,0,)</f>
        <v/>
      </c>
      <c r="C258" s="273" t="inlineStr">
        <is>
          <t>N.A.</t>
        </is>
      </c>
      <c r="D258" s="272">
        <f>_xlfn.XLOOKUP(C258,Tab_Def_Flows[Name(EN)],Tab_Def_Flows[Type_Biomass],,0,)</f>
        <v/>
      </c>
      <c r="E258" s="272">
        <f>_xlfn.XLOOKUP(C258,Tab_Def_Flows[Name(EN)],Tab_Def_Flows[Output_Process],,0,)</f>
        <v/>
      </c>
      <c r="F258" s="272">
        <f>_xlfn.XLOOKUP(C258,Tab_Def_Flows[Name(EN)],Tab_Def_Flows[Process_ID_O],,0,)</f>
        <v/>
      </c>
      <c r="G258" s="272">
        <f>_xlfn.XLOOKUP(C258,Tab_Def_Flows[Name(EN)],Tab_Def_Flows[Input_Process],,0,)</f>
        <v/>
      </c>
      <c r="H258" s="17">
        <f>_xlfn.XLOOKUP(C258,Tab_Def_Flows[Name(EN)],Tab_Def_Flows[Process_ID_I],,0,)</f>
        <v/>
      </c>
      <c r="I258" s="272">
        <f>_xlfn.XLOOKUP(C258,Tab_Def_Flows[Name(EN)],#REF!,,0,)</f>
        <v/>
      </c>
      <c r="J258" s="17">
        <f>_xlfn.XLOOKUP(C258,Tab_Def_Flows[Name(EN)],Tab_Def_Flows[WC?],,0,)</f>
        <v/>
      </c>
      <c r="K258" s="17">
        <f>_xlfn.XLOOKUP(C258,Tab_Def_Flows[Name(EN)],Tab_Def_Flows[DM?],,0,)</f>
        <v/>
      </c>
      <c r="L258" s="17">
        <f>_xlfn.XLOOKUP(C258,Tab_Def_Flows[Name(EN)],Tab_Def_Flows[CC?],,0,)</f>
        <v/>
      </c>
      <c r="M258" s="273" t="n"/>
      <c r="N258" s="273" t="n"/>
      <c r="O258" s="48" t="n"/>
      <c r="P258" s="273" t="n"/>
      <c r="Q258" s="273" t="n"/>
      <c r="R258" s="273" t="n"/>
      <c r="S258" s="273" t="n"/>
      <c r="T258" s="273" t="n"/>
      <c r="U258" s="273" t="n"/>
      <c r="V258" s="273" t="n"/>
      <c r="W258" s="273" t="n"/>
      <c r="X258" s="273" t="inlineStr">
        <is>
          <t>No</t>
        </is>
      </c>
      <c r="Y258" s="41" t="n"/>
      <c r="Z258" s="273" t="n"/>
      <c r="AA258" s="35">
        <f>IF(X258="no",O258,O258*Y258)</f>
        <v/>
      </c>
      <c r="AB258" s="273" t="inlineStr">
        <is>
          <t>Mg</t>
        </is>
      </c>
      <c r="AC258" s="190">
        <f>INDEX(Tab_Def_Flows[[Flow_ID]:[CC_DM_source]],MATCH(Tab_Data_Flows[[#This Row],[Name(EN)]],Tab_Def_Flows[Name(EN)],0),13)</f>
        <v/>
      </c>
      <c r="AD258" s="272">
        <f>IF(J258="Yes",AA258*Tab_Data_Flows[[#This Row],[WC_'[%']]],"N.A.")</f>
        <v/>
      </c>
      <c r="AE258" s="272">
        <f>Tab_Data_Flows[[#This Row],[UoM_Flow_Py]]</f>
        <v/>
      </c>
      <c r="AF258" s="190">
        <f>INDEX(Tab_Def_Flows[[Flow_ID]:[CC_DM_source]],MATCH(Tab_Data_Flows[[#This Row],[Name(EN)]],Tab_Def_Flows[Name(EN)],0),15)</f>
        <v/>
      </c>
      <c r="AG258" s="272">
        <f>IF(K258="Yes",AF258*Tab_Data_Flows[[#This Row],[Flow_Py]],"N.A.")</f>
        <v/>
      </c>
      <c r="AH258" s="272">
        <f>Tab_Data_Flows[[#This Row],[UoM_Flow_Py]]</f>
        <v/>
      </c>
      <c r="AI258" s="190">
        <f>INDEX(Tab_Def_Flows[[Flow_ID]:[CC_DM_source]],MATCH(Tab_Data_Flows[[#This Row],[Name(EN)]],Tab_Def_Flows[Name(EN)],0),17)</f>
        <v/>
      </c>
      <c r="AJ258" s="272">
        <f>IF(L258="Yes",AI258*Tab_Data_Flows[[#This Row],[Flow_Py]]*Tab_Data_Flows[[#This Row],[DM_'[%']]],"N.A.")</f>
        <v/>
      </c>
      <c r="AK258" s="272">
        <f>Tab_Data_Flows[[#This Row],[UoM_Flow_Py]]</f>
        <v/>
      </c>
    </row>
    <row r="259">
      <c r="A259" s="296">
        <f>ROW()-1</f>
        <v/>
      </c>
      <c r="B259" s="272">
        <f>_xlfn.XLOOKUP(C259,Tab_Def_Flows[Name(EN)],Tab_Def_Flows[Flow_ID],,0,)</f>
        <v/>
      </c>
      <c r="C259" s="273" t="inlineStr">
        <is>
          <t>N.A.</t>
        </is>
      </c>
      <c r="D259" s="272">
        <f>_xlfn.XLOOKUP(C259,Tab_Def_Flows[Name(EN)],Tab_Def_Flows[Type_Biomass],,0,)</f>
        <v/>
      </c>
      <c r="E259" s="272">
        <f>_xlfn.XLOOKUP(C259,Tab_Def_Flows[Name(EN)],Tab_Def_Flows[Output_Process],,0,)</f>
        <v/>
      </c>
      <c r="F259" s="272">
        <f>_xlfn.XLOOKUP(C259,Tab_Def_Flows[Name(EN)],Tab_Def_Flows[Process_ID_O],,0,)</f>
        <v/>
      </c>
      <c r="G259" s="272">
        <f>_xlfn.XLOOKUP(C259,Tab_Def_Flows[Name(EN)],Tab_Def_Flows[Input_Process],,0,)</f>
        <v/>
      </c>
      <c r="H259" s="17">
        <f>_xlfn.XLOOKUP(C259,Tab_Def_Flows[Name(EN)],Tab_Def_Flows[Process_ID_I],,0,)</f>
        <v/>
      </c>
      <c r="I259" s="272">
        <f>_xlfn.XLOOKUP(C259,Tab_Def_Flows[Name(EN)],#REF!,,0,)</f>
        <v/>
      </c>
      <c r="J259" s="17">
        <f>_xlfn.XLOOKUP(C259,Tab_Def_Flows[Name(EN)],Tab_Def_Flows[WC?],,0,)</f>
        <v/>
      </c>
      <c r="K259" s="17">
        <f>_xlfn.XLOOKUP(C259,Tab_Def_Flows[Name(EN)],Tab_Def_Flows[DM?],,0,)</f>
        <v/>
      </c>
      <c r="L259" s="17">
        <f>_xlfn.XLOOKUP(C259,Tab_Def_Flows[Name(EN)],Tab_Def_Flows[CC?],,0,)</f>
        <v/>
      </c>
      <c r="M259" s="273" t="n"/>
      <c r="N259" s="273" t="n"/>
      <c r="O259" s="48" t="n"/>
      <c r="P259" s="273" t="n"/>
      <c r="Q259" s="273" t="n"/>
      <c r="R259" s="273" t="n"/>
      <c r="S259" s="273" t="n"/>
      <c r="T259" s="273" t="n"/>
      <c r="U259" s="273" t="n"/>
      <c r="V259" s="273" t="n"/>
      <c r="W259" s="273" t="n"/>
      <c r="X259" s="273" t="inlineStr">
        <is>
          <t>No</t>
        </is>
      </c>
      <c r="Y259" s="41" t="n"/>
      <c r="Z259" s="273" t="n"/>
      <c r="AA259" s="35">
        <f>IF(X259="no",O259,O259*Y259)</f>
        <v/>
      </c>
      <c r="AB259" s="273" t="inlineStr">
        <is>
          <t>Mg</t>
        </is>
      </c>
      <c r="AC259" s="190">
        <f>INDEX(Tab_Def_Flows[[Flow_ID]:[CC_DM_source]],MATCH(Tab_Data_Flows[[#This Row],[Name(EN)]],Tab_Def_Flows[Name(EN)],0),13)</f>
        <v/>
      </c>
      <c r="AD259" s="272">
        <f>IF(J259="Yes",AA259*Tab_Data_Flows[[#This Row],[WC_'[%']]],"N.A.")</f>
        <v/>
      </c>
      <c r="AE259" s="272">
        <f>Tab_Data_Flows[[#This Row],[UoM_Flow_Py]]</f>
        <v/>
      </c>
      <c r="AF259" s="190">
        <f>INDEX(Tab_Def_Flows[[Flow_ID]:[CC_DM_source]],MATCH(Tab_Data_Flows[[#This Row],[Name(EN)]],Tab_Def_Flows[Name(EN)],0),15)</f>
        <v/>
      </c>
      <c r="AG259" s="272">
        <f>IF(K259="Yes",AF259*Tab_Data_Flows[[#This Row],[Flow_Py]],"N.A.")</f>
        <v/>
      </c>
      <c r="AH259" s="272">
        <f>Tab_Data_Flows[[#This Row],[UoM_Flow_Py]]</f>
        <v/>
      </c>
      <c r="AI259" s="190">
        <f>INDEX(Tab_Def_Flows[[Flow_ID]:[CC_DM_source]],MATCH(Tab_Data_Flows[[#This Row],[Name(EN)]],Tab_Def_Flows[Name(EN)],0),17)</f>
        <v/>
      </c>
      <c r="AJ259" s="272">
        <f>IF(L259="Yes",AI259*Tab_Data_Flows[[#This Row],[Flow_Py]]*Tab_Data_Flows[[#This Row],[DM_'[%']]],"N.A.")</f>
        <v/>
      </c>
      <c r="AK259" s="272">
        <f>Tab_Data_Flows[[#This Row],[UoM_Flow_Py]]</f>
        <v/>
      </c>
    </row>
    <row r="260">
      <c r="A260" s="296">
        <f>ROW()-1</f>
        <v/>
      </c>
      <c r="B260" s="272">
        <f>_xlfn.XLOOKUP(C260,Tab_Def_Flows[Name(EN)],Tab_Def_Flows[Flow_ID],,0,)</f>
        <v/>
      </c>
      <c r="C260" s="273" t="inlineStr">
        <is>
          <t>N.A.</t>
        </is>
      </c>
      <c r="D260" s="272">
        <f>_xlfn.XLOOKUP(C260,Tab_Def_Flows[Name(EN)],Tab_Def_Flows[Type_Biomass],,0,)</f>
        <v/>
      </c>
      <c r="E260" s="272">
        <f>_xlfn.XLOOKUP(C260,Tab_Def_Flows[Name(EN)],Tab_Def_Flows[Output_Process],,0,)</f>
        <v/>
      </c>
      <c r="F260" s="272">
        <f>_xlfn.XLOOKUP(C260,Tab_Def_Flows[Name(EN)],Tab_Def_Flows[Process_ID_O],,0,)</f>
        <v/>
      </c>
      <c r="G260" s="272">
        <f>_xlfn.XLOOKUP(C260,Tab_Def_Flows[Name(EN)],Tab_Def_Flows[Input_Process],,0,)</f>
        <v/>
      </c>
      <c r="H260" s="17">
        <f>_xlfn.XLOOKUP(C260,Tab_Def_Flows[Name(EN)],Tab_Def_Flows[Process_ID_I],,0,)</f>
        <v/>
      </c>
      <c r="I260" s="272">
        <f>_xlfn.XLOOKUP(C260,Tab_Def_Flows[Name(EN)],#REF!,,0,)</f>
        <v/>
      </c>
      <c r="J260" s="17">
        <f>_xlfn.XLOOKUP(C260,Tab_Def_Flows[Name(EN)],Tab_Def_Flows[WC?],,0,)</f>
        <v/>
      </c>
      <c r="K260" s="17">
        <f>_xlfn.XLOOKUP(C260,Tab_Def_Flows[Name(EN)],Tab_Def_Flows[DM?],,0,)</f>
        <v/>
      </c>
      <c r="L260" s="17">
        <f>_xlfn.XLOOKUP(C260,Tab_Def_Flows[Name(EN)],Tab_Def_Flows[CC?],,0,)</f>
        <v/>
      </c>
      <c r="M260" s="273" t="n"/>
      <c r="N260" s="273" t="n"/>
      <c r="O260" s="48" t="n"/>
      <c r="P260" s="273" t="n"/>
      <c r="Q260" s="273" t="n"/>
      <c r="R260" s="273" t="n"/>
      <c r="S260" s="273" t="n"/>
      <c r="T260" s="273" t="n"/>
      <c r="U260" s="273" t="n"/>
      <c r="V260" s="273" t="n"/>
      <c r="W260" s="273" t="n"/>
      <c r="X260" s="273" t="inlineStr">
        <is>
          <t>No</t>
        </is>
      </c>
      <c r="Y260" s="41" t="n"/>
      <c r="Z260" s="273" t="n"/>
      <c r="AA260" s="35">
        <f>IF(X260="no",O260,O260*Y260)</f>
        <v/>
      </c>
      <c r="AB260" s="273" t="inlineStr">
        <is>
          <t>Mg</t>
        </is>
      </c>
      <c r="AC260" s="190">
        <f>INDEX(Tab_Def_Flows[[Flow_ID]:[CC_DM_source]],MATCH(Tab_Data_Flows[[#This Row],[Name(EN)]],Tab_Def_Flows[Name(EN)],0),13)</f>
        <v/>
      </c>
      <c r="AD260" s="272">
        <f>IF(J260="Yes",AA260*Tab_Data_Flows[[#This Row],[WC_'[%']]],"N.A.")</f>
        <v/>
      </c>
      <c r="AE260" s="272">
        <f>Tab_Data_Flows[[#This Row],[UoM_Flow_Py]]</f>
        <v/>
      </c>
      <c r="AF260" s="190">
        <f>INDEX(Tab_Def_Flows[[Flow_ID]:[CC_DM_source]],MATCH(Tab_Data_Flows[[#This Row],[Name(EN)]],Tab_Def_Flows[Name(EN)],0),15)</f>
        <v/>
      </c>
      <c r="AG260" s="272">
        <f>IF(K260="Yes",AF260*Tab_Data_Flows[[#This Row],[Flow_Py]],"N.A.")</f>
        <v/>
      </c>
      <c r="AH260" s="272">
        <f>Tab_Data_Flows[[#This Row],[UoM_Flow_Py]]</f>
        <v/>
      </c>
      <c r="AI260" s="190">
        <f>INDEX(Tab_Def_Flows[[Flow_ID]:[CC_DM_source]],MATCH(Tab_Data_Flows[[#This Row],[Name(EN)]],Tab_Def_Flows[Name(EN)],0),17)</f>
        <v/>
      </c>
      <c r="AJ260" s="272">
        <f>IF(L260="Yes",AI260*Tab_Data_Flows[[#This Row],[Flow_Py]]*Tab_Data_Flows[[#This Row],[DM_'[%']]],"N.A.")</f>
        <v/>
      </c>
      <c r="AK260" s="272">
        <f>Tab_Data_Flows[[#This Row],[UoM_Flow_Py]]</f>
        <v/>
      </c>
    </row>
    <row r="261">
      <c r="A261" s="296">
        <f>ROW()-1</f>
        <v/>
      </c>
      <c r="B261" s="272">
        <f>_xlfn.XLOOKUP(C261,Tab_Def_Flows[Name(EN)],Tab_Def_Flows[Flow_ID],,0,)</f>
        <v/>
      </c>
      <c r="C261" s="273" t="inlineStr">
        <is>
          <t>N.A.</t>
        </is>
      </c>
      <c r="D261" s="272">
        <f>_xlfn.XLOOKUP(C261,Tab_Def_Flows[Name(EN)],Tab_Def_Flows[Type_Biomass],,0,)</f>
        <v/>
      </c>
      <c r="E261" s="272">
        <f>_xlfn.XLOOKUP(C261,Tab_Def_Flows[Name(EN)],Tab_Def_Flows[Output_Process],,0,)</f>
        <v/>
      </c>
      <c r="F261" s="272">
        <f>_xlfn.XLOOKUP(C261,Tab_Def_Flows[Name(EN)],Tab_Def_Flows[Process_ID_O],,0,)</f>
        <v/>
      </c>
      <c r="G261" s="272">
        <f>_xlfn.XLOOKUP(C261,Tab_Def_Flows[Name(EN)],Tab_Def_Flows[Input_Process],,0,)</f>
        <v/>
      </c>
      <c r="H261" s="17">
        <f>_xlfn.XLOOKUP(C261,Tab_Def_Flows[Name(EN)],Tab_Def_Flows[Process_ID_I],,0,)</f>
        <v/>
      </c>
      <c r="I261" s="272">
        <f>_xlfn.XLOOKUP(C261,Tab_Def_Flows[Name(EN)],#REF!,,0,)</f>
        <v/>
      </c>
      <c r="J261" s="17">
        <f>_xlfn.XLOOKUP(C261,Tab_Def_Flows[Name(EN)],Tab_Def_Flows[WC?],,0,)</f>
        <v/>
      </c>
      <c r="K261" s="17">
        <f>_xlfn.XLOOKUP(C261,Tab_Def_Flows[Name(EN)],Tab_Def_Flows[DM?],,0,)</f>
        <v/>
      </c>
      <c r="L261" s="17">
        <f>_xlfn.XLOOKUP(C261,Tab_Def_Flows[Name(EN)],Tab_Def_Flows[CC?],,0,)</f>
        <v/>
      </c>
      <c r="M261" s="273" t="n"/>
      <c r="N261" s="273" t="n"/>
      <c r="O261" s="48" t="n"/>
      <c r="P261" s="273" t="n"/>
      <c r="Q261" s="273" t="n"/>
      <c r="R261" s="273" t="n"/>
      <c r="S261" s="273" t="n"/>
      <c r="T261" s="273" t="n"/>
      <c r="U261" s="273" t="n"/>
      <c r="V261" s="273" t="n"/>
      <c r="W261" s="273" t="n"/>
      <c r="X261" s="273" t="inlineStr">
        <is>
          <t>No</t>
        </is>
      </c>
      <c r="Y261" s="41" t="n"/>
      <c r="Z261" s="273" t="n"/>
      <c r="AA261" s="35">
        <f>IF(X261="no",O261,O261*Y261)</f>
        <v/>
      </c>
      <c r="AB261" s="273" t="inlineStr">
        <is>
          <t>Mg</t>
        </is>
      </c>
      <c r="AC261" s="190">
        <f>INDEX(Tab_Def_Flows[[Flow_ID]:[CC_DM_source]],MATCH(Tab_Data_Flows[[#This Row],[Name(EN)]],Tab_Def_Flows[Name(EN)],0),13)</f>
        <v/>
      </c>
      <c r="AD261" s="272">
        <f>IF(J261="Yes",AA261*Tab_Data_Flows[[#This Row],[WC_'[%']]],"N.A.")</f>
        <v/>
      </c>
      <c r="AE261" s="272">
        <f>Tab_Data_Flows[[#This Row],[UoM_Flow_Py]]</f>
        <v/>
      </c>
      <c r="AF261" s="190">
        <f>INDEX(Tab_Def_Flows[[Flow_ID]:[CC_DM_source]],MATCH(Tab_Data_Flows[[#This Row],[Name(EN)]],Tab_Def_Flows[Name(EN)],0),15)</f>
        <v/>
      </c>
      <c r="AG261" s="272">
        <f>IF(K261="Yes",AF261*Tab_Data_Flows[[#This Row],[Flow_Py]],"N.A.")</f>
        <v/>
      </c>
      <c r="AH261" s="272">
        <f>Tab_Data_Flows[[#This Row],[UoM_Flow_Py]]</f>
        <v/>
      </c>
      <c r="AI261" s="190">
        <f>INDEX(Tab_Def_Flows[[Flow_ID]:[CC_DM_source]],MATCH(Tab_Data_Flows[[#This Row],[Name(EN)]],Tab_Def_Flows[Name(EN)],0),17)</f>
        <v/>
      </c>
      <c r="AJ261" s="272">
        <f>IF(L261="Yes",AI261*Tab_Data_Flows[[#This Row],[Flow_Py]]*Tab_Data_Flows[[#This Row],[DM_'[%']]],"N.A.")</f>
        <v/>
      </c>
      <c r="AK261" s="272">
        <f>Tab_Data_Flows[[#This Row],[UoM_Flow_Py]]</f>
        <v/>
      </c>
    </row>
    <row r="262">
      <c r="A262" s="296">
        <f>ROW()-1</f>
        <v/>
      </c>
      <c r="B262" s="272">
        <f>_xlfn.XLOOKUP(C262,Tab_Def_Flows[Name(EN)],Tab_Def_Flows[Flow_ID],,0,)</f>
        <v/>
      </c>
      <c r="C262" s="273" t="inlineStr">
        <is>
          <t>N.A.</t>
        </is>
      </c>
      <c r="D262" s="272">
        <f>_xlfn.XLOOKUP(C262,Tab_Def_Flows[Name(EN)],Tab_Def_Flows[Type_Biomass],,0,)</f>
        <v/>
      </c>
      <c r="E262" s="272">
        <f>_xlfn.XLOOKUP(C262,Tab_Def_Flows[Name(EN)],Tab_Def_Flows[Output_Process],,0,)</f>
        <v/>
      </c>
      <c r="F262" s="272">
        <f>_xlfn.XLOOKUP(C262,Tab_Def_Flows[Name(EN)],Tab_Def_Flows[Process_ID_O],,0,)</f>
        <v/>
      </c>
      <c r="G262" s="272">
        <f>_xlfn.XLOOKUP(C262,Tab_Def_Flows[Name(EN)],Tab_Def_Flows[Input_Process],,0,)</f>
        <v/>
      </c>
      <c r="H262" s="17">
        <f>_xlfn.XLOOKUP(C262,Tab_Def_Flows[Name(EN)],Tab_Def_Flows[Process_ID_I],,0,)</f>
        <v/>
      </c>
      <c r="I262" s="272">
        <f>_xlfn.XLOOKUP(C262,Tab_Def_Flows[Name(EN)],#REF!,,0,)</f>
        <v/>
      </c>
      <c r="J262" s="17">
        <f>_xlfn.XLOOKUP(C262,Tab_Def_Flows[Name(EN)],Tab_Def_Flows[WC?],,0,)</f>
        <v/>
      </c>
      <c r="K262" s="17">
        <f>_xlfn.XLOOKUP(C262,Tab_Def_Flows[Name(EN)],Tab_Def_Flows[DM?],,0,)</f>
        <v/>
      </c>
      <c r="L262" s="17">
        <f>_xlfn.XLOOKUP(C262,Tab_Def_Flows[Name(EN)],Tab_Def_Flows[CC?],,0,)</f>
        <v/>
      </c>
      <c r="M262" s="273" t="n"/>
      <c r="N262" s="273" t="n"/>
      <c r="O262" s="48" t="n"/>
      <c r="P262" s="273" t="n"/>
      <c r="Q262" s="273" t="n"/>
      <c r="R262" s="273" t="n"/>
      <c r="S262" s="273" t="n"/>
      <c r="T262" s="273" t="n"/>
      <c r="U262" s="273" t="n"/>
      <c r="V262" s="273" t="n"/>
      <c r="W262" s="273" t="n"/>
      <c r="X262" s="273" t="inlineStr">
        <is>
          <t>No</t>
        </is>
      </c>
      <c r="Y262" s="41" t="n"/>
      <c r="Z262" s="273" t="n"/>
      <c r="AA262" s="35">
        <f>IF(X262="no",O262,O262*Y262)</f>
        <v/>
      </c>
      <c r="AB262" s="273" t="inlineStr">
        <is>
          <t>Mg</t>
        </is>
      </c>
      <c r="AC262" s="190">
        <f>INDEX(Tab_Def_Flows[[Flow_ID]:[CC_DM_source]],MATCH(Tab_Data_Flows[[#This Row],[Name(EN)]],Tab_Def_Flows[Name(EN)],0),13)</f>
        <v/>
      </c>
      <c r="AD262" s="272">
        <f>IF(J262="Yes",AA262*Tab_Data_Flows[[#This Row],[WC_'[%']]],"N.A.")</f>
        <v/>
      </c>
      <c r="AE262" s="272">
        <f>Tab_Data_Flows[[#This Row],[UoM_Flow_Py]]</f>
        <v/>
      </c>
      <c r="AF262" s="190">
        <f>INDEX(Tab_Def_Flows[[Flow_ID]:[CC_DM_source]],MATCH(Tab_Data_Flows[[#This Row],[Name(EN)]],Tab_Def_Flows[Name(EN)],0),15)</f>
        <v/>
      </c>
      <c r="AG262" s="272">
        <f>IF(K262="Yes",AF262*Tab_Data_Flows[[#This Row],[Flow_Py]],"N.A.")</f>
        <v/>
      </c>
      <c r="AH262" s="272">
        <f>Tab_Data_Flows[[#This Row],[UoM_Flow_Py]]</f>
        <v/>
      </c>
      <c r="AI262" s="190">
        <f>INDEX(Tab_Def_Flows[[Flow_ID]:[CC_DM_source]],MATCH(Tab_Data_Flows[[#This Row],[Name(EN)]],Tab_Def_Flows[Name(EN)],0),17)</f>
        <v/>
      </c>
      <c r="AJ262" s="272">
        <f>IF(L262="Yes",AI262*Tab_Data_Flows[[#This Row],[Flow_Py]]*Tab_Data_Flows[[#This Row],[DM_'[%']]],"N.A.")</f>
        <v/>
      </c>
      <c r="AK262" s="272">
        <f>Tab_Data_Flows[[#This Row],[UoM_Flow_Py]]</f>
        <v/>
      </c>
    </row>
    <row r="263">
      <c r="A263" s="296">
        <f>ROW()-1</f>
        <v/>
      </c>
      <c r="B263" s="272">
        <f>_xlfn.XLOOKUP(C263,Tab_Def_Flows[Name(EN)],Tab_Def_Flows[Flow_ID],,0,)</f>
        <v/>
      </c>
      <c r="C263" s="273" t="inlineStr">
        <is>
          <t>N.A.</t>
        </is>
      </c>
      <c r="D263" s="272">
        <f>_xlfn.XLOOKUP(C263,Tab_Def_Flows[Name(EN)],Tab_Def_Flows[Type_Biomass],,0,)</f>
        <v/>
      </c>
      <c r="E263" s="272">
        <f>_xlfn.XLOOKUP(C263,Tab_Def_Flows[Name(EN)],Tab_Def_Flows[Output_Process],,0,)</f>
        <v/>
      </c>
      <c r="F263" s="272">
        <f>_xlfn.XLOOKUP(C263,Tab_Def_Flows[Name(EN)],Tab_Def_Flows[Process_ID_O],,0,)</f>
        <v/>
      </c>
      <c r="G263" s="272">
        <f>_xlfn.XLOOKUP(C263,Tab_Def_Flows[Name(EN)],Tab_Def_Flows[Input_Process],,0,)</f>
        <v/>
      </c>
      <c r="H263" s="17">
        <f>_xlfn.XLOOKUP(C263,Tab_Def_Flows[Name(EN)],Tab_Def_Flows[Process_ID_I],,0,)</f>
        <v/>
      </c>
      <c r="I263" s="272">
        <f>_xlfn.XLOOKUP(C263,Tab_Def_Flows[Name(EN)],#REF!,,0,)</f>
        <v/>
      </c>
      <c r="J263" s="17">
        <f>_xlfn.XLOOKUP(C263,Tab_Def_Flows[Name(EN)],Tab_Def_Flows[WC?],,0,)</f>
        <v/>
      </c>
      <c r="K263" s="17">
        <f>_xlfn.XLOOKUP(C263,Tab_Def_Flows[Name(EN)],Tab_Def_Flows[DM?],,0,)</f>
        <v/>
      </c>
      <c r="L263" s="17">
        <f>_xlfn.XLOOKUP(C263,Tab_Def_Flows[Name(EN)],Tab_Def_Flows[CC?],,0,)</f>
        <v/>
      </c>
      <c r="M263" s="273" t="n"/>
      <c r="N263" s="273" t="n"/>
      <c r="O263" s="48" t="n"/>
      <c r="P263" s="273" t="n"/>
      <c r="Q263" s="273" t="n"/>
      <c r="R263" s="273" t="n"/>
      <c r="S263" s="273" t="n"/>
      <c r="T263" s="273" t="n"/>
      <c r="U263" s="273" t="n"/>
      <c r="V263" s="273" t="n"/>
      <c r="W263" s="273" t="n"/>
      <c r="X263" s="273" t="inlineStr">
        <is>
          <t>No</t>
        </is>
      </c>
      <c r="Y263" s="41" t="n"/>
      <c r="Z263" s="273" t="n"/>
      <c r="AA263" s="35">
        <f>IF(X263="no",O263,O263*Y263)</f>
        <v/>
      </c>
      <c r="AB263" s="273" t="inlineStr">
        <is>
          <t>Mg</t>
        </is>
      </c>
      <c r="AC263" s="190">
        <f>INDEX(Tab_Def_Flows[[Flow_ID]:[CC_DM_source]],MATCH(Tab_Data_Flows[[#This Row],[Name(EN)]],Tab_Def_Flows[Name(EN)],0),13)</f>
        <v/>
      </c>
      <c r="AD263" s="272">
        <f>IF(J263="Yes",AA263*Tab_Data_Flows[[#This Row],[WC_'[%']]],"N.A.")</f>
        <v/>
      </c>
      <c r="AE263" s="272">
        <f>Tab_Data_Flows[[#This Row],[UoM_Flow_Py]]</f>
        <v/>
      </c>
      <c r="AF263" s="190">
        <f>INDEX(Tab_Def_Flows[[Flow_ID]:[CC_DM_source]],MATCH(Tab_Data_Flows[[#This Row],[Name(EN)]],Tab_Def_Flows[Name(EN)],0),15)</f>
        <v/>
      </c>
      <c r="AG263" s="272">
        <f>IF(K263="Yes",AF263*Tab_Data_Flows[[#This Row],[Flow_Py]],"N.A.")</f>
        <v/>
      </c>
      <c r="AH263" s="272">
        <f>Tab_Data_Flows[[#This Row],[UoM_Flow_Py]]</f>
        <v/>
      </c>
      <c r="AI263" s="190">
        <f>INDEX(Tab_Def_Flows[[Flow_ID]:[CC_DM_source]],MATCH(Tab_Data_Flows[[#This Row],[Name(EN)]],Tab_Def_Flows[Name(EN)],0),17)</f>
        <v/>
      </c>
      <c r="AJ263" s="272">
        <f>IF(L263="Yes",AI263*Tab_Data_Flows[[#This Row],[Flow_Py]]*Tab_Data_Flows[[#This Row],[DM_'[%']]],"N.A.")</f>
        <v/>
      </c>
      <c r="AK263" s="272">
        <f>Tab_Data_Flows[[#This Row],[UoM_Flow_Py]]</f>
        <v/>
      </c>
    </row>
    <row r="264">
      <c r="A264" s="296">
        <f>ROW()-1</f>
        <v/>
      </c>
      <c r="B264" s="272">
        <f>_xlfn.XLOOKUP(C264,Tab_Def_Flows[Name(EN)],Tab_Def_Flows[Flow_ID],,0,)</f>
        <v/>
      </c>
      <c r="C264" s="273" t="inlineStr">
        <is>
          <t>N.A.</t>
        </is>
      </c>
      <c r="D264" s="272">
        <f>_xlfn.XLOOKUP(C264,Tab_Def_Flows[Name(EN)],Tab_Def_Flows[Type_Biomass],,0,)</f>
        <v/>
      </c>
      <c r="E264" s="272">
        <f>_xlfn.XLOOKUP(C264,Tab_Def_Flows[Name(EN)],Tab_Def_Flows[Output_Process],,0,)</f>
        <v/>
      </c>
      <c r="F264" s="272">
        <f>_xlfn.XLOOKUP(C264,Tab_Def_Flows[Name(EN)],Tab_Def_Flows[Process_ID_O],,0,)</f>
        <v/>
      </c>
      <c r="G264" s="272">
        <f>_xlfn.XLOOKUP(C264,Tab_Def_Flows[Name(EN)],Tab_Def_Flows[Input_Process],,0,)</f>
        <v/>
      </c>
      <c r="H264" s="17">
        <f>_xlfn.XLOOKUP(C264,Tab_Def_Flows[Name(EN)],Tab_Def_Flows[Process_ID_I],,0,)</f>
        <v/>
      </c>
      <c r="I264" s="272">
        <f>_xlfn.XLOOKUP(C264,Tab_Def_Flows[Name(EN)],#REF!,,0,)</f>
        <v/>
      </c>
      <c r="J264" s="17">
        <f>_xlfn.XLOOKUP(C264,Tab_Def_Flows[Name(EN)],Tab_Def_Flows[WC?],,0,)</f>
        <v/>
      </c>
      <c r="K264" s="17">
        <f>_xlfn.XLOOKUP(C264,Tab_Def_Flows[Name(EN)],Tab_Def_Flows[DM?],,0,)</f>
        <v/>
      </c>
      <c r="L264" s="17">
        <f>_xlfn.XLOOKUP(C264,Tab_Def_Flows[Name(EN)],Tab_Def_Flows[CC?],,0,)</f>
        <v/>
      </c>
      <c r="M264" s="273" t="n"/>
      <c r="N264" s="273" t="n"/>
      <c r="O264" s="48" t="n"/>
      <c r="P264" s="273" t="n"/>
      <c r="Q264" s="273" t="n"/>
      <c r="R264" s="273" t="n"/>
      <c r="S264" s="23" t="n"/>
      <c r="T264" s="273" t="n"/>
      <c r="U264" s="273" t="n"/>
      <c r="V264" s="273" t="n"/>
      <c r="W264" s="273" t="n"/>
      <c r="X264" s="273" t="inlineStr">
        <is>
          <t>No</t>
        </is>
      </c>
      <c r="Y264" s="41" t="n"/>
      <c r="Z264" s="273" t="n"/>
      <c r="AA264" s="35">
        <f>IF(X264="no",O264,O264*Y264)</f>
        <v/>
      </c>
      <c r="AB264" s="273" t="inlineStr">
        <is>
          <t>Mg</t>
        </is>
      </c>
      <c r="AC264" s="190">
        <f>INDEX(Tab_Def_Flows[[Flow_ID]:[CC_DM_source]],MATCH(Tab_Data_Flows[[#This Row],[Name(EN)]],Tab_Def_Flows[Name(EN)],0),13)</f>
        <v/>
      </c>
      <c r="AD264" s="272">
        <f>IF(J264="Yes",AA264*Tab_Data_Flows[[#This Row],[WC_'[%']]],"N.A.")</f>
        <v/>
      </c>
      <c r="AE264" s="272">
        <f>Tab_Data_Flows[[#This Row],[UoM_Flow_Py]]</f>
        <v/>
      </c>
      <c r="AF264" s="190">
        <f>INDEX(Tab_Def_Flows[[Flow_ID]:[CC_DM_source]],MATCH(Tab_Data_Flows[[#This Row],[Name(EN)]],Tab_Def_Flows[Name(EN)],0),15)</f>
        <v/>
      </c>
      <c r="AG264" s="272">
        <f>IF(K264="Yes",AF264*Tab_Data_Flows[[#This Row],[Flow_Py]],"N.A.")</f>
        <v/>
      </c>
      <c r="AH264" s="272">
        <f>Tab_Data_Flows[[#This Row],[UoM_Flow_Py]]</f>
        <v/>
      </c>
      <c r="AI264" s="190">
        <f>INDEX(Tab_Def_Flows[[Flow_ID]:[CC_DM_source]],MATCH(Tab_Data_Flows[[#This Row],[Name(EN)]],Tab_Def_Flows[Name(EN)],0),17)</f>
        <v/>
      </c>
      <c r="AJ264" s="272">
        <f>IF(L264="Yes",AI264*Tab_Data_Flows[[#This Row],[Flow_Py]]*Tab_Data_Flows[[#This Row],[DM_'[%']]],"N.A.")</f>
        <v/>
      </c>
      <c r="AK264" s="272">
        <f>Tab_Data_Flows[[#This Row],[UoM_Flow_Py]]</f>
        <v/>
      </c>
    </row>
    <row r="265">
      <c r="A265" s="296">
        <f>ROW()-1</f>
        <v/>
      </c>
      <c r="B265" s="272">
        <f>_xlfn.XLOOKUP(C265,Tab_Def_Flows[Name(EN)],Tab_Def_Flows[Flow_ID],,0,)</f>
        <v/>
      </c>
      <c r="C265" s="273" t="inlineStr">
        <is>
          <t>N.A.</t>
        </is>
      </c>
      <c r="D265" s="272">
        <f>_xlfn.XLOOKUP(C265,Tab_Def_Flows[Name(EN)],Tab_Def_Flows[Type_Biomass],,0,)</f>
        <v/>
      </c>
      <c r="E265" s="272">
        <f>_xlfn.XLOOKUP(C265,Tab_Def_Flows[Name(EN)],Tab_Def_Flows[Output_Process],,0,)</f>
        <v/>
      </c>
      <c r="F265" s="272">
        <f>_xlfn.XLOOKUP(C265,Tab_Def_Flows[Name(EN)],Tab_Def_Flows[Process_ID_O],,0,)</f>
        <v/>
      </c>
      <c r="G265" s="272">
        <f>_xlfn.XLOOKUP(C265,Tab_Def_Flows[Name(EN)],Tab_Def_Flows[Input_Process],,0,)</f>
        <v/>
      </c>
      <c r="H265" s="17">
        <f>_xlfn.XLOOKUP(C265,Tab_Def_Flows[Name(EN)],Tab_Def_Flows[Process_ID_I],,0,)</f>
        <v/>
      </c>
      <c r="I265" s="272">
        <f>_xlfn.XLOOKUP(C265,Tab_Def_Flows[Name(EN)],#REF!,,0,)</f>
        <v/>
      </c>
      <c r="J265" s="17">
        <f>_xlfn.XLOOKUP(C265,Tab_Def_Flows[Name(EN)],Tab_Def_Flows[WC?],,0,)</f>
        <v/>
      </c>
      <c r="K265" s="17">
        <f>_xlfn.XLOOKUP(C265,Tab_Def_Flows[Name(EN)],Tab_Def_Flows[DM?],,0,)</f>
        <v/>
      </c>
      <c r="L265" s="17">
        <f>_xlfn.XLOOKUP(C265,Tab_Def_Flows[Name(EN)],Tab_Def_Flows[CC?],,0,)</f>
        <v/>
      </c>
      <c r="M265" s="273" t="n"/>
      <c r="N265" s="273" t="n"/>
      <c r="O265" s="48" t="n"/>
      <c r="P265" s="273" t="n"/>
      <c r="Q265" s="273" t="n"/>
      <c r="R265" s="273" t="n"/>
      <c r="S265" s="23" t="n"/>
      <c r="T265" s="273" t="n"/>
      <c r="U265" s="273" t="n"/>
      <c r="V265" s="273" t="n"/>
      <c r="W265" s="273" t="n"/>
      <c r="X265" s="273" t="inlineStr">
        <is>
          <t>No</t>
        </is>
      </c>
      <c r="Y265" s="41" t="n"/>
      <c r="Z265" s="273" t="n"/>
      <c r="AA265" s="35">
        <f>IF(X265="no",O265,O265*Y265)</f>
        <v/>
      </c>
      <c r="AB265" s="273" t="inlineStr">
        <is>
          <t>Mg</t>
        </is>
      </c>
      <c r="AC265" s="190">
        <f>INDEX(Tab_Def_Flows[[Flow_ID]:[CC_DM_source]],MATCH(Tab_Data_Flows[[#This Row],[Name(EN)]],Tab_Def_Flows[Name(EN)],0),13)</f>
        <v/>
      </c>
      <c r="AD265" s="272">
        <f>IF(J265="Yes",AA265*Tab_Data_Flows[[#This Row],[WC_'[%']]],"N.A.")</f>
        <v/>
      </c>
      <c r="AE265" s="272">
        <f>Tab_Data_Flows[[#This Row],[UoM_Flow_Py]]</f>
        <v/>
      </c>
      <c r="AF265" s="190">
        <f>INDEX(Tab_Def_Flows[[Flow_ID]:[CC_DM_source]],MATCH(Tab_Data_Flows[[#This Row],[Name(EN)]],Tab_Def_Flows[Name(EN)],0),15)</f>
        <v/>
      </c>
      <c r="AG265" s="272">
        <f>IF(K265="Yes",AF265*Tab_Data_Flows[[#This Row],[Flow_Py]],"N.A.")</f>
        <v/>
      </c>
      <c r="AH265" s="272">
        <f>Tab_Data_Flows[[#This Row],[UoM_Flow_Py]]</f>
        <v/>
      </c>
      <c r="AI265" s="190">
        <f>INDEX(Tab_Def_Flows[[Flow_ID]:[CC_DM_source]],MATCH(Tab_Data_Flows[[#This Row],[Name(EN)]],Tab_Def_Flows[Name(EN)],0),17)</f>
        <v/>
      </c>
      <c r="AJ265" s="272">
        <f>IF(L265="Yes",AI265*Tab_Data_Flows[[#This Row],[Flow_Py]]*Tab_Data_Flows[[#This Row],[DM_'[%']]],"N.A.")</f>
        <v/>
      </c>
      <c r="AK265" s="272">
        <f>Tab_Data_Flows[[#This Row],[UoM_Flow_Py]]</f>
        <v/>
      </c>
    </row>
    <row r="266">
      <c r="A266" s="296">
        <f>ROW()-1</f>
        <v/>
      </c>
      <c r="B266" s="272">
        <f>_xlfn.XLOOKUP(C266,Tab_Def_Flows[Name(EN)],Tab_Def_Flows[Flow_ID],,0,)</f>
        <v/>
      </c>
      <c r="C266" s="273" t="inlineStr">
        <is>
          <t>N.A.</t>
        </is>
      </c>
      <c r="D266" s="272">
        <f>_xlfn.XLOOKUP(C266,Tab_Def_Flows[Name(EN)],Tab_Def_Flows[Type_Biomass],,0,)</f>
        <v/>
      </c>
      <c r="E266" s="272">
        <f>_xlfn.XLOOKUP(C266,Tab_Def_Flows[Name(EN)],Tab_Def_Flows[Output_Process],,0,)</f>
        <v/>
      </c>
      <c r="F266" s="272">
        <f>_xlfn.XLOOKUP(C266,Tab_Def_Flows[Name(EN)],Tab_Def_Flows[Process_ID_O],,0,)</f>
        <v/>
      </c>
      <c r="G266" s="272">
        <f>_xlfn.XLOOKUP(C266,Tab_Def_Flows[Name(EN)],Tab_Def_Flows[Input_Process],,0,)</f>
        <v/>
      </c>
      <c r="H266" s="17">
        <f>_xlfn.XLOOKUP(C266,Tab_Def_Flows[Name(EN)],Tab_Def_Flows[Process_ID_I],,0,)</f>
        <v/>
      </c>
      <c r="I266" s="272">
        <f>_xlfn.XLOOKUP(C266,Tab_Def_Flows[Name(EN)],#REF!,,0,)</f>
        <v/>
      </c>
      <c r="J266" s="17">
        <f>_xlfn.XLOOKUP(C266,Tab_Def_Flows[Name(EN)],Tab_Def_Flows[WC?],,0,)</f>
        <v/>
      </c>
      <c r="K266" s="17">
        <f>_xlfn.XLOOKUP(C266,Tab_Def_Flows[Name(EN)],Tab_Def_Flows[DM?],,0,)</f>
        <v/>
      </c>
      <c r="L266" s="17">
        <f>_xlfn.XLOOKUP(C266,Tab_Def_Flows[Name(EN)],Tab_Def_Flows[CC?],,0,)</f>
        <v/>
      </c>
      <c r="M266" s="273" t="n"/>
      <c r="N266" s="273" t="n"/>
      <c r="O266" s="48" t="n"/>
      <c r="P266" s="273" t="n"/>
      <c r="Q266" s="273" t="n"/>
      <c r="R266" s="273" t="n"/>
      <c r="S266" s="23" t="n"/>
      <c r="T266" s="273" t="n"/>
      <c r="U266" s="273" t="n"/>
      <c r="V266" s="273" t="n"/>
      <c r="W266" s="273" t="n"/>
      <c r="X266" s="273" t="inlineStr">
        <is>
          <t>No</t>
        </is>
      </c>
      <c r="Y266" s="41" t="n"/>
      <c r="Z266" s="273" t="n"/>
      <c r="AA266" s="35">
        <f>IF(X266="no",O266,O266*Y266)</f>
        <v/>
      </c>
      <c r="AB266" s="273" t="inlineStr">
        <is>
          <t>Mg</t>
        </is>
      </c>
      <c r="AC266" s="190">
        <f>INDEX(Tab_Def_Flows[[Flow_ID]:[CC_DM_source]],MATCH(Tab_Data_Flows[[#This Row],[Name(EN)]],Tab_Def_Flows[Name(EN)],0),13)</f>
        <v/>
      </c>
      <c r="AD266" s="272">
        <f>IF(J266="Yes",AA266*Tab_Data_Flows[[#This Row],[WC_'[%']]],"N.A.")</f>
        <v/>
      </c>
      <c r="AE266" s="272">
        <f>Tab_Data_Flows[[#This Row],[UoM_Flow_Py]]</f>
        <v/>
      </c>
      <c r="AF266" s="190">
        <f>INDEX(Tab_Def_Flows[[Flow_ID]:[CC_DM_source]],MATCH(Tab_Data_Flows[[#This Row],[Name(EN)]],Tab_Def_Flows[Name(EN)],0),15)</f>
        <v/>
      </c>
      <c r="AG266" s="272">
        <f>IF(K266="Yes",AF266*Tab_Data_Flows[[#This Row],[Flow_Py]],"N.A.")</f>
        <v/>
      </c>
      <c r="AH266" s="272">
        <f>Tab_Data_Flows[[#This Row],[UoM_Flow_Py]]</f>
        <v/>
      </c>
      <c r="AI266" s="190">
        <f>INDEX(Tab_Def_Flows[[Flow_ID]:[CC_DM_source]],MATCH(Tab_Data_Flows[[#This Row],[Name(EN)]],Tab_Def_Flows[Name(EN)],0),17)</f>
        <v/>
      </c>
      <c r="AJ266" s="272">
        <f>IF(L266="Yes",AI266*Tab_Data_Flows[[#This Row],[Flow_Py]]*Tab_Data_Flows[[#This Row],[DM_'[%']]],"N.A.")</f>
        <v/>
      </c>
      <c r="AK266" s="272">
        <f>Tab_Data_Flows[[#This Row],[UoM_Flow_Py]]</f>
        <v/>
      </c>
    </row>
    <row r="267">
      <c r="A267" s="296">
        <f>ROW()-1</f>
        <v/>
      </c>
      <c r="B267" s="272">
        <f>_xlfn.XLOOKUP(C267,Tab_Def_Flows[Name(EN)],Tab_Def_Flows[Flow_ID],,0,)</f>
        <v/>
      </c>
      <c r="C267" s="273" t="inlineStr">
        <is>
          <t>N.A.</t>
        </is>
      </c>
      <c r="D267" s="272">
        <f>_xlfn.XLOOKUP(C267,Tab_Def_Flows[Name(EN)],Tab_Def_Flows[Type_Biomass],,0,)</f>
        <v/>
      </c>
      <c r="E267" s="272">
        <f>_xlfn.XLOOKUP(C267,Tab_Def_Flows[Name(EN)],Tab_Def_Flows[Output_Process],,0,)</f>
        <v/>
      </c>
      <c r="F267" s="272">
        <f>_xlfn.XLOOKUP(C267,Tab_Def_Flows[Name(EN)],Tab_Def_Flows[Process_ID_O],,0,)</f>
        <v/>
      </c>
      <c r="G267" s="272">
        <f>_xlfn.XLOOKUP(C267,Tab_Def_Flows[Name(EN)],Tab_Def_Flows[Input_Process],,0,)</f>
        <v/>
      </c>
      <c r="H267" s="17">
        <f>_xlfn.XLOOKUP(C267,Tab_Def_Flows[Name(EN)],Tab_Def_Flows[Process_ID_I],,0,)</f>
        <v/>
      </c>
      <c r="I267" s="272">
        <f>_xlfn.XLOOKUP(C267,Tab_Def_Flows[Name(EN)],#REF!,,0,)</f>
        <v/>
      </c>
      <c r="J267" s="17">
        <f>_xlfn.XLOOKUP(C267,Tab_Def_Flows[Name(EN)],Tab_Def_Flows[WC?],,0,)</f>
        <v/>
      </c>
      <c r="K267" s="17">
        <f>_xlfn.XLOOKUP(C267,Tab_Def_Flows[Name(EN)],Tab_Def_Flows[DM?],,0,)</f>
        <v/>
      </c>
      <c r="L267" s="17">
        <f>_xlfn.XLOOKUP(C267,Tab_Def_Flows[Name(EN)],Tab_Def_Flows[CC?],,0,)</f>
        <v/>
      </c>
      <c r="M267" s="273" t="n"/>
      <c r="N267" s="273" t="n"/>
      <c r="O267" s="48" t="n"/>
      <c r="P267" s="273" t="n"/>
      <c r="Q267" s="273" t="n"/>
      <c r="R267" s="273" t="n"/>
      <c r="S267" s="23" t="n"/>
      <c r="T267" s="273" t="n"/>
      <c r="U267" s="273" t="n"/>
      <c r="V267" s="273" t="n"/>
      <c r="W267" s="273" t="n"/>
      <c r="X267" s="273" t="inlineStr">
        <is>
          <t>No</t>
        </is>
      </c>
      <c r="Y267" s="41" t="n"/>
      <c r="Z267" s="273" t="n"/>
      <c r="AA267" s="35">
        <f>IF(X267="no",O267,O267*Y267)</f>
        <v/>
      </c>
      <c r="AB267" s="273" t="inlineStr">
        <is>
          <t>Mg</t>
        </is>
      </c>
      <c r="AC267" s="190">
        <f>INDEX(Tab_Def_Flows[[Flow_ID]:[CC_DM_source]],MATCH(Tab_Data_Flows[[#This Row],[Name(EN)]],Tab_Def_Flows[Name(EN)],0),13)</f>
        <v/>
      </c>
      <c r="AD267" s="272">
        <f>IF(J267="Yes",AA267*Tab_Data_Flows[[#This Row],[WC_'[%']]],"N.A.")</f>
        <v/>
      </c>
      <c r="AE267" s="272">
        <f>Tab_Data_Flows[[#This Row],[UoM_Flow_Py]]</f>
        <v/>
      </c>
      <c r="AF267" s="190">
        <f>INDEX(Tab_Def_Flows[[Flow_ID]:[CC_DM_source]],MATCH(Tab_Data_Flows[[#This Row],[Name(EN)]],Tab_Def_Flows[Name(EN)],0),15)</f>
        <v/>
      </c>
      <c r="AG267" s="272">
        <f>IF(K267="Yes",AF267*Tab_Data_Flows[[#This Row],[Flow_Py]],"N.A.")</f>
        <v/>
      </c>
      <c r="AH267" s="272">
        <f>Tab_Data_Flows[[#This Row],[UoM_Flow_Py]]</f>
        <v/>
      </c>
      <c r="AI267" s="190">
        <f>INDEX(Tab_Def_Flows[[Flow_ID]:[CC_DM_source]],MATCH(Tab_Data_Flows[[#This Row],[Name(EN)]],Tab_Def_Flows[Name(EN)],0),17)</f>
        <v/>
      </c>
      <c r="AJ267" s="272">
        <f>IF(L267="Yes",AI267*Tab_Data_Flows[[#This Row],[Flow_Py]]*Tab_Data_Flows[[#This Row],[DM_'[%']]],"N.A.")</f>
        <v/>
      </c>
      <c r="AK267" s="272">
        <f>Tab_Data_Flows[[#This Row],[UoM_Flow_Py]]</f>
        <v/>
      </c>
    </row>
    <row r="268">
      <c r="A268" s="296">
        <f>ROW()-1</f>
        <v/>
      </c>
      <c r="B268" s="272">
        <f>_xlfn.XLOOKUP(C268,Tab_Def_Flows[Name(EN)],Tab_Def_Flows[Flow_ID],,0,)</f>
        <v/>
      </c>
      <c r="C268" s="273" t="inlineStr">
        <is>
          <t>N.A.</t>
        </is>
      </c>
      <c r="D268" s="272">
        <f>_xlfn.XLOOKUP(C268,Tab_Def_Flows[Name(EN)],Tab_Def_Flows[Type_Biomass],,0,)</f>
        <v/>
      </c>
      <c r="E268" s="272">
        <f>_xlfn.XLOOKUP(C268,Tab_Def_Flows[Name(EN)],Tab_Def_Flows[Output_Process],,0,)</f>
        <v/>
      </c>
      <c r="F268" s="272">
        <f>_xlfn.XLOOKUP(C268,Tab_Def_Flows[Name(EN)],Tab_Def_Flows[Process_ID_O],,0,)</f>
        <v/>
      </c>
      <c r="G268" s="272">
        <f>_xlfn.XLOOKUP(C268,Tab_Def_Flows[Name(EN)],Tab_Def_Flows[Input_Process],,0,)</f>
        <v/>
      </c>
      <c r="H268" s="17">
        <f>_xlfn.XLOOKUP(C268,Tab_Def_Flows[Name(EN)],Tab_Def_Flows[Process_ID_I],,0,)</f>
        <v/>
      </c>
      <c r="I268" s="272">
        <f>_xlfn.XLOOKUP(C268,Tab_Def_Flows[Name(EN)],#REF!,,0,)</f>
        <v/>
      </c>
      <c r="J268" s="17">
        <f>_xlfn.XLOOKUP(C268,Tab_Def_Flows[Name(EN)],Tab_Def_Flows[WC?],,0,)</f>
        <v/>
      </c>
      <c r="K268" s="17">
        <f>_xlfn.XLOOKUP(C268,Tab_Def_Flows[Name(EN)],Tab_Def_Flows[DM?],,0,)</f>
        <v/>
      </c>
      <c r="L268" s="17">
        <f>_xlfn.XLOOKUP(C268,Tab_Def_Flows[Name(EN)],Tab_Def_Flows[CC?],,0,)</f>
        <v/>
      </c>
      <c r="M268" s="273" t="n"/>
      <c r="N268" s="273" t="n"/>
      <c r="O268" s="48" t="n"/>
      <c r="P268" s="273" t="n"/>
      <c r="Q268" s="273" t="n"/>
      <c r="R268" s="273" t="n"/>
      <c r="S268" s="23" t="n"/>
      <c r="T268" s="273" t="n"/>
      <c r="U268" s="273" t="n"/>
      <c r="V268" s="273" t="n"/>
      <c r="W268" s="273" t="n"/>
      <c r="X268" s="273" t="inlineStr">
        <is>
          <t>No</t>
        </is>
      </c>
      <c r="Y268" s="41" t="n"/>
      <c r="Z268" s="273" t="n"/>
      <c r="AA268" s="35">
        <f>IF(X268="no",O268,O268*Y268)</f>
        <v/>
      </c>
      <c r="AB268" s="273" t="inlineStr">
        <is>
          <t>Mg</t>
        </is>
      </c>
      <c r="AC268" s="190">
        <f>INDEX(Tab_Def_Flows[[Flow_ID]:[CC_DM_source]],MATCH(Tab_Data_Flows[[#This Row],[Name(EN)]],Tab_Def_Flows[Name(EN)],0),13)</f>
        <v/>
      </c>
      <c r="AD268" s="272">
        <f>IF(J268="Yes",AA268*Tab_Data_Flows[[#This Row],[WC_'[%']]],"N.A.")</f>
        <v/>
      </c>
      <c r="AE268" s="272">
        <f>Tab_Data_Flows[[#This Row],[UoM_Flow_Py]]</f>
        <v/>
      </c>
      <c r="AF268" s="190">
        <f>INDEX(Tab_Def_Flows[[Flow_ID]:[CC_DM_source]],MATCH(Tab_Data_Flows[[#This Row],[Name(EN)]],Tab_Def_Flows[Name(EN)],0),15)</f>
        <v/>
      </c>
      <c r="AG268" s="272">
        <f>IF(K268="Yes",AF268*Tab_Data_Flows[[#This Row],[Flow_Py]],"N.A.")</f>
        <v/>
      </c>
      <c r="AH268" s="272">
        <f>Tab_Data_Flows[[#This Row],[UoM_Flow_Py]]</f>
        <v/>
      </c>
      <c r="AI268" s="190">
        <f>INDEX(Tab_Def_Flows[[Flow_ID]:[CC_DM_source]],MATCH(Tab_Data_Flows[[#This Row],[Name(EN)]],Tab_Def_Flows[Name(EN)],0),17)</f>
        <v/>
      </c>
      <c r="AJ268" s="272">
        <f>IF(L268="Yes",AI268*Tab_Data_Flows[[#This Row],[Flow_Py]]*Tab_Data_Flows[[#This Row],[DM_'[%']]],"N.A.")</f>
        <v/>
      </c>
      <c r="AK268" s="272">
        <f>Tab_Data_Flows[[#This Row],[UoM_Flow_Py]]</f>
        <v/>
      </c>
    </row>
    <row r="269">
      <c r="A269" s="296">
        <f>ROW()-1</f>
        <v/>
      </c>
      <c r="B269" s="272">
        <f>_xlfn.XLOOKUP(C269,Tab_Def_Flows[Name(EN)],Tab_Def_Flows[Flow_ID],,0,)</f>
        <v/>
      </c>
      <c r="C269" s="273" t="inlineStr">
        <is>
          <t>N.A.</t>
        </is>
      </c>
      <c r="D269" s="272">
        <f>_xlfn.XLOOKUP(C269,Tab_Def_Flows[Name(EN)],Tab_Def_Flows[Type_Biomass],,0,)</f>
        <v/>
      </c>
      <c r="E269" s="272">
        <f>_xlfn.XLOOKUP(C269,Tab_Def_Flows[Name(EN)],Tab_Def_Flows[Output_Process],,0,)</f>
        <v/>
      </c>
      <c r="F269" s="272">
        <f>_xlfn.XLOOKUP(C269,Tab_Def_Flows[Name(EN)],Tab_Def_Flows[Process_ID_O],,0,)</f>
        <v/>
      </c>
      <c r="G269" s="272">
        <f>_xlfn.XLOOKUP(C269,Tab_Def_Flows[Name(EN)],Tab_Def_Flows[Input_Process],,0,)</f>
        <v/>
      </c>
      <c r="H269" s="17">
        <f>_xlfn.XLOOKUP(C269,Tab_Def_Flows[Name(EN)],Tab_Def_Flows[Process_ID_I],,0,)</f>
        <v/>
      </c>
      <c r="I269" s="272">
        <f>_xlfn.XLOOKUP(C269,Tab_Def_Flows[Name(EN)],#REF!,,0,)</f>
        <v/>
      </c>
      <c r="J269" s="17">
        <f>_xlfn.XLOOKUP(C269,Tab_Def_Flows[Name(EN)],Tab_Def_Flows[WC?],,0,)</f>
        <v/>
      </c>
      <c r="K269" s="17">
        <f>_xlfn.XLOOKUP(C269,Tab_Def_Flows[Name(EN)],Tab_Def_Flows[DM?],,0,)</f>
        <v/>
      </c>
      <c r="L269" s="17">
        <f>_xlfn.XLOOKUP(C269,Tab_Def_Flows[Name(EN)],Tab_Def_Flows[CC?],,0,)</f>
        <v/>
      </c>
      <c r="M269" s="273" t="n"/>
      <c r="N269" s="273" t="n"/>
      <c r="O269" s="48" t="n"/>
      <c r="P269" s="273" t="n"/>
      <c r="Q269" s="273" t="n"/>
      <c r="R269" s="273" t="n"/>
      <c r="S269" s="23" t="n"/>
      <c r="T269" s="273" t="n"/>
      <c r="U269" s="273" t="n"/>
      <c r="V269" s="273" t="n"/>
      <c r="W269" s="273" t="n"/>
      <c r="X269" s="273" t="inlineStr">
        <is>
          <t>No</t>
        </is>
      </c>
      <c r="Y269" s="41" t="n"/>
      <c r="Z269" s="273" t="n"/>
      <c r="AA269" s="35">
        <f>IF(X269="no",O269,O269*Y269)</f>
        <v/>
      </c>
      <c r="AB269" s="273" t="inlineStr">
        <is>
          <t>Mg</t>
        </is>
      </c>
      <c r="AC269" s="190">
        <f>INDEX(Tab_Def_Flows[[Flow_ID]:[CC_DM_source]],MATCH(Tab_Data_Flows[[#This Row],[Name(EN)]],Tab_Def_Flows[Name(EN)],0),13)</f>
        <v/>
      </c>
      <c r="AD269" s="272">
        <f>IF(J269="Yes",AA269*Tab_Data_Flows[[#This Row],[WC_'[%']]],"N.A.")</f>
        <v/>
      </c>
      <c r="AE269" s="272">
        <f>Tab_Data_Flows[[#This Row],[UoM_Flow_Py]]</f>
        <v/>
      </c>
      <c r="AF269" s="190">
        <f>INDEX(Tab_Def_Flows[[Flow_ID]:[CC_DM_source]],MATCH(Tab_Data_Flows[[#This Row],[Name(EN)]],Tab_Def_Flows[Name(EN)],0),15)</f>
        <v/>
      </c>
      <c r="AG269" s="272">
        <f>IF(K269="Yes",AF269*Tab_Data_Flows[[#This Row],[Flow_Py]],"N.A.")</f>
        <v/>
      </c>
      <c r="AH269" s="272">
        <f>Tab_Data_Flows[[#This Row],[UoM_Flow_Py]]</f>
        <v/>
      </c>
      <c r="AI269" s="190">
        <f>INDEX(Tab_Def_Flows[[Flow_ID]:[CC_DM_source]],MATCH(Tab_Data_Flows[[#This Row],[Name(EN)]],Tab_Def_Flows[Name(EN)],0),17)</f>
        <v/>
      </c>
      <c r="AJ269" s="272">
        <f>IF(L269="Yes",AI269*Tab_Data_Flows[[#This Row],[Flow_Py]]*Tab_Data_Flows[[#This Row],[DM_'[%']]],"N.A.")</f>
        <v/>
      </c>
      <c r="AK269" s="272">
        <f>Tab_Data_Flows[[#This Row],[UoM_Flow_Py]]</f>
        <v/>
      </c>
    </row>
    <row r="270">
      <c r="A270" s="296">
        <f>ROW()-1</f>
        <v/>
      </c>
      <c r="B270" s="272">
        <f>_xlfn.XLOOKUP(C270,Tab_Def_Flows[Name(EN)],Tab_Def_Flows[Flow_ID],,0,)</f>
        <v/>
      </c>
      <c r="C270" s="273" t="inlineStr">
        <is>
          <t>N.A.</t>
        </is>
      </c>
      <c r="D270" s="272">
        <f>_xlfn.XLOOKUP(C270,Tab_Def_Flows[Name(EN)],Tab_Def_Flows[Type_Biomass],,0,)</f>
        <v/>
      </c>
      <c r="E270" s="272">
        <f>_xlfn.XLOOKUP(C270,Tab_Def_Flows[Name(EN)],Tab_Def_Flows[Output_Process],,0,)</f>
        <v/>
      </c>
      <c r="F270" s="272">
        <f>_xlfn.XLOOKUP(C270,Tab_Def_Flows[Name(EN)],Tab_Def_Flows[Process_ID_O],,0,)</f>
        <v/>
      </c>
      <c r="G270" s="272">
        <f>_xlfn.XLOOKUP(C270,Tab_Def_Flows[Name(EN)],Tab_Def_Flows[Input_Process],,0,)</f>
        <v/>
      </c>
      <c r="H270" s="17">
        <f>_xlfn.XLOOKUP(C270,Tab_Def_Flows[Name(EN)],Tab_Def_Flows[Process_ID_I],,0,)</f>
        <v/>
      </c>
      <c r="I270" s="272">
        <f>_xlfn.XLOOKUP(C270,Tab_Def_Flows[Name(EN)],#REF!,,0,)</f>
        <v/>
      </c>
      <c r="J270" s="17">
        <f>_xlfn.XLOOKUP(C270,Tab_Def_Flows[Name(EN)],Tab_Def_Flows[WC?],,0,)</f>
        <v/>
      </c>
      <c r="K270" s="17">
        <f>_xlfn.XLOOKUP(C270,Tab_Def_Flows[Name(EN)],Tab_Def_Flows[DM?],,0,)</f>
        <v/>
      </c>
      <c r="L270" s="17">
        <f>_xlfn.XLOOKUP(C270,Tab_Def_Flows[Name(EN)],Tab_Def_Flows[CC?],,0,)</f>
        <v/>
      </c>
      <c r="M270" s="273" t="n"/>
      <c r="N270" s="273" t="n"/>
      <c r="O270" s="48" t="n"/>
      <c r="P270" s="273" t="n"/>
      <c r="Q270" s="273" t="n"/>
      <c r="R270" s="273" t="n"/>
      <c r="S270" s="23" t="n"/>
      <c r="T270" s="273" t="n"/>
      <c r="U270" s="273" t="n"/>
      <c r="V270" s="273" t="n"/>
      <c r="W270" s="273" t="n"/>
      <c r="X270" s="273" t="inlineStr">
        <is>
          <t>No</t>
        </is>
      </c>
      <c r="Y270" s="41" t="n"/>
      <c r="Z270" s="273" t="n"/>
      <c r="AA270" s="35">
        <f>IF(X270="no",O270,O270*Y270)</f>
        <v/>
      </c>
      <c r="AB270" s="273" t="inlineStr">
        <is>
          <t>Mg</t>
        </is>
      </c>
      <c r="AC270" s="190">
        <f>INDEX(Tab_Def_Flows[[Flow_ID]:[CC_DM_source]],MATCH(Tab_Data_Flows[[#This Row],[Name(EN)]],Tab_Def_Flows[Name(EN)],0),13)</f>
        <v/>
      </c>
      <c r="AD270" s="272">
        <f>IF(J270="Yes",AA270*Tab_Data_Flows[[#This Row],[WC_'[%']]],"N.A.")</f>
        <v/>
      </c>
      <c r="AE270" s="272">
        <f>Tab_Data_Flows[[#This Row],[UoM_Flow_Py]]</f>
        <v/>
      </c>
      <c r="AF270" s="190">
        <f>INDEX(Tab_Def_Flows[[Flow_ID]:[CC_DM_source]],MATCH(Tab_Data_Flows[[#This Row],[Name(EN)]],Tab_Def_Flows[Name(EN)],0),15)</f>
        <v/>
      </c>
      <c r="AG270" s="272">
        <f>IF(K270="Yes",AF270*Tab_Data_Flows[[#This Row],[Flow_Py]],"N.A.")</f>
        <v/>
      </c>
      <c r="AH270" s="272">
        <f>Tab_Data_Flows[[#This Row],[UoM_Flow_Py]]</f>
        <v/>
      </c>
      <c r="AI270" s="190">
        <f>INDEX(Tab_Def_Flows[[Flow_ID]:[CC_DM_source]],MATCH(Tab_Data_Flows[[#This Row],[Name(EN)]],Tab_Def_Flows[Name(EN)],0),17)</f>
        <v/>
      </c>
      <c r="AJ270" s="272">
        <f>IF(L270="Yes",AI270*Tab_Data_Flows[[#This Row],[Flow_Py]]*Tab_Data_Flows[[#This Row],[DM_'[%']]],"N.A.")</f>
        <v/>
      </c>
      <c r="AK270" s="272">
        <f>Tab_Data_Flows[[#This Row],[UoM_Flow_Py]]</f>
        <v/>
      </c>
    </row>
    <row r="271">
      <c r="A271" s="296">
        <f>ROW()-1</f>
        <v/>
      </c>
      <c r="B271" s="272">
        <f>_xlfn.XLOOKUP(C271,Tab_Def_Flows[Name(EN)],Tab_Def_Flows[Flow_ID],,0,)</f>
        <v/>
      </c>
      <c r="C271" s="273" t="inlineStr">
        <is>
          <t>N.A.</t>
        </is>
      </c>
      <c r="D271" s="272">
        <f>_xlfn.XLOOKUP(C271,Tab_Def_Flows[Name(EN)],Tab_Def_Flows[Type_Biomass],,0,)</f>
        <v/>
      </c>
      <c r="E271" s="272">
        <f>_xlfn.XLOOKUP(C271,Tab_Def_Flows[Name(EN)],Tab_Def_Flows[Output_Process],,0,)</f>
        <v/>
      </c>
      <c r="F271" s="272">
        <f>_xlfn.XLOOKUP(C271,Tab_Def_Flows[Name(EN)],Tab_Def_Flows[Process_ID_O],,0,)</f>
        <v/>
      </c>
      <c r="G271" s="272">
        <f>_xlfn.XLOOKUP(C271,Tab_Def_Flows[Name(EN)],Tab_Def_Flows[Input_Process],,0,)</f>
        <v/>
      </c>
      <c r="H271" s="17">
        <f>_xlfn.XLOOKUP(C271,Tab_Def_Flows[Name(EN)],Tab_Def_Flows[Process_ID_I],,0,)</f>
        <v/>
      </c>
      <c r="I271" s="272">
        <f>_xlfn.XLOOKUP(C271,Tab_Def_Flows[Name(EN)],#REF!,,0,)</f>
        <v/>
      </c>
      <c r="J271" s="17">
        <f>_xlfn.XLOOKUP(C271,Tab_Def_Flows[Name(EN)],Tab_Def_Flows[WC?],,0,)</f>
        <v/>
      </c>
      <c r="K271" s="17">
        <f>_xlfn.XLOOKUP(C271,Tab_Def_Flows[Name(EN)],Tab_Def_Flows[DM?],,0,)</f>
        <v/>
      </c>
      <c r="L271" s="17">
        <f>_xlfn.XLOOKUP(C271,Tab_Def_Flows[Name(EN)],Tab_Def_Flows[CC?],,0,)</f>
        <v/>
      </c>
      <c r="M271" s="273" t="n"/>
      <c r="N271" s="273" t="n"/>
      <c r="O271" s="48" t="n"/>
      <c r="P271" s="273" t="n"/>
      <c r="Q271" s="273" t="n"/>
      <c r="R271" s="273" t="n"/>
      <c r="S271" s="23" t="n"/>
      <c r="T271" s="273" t="n"/>
      <c r="U271" s="273" t="n"/>
      <c r="V271" s="273" t="n"/>
      <c r="W271" s="273" t="n"/>
      <c r="X271" s="273" t="inlineStr">
        <is>
          <t>No</t>
        </is>
      </c>
      <c r="Y271" s="41" t="n"/>
      <c r="Z271" s="273" t="n"/>
      <c r="AA271" s="35">
        <f>IF(X271="no",O271,O271*Y271)</f>
        <v/>
      </c>
      <c r="AB271" s="273" t="inlineStr">
        <is>
          <t>Mg</t>
        </is>
      </c>
      <c r="AC271" s="190">
        <f>INDEX(Tab_Def_Flows[[Flow_ID]:[CC_DM_source]],MATCH(Tab_Data_Flows[[#This Row],[Name(EN)]],Tab_Def_Flows[Name(EN)],0),13)</f>
        <v/>
      </c>
      <c r="AD271" s="272">
        <f>IF(J271="Yes",AA271*Tab_Data_Flows[[#This Row],[WC_'[%']]],"N.A.")</f>
        <v/>
      </c>
      <c r="AE271" s="272">
        <f>Tab_Data_Flows[[#This Row],[UoM_Flow_Py]]</f>
        <v/>
      </c>
      <c r="AF271" s="190">
        <f>INDEX(Tab_Def_Flows[[Flow_ID]:[CC_DM_source]],MATCH(Tab_Data_Flows[[#This Row],[Name(EN)]],Tab_Def_Flows[Name(EN)],0),15)</f>
        <v/>
      </c>
      <c r="AG271" s="272">
        <f>IF(K271="Yes",AF271*Tab_Data_Flows[[#This Row],[Flow_Py]],"N.A.")</f>
        <v/>
      </c>
      <c r="AH271" s="272">
        <f>Tab_Data_Flows[[#This Row],[UoM_Flow_Py]]</f>
        <v/>
      </c>
      <c r="AI271" s="190">
        <f>INDEX(Tab_Def_Flows[[Flow_ID]:[CC_DM_source]],MATCH(Tab_Data_Flows[[#This Row],[Name(EN)]],Tab_Def_Flows[Name(EN)],0),17)</f>
        <v/>
      </c>
      <c r="AJ271" s="272">
        <f>IF(L271="Yes",AI271*Tab_Data_Flows[[#This Row],[Flow_Py]]*Tab_Data_Flows[[#This Row],[DM_'[%']]],"N.A.")</f>
        <v/>
      </c>
      <c r="AK271" s="272">
        <f>Tab_Data_Flows[[#This Row],[UoM_Flow_Py]]</f>
        <v/>
      </c>
    </row>
    <row r="272">
      <c r="A272" s="296">
        <f>ROW()-1</f>
        <v/>
      </c>
      <c r="B272" s="272">
        <f>_xlfn.XLOOKUP(C272,Tab_Def_Flows[Name(EN)],Tab_Def_Flows[Flow_ID],,0,)</f>
        <v/>
      </c>
      <c r="C272" s="273" t="inlineStr">
        <is>
          <t>N.A.</t>
        </is>
      </c>
      <c r="D272" s="272">
        <f>_xlfn.XLOOKUP(C272,Tab_Def_Flows[Name(EN)],Tab_Def_Flows[Type_Biomass],,0,)</f>
        <v/>
      </c>
      <c r="E272" s="272">
        <f>_xlfn.XLOOKUP(C272,Tab_Def_Flows[Name(EN)],Tab_Def_Flows[Output_Process],,0,)</f>
        <v/>
      </c>
      <c r="F272" s="272">
        <f>_xlfn.XLOOKUP(C272,Tab_Def_Flows[Name(EN)],Tab_Def_Flows[Process_ID_O],,0,)</f>
        <v/>
      </c>
      <c r="G272" s="272">
        <f>_xlfn.XLOOKUP(C272,Tab_Def_Flows[Name(EN)],Tab_Def_Flows[Input_Process],,0,)</f>
        <v/>
      </c>
      <c r="H272" s="17">
        <f>_xlfn.XLOOKUP(C272,Tab_Def_Flows[Name(EN)],Tab_Def_Flows[Process_ID_I],,0,)</f>
        <v/>
      </c>
      <c r="I272" s="272">
        <f>_xlfn.XLOOKUP(C272,Tab_Def_Flows[Name(EN)],#REF!,,0,)</f>
        <v/>
      </c>
      <c r="J272" s="17">
        <f>_xlfn.XLOOKUP(C272,Tab_Def_Flows[Name(EN)],Tab_Def_Flows[WC?],,0,)</f>
        <v/>
      </c>
      <c r="K272" s="17">
        <f>_xlfn.XLOOKUP(C272,Tab_Def_Flows[Name(EN)],Tab_Def_Flows[DM?],,0,)</f>
        <v/>
      </c>
      <c r="L272" s="17">
        <f>_xlfn.XLOOKUP(C272,Tab_Def_Flows[Name(EN)],Tab_Def_Flows[CC?],,0,)</f>
        <v/>
      </c>
      <c r="M272" s="273" t="n"/>
      <c r="N272" s="273" t="n"/>
      <c r="O272" s="48" t="n"/>
      <c r="P272" s="273" t="n"/>
      <c r="Q272" s="273" t="n"/>
      <c r="R272" s="273" t="n"/>
      <c r="S272" s="23" t="n"/>
      <c r="T272" s="273" t="n"/>
      <c r="U272" s="273" t="n"/>
      <c r="V272" s="273" t="n"/>
      <c r="W272" s="273" t="n"/>
      <c r="X272" s="273" t="inlineStr">
        <is>
          <t>No</t>
        </is>
      </c>
      <c r="Y272" s="41" t="n"/>
      <c r="Z272" s="273" t="n"/>
      <c r="AA272" s="35">
        <f>IF(X272="no",O272,O272*Y272)</f>
        <v/>
      </c>
      <c r="AB272" s="273" t="inlineStr">
        <is>
          <t>Mg</t>
        </is>
      </c>
      <c r="AC272" s="190">
        <f>INDEX(Tab_Def_Flows[[Flow_ID]:[CC_DM_source]],MATCH(Tab_Data_Flows[[#This Row],[Name(EN)]],Tab_Def_Flows[Name(EN)],0),13)</f>
        <v/>
      </c>
      <c r="AD272" s="272">
        <f>IF(J272="Yes",AA272*Tab_Data_Flows[[#This Row],[WC_'[%']]],"N.A.")</f>
        <v/>
      </c>
      <c r="AE272" s="272">
        <f>Tab_Data_Flows[[#This Row],[UoM_Flow_Py]]</f>
        <v/>
      </c>
      <c r="AF272" s="190">
        <f>INDEX(Tab_Def_Flows[[Flow_ID]:[CC_DM_source]],MATCH(Tab_Data_Flows[[#This Row],[Name(EN)]],Tab_Def_Flows[Name(EN)],0),15)</f>
        <v/>
      </c>
      <c r="AG272" s="272">
        <f>IF(K272="Yes",AF272*Tab_Data_Flows[[#This Row],[Flow_Py]],"N.A.")</f>
        <v/>
      </c>
      <c r="AH272" s="272">
        <f>Tab_Data_Flows[[#This Row],[UoM_Flow_Py]]</f>
        <v/>
      </c>
      <c r="AI272" s="190">
        <f>INDEX(Tab_Def_Flows[[Flow_ID]:[CC_DM_source]],MATCH(Tab_Data_Flows[[#This Row],[Name(EN)]],Tab_Def_Flows[Name(EN)],0),17)</f>
        <v/>
      </c>
      <c r="AJ272" s="272">
        <f>IF(L272="Yes",AI272*Tab_Data_Flows[[#This Row],[Flow_Py]]*Tab_Data_Flows[[#This Row],[DM_'[%']]],"N.A.")</f>
        <v/>
      </c>
      <c r="AK272" s="272">
        <f>Tab_Data_Flows[[#This Row],[UoM_Flow_Py]]</f>
        <v/>
      </c>
    </row>
    <row r="273">
      <c r="A273" s="296">
        <f>ROW()-1</f>
        <v/>
      </c>
      <c r="B273" s="272">
        <f>_xlfn.XLOOKUP(C273,Tab_Def_Flows[Name(EN)],Tab_Def_Flows[Flow_ID],,0,)</f>
        <v/>
      </c>
      <c r="C273" s="273" t="inlineStr">
        <is>
          <t>N.A.</t>
        </is>
      </c>
      <c r="D273" s="272">
        <f>_xlfn.XLOOKUP(C273,Tab_Def_Flows[Name(EN)],Tab_Def_Flows[Type_Biomass],,0,)</f>
        <v/>
      </c>
      <c r="E273" s="272">
        <f>_xlfn.XLOOKUP(C273,Tab_Def_Flows[Name(EN)],Tab_Def_Flows[Output_Process],,0,)</f>
        <v/>
      </c>
      <c r="F273" s="272">
        <f>_xlfn.XLOOKUP(C273,Tab_Def_Flows[Name(EN)],Tab_Def_Flows[Process_ID_O],,0,)</f>
        <v/>
      </c>
      <c r="G273" s="272">
        <f>_xlfn.XLOOKUP(C273,Tab_Def_Flows[Name(EN)],Tab_Def_Flows[Input_Process],,0,)</f>
        <v/>
      </c>
      <c r="H273" s="17">
        <f>_xlfn.XLOOKUP(C273,Tab_Def_Flows[Name(EN)],Tab_Def_Flows[Process_ID_I],,0,)</f>
        <v/>
      </c>
      <c r="I273" s="272">
        <f>_xlfn.XLOOKUP(C273,Tab_Def_Flows[Name(EN)],#REF!,,0,)</f>
        <v/>
      </c>
      <c r="J273" s="17">
        <f>_xlfn.XLOOKUP(C273,Tab_Def_Flows[Name(EN)],Tab_Def_Flows[WC?],,0,)</f>
        <v/>
      </c>
      <c r="K273" s="17">
        <f>_xlfn.XLOOKUP(C273,Tab_Def_Flows[Name(EN)],Tab_Def_Flows[DM?],,0,)</f>
        <v/>
      </c>
      <c r="L273" s="17">
        <f>_xlfn.XLOOKUP(C273,Tab_Def_Flows[Name(EN)],Tab_Def_Flows[CC?],,0,)</f>
        <v/>
      </c>
      <c r="M273" s="273" t="n"/>
      <c r="N273" s="273" t="n"/>
      <c r="O273" s="48" t="n"/>
      <c r="P273" s="273" t="n"/>
      <c r="Q273" s="273" t="n"/>
      <c r="R273" s="273" t="n"/>
      <c r="S273" s="23" t="n"/>
      <c r="T273" s="273" t="n"/>
      <c r="U273" s="273" t="n"/>
      <c r="V273" s="273" t="n"/>
      <c r="W273" s="273" t="n"/>
      <c r="X273" s="273" t="inlineStr">
        <is>
          <t>No</t>
        </is>
      </c>
      <c r="Y273" s="41" t="n"/>
      <c r="Z273" s="273" t="n"/>
      <c r="AA273" s="35">
        <f>IF(X273="no",O273,O273*Y273)</f>
        <v/>
      </c>
      <c r="AB273" s="273" t="inlineStr">
        <is>
          <t>Mg</t>
        </is>
      </c>
      <c r="AC273" s="190">
        <f>INDEX(Tab_Def_Flows[[Flow_ID]:[CC_DM_source]],MATCH(Tab_Data_Flows[[#This Row],[Name(EN)]],Tab_Def_Flows[Name(EN)],0),13)</f>
        <v/>
      </c>
      <c r="AD273" s="272">
        <f>IF(J273="Yes",AA273*Tab_Data_Flows[[#This Row],[WC_'[%']]],"N.A.")</f>
        <v/>
      </c>
      <c r="AE273" s="272">
        <f>Tab_Data_Flows[[#This Row],[UoM_Flow_Py]]</f>
        <v/>
      </c>
      <c r="AF273" s="190">
        <f>INDEX(Tab_Def_Flows[[Flow_ID]:[CC_DM_source]],MATCH(Tab_Data_Flows[[#This Row],[Name(EN)]],Tab_Def_Flows[Name(EN)],0),15)</f>
        <v/>
      </c>
      <c r="AG273" s="272">
        <f>IF(K273="Yes",AF273*Tab_Data_Flows[[#This Row],[Flow_Py]],"N.A.")</f>
        <v/>
      </c>
      <c r="AH273" s="272">
        <f>Tab_Data_Flows[[#This Row],[UoM_Flow_Py]]</f>
        <v/>
      </c>
      <c r="AI273" s="190">
        <f>INDEX(Tab_Def_Flows[[Flow_ID]:[CC_DM_source]],MATCH(Tab_Data_Flows[[#This Row],[Name(EN)]],Tab_Def_Flows[Name(EN)],0),17)</f>
        <v/>
      </c>
      <c r="AJ273" s="272">
        <f>IF(L273="Yes",AI273*Tab_Data_Flows[[#This Row],[Flow_Py]]*Tab_Data_Flows[[#This Row],[DM_'[%']]],"N.A.")</f>
        <v/>
      </c>
      <c r="AK273" s="272">
        <f>Tab_Data_Flows[[#This Row],[UoM_Flow_Py]]</f>
        <v/>
      </c>
    </row>
    <row r="274">
      <c r="A274" s="296">
        <f>ROW()-1</f>
        <v/>
      </c>
      <c r="B274" s="272">
        <f>_xlfn.XLOOKUP(C274,Tab_Def_Flows[Name(EN)],Tab_Def_Flows[Flow_ID],,0,)</f>
        <v/>
      </c>
      <c r="C274" s="273" t="inlineStr">
        <is>
          <t>N.A.</t>
        </is>
      </c>
      <c r="D274" s="272">
        <f>_xlfn.XLOOKUP(C274,Tab_Def_Flows[Name(EN)],Tab_Def_Flows[Type_Biomass],,0,)</f>
        <v/>
      </c>
      <c r="E274" s="272">
        <f>_xlfn.XLOOKUP(C274,Tab_Def_Flows[Name(EN)],Tab_Def_Flows[Output_Process],,0,)</f>
        <v/>
      </c>
      <c r="F274" s="272">
        <f>_xlfn.XLOOKUP(C274,Tab_Def_Flows[Name(EN)],Tab_Def_Flows[Process_ID_O],,0,)</f>
        <v/>
      </c>
      <c r="G274" s="272">
        <f>_xlfn.XLOOKUP(C274,Tab_Def_Flows[Name(EN)],Tab_Def_Flows[Input_Process],,0,)</f>
        <v/>
      </c>
      <c r="H274" s="17">
        <f>_xlfn.XLOOKUP(C274,Tab_Def_Flows[Name(EN)],Tab_Def_Flows[Process_ID_I],,0,)</f>
        <v/>
      </c>
      <c r="I274" s="272">
        <f>_xlfn.XLOOKUP(C274,Tab_Def_Flows[Name(EN)],#REF!,,0,)</f>
        <v/>
      </c>
      <c r="J274" s="17">
        <f>_xlfn.XLOOKUP(C274,Tab_Def_Flows[Name(EN)],Tab_Def_Flows[WC?],,0,)</f>
        <v/>
      </c>
      <c r="K274" s="17">
        <f>_xlfn.XLOOKUP(C274,Tab_Def_Flows[Name(EN)],Tab_Def_Flows[DM?],,0,)</f>
        <v/>
      </c>
      <c r="L274" s="17">
        <f>_xlfn.XLOOKUP(C274,Tab_Def_Flows[Name(EN)],Tab_Def_Flows[CC?],,0,)</f>
        <v/>
      </c>
      <c r="M274" s="273" t="n"/>
      <c r="N274" s="273" t="n"/>
      <c r="O274" s="48" t="n"/>
      <c r="P274" s="273" t="n"/>
      <c r="Q274" s="273" t="n"/>
      <c r="R274" s="273" t="n"/>
      <c r="S274" s="23" t="n"/>
      <c r="T274" s="273" t="n"/>
      <c r="U274" s="273" t="n"/>
      <c r="V274" s="273" t="n"/>
      <c r="W274" s="273" t="n"/>
      <c r="X274" s="273" t="inlineStr">
        <is>
          <t>No</t>
        </is>
      </c>
      <c r="Y274" s="41" t="n"/>
      <c r="Z274" s="273" t="n"/>
      <c r="AA274" s="35">
        <f>IF(X274="no",O274,O274*Y274)</f>
        <v/>
      </c>
      <c r="AB274" s="273" t="inlineStr">
        <is>
          <t>Mg</t>
        </is>
      </c>
      <c r="AC274" s="190">
        <f>INDEX(Tab_Def_Flows[[Flow_ID]:[CC_DM_source]],MATCH(Tab_Data_Flows[[#This Row],[Name(EN)]],Tab_Def_Flows[Name(EN)],0),13)</f>
        <v/>
      </c>
      <c r="AD274" s="272">
        <f>IF(J274="Yes",AA274*Tab_Data_Flows[[#This Row],[WC_'[%']]],"N.A.")</f>
        <v/>
      </c>
      <c r="AE274" s="272">
        <f>Tab_Data_Flows[[#This Row],[UoM_Flow_Py]]</f>
        <v/>
      </c>
      <c r="AF274" s="190">
        <f>INDEX(Tab_Def_Flows[[Flow_ID]:[CC_DM_source]],MATCH(Tab_Data_Flows[[#This Row],[Name(EN)]],Tab_Def_Flows[Name(EN)],0),15)</f>
        <v/>
      </c>
      <c r="AG274" s="272">
        <f>IF(K274="Yes",AF274*Tab_Data_Flows[[#This Row],[Flow_Py]],"N.A.")</f>
        <v/>
      </c>
      <c r="AH274" s="272">
        <f>Tab_Data_Flows[[#This Row],[UoM_Flow_Py]]</f>
        <v/>
      </c>
      <c r="AI274" s="190">
        <f>INDEX(Tab_Def_Flows[[Flow_ID]:[CC_DM_source]],MATCH(Tab_Data_Flows[[#This Row],[Name(EN)]],Tab_Def_Flows[Name(EN)],0),17)</f>
        <v/>
      </c>
      <c r="AJ274" s="272">
        <f>IF(L274="Yes",AI274*Tab_Data_Flows[[#This Row],[Flow_Py]]*Tab_Data_Flows[[#This Row],[DM_'[%']]],"N.A.")</f>
        <v/>
      </c>
      <c r="AK274" s="272">
        <f>Tab_Data_Flows[[#This Row],[UoM_Flow_Py]]</f>
        <v/>
      </c>
    </row>
    <row r="275">
      <c r="A275" s="296">
        <f>ROW()-1</f>
        <v/>
      </c>
      <c r="B275" s="272">
        <f>_xlfn.XLOOKUP(C275,Tab_Def_Flows[Name(EN)],Tab_Def_Flows[Flow_ID],,0,)</f>
        <v/>
      </c>
      <c r="C275" s="273" t="inlineStr">
        <is>
          <t>N.A.</t>
        </is>
      </c>
      <c r="D275" s="272">
        <f>_xlfn.XLOOKUP(C275,Tab_Def_Flows[Name(EN)],Tab_Def_Flows[Type_Biomass],,0,)</f>
        <v/>
      </c>
      <c r="E275" s="272">
        <f>_xlfn.XLOOKUP(C275,Tab_Def_Flows[Name(EN)],Tab_Def_Flows[Output_Process],,0,)</f>
        <v/>
      </c>
      <c r="F275" s="272">
        <f>_xlfn.XLOOKUP(C275,Tab_Def_Flows[Name(EN)],Tab_Def_Flows[Process_ID_O],,0,)</f>
        <v/>
      </c>
      <c r="G275" s="272">
        <f>_xlfn.XLOOKUP(C275,Tab_Def_Flows[Name(EN)],Tab_Def_Flows[Input_Process],,0,)</f>
        <v/>
      </c>
      <c r="H275" s="17">
        <f>_xlfn.XLOOKUP(C275,Tab_Def_Flows[Name(EN)],Tab_Def_Flows[Process_ID_I],,0,)</f>
        <v/>
      </c>
      <c r="I275" s="272">
        <f>_xlfn.XLOOKUP(C275,Tab_Def_Flows[Name(EN)],#REF!,,0,)</f>
        <v/>
      </c>
      <c r="J275" s="17">
        <f>_xlfn.XLOOKUP(C275,Tab_Def_Flows[Name(EN)],Tab_Def_Flows[WC?],,0,)</f>
        <v/>
      </c>
      <c r="K275" s="17">
        <f>_xlfn.XLOOKUP(C275,Tab_Def_Flows[Name(EN)],Tab_Def_Flows[DM?],,0,)</f>
        <v/>
      </c>
      <c r="L275" s="17">
        <f>_xlfn.XLOOKUP(C275,Tab_Def_Flows[Name(EN)],Tab_Def_Flows[CC?],,0,)</f>
        <v/>
      </c>
      <c r="M275" s="273" t="n"/>
      <c r="N275" s="273" t="n"/>
      <c r="O275" s="48" t="n"/>
      <c r="P275" s="273" t="n"/>
      <c r="Q275" s="273" t="n"/>
      <c r="R275" s="273" t="n"/>
      <c r="S275" s="23" t="n"/>
      <c r="T275" s="273" t="n"/>
      <c r="U275" s="273" t="n"/>
      <c r="V275" s="273" t="n"/>
      <c r="W275" s="273" t="n"/>
      <c r="X275" s="273" t="inlineStr">
        <is>
          <t>No</t>
        </is>
      </c>
      <c r="Y275" s="41" t="n"/>
      <c r="Z275" s="273" t="n"/>
      <c r="AA275" s="35">
        <f>IF(X275="no",O275,O275*Y275)</f>
        <v/>
      </c>
      <c r="AB275" s="273" t="inlineStr">
        <is>
          <t>Mg</t>
        </is>
      </c>
      <c r="AC275" s="190">
        <f>INDEX(Tab_Def_Flows[[Flow_ID]:[CC_DM_source]],MATCH(Tab_Data_Flows[[#This Row],[Name(EN)]],Tab_Def_Flows[Name(EN)],0),13)</f>
        <v/>
      </c>
      <c r="AD275" s="272">
        <f>IF(J275="Yes",AA275*Tab_Data_Flows[[#This Row],[WC_'[%']]],"N.A.")</f>
        <v/>
      </c>
      <c r="AE275" s="272">
        <f>Tab_Data_Flows[[#This Row],[UoM_Flow_Py]]</f>
        <v/>
      </c>
      <c r="AF275" s="190">
        <f>INDEX(Tab_Def_Flows[[Flow_ID]:[CC_DM_source]],MATCH(Tab_Data_Flows[[#This Row],[Name(EN)]],Tab_Def_Flows[Name(EN)],0),15)</f>
        <v/>
      </c>
      <c r="AG275" s="272">
        <f>IF(K275="Yes",AF275*Tab_Data_Flows[[#This Row],[Flow_Py]],"N.A.")</f>
        <v/>
      </c>
      <c r="AH275" s="272">
        <f>Tab_Data_Flows[[#This Row],[UoM_Flow_Py]]</f>
        <v/>
      </c>
      <c r="AI275" s="190">
        <f>INDEX(Tab_Def_Flows[[Flow_ID]:[CC_DM_source]],MATCH(Tab_Data_Flows[[#This Row],[Name(EN)]],Tab_Def_Flows[Name(EN)],0),17)</f>
        <v/>
      </c>
      <c r="AJ275" s="272">
        <f>IF(L275="Yes",AI275*Tab_Data_Flows[[#This Row],[Flow_Py]]*Tab_Data_Flows[[#This Row],[DM_'[%']]],"N.A.")</f>
        <v/>
      </c>
      <c r="AK275" s="272">
        <f>Tab_Data_Flows[[#This Row],[UoM_Flow_Py]]</f>
        <v/>
      </c>
    </row>
    <row r="276">
      <c r="A276" s="296">
        <f>ROW()-1</f>
        <v/>
      </c>
      <c r="B276" s="272">
        <f>_xlfn.XLOOKUP(C276,Tab_Def_Flows[Name(EN)],Tab_Def_Flows[Flow_ID],,0,)</f>
        <v/>
      </c>
      <c r="C276" s="273" t="inlineStr">
        <is>
          <t>N.A.</t>
        </is>
      </c>
      <c r="D276" s="272">
        <f>_xlfn.XLOOKUP(C276,Tab_Def_Flows[Name(EN)],Tab_Def_Flows[Type_Biomass],,0,)</f>
        <v/>
      </c>
      <c r="E276" s="272">
        <f>_xlfn.XLOOKUP(C276,Tab_Def_Flows[Name(EN)],Tab_Def_Flows[Output_Process],,0,)</f>
        <v/>
      </c>
      <c r="F276" s="272">
        <f>_xlfn.XLOOKUP(C276,Tab_Def_Flows[Name(EN)],Tab_Def_Flows[Process_ID_O],,0,)</f>
        <v/>
      </c>
      <c r="G276" s="272">
        <f>_xlfn.XLOOKUP(C276,Tab_Def_Flows[Name(EN)],Tab_Def_Flows[Input_Process],,0,)</f>
        <v/>
      </c>
      <c r="H276" s="17">
        <f>_xlfn.XLOOKUP(C276,Tab_Def_Flows[Name(EN)],Tab_Def_Flows[Process_ID_I],,0,)</f>
        <v/>
      </c>
      <c r="I276" s="272">
        <f>_xlfn.XLOOKUP(C276,Tab_Def_Flows[Name(EN)],#REF!,,0,)</f>
        <v/>
      </c>
      <c r="J276" s="17">
        <f>_xlfn.XLOOKUP(C276,Tab_Def_Flows[Name(EN)],Tab_Def_Flows[WC?],,0,)</f>
        <v/>
      </c>
      <c r="K276" s="17">
        <f>_xlfn.XLOOKUP(C276,Tab_Def_Flows[Name(EN)],Tab_Def_Flows[DM?],,0,)</f>
        <v/>
      </c>
      <c r="L276" s="17">
        <f>_xlfn.XLOOKUP(C276,Tab_Def_Flows[Name(EN)],Tab_Def_Flows[CC?],,0,)</f>
        <v/>
      </c>
      <c r="M276" s="273" t="n"/>
      <c r="N276" s="273" t="n"/>
      <c r="O276" s="48" t="n"/>
      <c r="P276" s="273" t="n"/>
      <c r="Q276" s="273" t="n"/>
      <c r="R276" s="273" t="n"/>
      <c r="S276" s="23" t="n"/>
      <c r="T276" s="273" t="n"/>
      <c r="U276" s="273" t="n"/>
      <c r="V276" s="273" t="n"/>
      <c r="W276" s="273" t="n"/>
      <c r="X276" s="273" t="inlineStr">
        <is>
          <t>No</t>
        </is>
      </c>
      <c r="Y276" s="41" t="n"/>
      <c r="Z276" s="273" t="n"/>
      <c r="AA276" s="35">
        <f>IF(X276="no",O276,O276*Y276)</f>
        <v/>
      </c>
      <c r="AB276" s="273" t="inlineStr">
        <is>
          <t>Mg</t>
        </is>
      </c>
      <c r="AC276" s="190">
        <f>INDEX(Tab_Def_Flows[[Flow_ID]:[CC_DM_source]],MATCH(Tab_Data_Flows[[#This Row],[Name(EN)]],Tab_Def_Flows[Name(EN)],0),13)</f>
        <v/>
      </c>
      <c r="AD276" s="272">
        <f>IF(J276="Yes",AA276*Tab_Data_Flows[[#This Row],[WC_'[%']]],"N.A.")</f>
        <v/>
      </c>
      <c r="AE276" s="272">
        <f>Tab_Data_Flows[[#This Row],[UoM_Flow_Py]]</f>
        <v/>
      </c>
      <c r="AF276" s="190">
        <f>INDEX(Tab_Def_Flows[[Flow_ID]:[CC_DM_source]],MATCH(Tab_Data_Flows[[#This Row],[Name(EN)]],Tab_Def_Flows[Name(EN)],0),15)</f>
        <v/>
      </c>
      <c r="AG276" s="272">
        <f>IF(K276="Yes",AF276*Tab_Data_Flows[[#This Row],[Flow_Py]],"N.A.")</f>
        <v/>
      </c>
      <c r="AH276" s="272">
        <f>Tab_Data_Flows[[#This Row],[UoM_Flow_Py]]</f>
        <v/>
      </c>
      <c r="AI276" s="190">
        <f>INDEX(Tab_Def_Flows[[Flow_ID]:[CC_DM_source]],MATCH(Tab_Data_Flows[[#This Row],[Name(EN)]],Tab_Def_Flows[Name(EN)],0),17)</f>
        <v/>
      </c>
      <c r="AJ276" s="272">
        <f>IF(L276="Yes",AI276*Tab_Data_Flows[[#This Row],[Flow_Py]]*Tab_Data_Flows[[#This Row],[DM_'[%']]],"N.A.")</f>
        <v/>
      </c>
      <c r="AK276" s="272">
        <f>Tab_Data_Flows[[#This Row],[UoM_Flow_Py]]</f>
        <v/>
      </c>
    </row>
    <row r="277">
      <c r="A277" s="296">
        <f>ROW()-1</f>
        <v/>
      </c>
      <c r="B277" s="272">
        <f>_xlfn.XLOOKUP(C277,Tab_Def_Flows[Name(EN)],Tab_Def_Flows[Flow_ID],,0,)</f>
        <v/>
      </c>
      <c r="C277" s="273" t="inlineStr">
        <is>
          <t>N.A.</t>
        </is>
      </c>
      <c r="D277" s="272">
        <f>_xlfn.XLOOKUP(C277,Tab_Def_Flows[Name(EN)],Tab_Def_Flows[Type_Biomass],,0,)</f>
        <v/>
      </c>
      <c r="E277" s="272">
        <f>_xlfn.XLOOKUP(C277,Tab_Def_Flows[Name(EN)],Tab_Def_Flows[Output_Process],,0,)</f>
        <v/>
      </c>
      <c r="F277" s="272">
        <f>_xlfn.XLOOKUP(C277,Tab_Def_Flows[Name(EN)],Tab_Def_Flows[Process_ID_O],,0,)</f>
        <v/>
      </c>
      <c r="G277" s="272">
        <f>_xlfn.XLOOKUP(C277,Tab_Def_Flows[Name(EN)],Tab_Def_Flows[Input_Process],,0,)</f>
        <v/>
      </c>
      <c r="H277" s="17">
        <f>_xlfn.XLOOKUP(C277,Tab_Def_Flows[Name(EN)],Tab_Def_Flows[Process_ID_I],,0,)</f>
        <v/>
      </c>
      <c r="I277" s="272">
        <f>_xlfn.XLOOKUP(C277,Tab_Def_Flows[Name(EN)],#REF!,,0,)</f>
        <v/>
      </c>
      <c r="J277" s="17">
        <f>_xlfn.XLOOKUP(C277,Tab_Def_Flows[Name(EN)],Tab_Def_Flows[WC?],,0,)</f>
        <v/>
      </c>
      <c r="K277" s="17">
        <f>_xlfn.XLOOKUP(C277,Tab_Def_Flows[Name(EN)],Tab_Def_Flows[DM?],,0,)</f>
        <v/>
      </c>
      <c r="L277" s="17">
        <f>_xlfn.XLOOKUP(C277,Tab_Def_Flows[Name(EN)],Tab_Def_Flows[CC?],,0,)</f>
        <v/>
      </c>
      <c r="M277" s="273" t="n"/>
      <c r="N277" s="273" t="n"/>
      <c r="O277" s="48" t="n"/>
      <c r="P277" s="273" t="n"/>
      <c r="Q277" s="273" t="n"/>
      <c r="R277" s="273" t="n"/>
      <c r="S277" s="23" t="n"/>
      <c r="T277" s="273" t="n"/>
      <c r="U277" s="273" t="n"/>
      <c r="V277" s="273" t="n"/>
      <c r="W277" s="273" t="n"/>
      <c r="X277" s="273" t="inlineStr">
        <is>
          <t>No</t>
        </is>
      </c>
      <c r="Y277" s="41" t="n"/>
      <c r="Z277" s="273" t="n"/>
      <c r="AA277" s="35">
        <f>IF(X277="no",O277,O277*Y277)</f>
        <v/>
      </c>
      <c r="AB277" s="273" t="inlineStr">
        <is>
          <t>Mg</t>
        </is>
      </c>
      <c r="AC277" s="190">
        <f>INDEX(Tab_Def_Flows[[Flow_ID]:[CC_DM_source]],MATCH(Tab_Data_Flows[[#This Row],[Name(EN)]],Tab_Def_Flows[Name(EN)],0),13)</f>
        <v/>
      </c>
      <c r="AD277" s="272">
        <f>IF(J277="Yes",AA277*Tab_Data_Flows[[#This Row],[WC_'[%']]],"N.A.")</f>
        <v/>
      </c>
      <c r="AE277" s="272">
        <f>Tab_Data_Flows[[#This Row],[UoM_Flow_Py]]</f>
        <v/>
      </c>
      <c r="AF277" s="190">
        <f>INDEX(Tab_Def_Flows[[Flow_ID]:[CC_DM_source]],MATCH(Tab_Data_Flows[[#This Row],[Name(EN)]],Tab_Def_Flows[Name(EN)],0),15)</f>
        <v/>
      </c>
      <c r="AG277" s="272">
        <f>IF(K277="Yes",AF277*Tab_Data_Flows[[#This Row],[Flow_Py]],"N.A.")</f>
        <v/>
      </c>
      <c r="AH277" s="272">
        <f>Tab_Data_Flows[[#This Row],[UoM_Flow_Py]]</f>
        <v/>
      </c>
      <c r="AI277" s="190">
        <f>INDEX(Tab_Def_Flows[[Flow_ID]:[CC_DM_source]],MATCH(Tab_Data_Flows[[#This Row],[Name(EN)]],Tab_Def_Flows[Name(EN)],0),17)</f>
        <v/>
      </c>
      <c r="AJ277" s="272">
        <f>IF(L277="Yes",AI277*Tab_Data_Flows[[#This Row],[Flow_Py]]*Tab_Data_Flows[[#This Row],[DM_'[%']]],"N.A.")</f>
        <v/>
      </c>
      <c r="AK277" s="272">
        <f>Tab_Data_Flows[[#This Row],[UoM_Flow_Py]]</f>
        <v/>
      </c>
    </row>
    <row r="278">
      <c r="A278" s="296">
        <f>ROW()-1</f>
        <v/>
      </c>
      <c r="B278" s="272">
        <f>_xlfn.XLOOKUP(C278,Tab_Def_Flows[Name(EN)],Tab_Def_Flows[Flow_ID],,0,)</f>
        <v/>
      </c>
      <c r="C278" s="273" t="inlineStr">
        <is>
          <t>N.A.</t>
        </is>
      </c>
      <c r="D278" s="272">
        <f>_xlfn.XLOOKUP(C278,Tab_Def_Flows[Name(EN)],Tab_Def_Flows[Type_Biomass],,0,)</f>
        <v/>
      </c>
      <c r="E278" s="272">
        <f>_xlfn.XLOOKUP(C278,Tab_Def_Flows[Name(EN)],Tab_Def_Flows[Output_Process],,0,)</f>
        <v/>
      </c>
      <c r="F278" s="272">
        <f>_xlfn.XLOOKUP(C278,Tab_Def_Flows[Name(EN)],Tab_Def_Flows[Process_ID_O],,0,)</f>
        <v/>
      </c>
      <c r="G278" s="272">
        <f>_xlfn.XLOOKUP(C278,Tab_Def_Flows[Name(EN)],Tab_Def_Flows[Input_Process],,0,)</f>
        <v/>
      </c>
      <c r="H278" s="17">
        <f>_xlfn.XLOOKUP(C278,Tab_Def_Flows[Name(EN)],Tab_Def_Flows[Process_ID_I],,0,)</f>
        <v/>
      </c>
      <c r="I278" s="272">
        <f>_xlfn.XLOOKUP(C278,Tab_Def_Flows[Name(EN)],#REF!,,0,)</f>
        <v/>
      </c>
      <c r="J278" s="17">
        <f>_xlfn.XLOOKUP(C278,Tab_Def_Flows[Name(EN)],Tab_Def_Flows[WC?],,0,)</f>
        <v/>
      </c>
      <c r="K278" s="17">
        <f>_xlfn.XLOOKUP(C278,Tab_Def_Flows[Name(EN)],Tab_Def_Flows[DM?],,0,)</f>
        <v/>
      </c>
      <c r="L278" s="17">
        <f>_xlfn.XLOOKUP(C278,Tab_Def_Flows[Name(EN)],Tab_Def_Flows[CC?],,0,)</f>
        <v/>
      </c>
      <c r="M278" s="273" t="n"/>
      <c r="N278" s="273" t="n"/>
      <c r="O278" s="48" t="n"/>
      <c r="P278" s="273" t="n"/>
      <c r="Q278" s="273" t="n"/>
      <c r="R278" s="273" t="n"/>
      <c r="S278" s="23" t="n"/>
      <c r="T278" s="273" t="n"/>
      <c r="U278" s="273" t="n"/>
      <c r="V278" s="273" t="n"/>
      <c r="W278" s="273" t="n"/>
      <c r="X278" s="273" t="inlineStr">
        <is>
          <t>No</t>
        </is>
      </c>
      <c r="Y278" s="41" t="n"/>
      <c r="Z278" s="273" t="n"/>
      <c r="AA278" s="35">
        <f>IF(X278="no",O278,O278*Y278)</f>
        <v/>
      </c>
      <c r="AB278" s="273" t="inlineStr">
        <is>
          <t>Mg</t>
        </is>
      </c>
      <c r="AC278" s="190">
        <f>INDEX(Tab_Def_Flows[[Flow_ID]:[CC_DM_source]],MATCH(Tab_Data_Flows[[#This Row],[Name(EN)]],Tab_Def_Flows[Name(EN)],0),13)</f>
        <v/>
      </c>
      <c r="AD278" s="272">
        <f>IF(J278="Yes",AA278*Tab_Data_Flows[[#This Row],[WC_'[%']]],"N.A.")</f>
        <v/>
      </c>
      <c r="AE278" s="272">
        <f>Tab_Data_Flows[[#This Row],[UoM_Flow_Py]]</f>
        <v/>
      </c>
      <c r="AF278" s="190">
        <f>INDEX(Tab_Def_Flows[[Flow_ID]:[CC_DM_source]],MATCH(Tab_Data_Flows[[#This Row],[Name(EN)]],Tab_Def_Flows[Name(EN)],0),15)</f>
        <v/>
      </c>
      <c r="AG278" s="272">
        <f>IF(K278="Yes",AF278*Tab_Data_Flows[[#This Row],[Flow_Py]],"N.A.")</f>
        <v/>
      </c>
      <c r="AH278" s="272">
        <f>Tab_Data_Flows[[#This Row],[UoM_Flow_Py]]</f>
        <v/>
      </c>
      <c r="AI278" s="190">
        <f>INDEX(Tab_Def_Flows[[Flow_ID]:[CC_DM_source]],MATCH(Tab_Data_Flows[[#This Row],[Name(EN)]],Tab_Def_Flows[Name(EN)],0),17)</f>
        <v/>
      </c>
      <c r="AJ278" s="272">
        <f>IF(L278="Yes",AI278*Tab_Data_Flows[[#This Row],[Flow_Py]]*Tab_Data_Flows[[#This Row],[DM_'[%']]],"N.A.")</f>
        <v/>
      </c>
      <c r="AK278" s="272">
        <f>Tab_Data_Flows[[#This Row],[UoM_Flow_Py]]</f>
        <v/>
      </c>
    </row>
    <row r="279">
      <c r="A279" s="296">
        <f>ROW()-1</f>
        <v/>
      </c>
      <c r="B279" s="272">
        <f>_xlfn.XLOOKUP(C279,Tab_Def_Flows[Name(EN)],Tab_Def_Flows[Flow_ID],,0,)</f>
        <v/>
      </c>
      <c r="C279" s="273" t="inlineStr">
        <is>
          <t>N.A.</t>
        </is>
      </c>
      <c r="D279" s="272">
        <f>_xlfn.XLOOKUP(C279,Tab_Def_Flows[Name(EN)],Tab_Def_Flows[Type_Biomass],,0,)</f>
        <v/>
      </c>
      <c r="E279" s="272">
        <f>_xlfn.XLOOKUP(C279,Tab_Def_Flows[Name(EN)],Tab_Def_Flows[Output_Process],,0,)</f>
        <v/>
      </c>
      <c r="F279" s="272">
        <f>_xlfn.XLOOKUP(C279,Tab_Def_Flows[Name(EN)],Tab_Def_Flows[Process_ID_O],,0,)</f>
        <v/>
      </c>
      <c r="G279" s="272">
        <f>_xlfn.XLOOKUP(C279,Tab_Def_Flows[Name(EN)],Tab_Def_Flows[Input_Process],,0,)</f>
        <v/>
      </c>
      <c r="H279" s="17">
        <f>_xlfn.XLOOKUP(C279,Tab_Def_Flows[Name(EN)],Tab_Def_Flows[Process_ID_I],,0,)</f>
        <v/>
      </c>
      <c r="I279" s="272">
        <f>_xlfn.XLOOKUP(C279,Tab_Def_Flows[Name(EN)],#REF!,,0,)</f>
        <v/>
      </c>
      <c r="J279" s="17">
        <f>_xlfn.XLOOKUP(C279,Tab_Def_Flows[Name(EN)],Tab_Def_Flows[WC?],,0,)</f>
        <v/>
      </c>
      <c r="K279" s="17">
        <f>_xlfn.XLOOKUP(C279,Tab_Def_Flows[Name(EN)],Tab_Def_Flows[DM?],,0,)</f>
        <v/>
      </c>
      <c r="L279" s="17">
        <f>_xlfn.XLOOKUP(C279,Tab_Def_Flows[Name(EN)],Tab_Def_Flows[CC?],,0,)</f>
        <v/>
      </c>
      <c r="M279" s="273" t="n"/>
      <c r="N279" s="273" t="n"/>
      <c r="O279" s="48" t="n"/>
      <c r="P279" s="273" t="n"/>
      <c r="Q279" s="273" t="n"/>
      <c r="R279" s="273" t="n"/>
      <c r="S279" s="23" t="n"/>
      <c r="T279" s="273" t="n"/>
      <c r="U279" s="273" t="n"/>
      <c r="V279" s="273" t="n"/>
      <c r="W279" s="273" t="n"/>
      <c r="X279" s="273" t="inlineStr">
        <is>
          <t>No</t>
        </is>
      </c>
      <c r="Y279" s="41" t="n"/>
      <c r="Z279" s="273" t="n"/>
      <c r="AA279" s="35">
        <f>IF(X279="no",O279,O279*Y279)</f>
        <v/>
      </c>
      <c r="AB279" s="273" t="inlineStr">
        <is>
          <t>Mg</t>
        </is>
      </c>
      <c r="AC279" s="190">
        <f>INDEX(Tab_Def_Flows[[Flow_ID]:[CC_DM_source]],MATCH(Tab_Data_Flows[[#This Row],[Name(EN)]],Tab_Def_Flows[Name(EN)],0),13)</f>
        <v/>
      </c>
      <c r="AD279" s="272">
        <f>IF(J279="Yes",AA279*Tab_Data_Flows[[#This Row],[WC_'[%']]],"N.A.")</f>
        <v/>
      </c>
      <c r="AE279" s="272">
        <f>Tab_Data_Flows[[#This Row],[UoM_Flow_Py]]</f>
        <v/>
      </c>
      <c r="AF279" s="190">
        <f>INDEX(Tab_Def_Flows[[Flow_ID]:[CC_DM_source]],MATCH(Tab_Data_Flows[[#This Row],[Name(EN)]],Tab_Def_Flows[Name(EN)],0),15)</f>
        <v/>
      </c>
      <c r="AG279" s="272">
        <f>IF(K279="Yes",AF279*Tab_Data_Flows[[#This Row],[Flow_Py]],"N.A.")</f>
        <v/>
      </c>
      <c r="AH279" s="272">
        <f>Tab_Data_Flows[[#This Row],[UoM_Flow_Py]]</f>
        <v/>
      </c>
      <c r="AI279" s="190">
        <f>INDEX(Tab_Def_Flows[[Flow_ID]:[CC_DM_source]],MATCH(Tab_Data_Flows[[#This Row],[Name(EN)]],Tab_Def_Flows[Name(EN)],0),17)</f>
        <v/>
      </c>
      <c r="AJ279" s="272">
        <f>IF(L279="Yes",AI279*Tab_Data_Flows[[#This Row],[Flow_Py]]*Tab_Data_Flows[[#This Row],[DM_'[%']]],"N.A.")</f>
        <v/>
      </c>
      <c r="AK279" s="272">
        <f>Tab_Data_Flows[[#This Row],[UoM_Flow_Py]]</f>
        <v/>
      </c>
    </row>
    <row r="280">
      <c r="A280" s="296">
        <f>ROW()-1</f>
        <v/>
      </c>
      <c r="B280" s="272">
        <f>_xlfn.XLOOKUP(C280,Tab_Def_Flows[Name(EN)],Tab_Def_Flows[Flow_ID],,0,)</f>
        <v/>
      </c>
      <c r="C280" s="273" t="inlineStr">
        <is>
          <t>N.A.</t>
        </is>
      </c>
      <c r="D280" s="272">
        <f>_xlfn.XLOOKUP(C280,Tab_Def_Flows[Name(EN)],Tab_Def_Flows[Type_Biomass],,0,)</f>
        <v/>
      </c>
      <c r="E280" s="272">
        <f>_xlfn.XLOOKUP(C280,Tab_Def_Flows[Name(EN)],Tab_Def_Flows[Output_Process],,0,)</f>
        <v/>
      </c>
      <c r="F280" s="272">
        <f>_xlfn.XLOOKUP(C280,Tab_Def_Flows[Name(EN)],Tab_Def_Flows[Process_ID_O],,0,)</f>
        <v/>
      </c>
      <c r="G280" s="272">
        <f>_xlfn.XLOOKUP(C280,Tab_Def_Flows[Name(EN)],Tab_Def_Flows[Input_Process],,0,)</f>
        <v/>
      </c>
      <c r="H280" s="17">
        <f>_xlfn.XLOOKUP(C280,Tab_Def_Flows[Name(EN)],Tab_Def_Flows[Process_ID_I],,0,)</f>
        <v/>
      </c>
      <c r="I280" s="272">
        <f>_xlfn.XLOOKUP(C280,Tab_Def_Flows[Name(EN)],#REF!,,0,)</f>
        <v/>
      </c>
      <c r="J280" s="17">
        <f>_xlfn.XLOOKUP(C280,Tab_Def_Flows[Name(EN)],Tab_Def_Flows[WC?],,0,)</f>
        <v/>
      </c>
      <c r="K280" s="17">
        <f>_xlfn.XLOOKUP(C280,Tab_Def_Flows[Name(EN)],Tab_Def_Flows[DM?],,0,)</f>
        <v/>
      </c>
      <c r="L280" s="17">
        <f>_xlfn.XLOOKUP(C280,Tab_Def_Flows[Name(EN)],Tab_Def_Flows[CC?],,0,)</f>
        <v/>
      </c>
      <c r="M280" s="273" t="n"/>
      <c r="N280" s="273" t="n"/>
      <c r="O280" s="48" t="n"/>
      <c r="P280" s="273" t="n"/>
      <c r="Q280" s="273" t="n"/>
      <c r="R280" s="273" t="n"/>
      <c r="S280" s="23" t="n"/>
      <c r="T280" s="273" t="n"/>
      <c r="U280" s="273" t="n"/>
      <c r="V280" s="273" t="n"/>
      <c r="W280" s="273" t="n"/>
      <c r="X280" s="273" t="inlineStr">
        <is>
          <t>No</t>
        </is>
      </c>
      <c r="Y280" s="41" t="n"/>
      <c r="Z280" s="273" t="n"/>
      <c r="AA280" s="35">
        <f>IF(X280="no",O280,O280*Y280)</f>
        <v/>
      </c>
      <c r="AB280" s="273" t="inlineStr">
        <is>
          <t>Mg</t>
        </is>
      </c>
      <c r="AC280" s="190">
        <f>INDEX(Tab_Def_Flows[[Flow_ID]:[CC_DM_source]],MATCH(Tab_Data_Flows[[#This Row],[Name(EN)]],Tab_Def_Flows[Name(EN)],0),13)</f>
        <v/>
      </c>
      <c r="AD280" s="272">
        <f>IF(J280="Yes",AA280*Tab_Data_Flows[[#This Row],[WC_'[%']]],"N.A.")</f>
        <v/>
      </c>
      <c r="AE280" s="272">
        <f>Tab_Data_Flows[[#This Row],[UoM_Flow_Py]]</f>
        <v/>
      </c>
      <c r="AF280" s="190">
        <f>INDEX(Tab_Def_Flows[[Flow_ID]:[CC_DM_source]],MATCH(Tab_Data_Flows[[#This Row],[Name(EN)]],Tab_Def_Flows[Name(EN)],0),15)</f>
        <v/>
      </c>
      <c r="AG280" s="272">
        <f>IF(K280="Yes",AF280*Tab_Data_Flows[[#This Row],[Flow_Py]],"N.A.")</f>
        <v/>
      </c>
      <c r="AH280" s="272">
        <f>Tab_Data_Flows[[#This Row],[UoM_Flow_Py]]</f>
        <v/>
      </c>
      <c r="AI280" s="190">
        <f>INDEX(Tab_Def_Flows[[Flow_ID]:[CC_DM_source]],MATCH(Tab_Data_Flows[[#This Row],[Name(EN)]],Tab_Def_Flows[Name(EN)],0),17)</f>
        <v/>
      </c>
      <c r="AJ280" s="272">
        <f>IF(L280="Yes",AI280*Tab_Data_Flows[[#This Row],[Flow_Py]]*Tab_Data_Flows[[#This Row],[DM_'[%']]],"N.A.")</f>
        <v/>
      </c>
      <c r="AK280" s="272">
        <f>Tab_Data_Flows[[#This Row],[UoM_Flow_Py]]</f>
        <v/>
      </c>
    </row>
    <row r="281">
      <c r="A281" s="296">
        <f>ROW()-1</f>
        <v/>
      </c>
      <c r="B281" s="272">
        <f>_xlfn.XLOOKUP(C281,Tab_Def_Flows[Name(EN)],Tab_Def_Flows[Flow_ID],,0,)</f>
        <v/>
      </c>
      <c r="C281" s="273" t="inlineStr">
        <is>
          <t>N.A.</t>
        </is>
      </c>
      <c r="D281" s="272">
        <f>_xlfn.XLOOKUP(C281,Tab_Def_Flows[Name(EN)],Tab_Def_Flows[Type_Biomass],,0,)</f>
        <v/>
      </c>
      <c r="E281" s="272">
        <f>_xlfn.XLOOKUP(C281,Tab_Def_Flows[Name(EN)],Tab_Def_Flows[Output_Process],,0,)</f>
        <v/>
      </c>
      <c r="F281" s="272">
        <f>_xlfn.XLOOKUP(C281,Tab_Def_Flows[Name(EN)],Tab_Def_Flows[Process_ID_O],,0,)</f>
        <v/>
      </c>
      <c r="G281" s="272">
        <f>_xlfn.XLOOKUP(C281,Tab_Def_Flows[Name(EN)],Tab_Def_Flows[Input_Process],,0,)</f>
        <v/>
      </c>
      <c r="H281" s="17">
        <f>_xlfn.XLOOKUP(C281,Tab_Def_Flows[Name(EN)],Tab_Def_Flows[Process_ID_I],,0,)</f>
        <v/>
      </c>
      <c r="I281" s="272">
        <f>_xlfn.XLOOKUP(C281,Tab_Def_Flows[Name(EN)],#REF!,,0,)</f>
        <v/>
      </c>
      <c r="J281" s="17">
        <f>_xlfn.XLOOKUP(C281,Tab_Def_Flows[Name(EN)],Tab_Def_Flows[WC?],,0,)</f>
        <v/>
      </c>
      <c r="K281" s="17">
        <f>_xlfn.XLOOKUP(C281,Tab_Def_Flows[Name(EN)],Tab_Def_Flows[DM?],,0,)</f>
        <v/>
      </c>
      <c r="L281" s="17">
        <f>_xlfn.XLOOKUP(C281,Tab_Def_Flows[Name(EN)],Tab_Def_Flows[CC?],,0,)</f>
        <v/>
      </c>
      <c r="M281" s="273" t="n"/>
      <c r="N281" s="273" t="n"/>
      <c r="O281" s="48" t="n"/>
      <c r="P281" s="273" t="n"/>
      <c r="Q281" s="273" t="n"/>
      <c r="R281" s="273" t="n"/>
      <c r="S281" s="23" t="n"/>
      <c r="T281" s="273" t="n"/>
      <c r="U281" s="273" t="n"/>
      <c r="V281" s="273" t="n"/>
      <c r="W281" s="273" t="n"/>
      <c r="X281" s="273" t="inlineStr">
        <is>
          <t>No</t>
        </is>
      </c>
      <c r="Y281" s="41" t="n"/>
      <c r="Z281" s="273" t="n"/>
      <c r="AA281" s="35">
        <f>IF(X281="no",O281,O281*Y281)</f>
        <v/>
      </c>
      <c r="AB281" s="273" t="inlineStr">
        <is>
          <t>Mg</t>
        </is>
      </c>
      <c r="AC281" s="190">
        <f>INDEX(Tab_Def_Flows[[Flow_ID]:[CC_DM_source]],MATCH(Tab_Data_Flows[[#This Row],[Name(EN)]],Tab_Def_Flows[Name(EN)],0),13)</f>
        <v/>
      </c>
      <c r="AD281" s="272">
        <f>IF(J281="Yes",AA281*Tab_Data_Flows[[#This Row],[WC_'[%']]],"N.A.")</f>
        <v/>
      </c>
      <c r="AE281" s="272">
        <f>Tab_Data_Flows[[#This Row],[UoM_Flow_Py]]</f>
        <v/>
      </c>
      <c r="AF281" s="190">
        <f>INDEX(Tab_Def_Flows[[Flow_ID]:[CC_DM_source]],MATCH(Tab_Data_Flows[[#This Row],[Name(EN)]],Tab_Def_Flows[Name(EN)],0),15)</f>
        <v/>
      </c>
      <c r="AG281" s="272">
        <f>IF(K281="Yes",AF281*Tab_Data_Flows[[#This Row],[Flow_Py]],"N.A.")</f>
        <v/>
      </c>
      <c r="AH281" s="272">
        <f>Tab_Data_Flows[[#This Row],[UoM_Flow_Py]]</f>
        <v/>
      </c>
      <c r="AI281" s="190">
        <f>INDEX(Tab_Def_Flows[[Flow_ID]:[CC_DM_source]],MATCH(Tab_Data_Flows[[#This Row],[Name(EN)]],Tab_Def_Flows[Name(EN)],0),17)</f>
        <v/>
      </c>
      <c r="AJ281" s="272">
        <f>IF(L281="Yes",AI281*Tab_Data_Flows[[#This Row],[Flow_Py]]*Tab_Data_Flows[[#This Row],[DM_'[%']]],"N.A.")</f>
        <v/>
      </c>
      <c r="AK281" s="272">
        <f>Tab_Data_Flows[[#This Row],[UoM_Flow_Py]]</f>
        <v/>
      </c>
    </row>
    <row r="282">
      <c r="A282" s="296">
        <f>ROW()-1</f>
        <v/>
      </c>
      <c r="B282" s="272">
        <f>_xlfn.XLOOKUP(C282,Tab_Def_Flows[Name(EN)],Tab_Def_Flows[Flow_ID],,0,)</f>
        <v/>
      </c>
      <c r="C282" s="273" t="inlineStr">
        <is>
          <t>N.A.</t>
        </is>
      </c>
      <c r="D282" s="272">
        <f>_xlfn.XLOOKUP(C282,Tab_Def_Flows[Name(EN)],Tab_Def_Flows[Type_Biomass],,0,)</f>
        <v/>
      </c>
      <c r="E282" s="272">
        <f>_xlfn.XLOOKUP(C282,Tab_Def_Flows[Name(EN)],Tab_Def_Flows[Output_Process],,0,)</f>
        <v/>
      </c>
      <c r="F282" s="272">
        <f>_xlfn.XLOOKUP(C282,Tab_Def_Flows[Name(EN)],Tab_Def_Flows[Process_ID_O],,0,)</f>
        <v/>
      </c>
      <c r="G282" s="272">
        <f>_xlfn.XLOOKUP(C282,Tab_Def_Flows[Name(EN)],Tab_Def_Flows[Input_Process],,0,)</f>
        <v/>
      </c>
      <c r="H282" s="17">
        <f>_xlfn.XLOOKUP(C282,Tab_Def_Flows[Name(EN)],Tab_Def_Flows[Process_ID_I],,0,)</f>
        <v/>
      </c>
      <c r="I282" s="272">
        <f>_xlfn.XLOOKUP(C282,Tab_Def_Flows[Name(EN)],#REF!,,0,)</f>
        <v/>
      </c>
      <c r="J282" s="17">
        <f>_xlfn.XLOOKUP(C282,Tab_Def_Flows[Name(EN)],Tab_Def_Flows[WC?],,0,)</f>
        <v/>
      </c>
      <c r="K282" s="17">
        <f>_xlfn.XLOOKUP(C282,Tab_Def_Flows[Name(EN)],Tab_Def_Flows[DM?],,0,)</f>
        <v/>
      </c>
      <c r="L282" s="17">
        <f>_xlfn.XLOOKUP(C282,Tab_Def_Flows[Name(EN)],Tab_Def_Flows[CC?],,0,)</f>
        <v/>
      </c>
      <c r="M282" s="273" t="n"/>
      <c r="N282" s="273" t="n"/>
      <c r="O282" s="48" t="n"/>
      <c r="P282" s="273" t="n"/>
      <c r="Q282" s="273" t="n"/>
      <c r="R282" s="273" t="n"/>
      <c r="S282" s="23" t="n"/>
      <c r="T282" s="273" t="n"/>
      <c r="U282" s="273" t="n"/>
      <c r="V282" s="273" t="n"/>
      <c r="W282" s="273" t="n"/>
      <c r="X282" s="273" t="inlineStr">
        <is>
          <t>No</t>
        </is>
      </c>
      <c r="Y282" s="41" t="n"/>
      <c r="Z282" s="273" t="n"/>
      <c r="AA282" s="35">
        <f>IF(X282="no",O282,O282*Y282)</f>
        <v/>
      </c>
      <c r="AB282" s="273" t="inlineStr">
        <is>
          <t>Mg</t>
        </is>
      </c>
      <c r="AC282" s="190">
        <f>INDEX(Tab_Def_Flows[[Flow_ID]:[CC_DM_source]],MATCH(Tab_Data_Flows[[#This Row],[Name(EN)]],Tab_Def_Flows[Name(EN)],0),13)</f>
        <v/>
      </c>
      <c r="AD282" s="272">
        <f>IF(J282="Yes",AA282*Tab_Data_Flows[[#This Row],[WC_'[%']]],"N.A.")</f>
        <v/>
      </c>
      <c r="AE282" s="272">
        <f>Tab_Data_Flows[[#This Row],[UoM_Flow_Py]]</f>
        <v/>
      </c>
      <c r="AF282" s="190">
        <f>INDEX(Tab_Def_Flows[[Flow_ID]:[CC_DM_source]],MATCH(Tab_Data_Flows[[#This Row],[Name(EN)]],Tab_Def_Flows[Name(EN)],0),15)</f>
        <v/>
      </c>
      <c r="AG282" s="272">
        <f>IF(K282="Yes",AF282*Tab_Data_Flows[[#This Row],[Flow_Py]],"N.A.")</f>
        <v/>
      </c>
      <c r="AH282" s="272">
        <f>Tab_Data_Flows[[#This Row],[UoM_Flow_Py]]</f>
        <v/>
      </c>
      <c r="AI282" s="190">
        <f>INDEX(Tab_Def_Flows[[Flow_ID]:[CC_DM_source]],MATCH(Tab_Data_Flows[[#This Row],[Name(EN)]],Tab_Def_Flows[Name(EN)],0),17)</f>
        <v/>
      </c>
      <c r="AJ282" s="272">
        <f>IF(L282="Yes",AI282*Tab_Data_Flows[[#This Row],[Flow_Py]]*Tab_Data_Flows[[#This Row],[DM_'[%']]],"N.A.")</f>
        <v/>
      </c>
      <c r="AK282" s="272">
        <f>Tab_Data_Flows[[#This Row],[UoM_Flow_Py]]</f>
        <v/>
      </c>
    </row>
    <row r="283">
      <c r="A283" s="296">
        <f>ROW()-1</f>
        <v/>
      </c>
      <c r="B283" s="272">
        <f>_xlfn.XLOOKUP(C283,Tab_Def_Flows[Name(EN)],Tab_Def_Flows[Flow_ID],,0,)</f>
        <v/>
      </c>
      <c r="C283" s="273" t="inlineStr">
        <is>
          <t>N.A.</t>
        </is>
      </c>
      <c r="D283" s="272">
        <f>_xlfn.XLOOKUP(C283,Tab_Def_Flows[Name(EN)],Tab_Def_Flows[Type_Biomass],,0,)</f>
        <v/>
      </c>
      <c r="E283" s="272">
        <f>_xlfn.XLOOKUP(C283,Tab_Def_Flows[Name(EN)],Tab_Def_Flows[Output_Process],,0,)</f>
        <v/>
      </c>
      <c r="F283" s="272">
        <f>_xlfn.XLOOKUP(C283,Tab_Def_Flows[Name(EN)],Tab_Def_Flows[Process_ID_O],,0,)</f>
        <v/>
      </c>
      <c r="G283" s="272">
        <f>_xlfn.XLOOKUP(C283,Tab_Def_Flows[Name(EN)],Tab_Def_Flows[Input_Process],,0,)</f>
        <v/>
      </c>
      <c r="H283" s="17">
        <f>_xlfn.XLOOKUP(C283,Tab_Def_Flows[Name(EN)],Tab_Def_Flows[Process_ID_I],,0,)</f>
        <v/>
      </c>
      <c r="I283" s="272">
        <f>_xlfn.XLOOKUP(C283,Tab_Def_Flows[Name(EN)],#REF!,,0,)</f>
        <v/>
      </c>
      <c r="J283" s="17">
        <f>_xlfn.XLOOKUP(C283,Tab_Def_Flows[Name(EN)],Tab_Def_Flows[WC?],,0,)</f>
        <v/>
      </c>
      <c r="K283" s="17">
        <f>_xlfn.XLOOKUP(C283,Tab_Def_Flows[Name(EN)],Tab_Def_Flows[DM?],,0,)</f>
        <v/>
      </c>
      <c r="L283" s="17">
        <f>_xlfn.XLOOKUP(C283,Tab_Def_Flows[Name(EN)],Tab_Def_Flows[CC?],,0,)</f>
        <v/>
      </c>
      <c r="M283" s="273" t="n"/>
      <c r="N283" s="273" t="n"/>
      <c r="O283" s="48" t="n"/>
      <c r="P283" s="273" t="n"/>
      <c r="Q283" s="273" t="n"/>
      <c r="R283" s="273" t="n"/>
      <c r="S283" s="23" t="n"/>
      <c r="T283" s="273" t="n"/>
      <c r="U283" s="273" t="n"/>
      <c r="V283" s="273" t="n"/>
      <c r="W283" s="273" t="n"/>
      <c r="X283" s="273" t="inlineStr">
        <is>
          <t>No</t>
        </is>
      </c>
      <c r="Y283" s="41" t="n"/>
      <c r="Z283" s="273" t="n"/>
      <c r="AA283" s="35">
        <f>IF(X283="no",O283,O283*Y283)</f>
        <v/>
      </c>
      <c r="AB283" s="273" t="inlineStr">
        <is>
          <t>Mg</t>
        </is>
      </c>
      <c r="AC283" s="190">
        <f>INDEX(Tab_Def_Flows[[Flow_ID]:[CC_DM_source]],MATCH(Tab_Data_Flows[[#This Row],[Name(EN)]],Tab_Def_Flows[Name(EN)],0),13)</f>
        <v/>
      </c>
      <c r="AD283" s="272">
        <f>IF(J283="Yes",AA283*Tab_Data_Flows[[#This Row],[WC_'[%']]],"N.A.")</f>
        <v/>
      </c>
      <c r="AE283" s="272">
        <f>Tab_Data_Flows[[#This Row],[UoM_Flow_Py]]</f>
        <v/>
      </c>
      <c r="AF283" s="190">
        <f>INDEX(Tab_Def_Flows[[Flow_ID]:[CC_DM_source]],MATCH(Tab_Data_Flows[[#This Row],[Name(EN)]],Tab_Def_Flows[Name(EN)],0),15)</f>
        <v/>
      </c>
      <c r="AG283" s="272">
        <f>IF(K283="Yes",AF283*Tab_Data_Flows[[#This Row],[Flow_Py]],"N.A.")</f>
        <v/>
      </c>
      <c r="AH283" s="272">
        <f>Tab_Data_Flows[[#This Row],[UoM_Flow_Py]]</f>
        <v/>
      </c>
      <c r="AI283" s="190">
        <f>INDEX(Tab_Def_Flows[[Flow_ID]:[CC_DM_source]],MATCH(Tab_Data_Flows[[#This Row],[Name(EN)]],Tab_Def_Flows[Name(EN)],0),17)</f>
        <v/>
      </c>
      <c r="AJ283" s="272">
        <f>IF(L283="Yes",AI283*Tab_Data_Flows[[#This Row],[Flow_Py]]*Tab_Data_Flows[[#This Row],[DM_'[%']]],"N.A.")</f>
        <v/>
      </c>
      <c r="AK283" s="272">
        <f>Tab_Data_Flows[[#This Row],[UoM_Flow_Py]]</f>
        <v/>
      </c>
    </row>
    <row r="284">
      <c r="A284" s="296">
        <f>ROW()-1</f>
        <v/>
      </c>
      <c r="B284" s="272">
        <f>_xlfn.XLOOKUP(C284,Tab_Def_Flows[Name(EN)],Tab_Def_Flows[Flow_ID],,0,)</f>
        <v/>
      </c>
      <c r="C284" s="273" t="inlineStr">
        <is>
          <t>N.A.</t>
        </is>
      </c>
      <c r="D284" s="272">
        <f>_xlfn.XLOOKUP(C284,Tab_Def_Flows[Name(EN)],Tab_Def_Flows[Type_Biomass],,0,)</f>
        <v/>
      </c>
      <c r="E284" s="272">
        <f>_xlfn.XLOOKUP(C284,Tab_Def_Flows[Name(EN)],Tab_Def_Flows[Output_Process],,0,)</f>
        <v/>
      </c>
      <c r="F284" s="272">
        <f>_xlfn.XLOOKUP(C284,Tab_Def_Flows[Name(EN)],Tab_Def_Flows[Process_ID_O],,0,)</f>
        <v/>
      </c>
      <c r="G284" s="272">
        <f>_xlfn.XLOOKUP(C284,Tab_Def_Flows[Name(EN)],Tab_Def_Flows[Input_Process],,0,)</f>
        <v/>
      </c>
      <c r="H284" s="17">
        <f>_xlfn.XLOOKUP(C284,Tab_Def_Flows[Name(EN)],Tab_Def_Flows[Process_ID_I],,0,)</f>
        <v/>
      </c>
      <c r="I284" s="272">
        <f>_xlfn.XLOOKUP(C284,Tab_Def_Flows[Name(EN)],#REF!,,0,)</f>
        <v/>
      </c>
      <c r="J284" s="17">
        <f>_xlfn.XLOOKUP(C284,Tab_Def_Flows[Name(EN)],Tab_Def_Flows[WC?],,0,)</f>
        <v/>
      </c>
      <c r="K284" s="17">
        <f>_xlfn.XLOOKUP(C284,Tab_Def_Flows[Name(EN)],Tab_Def_Flows[DM?],,0,)</f>
        <v/>
      </c>
      <c r="L284" s="17">
        <f>_xlfn.XLOOKUP(C284,Tab_Def_Flows[Name(EN)],Tab_Def_Flows[CC?],,0,)</f>
        <v/>
      </c>
      <c r="M284" s="273" t="n"/>
      <c r="N284" s="273" t="n"/>
      <c r="O284" s="48" t="n"/>
      <c r="P284" s="273" t="n"/>
      <c r="Q284" s="273" t="n"/>
      <c r="R284" s="273" t="n"/>
      <c r="S284" s="23" t="n"/>
      <c r="T284" s="273" t="n"/>
      <c r="U284" s="273" t="n"/>
      <c r="V284" s="273" t="n"/>
      <c r="W284" s="273" t="n"/>
      <c r="X284" s="273" t="inlineStr">
        <is>
          <t>No</t>
        </is>
      </c>
      <c r="Y284" s="41" t="n"/>
      <c r="Z284" s="273" t="n"/>
      <c r="AA284" s="35">
        <f>IF(X284="no",O284,O284*Y284)</f>
        <v/>
      </c>
      <c r="AB284" s="273" t="inlineStr">
        <is>
          <t>Mg</t>
        </is>
      </c>
      <c r="AC284" s="190">
        <f>INDEX(Tab_Def_Flows[[Flow_ID]:[CC_DM_source]],MATCH(Tab_Data_Flows[[#This Row],[Name(EN)]],Tab_Def_Flows[Name(EN)],0),13)</f>
        <v/>
      </c>
      <c r="AD284" s="272">
        <f>IF(J284="Yes",AA284*Tab_Data_Flows[[#This Row],[WC_'[%']]],"N.A.")</f>
        <v/>
      </c>
      <c r="AE284" s="272">
        <f>Tab_Data_Flows[[#This Row],[UoM_Flow_Py]]</f>
        <v/>
      </c>
      <c r="AF284" s="190">
        <f>INDEX(Tab_Def_Flows[[Flow_ID]:[CC_DM_source]],MATCH(Tab_Data_Flows[[#This Row],[Name(EN)]],Tab_Def_Flows[Name(EN)],0),15)</f>
        <v/>
      </c>
      <c r="AG284" s="272">
        <f>IF(K284="Yes",AF284*Tab_Data_Flows[[#This Row],[Flow_Py]],"N.A.")</f>
        <v/>
      </c>
      <c r="AH284" s="272">
        <f>Tab_Data_Flows[[#This Row],[UoM_Flow_Py]]</f>
        <v/>
      </c>
      <c r="AI284" s="190">
        <f>INDEX(Tab_Def_Flows[[Flow_ID]:[CC_DM_source]],MATCH(Tab_Data_Flows[[#This Row],[Name(EN)]],Tab_Def_Flows[Name(EN)],0),17)</f>
        <v/>
      </c>
      <c r="AJ284" s="272">
        <f>IF(L284="Yes",AI284*Tab_Data_Flows[[#This Row],[Flow_Py]]*Tab_Data_Flows[[#This Row],[DM_'[%']]],"N.A.")</f>
        <v/>
      </c>
      <c r="AK284" s="272">
        <f>Tab_Data_Flows[[#This Row],[UoM_Flow_Py]]</f>
        <v/>
      </c>
    </row>
    <row r="285">
      <c r="A285" s="296">
        <f>ROW()-1</f>
        <v/>
      </c>
      <c r="B285" s="272">
        <f>_xlfn.XLOOKUP(C285,Tab_Def_Flows[Name(EN)],Tab_Def_Flows[Flow_ID],,0,)</f>
        <v/>
      </c>
      <c r="C285" s="273" t="inlineStr">
        <is>
          <t>N.A.</t>
        </is>
      </c>
      <c r="D285" s="272">
        <f>_xlfn.XLOOKUP(C285,Tab_Def_Flows[Name(EN)],Tab_Def_Flows[Type_Biomass],,0,)</f>
        <v/>
      </c>
      <c r="E285" s="272">
        <f>_xlfn.XLOOKUP(C285,Tab_Def_Flows[Name(EN)],Tab_Def_Flows[Output_Process],,0,)</f>
        <v/>
      </c>
      <c r="F285" s="272">
        <f>_xlfn.XLOOKUP(C285,Tab_Def_Flows[Name(EN)],Tab_Def_Flows[Process_ID_O],,0,)</f>
        <v/>
      </c>
      <c r="G285" s="272">
        <f>_xlfn.XLOOKUP(C285,Tab_Def_Flows[Name(EN)],Tab_Def_Flows[Input_Process],,0,)</f>
        <v/>
      </c>
      <c r="H285" s="17">
        <f>_xlfn.XLOOKUP(C285,Tab_Def_Flows[Name(EN)],Tab_Def_Flows[Process_ID_I],,0,)</f>
        <v/>
      </c>
      <c r="I285" s="272">
        <f>_xlfn.XLOOKUP(C285,Tab_Def_Flows[Name(EN)],#REF!,,0,)</f>
        <v/>
      </c>
      <c r="J285" s="17">
        <f>_xlfn.XLOOKUP(C285,Tab_Def_Flows[Name(EN)],Tab_Def_Flows[WC?],,0,)</f>
        <v/>
      </c>
      <c r="K285" s="17">
        <f>_xlfn.XLOOKUP(C285,Tab_Def_Flows[Name(EN)],Tab_Def_Flows[DM?],,0,)</f>
        <v/>
      </c>
      <c r="L285" s="17">
        <f>_xlfn.XLOOKUP(C285,Tab_Def_Flows[Name(EN)],Tab_Def_Flows[CC?],,0,)</f>
        <v/>
      </c>
      <c r="M285" s="273" t="n"/>
      <c r="N285" s="273" t="n"/>
      <c r="O285" s="48" t="n"/>
      <c r="P285" s="273" t="n"/>
      <c r="Q285" s="273" t="n"/>
      <c r="R285" s="273" t="n"/>
      <c r="S285" s="23" t="n"/>
      <c r="T285" s="273" t="n"/>
      <c r="U285" s="273" t="n"/>
      <c r="V285" s="273" t="n"/>
      <c r="W285" s="273" t="n"/>
      <c r="X285" s="273" t="inlineStr">
        <is>
          <t>No</t>
        </is>
      </c>
      <c r="Y285" s="41" t="n"/>
      <c r="Z285" s="273" t="n"/>
      <c r="AA285" s="35">
        <f>IF(X285="no",O285,O285*Y285)</f>
        <v/>
      </c>
      <c r="AB285" s="273" t="inlineStr">
        <is>
          <t>Mg</t>
        </is>
      </c>
      <c r="AC285" s="190">
        <f>INDEX(Tab_Def_Flows[[Flow_ID]:[CC_DM_source]],MATCH(Tab_Data_Flows[[#This Row],[Name(EN)]],Tab_Def_Flows[Name(EN)],0),13)</f>
        <v/>
      </c>
      <c r="AD285" s="272">
        <f>IF(J285="Yes",AA285*Tab_Data_Flows[[#This Row],[WC_'[%']]],"N.A.")</f>
        <v/>
      </c>
      <c r="AE285" s="272">
        <f>Tab_Data_Flows[[#This Row],[UoM_Flow_Py]]</f>
        <v/>
      </c>
      <c r="AF285" s="190">
        <f>INDEX(Tab_Def_Flows[[Flow_ID]:[CC_DM_source]],MATCH(Tab_Data_Flows[[#This Row],[Name(EN)]],Tab_Def_Flows[Name(EN)],0),15)</f>
        <v/>
      </c>
      <c r="AG285" s="272">
        <f>IF(K285="Yes",AF285*Tab_Data_Flows[[#This Row],[Flow_Py]],"N.A.")</f>
        <v/>
      </c>
      <c r="AH285" s="272">
        <f>Tab_Data_Flows[[#This Row],[UoM_Flow_Py]]</f>
        <v/>
      </c>
      <c r="AI285" s="190">
        <f>INDEX(Tab_Def_Flows[[Flow_ID]:[CC_DM_source]],MATCH(Tab_Data_Flows[[#This Row],[Name(EN)]],Tab_Def_Flows[Name(EN)],0),17)</f>
        <v/>
      </c>
      <c r="AJ285" s="272">
        <f>IF(L285="Yes",AI285*Tab_Data_Flows[[#This Row],[Flow_Py]]*Tab_Data_Flows[[#This Row],[DM_'[%']]],"N.A.")</f>
        <v/>
      </c>
      <c r="AK285" s="272">
        <f>Tab_Data_Flows[[#This Row],[UoM_Flow_Py]]</f>
        <v/>
      </c>
    </row>
    <row r="286">
      <c r="A286" s="296">
        <f>ROW()-1</f>
        <v/>
      </c>
      <c r="B286" s="272">
        <f>_xlfn.XLOOKUP(C286,Tab_Def_Flows[Name(EN)],Tab_Def_Flows[Flow_ID],,0,)</f>
        <v/>
      </c>
      <c r="C286" s="273" t="inlineStr">
        <is>
          <t>N.A.</t>
        </is>
      </c>
      <c r="D286" s="272">
        <f>_xlfn.XLOOKUP(C286,Tab_Def_Flows[Name(EN)],Tab_Def_Flows[Type_Biomass],,0,)</f>
        <v/>
      </c>
      <c r="E286" s="272">
        <f>_xlfn.XLOOKUP(C286,Tab_Def_Flows[Name(EN)],Tab_Def_Flows[Output_Process],,0,)</f>
        <v/>
      </c>
      <c r="F286" s="272">
        <f>_xlfn.XLOOKUP(C286,Tab_Def_Flows[Name(EN)],Tab_Def_Flows[Process_ID_O],,0,)</f>
        <v/>
      </c>
      <c r="G286" s="272">
        <f>_xlfn.XLOOKUP(C286,Tab_Def_Flows[Name(EN)],Tab_Def_Flows[Input_Process],,0,)</f>
        <v/>
      </c>
      <c r="H286" s="17">
        <f>_xlfn.XLOOKUP(C286,Tab_Def_Flows[Name(EN)],Tab_Def_Flows[Process_ID_I],,0,)</f>
        <v/>
      </c>
      <c r="I286" s="272">
        <f>_xlfn.XLOOKUP(C286,Tab_Def_Flows[Name(EN)],#REF!,,0,)</f>
        <v/>
      </c>
      <c r="J286" s="17">
        <f>_xlfn.XLOOKUP(C286,Tab_Def_Flows[Name(EN)],Tab_Def_Flows[WC?],,0,)</f>
        <v/>
      </c>
      <c r="K286" s="17">
        <f>_xlfn.XLOOKUP(C286,Tab_Def_Flows[Name(EN)],Tab_Def_Flows[DM?],,0,)</f>
        <v/>
      </c>
      <c r="L286" s="17">
        <f>_xlfn.XLOOKUP(C286,Tab_Def_Flows[Name(EN)],Tab_Def_Flows[CC?],,0,)</f>
        <v/>
      </c>
      <c r="M286" s="273" t="n"/>
      <c r="N286" s="273" t="n"/>
      <c r="O286" s="48" t="n"/>
      <c r="P286" s="273" t="n"/>
      <c r="Q286" s="273" t="n"/>
      <c r="R286" s="273" t="n"/>
      <c r="S286" s="23" t="n"/>
      <c r="T286" s="273" t="n"/>
      <c r="U286" s="273" t="n"/>
      <c r="V286" s="273" t="n"/>
      <c r="W286" s="273" t="n"/>
      <c r="X286" s="273" t="inlineStr">
        <is>
          <t>No</t>
        </is>
      </c>
      <c r="Y286" s="41" t="n"/>
      <c r="Z286" s="273" t="n"/>
      <c r="AA286" s="35">
        <f>IF(X286="no",O286,O286*Y286)</f>
        <v/>
      </c>
      <c r="AB286" s="273" t="inlineStr">
        <is>
          <t>Mg</t>
        </is>
      </c>
      <c r="AC286" s="190">
        <f>INDEX(Tab_Def_Flows[[Flow_ID]:[CC_DM_source]],MATCH(Tab_Data_Flows[[#This Row],[Name(EN)]],Tab_Def_Flows[Name(EN)],0),13)</f>
        <v/>
      </c>
      <c r="AD286" s="272">
        <f>IF(J286="Yes",AA286*Tab_Data_Flows[[#This Row],[WC_'[%']]],"N.A.")</f>
        <v/>
      </c>
      <c r="AE286" s="272">
        <f>Tab_Data_Flows[[#This Row],[UoM_Flow_Py]]</f>
        <v/>
      </c>
      <c r="AF286" s="190">
        <f>INDEX(Tab_Def_Flows[[Flow_ID]:[CC_DM_source]],MATCH(Tab_Data_Flows[[#This Row],[Name(EN)]],Tab_Def_Flows[Name(EN)],0),15)</f>
        <v/>
      </c>
      <c r="AG286" s="272">
        <f>IF(K286="Yes",AF286*Tab_Data_Flows[[#This Row],[Flow_Py]],"N.A.")</f>
        <v/>
      </c>
      <c r="AH286" s="272">
        <f>Tab_Data_Flows[[#This Row],[UoM_Flow_Py]]</f>
        <v/>
      </c>
      <c r="AI286" s="190">
        <f>INDEX(Tab_Def_Flows[[Flow_ID]:[CC_DM_source]],MATCH(Tab_Data_Flows[[#This Row],[Name(EN)]],Tab_Def_Flows[Name(EN)],0),17)</f>
        <v/>
      </c>
      <c r="AJ286" s="272">
        <f>IF(L286="Yes",AI286*Tab_Data_Flows[[#This Row],[Flow_Py]]*Tab_Data_Flows[[#This Row],[DM_'[%']]],"N.A.")</f>
        <v/>
      </c>
      <c r="AK286" s="272">
        <f>Tab_Data_Flows[[#This Row],[UoM_Flow_Py]]</f>
        <v/>
      </c>
    </row>
    <row r="287">
      <c r="A287" s="296">
        <f>ROW()-1</f>
        <v/>
      </c>
      <c r="B287" s="272">
        <f>_xlfn.XLOOKUP(C287,Tab_Def_Flows[Name(EN)],Tab_Def_Flows[Flow_ID],,0,)</f>
        <v/>
      </c>
      <c r="C287" s="273" t="inlineStr">
        <is>
          <t>N.A.</t>
        </is>
      </c>
      <c r="D287" s="272">
        <f>_xlfn.XLOOKUP(C287,Tab_Def_Flows[Name(EN)],Tab_Def_Flows[Type_Biomass],,0,)</f>
        <v/>
      </c>
      <c r="E287" s="272">
        <f>_xlfn.XLOOKUP(C287,Tab_Def_Flows[Name(EN)],Tab_Def_Flows[Output_Process],,0,)</f>
        <v/>
      </c>
      <c r="F287" s="272">
        <f>_xlfn.XLOOKUP(C287,Tab_Def_Flows[Name(EN)],Tab_Def_Flows[Process_ID_O],,0,)</f>
        <v/>
      </c>
      <c r="G287" s="272">
        <f>_xlfn.XLOOKUP(C287,Tab_Def_Flows[Name(EN)],Tab_Def_Flows[Input_Process],,0,)</f>
        <v/>
      </c>
      <c r="H287" s="17">
        <f>_xlfn.XLOOKUP(C287,Tab_Def_Flows[Name(EN)],Tab_Def_Flows[Process_ID_I],,0,)</f>
        <v/>
      </c>
      <c r="I287" s="272">
        <f>_xlfn.XLOOKUP(C287,Tab_Def_Flows[Name(EN)],#REF!,,0,)</f>
        <v/>
      </c>
      <c r="J287" s="17">
        <f>_xlfn.XLOOKUP(C287,Tab_Def_Flows[Name(EN)],Tab_Def_Flows[WC?],,0,)</f>
        <v/>
      </c>
      <c r="K287" s="17">
        <f>_xlfn.XLOOKUP(C287,Tab_Def_Flows[Name(EN)],Tab_Def_Flows[DM?],,0,)</f>
        <v/>
      </c>
      <c r="L287" s="17">
        <f>_xlfn.XLOOKUP(C287,Tab_Def_Flows[Name(EN)],Tab_Def_Flows[CC?],,0,)</f>
        <v/>
      </c>
      <c r="M287" s="273" t="n"/>
      <c r="N287" s="273" t="n"/>
      <c r="O287" s="48" t="n"/>
      <c r="P287" s="273" t="n"/>
      <c r="Q287" s="273" t="n"/>
      <c r="R287" s="273" t="n"/>
      <c r="S287" s="23" t="n"/>
      <c r="T287" s="273" t="n"/>
      <c r="U287" s="273" t="n"/>
      <c r="V287" s="273" t="n"/>
      <c r="W287" s="273" t="n"/>
      <c r="X287" s="273" t="inlineStr">
        <is>
          <t>No</t>
        </is>
      </c>
      <c r="Y287" s="41" t="n"/>
      <c r="Z287" s="273" t="n"/>
      <c r="AA287" s="35">
        <f>IF(X287="no",O287,O287*Y287)</f>
        <v/>
      </c>
      <c r="AB287" s="273" t="inlineStr">
        <is>
          <t>Mg</t>
        </is>
      </c>
      <c r="AC287" s="190">
        <f>INDEX(Tab_Def_Flows[[Flow_ID]:[CC_DM_source]],MATCH(Tab_Data_Flows[[#This Row],[Name(EN)]],Tab_Def_Flows[Name(EN)],0),13)</f>
        <v/>
      </c>
      <c r="AD287" s="272">
        <f>IF(J287="Yes",AA287*Tab_Data_Flows[[#This Row],[WC_'[%']]],"N.A.")</f>
        <v/>
      </c>
      <c r="AE287" s="272">
        <f>Tab_Data_Flows[[#This Row],[UoM_Flow_Py]]</f>
        <v/>
      </c>
      <c r="AF287" s="190">
        <f>INDEX(Tab_Def_Flows[[Flow_ID]:[CC_DM_source]],MATCH(Tab_Data_Flows[[#This Row],[Name(EN)]],Tab_Def_Flows[Name(EN)],0),15)</f>
        <v/>
      </c>
      <c r="AG287" s="272">
        <f>IF(K287="Yes",AF287*Tab_Data_Flows[[#This Row],[Flow_Py]],"N.A.")</f>
        <v/>
      </c>
      <c r="AH287" s="272">
        <f>Tab_Data_Flows[[#This Row],[UoM_Flow_Py]]</f>
        <v/>
      </c>
      <c r="AI287" s="190">
        <f>INDEX(Tab_Def_Flows[[Flow_ID]:[CC_DM_source]],MATCH(Tab_Data_Flows[[#This Row],[Name(EN)]],Tab_Def_Flows[Name(EN)],0),17)</f>
        <v/>
      </c>
      <c r="AJ287" s="272">
        <f>IF(L287="Yes",AI287*Tab_Data_Flows[[#This Row],[Flow_Py]]*Tab_Data_Flows[[#This Row],[DM_'[%']]],"N.A.")</f>
        <v/>
      </c>
      <c r="AK287" s="272">
        <f>Tab_Data_Flows[[#This Row],[UoM_Flow_Py]]</f>
        <v/>
      </c>
    </row>
    <row r="288">
      <c r="A288" s="296">
        <f>ROW()-1</f>
        <v/>
      </c>
      <c r="B288" s="272">
        <f>_xlfn.XLOOKUP(C288,Tab_Def_Flows[Name(EN)],Tab_Def_Flows[Flow_ID],,0,)</f>
        <v/>
      </c>
      <c r="C288" s="273" t="inlineStr">
        <is>
          <t>N.A.</t>
        </is>
      </c>
      <c r="D288" s="272">
        <f>_xlfn.XLOOKUP(C288,Tab_Def_Flows[Name(EN)],Tab_Def_Flows[Type_Biomass],,0,)</f>
        <v/>
      </c>
      <c r="E288" s="272">
        <f>_xlfn.XLOOKUP(C288,Tab_Def_Flows[Name(EN)],Tab_Def_Flows[Output_Process],,0,)</f>
        <v/>
      </c>
      <c r="F288" s="272">
        <f>_xlfn.XLOOKUP(C288,Tab_Def_Flows[Name(EN)],Tab_Def_Flows[Process_ID_O],,0,)</f>
        <v/>
      </c>
      <c r="G288" s="272">
        <f>_xlfn.XLOOKUP(C288,Tab_Def_Flows[Name(EN)],Tab_Def_Flows[Input_Process],,0,)</f>
        <v/>
      </c>
      <c r="H288" s="17">
        <f>_xlfn.XLOOKUP(C288,Tab_Def_Flows[Name(EN)],Tab_Def_Flows[Process_ID_I],,0,)</f>
        <v/>
      </c>
      <c r="I288" s="272">
        <f>_xlfn.XLOOKUP(C288,Tab_Def_Flows[Name(EN)],#REF!,,0,)</f>
        <v/>
      </c>
      <c r="J288" s="17">
        <f>_xlfn.XLOOKUP(C288,Tab_Def_Flows[Name(EN)],Tab_Def_Flows[WC?],,0,)</f>
        <v/>
      </c>
      <c r="K288" s="17">
        <f>_xlfn.XLOOKUP(C288,Tab_Def_Flows[Name(EN)],Tab_Def_Flows[DM?],,0,)</f>
        <v/>
      </c>
      <c r="L288" s="17">
        <f>_xlfn.XLOOKUP(C288,Tab_Def_Flows[Name(EN)],Tab_Def_Flows[CC?],,0,)</f>
        <v/>
      </c>
      <c r="M288" s="273" t="n"/>
      <c r="N288" s="273" t="n"/>
      <c r="O288" s="48" t="n"/>
      <c r="P288" s="273" t="n"/>
      <c r="Q288" s="273" t="n"/>
      <c r="R288" s="273" t="n"/>
      <c r="S288" s="23" t="n"/>
      <c r="T288" s="273" t="n"/>
      <c r="U288" s="273" t="n"/>
      <c r="V288" s="273" t="n"/>
      <c r="W288" s="273" t="n"/>
      <c r="X288" s="273" t="inlineStr">
        <is>
          <t>No</t>
        </is>
      </c>
      <c r="Y288" s="41" t="n"/>
      <c r="Z288" s="273" t="n"/>
      <c r="AA288" s="35">
        <f>IF(X288="no",O288,O288*Y288)</f>
        <v/>
      </c>
      <c r="AB288" s="273" t="inlineStr">
        <is>
          <t>Mg</t>
        </is>
      </c>
      <c r="AC288" s="190">
        <f>INDEX(Tab_Def_Flows[[Flow_ID]:[CC_DM_source]],MATCH(Tab_Data_Flows[[#This Row],[Name(EN)]],Tab_Def_Flows[Name(EN)],0),13)</f>
        <v/>
      </c>
      <c r="AD288" s="272">
        <f>IF(J288="Yes",AA288*Tab_Data_Flows[[#This Row],[WC_'[%']]],"N.A.")</f>
        <v/>
      </c>
      <c r="AE288" s="272">
        <f>Tab_Data_Flows[[#This Row],[UoM_Flow_Py]]</f>
        <v/>
      </c>
      <c r="AF288" s="190">
        <f>INDEX(Tab_Def_Flows[[Flow_ID]:[CC_DM_source]],MATCH(Tab_Data_Flows[[#This Row],[Name(EN)]],Tab_Def_Flows[Name(EN)],0),15)</f>
        <v/>
      </c>
      <c r="AG288" s="272">
        <f>IF(K288="Yes",AF288*Tab_Data_Flows[[#This Row],[Flow_Py]],"N.A.")</f>
        <v/>
      </c>
      <c r="AH288" s="272">
        <f>Tab_Data_Flows[[#This Row],[UoM_Flow_Py]]</f>
        <v/>
      </c>
      <c r="AI288" s="190">
        <f>INDEX(Tab_Def_Flows[[Flow_ID]:[CC_DM_source]],MATCH(Tab_Data_Flows[[#This Row],[Name(EN)]],Tab_Def_Flows[Name(EN)],0),17)</f>
        <v/>
      </c>
      <c r="AJ288" s="272">
        <f>IF(L288="Yes",AI288*Tab_Data_Flows[[#This Row],[Flow_Py]]*Tab_Data_Flows[[#This Row],[DM_'[%']]],"N.A.")</f>
        <v/>
      </c>
      <c r="AK288" s="272">
        <f>Tab_Data_Flows[[#This Row],[UoM_Flow_Py]]</f>
        <v/>
      </c>
    </row>
    <row r="289">
      <c r="A289" s="296">
        <f>ROW()-1</f>
        <v/>
      </c>
      <c r="B289" s="272">
        <f>_xlfn.XLOOKUP(C289,Tab_Def_Flows[Name(EN)],Tab_Def_Flows[Flow_ID],,0,)</f>
        <v/>
      </c>
      <c r="C289" s="273" t="inlineStr">
        <is>
          <t>N.A.</t>
        </is>
      </c>
      <c r="D289" s="272">
        <f>_xlfn.XLOOKUP(C289,Tab_Def_Flows[Name(EN)],Tab_Def_Flows[Type_Biomass],,0,)</f>
        <v/>
      </c>
      <c r="E289" s="272">
        <f>_xlfn.XLOOKUP(C289,Tab_Def_Flows[Name(EN)],Tab_Def_Flows[Output_Process],,0,)</f>
        <v/>
      </c>
      <c r="F289" s="272">
        <f>_xlfn.XLOOKUP(C289,Tab_Def_Flows[Name(EN)],Tab_Def_Flows[Process_ID_O],,0,)</f>
        <v/>
      </c>
      <c r="G289" s="272">
        <f>_xlfn.XLOOKUP(C289,Tab_Def_Flows[Name(EN)],Tab_Def_Flows[Input_Process],,0,)</f>
        <v/>
      </c>
      <c r="H289" s="17">
        <f>_xlfn.XLOOKUP(C289,Tab_Def_Flows[Name(EN)],Tab_Def_Flows[Process_ID_I],,0,)</f>
        <v/>
      </c>
      <c r="I289" s="272">
        <f>_xlfn.XLOOKUP(C289,Tab_Def_Flows[Name(EN)],#REF!,,0,)</f>
        <v/>
      </c>
      <c r="J289" s="17">
        <f>_xlfn.XLOOKUP(C289,Tab_Def_Flows[Name(EN)],Tab_Def_Flows[WC?],,0,)</f>
        <v/>
      </c>
      <c r="K289" s="17">
        <f>_xlfn.XLOOKUP(C289,Tab_Def_Flows[Name(EN)],Tab_Def_Flows[DM?],,0,)</f>
        <v/>
      </c>
      <c r="L289" s="17">
        <f>_xlfn.XLOOKUP(C289,Tab_Def_Flows[Name(EN)],Tab_Def_Flows[CC?],,0,)</f>
        <v/>
      </c>
      <c r="M289" s="273" t="n"/>
      <c r="N289" s="273" t="n"/>
      <c r="O289" s="48" t="n"/>
      <c r="P289" s="273" t="n"/>
      <c r="Q289" s="273" t="n"/>
      <c r="R289" s="273" t="n"/>
      <c r="S289" s="23" t="n"/>
      <c r="T289" s="273" t="n"/>
      <c r="U289" s="273" t="n"/>
      <c r="V289" s="273" t="n"/>
      <c r="W289" s="273" t="n"/>
      <c r="X289" s="273" t="inlineStr">
        <is>
          <t>No</t>
        </is>
      </c>
      <c r="Y289" s="41" t="n"/>
      <c r="Z289" s="273" t="n"/>
      <c r="AA289" s="35">
        <f>IF(X289="no",O289,O289*Y289)</f>
        <v/>
      </c>
      <c r="AB289" s="273" t="inlineStr">
        <is>
          <t>Mg</t>
        </is>
      </c>
      <c r="AC289" s="190">
        <f>INDEX(Tab_Def_Flows[[Flow_ID]:[CC_DM_source]],MATCH(Tab_Data_Flows[[#This Row],[Name(EN)]],Tab_Def_Flows[Name(EN)],0),13)</f>
        <v/>
      </c>
      <c r="AD289" s="272">
        <f>IF(J289="Yes",AA289*Tab_Data_Flows[[#This Row],[WC_'[%']]],"N.A.")</f>
        <v/>
      </c>
      <c r="AE289" s="272">
        <f>Tab_Data_Flows[[#This Row],[UoM_Flow_Py]]</f>
        <v/>
      </c>
      <c r="AF289" s="190">
        <f>INDEX(Tab_Def_Flows[[Flow_ID]:[CC_DM_source]],MATCH(Tab_Data_Flows[[#This Row],[Name(EN)]],Tab_Def_Flows[Name(EN)],0),15)</f>
        <v/>
      </c>
      <c r="AG289" s="272">
        <f>IF(K289="Yes",AF289*Tab_Data_Flows[[#This Row],[Flow_Py]],"N.A.")</f>
        <v/>
      </c>
      <c r="AH289" s="272">
        <f>Tab_Data_Flows[[#This Row],[UoM_Flow_Py]]</f>
        <v/>
      </c>
      <c r="AI289" s="190">
        <f>INDEX(Tab_Def_Flows[[Flow_ID]:[CC_DM_source]],MATCH(Tab_Data_Flows[[#This Row],[Name(EN)]],Tab_Def_Flows[Name(EN)],0),17)</f>
        <v/>
      </c>
      <c r="AJ289" s="272">
        <f>IF(L289="Yes",AI289*Tab_Data_Flows[[#This Row],[Flow_Py]]*Tab_Data_Flows[[#This Row],[DM_'[%']]],"N.A.")</f>
        <v/>
      </c>
      <c r="AK289" s="272">
        <f>Tab_Data_Flows[[#This Row],[UoM_Flow_Py]]</f>
        <v/>
      </c>
    </row>
    <row r="290">
      <c r="A290" s="296">
        <f>ROW()-1</f>
        <v/>
      </c>
      <c r="B290" s="272">
        <f>_xlfn.XLOOKUP(C290,Tab_Def_Flows[Name(EN)],Tab_Def_Flows[Flow_ID],,0,)</f>
        <v/>
      </c>
      <c r="C290" s="273" t="inlineStr">
        <is>
          <t>N.A.</t>
        </is>
      </c>
      <c r="D290" s="272">
        <f>_xlfn.XLOOKUP(C290,Tab_Def_Flows[Name(EN)],Tab_Def_Flows[Type_Biomass],,0,)</f>
        <v/>
      </c>
      <c r="E290" s="272">
        <f>_xlfn.XLOOKUP(C290,Tab_Def_Flows[Name(EN)],Tab_Def_Flows[Output_Process],,0,)</f>
        <v/>
      </c>
      <c r="F290" s="272">
        <f>_xlfn.XLOOKUP(C290,Tab_Def_Flows[Name(EN)],Tab_Def_Flows[Process_ID_O],,0,)</f>
        <v/>
      </c>
      <c r="G290" s="272">
        <f>_xlfn.XLOOKUP(C290,Tab_Def_Flows[Name(EN)],Tab_Def_Flows[Input_Process],,0,)</f>
        <v/>
      </c>
      <c r="H290" s="17">
        <f>_xlfn.XLOOKUP(C290,Tab_Def_Flows[Name(EN)],Tab_Def_Flows[Process_ID_I],,0,)</f>
        <v/>
      </c>
      <c r="I290" s="272">
        <f>_xlfn.XLOOKUP(C290,Tab_Def_Flows[Name(EN)],#REF!,,0,)</f>
        <v/>
      </c>
      <c r="J290" s="17">
        <f>_xlfn.XLOOKUP(C290,Tab_Def_Flows[Name(EN)],Tab_Def_Flows[WC?],,0,)</f>
        <v/>
      </c>
      <c r="K290" s="17">
        <f>_xlfn.XLOOKUP(C290,Tab_Def_Flows[Name(EN)],Tab_Def_Flows[DM?],,0,)</f>
        <v/>
      </c>
      <c r="L290" s="17">
        <f>_xlfn.XLOOKUP(C290,Tab_Def_Flows[Name(EN)],Tab_Def_Flows[CC?],,0,)</f>
        <v/>
      </c>
      <c r="M290" s="273" t="n"/>
      <c r="N290" s="273" t="n"/>
      <c r="O290" s="48" t="n"/>
      <c r="P290" s="273" t="n"/>
      <c r="Q290" s="273" t="n"/>
      <c r="R290" s="273" t="n"/>
      <c r="S290" s="23" t="n"/>
      <c r="T290" s="273" t="n"/>
      <c r="U290" s="273" t="n"/>
      <c r="V290" s="273" t="n"/>
      <c r="W290" s="273" t="n"/>
      <c r="X290" s="273" t="inlineStr">
        <is>
          <t>No</t>
        </is>
      </c>
      <c r="Y290" s="41" t="n"/>
      <c r="Z290" s="273" t="n"/>
      <c r="AA290" s="35">
        <f>IF(X290="no",O290,O290*Y290)</f>
        <v/>
      </c>
      <c r="AB290" s="273" t="inlineStr">
        <is>
          <t>Mg</t>
        </is>
      </c>
      <c r="AC290" s="190">
        <f>INDEX(Tab_Def_Flows[[Flow_ID]:[CC_DM_source]],MATCH(Tab_Data_Flows[[#This Row],[Name(EN)]],Tab_Def_Flows[Name(EN)],0),13)</f>
        <v/>
      </c>
      <c r="AD290" s="272">
        <f>IF(J290="Yes",AA290*Tab_Data_Flows[[#This Row],[WC_'[%']]],"N.A.")</f>
        <v/>
      </c>
      <c r="AE290" s="272">
        <f>Tab_Data_Flows[[#This Row],[UoM_Flow_Py]]</f>
        <v/>
      </c>
      <c r="AF290" s="190">
        <f>INDEX(Tab_Def_Flows[[Flow_ID]:[CC_DM_source]],MATCH(Tab_Data_Flows[[#This Row],[Name(EN)]],Tab_Def_Flows[Name(EN)],0),15)</f>
        <v/>
      </c>
      <c r="AG290" s="272">
        <f>IF(K290="Yes",AF290*Tab_Data_Flows[[#This Row],[Flow_Py]],"N.A.")</f>
        <v/>
      </c>
      <c r="AH290" s="272">
        <f>Tab_Data_Flows[[#This Row],[UoM_Flow_Py]]</f>
        <v/>
      </c>
      <c r="AI290" s="190">
        <f>INDEX(Tab_Def_Flows[[Flow_ID]:[CC_DM_source]],MATCH(Tab_Data_Flows[[#This Row],[Name(EN)]],Tab_Def_Flows[Name(EN)],0),17)</f>
        <v/>
      </c>
      <c r="AJ290" s="272">
        <f>IF(L290="Yes",AI290*Tab_Data_Flows[[#This Row],[Flow_Py]]*Tab_Data_Flows[[#This Row],[DM_'[%']]],"N.A.")</f>
        <v/>
      </c>
      <c r="AK290" s="272">
        <f>Tab_Data_Flows[[#This Row],[UoM_Flow_Py]]</f>
        <v/>
      </c>
    </row>
    <row r="291">
      <c r="A291" s="296">
        <f>ROW()-1</f>
        <v/>
      </c>
      <c r="B291" s="272">
        <f>_xlfn.XLOOKUP(C291,Tab_Def_Flows[Name(EN)],Tab_Def_Flows[Flow_ID],,0,)</f>
        <v/>
      </c>
      <c r="C291" s="273" t="inlineStr">
        <is>
          <t>N.A.</t>
        </is>
      </c>
      <c r="D291" s="272">
        <f>_xlfn.XLOOKUP(C291,Tab_Def_Flows[Name(EN)],Tab_Def_Flows[Type_Biomass],,0,)</f>
        <v/>
      </c>
      <c r="E291" s="272">
        <f>_xlfn.XLOOKUP(C291,Tab_Def_Flows[Name(EN)],Tab_Def_Flows[Output_Process],,0,)</f>
        <v/>
      </c>
      <c r="F291" s="272">
        <f>_xlfn.XLOOKUP(C291,Tab_Def_Flows[Name(EN)],Tab_Def_Flows[Process_ID_O],,0,)</f>
        <v/>
      </c>
      <c r="G291" s="272">
        <f>_xlfn.XLOOKUP(C291,Tab_Def_Flows[Name(EN)],Tab_Def_Flows[Input_Process],,0,)</f>
        <v/>
      </c>
      <c r="H291" s="17">
        <f>_xlfn.XLOOKUP(C291,Tab_Def_Flows[Name(EN)],Tab_Def_Flows[Process_ID_I],,0,)</f>
        <v/>
      </c>
      <c r="I291" s="272">
        <f>_xlfn.XLOOKUP(C291,Tab_Def_Flows[Name(EN)],#REF!,,0,)</f>
        <v/>
      </c>
      <c r="J291" s="17">
        <f>_xlfn.XLOOKUP(C291,Tab_Def_Flows[Name(EN)],Tab_Def_Flows[WC?],,0,)</f>
        <v/>
      </c>
      <c r="K291" s="17">
        <f>_xlfn.XLOOKUP(C291,Tab_Def_Flows[Name(EN)],Tab_Def_Flows[DM?],,0,)</f>
        <v/>
      </c>
      <c r="L291" s="17">
        <f>_xlfn.XLOOKUP(C291,Tab_Def_Flows[Name(EN)],Tab_Def_Flows[CC?],,0,)</f>
        <v/>
      </c>
      <c r="M291" s="273" t="n"/>
      <c r="N291" s="273" t="n"/>
      <c r="O291" s="48" t="n"/>
      <c r="P291" s="273" t="n"/>
      <c r="Q291" s="273" t="n"/>
      <c r="R291" s="273" t="n"/>
      <c r="S291" s="23" t="n"/>
      <c r="T291" s="273" t="n"/>
      <c r="U291" s="273" t="n"/>
      <c r="V291" s="273" t="n"/>
      <c r="W291" s="273" t="n"/>
      <c r="X291" s="273" t="inlineStr">
        <is>
          <t>No</t>
        </is>
      </c>
      <c r="Y291" s="41" t="n"/>
      <c r="Z291" s="273" t="n"/>
      <c r="AA291" s="35">
        <f>IF(X291="no",O291,O291*Y291)</f>
        <v/>
      </c>
      <c r="AB291" s="273" t="inlineStr">
        <is>
          <t>Mg</t>
        </is>
      </c>
      <c r="AC291" s="190">
        <f>INDEX(Tab_Def_Flows[[Flow_ID]:[CC_DM_source]],MATCH(Tab_Data_Flows[[#This Row],[Name(EN)]],Tab_Def_Flows[Name(EN)],0),13)</f>
        <v/>
      </c>
      <c r="AD291" s="272">
        <f>IF(J291="Yes",AA291*Tab_Data_Flows[[#This Row],[WC_'[%']]],"N.A.")</f>
        <v/>
      </c>
      <c r="AE291" s="272">
        <f>Tab_Data_Flows[[#This Row],[UoM_Flow_Py]]</f>
        <v/>
      </c>
      <c r="AF291" s="190">
        <f>INDEX(Tab_Def_Flows[[Flow_ID]:[CC_DM_source]],MATCH(Tab_Data_Flows[[#This Row],[Name(EN)]],Tab_Def_Flows[Name(EN)],0),15)</f>
        <v/>
      </c>
      <c r="AG291" s="272">
        <f>IF(K291="Yes",AF291*Tab_Data_Flows[[#This Row],[Flow_Py]],"N.A.")</f>
        <v/>
      </c>
      <c r="AH291" s="272">
        <f>Tab_Data_Flows[[#This Row],[UoM_Flow_Py]]</f>
        <v/>
      </c>
      <c r="AI291" s="190">
        <f>INDEX(Tab_Def_Flows[[Flow_ID]:[CC_DM_source]],MATCH(Tab_Data_Flows[[#This Row],[Name(EN)]],Tab_Def_Flows[Name(EN)],0),17)</f>
        <v/>
      </c>
      <c r="AJ291" s="272">
        <f>IF(L291="Yes",AI291*Tab_Data_Flows[[#This Row],[Flow_Py]]*Tab_Data_Flows[[#This Row],[DM_'[%']]],"N.A.")</f>
        <v/>
      </c>
      <c r="AK291" s="272">
        <f>Tab_Data_Flows[[#This Row],[UoM_Flow_Py]]</f>
        <v/>
      </c>
    </row>
    <row r="292">
      <c r="A292" s="296">
        <f>ROW()-1</f>
        <v/>
      </c>
      <c r="B292" s="272">
        <f>_xlfn.XLOOKUP(C292,Tab_Def_Flows[Name(EN)],Tab_Def_Flows[Flow_ID],,0,)</f>
        <v/>
      </c>
      <c r="C292" s="273" t="inlineStr">
        <is>
          <t>N.A.</t>
        </is>
      </c>
      <c r="D292" s="272">
        <f>_xlfn.XLOOKUP(C292,Tab_Def_Flows[Name(EN)],Tab_Def_Flows[Type_Biomass],,0,)</f>
        <v/>
      </c>
      <c r="E292" s="272">
        <f>_xlfn.XLOOKUP(C292,Tab_Def_Flows[Name(EN)],Tab_Def_Flows[Output_Process],,0,)</f>
        <v/>
      </c>
      <c r="F292" s="272">
        <f>_xlfn.XLOOKUP(C292,Tab_Def_Flows[Name(EN)],Tab_Def_Flows[Process_ID_O],,0,)</f>
        <v/>
      </c>
      <c r="G292" s="272">
        <f>_xlfn.XLOOKUP(C292,Tab_Def_Flows[Name(EN)],Tab_Def_Flows[Input_Process],,0,)</f>
        <v/>
      </c>
      <c r="H292" s="17">
        <f>_xlfn.XLOOKUP(C292,Tab_Def_Flows[Name(EN)],Tab_Def_Flows[Process_ID_I],,0,)</f>
        <v/>
      </c>
      <c r="I292" s="272">
        <f>_xlfn.XLOOKUP(C292,Tab_Def_Flows[Name(EN)],#REF!,,0,)</f>
        <v/>
      </c>
      <c r="J292" s="17">
        <f>_xlfn.XLOOKUP(C292,Tab_Def_Flows[Name(EN)],Tab_Def_Flows[WC?],,0,)</f>
        <v/>
      </c>
      <c r="K292" s="17">
        <f>_xlfn.XLOOKUP(C292,Tab_Def_Flows[Name(EN)],Tab_Def_Flows[DM?],,0,)</f>
        <v/>
      </c>
      <c r="L292" s="17">
        <f>_xlfn.XLOOKUP(C292,Tab_Def_Flows[Name(EN)],Tab_Def_Flows[CC?],,0,)</f>
        <v/>
      </c>
      <c r="M292" s="273" t="n"/>
      <c r="N292" s="273" t="n"/>
      <c r="O292" s="48" t="n"/>
      <c r="P292" s="273" t="n"/>
      <c r="Q292" s="273" t="n"/>
      <c r="R292" s="273" t="n"/>
      <c r="S292" s="23" t="n"/>
      <c r="T292" s="273" t="n"/>
      <c r="U292" s="273" t="n"/>
      <c r="V292" s="273" t="n"/>
      <c r="W292" s="273" t="n"/>
      <c r="X292" s="273" t="inlineStr">
        <is>
          <t>No</t>
        </is>
      </c>
      <c r="Y292" s="41" t="n"/>
      <c r="Z292" s="273" t="n"/>
      <c r="AA292" s="35">
        <f>IF(X292="no",O292,O292*Y292)</f>
        <v/>
      </c>
      <c r="AB292" s="273" t="inlineStr">
        <is>
          <t>Mg</t>
        </is>
      </c>
      <c r="AC292" s="190">
        <f>INDEX(Tab_Def_Flows[[Flow_ID]:[CC_DM_source]],MATCH(Tab_Data_Flows[[#This Row],[Name(EN)]],Tab_Def_Flows[Name(EN)],0),13)</f>
        <v/>
      </c>
      <c r="AD292" s="272">
        <f>IF(J292="Yes",AA292*Tab_Data_Flows[[#This Row],[WC_'[%']]],"N.A.")</f>
        <v/>
      </c>
      <c r="AE292" s="272">
        <f>Tab_Data_Flows[[#This Row],[UoM_Flow_Py]]</f>
        <v/>
      </c>
      <c r="AF292" s="190">
        <f>INDEX(Tab_Def_Flows[[Flow_ID]:[CC_DM_source]],MATCH(Tab_Data_Flows[[#This Row],[Name(EN)]],Tab_Def_Flows[Name(EN)],0),15)</f>
        <v/>
      </c>
      <c r="AG292" s="272">
        <f>IF(K292="Yes",AF292*Tab_Data_Flows[[#This Row],[Flow_Py]],"N.A.")</f>
        <v/>
      </c>
      <c r="AH292" s="272">
        <f>Tab_Data_Flows[[#This Row],[UoM_Flow_Py]]</f>
        <v/>
      </c>
      <c r="AI292" s="190">
        <f>INDEX(Tab_Def_Flows[[Flow_ID]:[CC_DM_source]],MATCH(Tab_Data_Flows[[#This Row],[Name(EN)]],Tab_Def_Flows[Name(EN)],0),17)</f>
        <v/>
      </c>
      <c r="AJ292" s="272">
        <f>IF(L292="Yes",AI292*Tab_Data_Flows[[#This Row],[Flow_Py]]*Tab_Data_Flows[[#This Row],[DM_'[%']]],"N.A.")</f>
        <v/>
      </c>
      <c r="AK292" s="272">
        <f>Tab_Data_Flows[[#This Row],[UoM_Flow_Py]]</f>
        <v/>
      </c>
    </row>
    <row r="293">
      <c r="A293" s="296">
        <f>ROW()-1</f>
        <v/>
      </c>
      <c r="B293" s="272">
        <f>_xlfn.XLOOKUP(C293,Tab_Def_Flows[Name(EN)],Tab_Def_Flows[Flow_ID],,0,)</f>
        <v/>
      </c>
      <c r="C293" s="273" t="inlineStr">
        <is>
          <t>N.A.</t>
        </is>
      </c>
      <c r="D293" s="272">
        <f>_xlfn.XLOOKUP(C293,Tab_Def_Flows[Name(EN)],Tab_Def_Flows[Type_Biomass],,0,)</f>
        <v/>
      </c>
      <c r="E293" s="272">
        <f>_xlfn.XLOOKUP(C293,Tab_Def_Flows[Name(EN)],Tab_Def_Flows[Output_Process],,0,)</f>
        <v/>
      </c>
      <c r="F293" s="272">
        <f>_xlfn.XLOOKUP(C293,Tab_Def_Flows[Name(EN)],Tab_Def_Flows[Process_ID_O],,0,)</f>
        <v/>
      </c>
      <c r="G293" s="272">
        <f>_xlfn.XLOOKUP(C293,Tab_Def_Flows[Name(EN)],Tab_Def_Flows[Input_Process],,0,)</f>
        <v/>
      </c>
      <c r="H293" s="17">
        <f>_xlfn.XLOOKUP(C293,Tab_Def_Flows[Name(EN)],Tab_Def_Flows[Process_ID_I],,0,)</f>
        <v/>
      </c>
      <c r="I293" s="272">
        <f>_xlfn.XLOOKUP(C293,Tab_Def_Flows[Name(EN)],#REF!,,0,)</f>
        <v/>
      </c>
      <c r="J293" s="17">
        <f>_xlfn.XLOOKUP(C293,Tab_Def_Flows[Name(EN)],Tab_Def_Flows[WC?],,0,)</f>
        <v/>
      </c>
      <c r="K293" s="17">
        <f>_xlfn.XLOOKUP(C293,Tab_Def_Flows[Name(EN)],Tab_Def_Flows[DM?],,0,)</f>
        <v/>
      </c>
      <c r="L293" s="17">
        <f>_xlfn.XLOOKUP(C293,Tab_Def_Flows[Name(EN)],Tab_Def_Flows[CC?],,0,)</f>
        <v/>
      </c>
      <c r="M293" s="273" t="n"/>
      <c r="N293" s="273" t="n"/>
      <c r="O293" s="48" t="n"/>
      <c r="P293" s="273" t="n"/>
      <c r="Q293" s="273" t="n"/>
      <c r="R293" s="273" t="n"/>
      <c r="S293" s="23" t="n"/>
      <c r="T293" s="273" t="n"/>
      <c r="U293" s="273" t="n"/>
      <c r="V293" s="273" t="n"/>
      <c r="W293" s="273" t="n"/>
      <c r="X293" s="273" t="inlineStr">
        <is>
          <t>No</t>
        </is>
      </c>
      <c r="Y293" s="41" t="n"/>
      <c r="Z293" s="273" t="n"/>
      <c r="AA293" s="35">
        <f>IF(X293="no",O293,O293*Y293)</f>
        <v/>
      </c>
      <c r="AB293" s="273" t="inlineStr">
        <is>
          <t>Mg</t>
        </is>
      </c>
      <c r="AC293" s="190">
        <f>INDEX(Tab_Def_Flows[[Flow_ID]:[CC_DM_source]],MATCH(Tab_Data_Flows[[#This Row],[Name(EN)]],Tab_Def_Flows[Name(EN)],0),13)</f>
        <v/>
      </c>
      <c r="AD293" s="272">
        <f>IF(J293="Yes",AA293*Tab_Data_Flows[[#This Row],[WC_'[%']]],"N.A.")</f>
        <v/>
      </c>
      <c r="AE293" s="272">
        <f>Tab_Data_Flows[[#This Row],[UoM_Flow_Py]]</f>
        <v/>
      </c>
      <c r="AF293" s="190">
        <f>INDEX(Tab_Def_Flows[[Flow_ID]:[CC_DM_source]],MATCH(Tab_Data_Flows[[#This Row],[Name(EN)]],Tab_Def_Flows[Name(EN)],0),15)</f>
        <v/>
      </c>
      <c r="AG293" s="272">
        <f>IF(K293="Yes",AF293*Tab_Data_Flows[[#This Row],[Flow_Py]],"N.A.")</f>
        <v/>
      </c>
      <c r="AH293" s="272">
        <f>Tab_Data_Flows[[#This Row],[UoM_Flow_Py]]</f>
        <v/>
      </c>
      <c r="AI293" s="190">
        <f>INDEX(Tab_Def_Flows[[Flow_ID]:[CC_DM_source]],MATCH(Tab_Data_Flows[[#This Row],[Name(EN)]],Tab_Def_Flows[Name(EN)],0),17)</f>
        <v/>
      </c>
      <c r="AJ293" s="272">
        <f>IF(L293="Yes",AI293*Tab_Data_Flows[[#This Row],[Flow_Py]]*Tab_Data_Flows[[#This Row],[DM_'[%']]],"N.A.")</f>
        <v/>
      </c>
      <c r="AK293" s="272">
        <f>Tab_Data_Flows[[#This Row],[UoM_Flow_Py]]</f>
        <v/>
      </c>
    </row>
    <row r="294">
      <c r="A294" s="296">
        <f>ROW()-1</f>
        <v/>
      </c>
      <c r="B294" s="272">
        <f>_xlfn.XLOOKUP(C294,Tab_Def_Flows[Name(EN)],Tab_Def_Flows[Flow_ID],,0,)</f>
        <v/>
      </c>
      <c r="C294" s="273" t="inlineStr">
        <is>
          <t>N.A.</t>
        </is>
      </c>
      <c r="D294" s="272">
        <f>_xlfn.XLOOKUP(C294,Tab_Def_Flows[Name(EN)],Tab_Def_Flows[Type_Biomass],,0,)</f>
        <v/>
      </c>
      <c r="E294" s="272">
        <f>_xlfn.XLOOKUP(C294,Tab_Def_Flows[Name(EN)],Tab_Def_Flows[Output_Process],,0,)</f>
        <v/>
      </c>
      <c r="F294" s="272">
        <f>_xlfn.XLOOKUP(C294,Tab_Def_Flows[Name(EN)],Tab_Def_Flows[Process_ID_O],,0,)</f>
        <v/>
      </c>
      <c r="G294" s="272">
        <f>_xlfn.XLOOKUP(C294,Tab_Def_Flows[Name(EN)],Tab_Def_Flows[Input_Process],,0,)</f>
        <v/>
      </c>
      <c r="H294" s="17">
        <f>_xlfn.XLOOKUP(C294,Tab_Def_Flows[Name(EN)],Tab_Def_Flows[Process_ID_I],,0,)</f>
        <v/>
      </c>
      <c r="I294" s="272">
        <f>_xlfn.XLOOKUP(C294,Tab_Def_Flows[Name(EN)],#REF!,,0,)</f>
        <v/>
      </c>
      <c r="J294" s="17">
        <f>_xlfn.XLOOKUP(C294,Tab_Def_Flows[Name(EN)],Tab_Def_Flows[WC?],,0,)</f>
        <v/>
      </c>
      <c r="K294" s="17">
        <f>_xlfn.XLOOKUP(C294,Tab_Def_Flows[Name(EN)],Tab_Def_Flows[DM?],,0,)</f>
        <v/>
      </c>
      <c r="L294" s="17">
        <f>_xlfn.XLOOKUP(C294,Tab_Def_Flows[Name(EN)],Tab_Def_Flows[CC?],,0,)</f>
        <v/>
      </c>
      <c r="M294" s="273" t="n"/>
      <c r="N294" s="273" t="n"/>
      <c r="O294" s="48" t="n"/>
      <c r="P294" s="273" t="n"/>
      <c r="Q294" s="273" t="n"/>
      <c r="R294" s="273" t="n"/>
      <c r="S294" s="23" t="n"/>
      <c r="T294" s="273" t="n"/>
      <c r="U294" s="273" t="n"/>
      <c r="V294" s="273" t="n"/>
      <c r="W294" s="273" t="n"/>
      <c r="X294" s="273" t="inlineStr">
        <is>
          <t>No</t>
        </is>
      </c>
      <c r="Y294" s="41" t="n"/>
      <c r="Z294" s="273" t="n"/>
      <c r="AA294" s="35">
        <f>IF(X294="no",O294,O294*Y294)</f>
        <v/>
      </c>
      <c r="AB294" s="273" t="inlineStr">
        <is>
          <t>Mg</t>
        </is>
      </c>
      <c r="AC294" s="190">
        <f>INDEX(Tab_Def_Flows[[Flow_ID]:[CC_DM_source]],MATCH(Tab_Data_Flows[[#This Row],[Name(EN)]],Tab_Def_Flows[Name(EN)],0),13)</f>
        <v/>
      </c>
      <c r="AD294" s="272">
        <f>IF(J294="Yes",AA294*Tab_Data_Flows[[#This Row],[WC_'[%']]],"N.A.")</f>
        <v/>
      </c>
      <c r="AE294" s="272">
        <f>Tab_Data_Flows[[#This Row],[UoM_Flow_Py]]</f>
        <v/>
      </c>
      <c r="AF294" s="190">
        <f>INDEX(Tab_Def_Flows[[Flow_ID]:[CC_DM_source]],MATCH(Tab_Data_Flows[[#This Row],[Name(EN)]],Tab_Def_Flows[Name(EN)],0),15)</f>
        <v/>
      </c>
      <c r="AG294" s="272">
        <f>IF(K294="Yes",AF294*Tab_Data_Flows[[#This Row],[Flow_Py]],"N.A.")</f>
        <v/>
      </c>
      <c r="AH294" s="272">
        <f>Tab_Data_Flows[[#This Row],[UoM_Flow_Py]]</f>
        <v/>
      </c>
      <c r="AI294" s="190">
        <f>INDEX(Tab_Def_Flows[[Flow_ID]:[CC_DM_source]],MATCH(Tab_Data_Flows[[#This Row],[Name(EN)]],Tab_Def_Flows[Name(EN)],0),17)</f>
        <v/>
      </c>
      <c r="AJ294" s="272">
        <f>IF(L294="Yes",AI294*Tab_Data_Flows[[#This Row],[Flow_Py]]*Tab_Data_Flows[[#This Row],[DM_'[%']]],"N.A.")</f>
        <v/>
      </c>
      <c r="AK294" s="272">
        <f>Tab_Data_Flows[[#This Row],[UoM_Flow_Py]]</f>
        <v/>
      </c>
    </row>
    <row r="295">
      <c r="A295" s="296">
        <f>ROW()-1</f>
        <v/>
      </c>
      <c r="B295" s="272">
        <f>_xlfn.XLOOKUP(C295,Tab_Def_Flows[Name(EN)],Tab_Def_Flows[Flow_ID],,0,)</f>
        <v/>
      </c>
      <c r="C295" s="273" t="inlineStr">
        <is>
          <t>N.A.</t>
        </is>
      </c>
      <c r="D295" s="272">
        <f>_xlfn.XLOOKUP(C295,Tab_Def_Flows[Name(EN)],Tab_Def_Flows[Type_Biomass],,0,)</f>
        <v/>
      </c>
      <c r="E295" s="272">
        <f>_xlfn.XLOOKUP(C295,Tab_Def_Flows[Name(EN)],Tab_Def_Flows[Output_Process],,0,)</f>
        <v/>
      </c>
      <c r="F295" s="272">
        <f>_xlfn.XLOOKUP(C295,Tab_Def_Flows[Name(EN)],Tab_Def_Flows[Process_ID_O],,0,)</f>
        <v/>
      </c>
      <c r="G295" s="272">
        <f>_xlfn.XLOOKUP(C295,Tab_Def_Flows[Name(EN)],Tab_Def_Flows[Input_Process],,0,)</f>
        <v/>
      </c>
      <c r="H295" s="17">
        <f>_xlfn.XLOOKUP(C295,Tab_Def_Flows[Name(EN)],Tab_Def_Flows[Process_ID_I],,0,)</f>
        <v/>
      </c>
      <c r="I295" s="272">
        <f>_xlfn.XLOOKUP(C295,Tab_Def_Flows[Name(EN)],#REF!,,0,)</f>
        <v/>
      </c>
      <c r="J295" s="17">
        <f>_xlfn.XLOOKUP(C295,Tab_Def_Flows[Name(EN)],Tab_Def_Flows[WC?],,0,)</f>
        <v/>
      </c>
      <c r="K295" s="17">
        <f>_xlfn.XLOOKUP(C295,Tab_Def_Flows[Name(EN)],Tab_Def_Flows[DM?],,0,)</f>
        <v/>
      </c>
      <c r="L295" s="17">
        <f>_xlfn.XLOOKUP(C295,Tab_Def_Flows[Name(EN)],Tab_Def_Flows[CC?],,0,)</f>
        <v/>
      </c>
      <c r="M295" s="273" t="n"/>
      <c r="N295" s="273" t="n"/>
      <c r="O295" s="48" t="n"/>
      <c r="P295" s="273" t="n"/>
      <c r="Q295" s="273" t="n"/>
      <c r="R295" s="273" t="n"/>
      <c r="S295" s="23" t="n"/>
      <c r="T295" s="273" t="n"/>
      <c r="U295" s="273" t="n"/>
      <c r="V295" s="273" t="n"/>
      <c r="W295" s="273" t="n"/>
      <c r="X295" s="273" t="inlineStr">
        <is>
          <t>No</t>
        </is>
      </c>
      <c r="Y295" s="41" t="n"/>
      <c r="Z295" s="273" t="n"/>
      <c r="AA295" s="35">
        <f>IF(X295="no",O295,O295*Y295)</f>
        <v/>
      </c>
      <c r="AB295" s="273" t="inlineStr">
        <is>
          <t>Mg</t>
        </is>
      </c>
      <c r="AC295" s="190">
        <f>INDEX(Tab_Def_Flows[[Flow_ID]:[CC_DM_source]],MATCH(Tab_Data_Flows[[#This Row],[Name(EN)]],Tab_Def_Flows[Name(EN)],0),13)</f>
        <v/>
      </c>
      <c r="AD295" s="272">
        <f>IF(J295="Yes",AA295*Tab_Data_Flows[[#This Row],[WC_'[%']]],"N.A.")</f>
        <v/>
      </c>
      <c r="AE295" s="272">
        <f>Tab_Data_Flows[[#This Row],[UoM_Flow_Py]]</f>
        <v/>
      </c>
      <c r="AF295" s="190">
        <f>INDEX(Tab_Def_Flows[[Flow_ID]:[CC_DM_source]],MATCH(Tab_Data_Flows[[#This Row],[Name(EN)]],Tab_Def_Flows[Name(EN)],0),15)</f>
        <v/>
      </c>
      <c r="AG295" s="272">
        <f>IF(K295="Yes",AF295*Tab_Data_Flows[[#This Row],[Flow_Py]],"N.A.")</f>
        <v/>
      </c>
      <c r="AH295" s="272">
        <f>Tab_Data_Flows[[#This Row],[UoM_Flow_Py]]</f>
        <v/>
      </c>
      <c r="AI295" s="190">
        <f>INDEX(Tab_Def_Flows[[Flow_ID]:[CC_DM_source]],MATCH(Tab_Data_Flows[[#This Row],[Name(EN)]],Tab_Def_Flows[Name(EN)],0),17)</f>
        <v/>
      </c>
      <c r="AJ295" s="272">
        <f>IF(L295="Yes",AI295*Tab_Data_Flows[[#This Row],[Flow_Py]]*Tab_Data_Flows[[#This Row],[DM_'[%']]],"N.A.")</f>
        <v/>
      </c>
      <c r="AK295" s="272">
        <f>Tab_Data_Flows[[#This Row],[UoM_Flow_Py]]</f>
        <v/>
      </c>
    </row>
    <row r="296">
      <c r="A296" s="296">
        <f>ROW()-1</f>
        <v/>
      </c>
      <c r="B296" s="272">
        <f>_xlfn.XLOOKUP(C296,Tab_Def_Flows[Name(EN)],Tab_Def_Flows[Flow_ID],,0,)</f>
        <v/>
      </c>
      <c r="C296" s="273" t="inlineStr">
        <is>
          <t>N.A.</t>
        </is>
      </c>
      <c r="D296" s="272">
        <f>_xlfn.XLOOKUP(C296,Tab_Def_Flows[Name(EN)],Tab_Def_Flows[Type_Biomass],,0,)</f>
        <v/>
      </c>
      <c r="E296" s="272">
        <f>_xlfn.XLOOKUP(C296,Tab_Def_Flows[Name(EN)],Tab_Def_Flows[Output_Process],,0,)</f>
        <v/>
      </c>
      <c r="F296" s="272">
        <f>_xlfn.XLOOKUP(C296,Tab_Def_Flows[Name(EN)],Tab_Def_Flows[Process_ID_O],,0,)</f>
        <v/>
      </c>
      <c r="G296" s="272">
        <f>_xlfn.XLOOKUP(C296,Tab_Def_Flows[Name(EN)],Tab_Def_Flows[Input_Process],,0,)</f>
        <v/>
      </c>
      <c r="H296" s="17">
        <f>_xlfn.XLOOKUP(C296,Tab_Def_Flows[Name(EN)],Tab_Def_Flows[Process_ID_I],,0,)</f>
        <v/>
      </c>
      <c r="I296" s="272">
        <f>_xlfn.XLOOKUP(C296,Tab_Def_Flows[Name(EN)],#REF!,,0,)</f>
        <v/>
      </c>
      <c r="J296" s="17">
        <f>_xlfn.XLOOKUP(C296,Tab_Def_Flows[Name(EN)],Tab_Def_Flows[WC?],,0,)</f>
        <v/>
      </c>
      <c r="K296" s="17">
        <f>_xlfn.XLOOKUP(C296,Tab_Def_Flows[Name(EN)],Tab_Def_Flows[DM?],,0,)</f>
        <v/>
      </c>
      <c r="L296" s="17">
        <f>_xlfn.XLOOKUP(C296,Tab_Def_Flows[Name(EN)],Tab_Def_Flows[CC?],,0,)</f>
        <v/>
      </c>
      <c r="M296" s="273" t="n"/>
      <c r="N296" s="273" t="n"/>
      <c r="O296" s="48" t="n"/>
      <c r="P296" s="273" t="n"/>
      <c r="Q296" s="273" t="n"/>
      <c r="R296" s="273" t="n"/>
      <c r="S296" s="23" t="n"/>
      <c r="T296" s="273" t="n"/>
      <c r="U296" s="273" t="n"/>
      <c r="V296" s="273" t="n"/>
      <c r="W296" s="273" t="n"/>
      <c r="X296" s="273" t="inlineStr">
        <is>
          <t>No</t>
        </is>
      </c>
      <c r="Y296" s="41" t="n"/>
      <c r="Z296" s="273" t="n"/>
      <c r="AA296" s="35">
        <f>IF(X296="no",O296,O296*Y296)</f>
        <v/>
      </c>
      <c r="AB296" s="273" t="inlineStr">
        <is>
          <t>Mg</t>
        </is>
      </c>
      <c r="AC296" s="190">
        <f>INDEX(Tab_Def_Flows[[Flow_ID]:[CC_DM_source]],MATCH(Tab_Data_Flows[[#This Row],[Name(EN)]],Tab_Def_Flows[Name(EN)],0),13)</f>
        <v/>
      </c>
      <c r="AD296" s="272">
        <f>IF(J296="Yes",AA296*Tab_Data_Flows[[#This Row],[WC_'[%']]],"N.A.")</f>
        <v/>
      </c>
      <c r="AE296" s="272">
        <f>Tab_Data_Flows[[#This Row],[UoM_Flow_Py]]</f>
        <v/>
      </c>
      <c r="AF296" s="190">
        <f>INDEX(Tab_Def_Flows[[Flow_ID]:[CC_DM_source]],MATCH(Tab_Data_Flows[[#This Row],[Name(EN)]],Tab_Def_Flows[Name(EN)],0),15)</f>
        <v/>
      </c>
      <c r="AG296" s="272">
        <f>IF(K296="Yes",AF296*Tab_Data_Flows[[#This Row],[Flow_Py]],"N.A.")</f>
        <v/>
      </c>
      <c r="AH296" s="272">
        <f>Tab_Data_Flows[[#This Row],[UoM_Flow_Py]]</f>
        <v/>
      </c>
      <c r="AI296" s="190">
        <f>INDEX(Tab_Def_Flows[[Flow_ID]:[CC_DM_source]],MATCH(Tab_Data_Flows[[#This Row],[Name(EN)]],Tab_Def_Flows[Name(EN)],0),17)</f>
        <v/>
      </c>
      <c r="AJ296" s="272">
        <f>IF(L296="Yes",AI296*Tab_Data_Flows[[#This Row],[Flow_Py]]*Tab_Data_Flows[[#This Row],[DM_'[%']]],"N.A.")</f>
        <v/>
      </c>
      <c r="AK296" s="272">
        <f>Tab_Data_Flows[[#This Row],[UoM_Flow_Py]]</f>
        <v/>
      </c>
    </row>
    <row r="297">
      <c r="A297" s="296">
        <f>ROW()-1</f>
        <v/>
      </c>
      <c r="B297" s="272">
        <f>_xlfn.XLOOKUP(C297,Tab_Def_Flows[Name(EN)],Tab_Def_Flows[Flow_ID],,0,)</f>
        <v/>
      </c>
      <c r="C297" s="273" t="inlineStr">
        <is>
          <t>N.A.</t>
        </is>
      </c>
      <c r="D297" s="272">
        <f>_xlfn.XLOOKUP(C297,Tab_Def_Flows[Name(EN)],Tab_Def_Flows[Type_Biomass],,0,)</f>
        <v/>
      </c>
      <c r="E297" s="272">
        <f>_xlfn.XLOOKUP(C297,Tab_Def_Flows[Name(EN)],Tab_Def_Flows[Output_Process],,0,)</f>
        <v/>
      </c>
      <c r="F297" s="272">
        <f>_xlfn.XLOOKUP(C297,Tab_Def_Flows[Name(EN)],Tab_Def_Flows[Process_ID_O],,0,)</f>
        <v/>
      </c>
      <c r="G297" s="272">
        <f>_xlfn.XLOOKUP(C297,Tab_Def_Flows[Name(EN)],Tab_Def_Flows[Input_Process],,0,)</f>
        <v/>
      </c>
      <c r="H297" s="17">
        <f>_xlfn.XLOOKUP(C297,Tab_Def_Flows[Name(EN)],Tab_Def_Flows[Process_ID_I],,0,)</f>
        <v/>
      </c>
      <c r="I297" s="272">
        <f>_xlfn.XLOOKUP(C297,Tab_Def_Flows[Name(EN)],#REF!,,0,)</f>
        <v/>
      </c>
      <c r="J297" s="17">
        <f>_xlfn.XLOOKUP(C297,Tab_Def_Flows[Name(EN)],Tab_Def_Flows[WC?],,0,)</f>
        <v/>
      </c>
      <c r="K297" s="17">
        <f>_xlfn.XLOOKUP(C297,Tab_Def_Flows[Name(EN)],Tab_Def_Flows[DM?],,0,)</f>
        <v/>
      </c>
      <c r="L297" s="17">
        <f>_xlfn.XLOOKUP(C297,Tab_Def_Flows[Name(EN)],Tab_Def_Flows[CC?],,0,)</f>
        <v/>
      </c>
      <c r="M297" s="273" t="n"/>
      <c r="N297" s="273" t="n"/>
      <c r="O297" s="48" t="n"/>
      <c r="P297" s="273" t="n"/>
      <c r="Q297" s="273" t="n"/>
      <c r="R297" s="273" t="n"/>
      <c r="S297" s="23" t="n"/>
      <c r="T297" s="273" t="n"/>
      <c r="U297" s="273" t="n"/>
      <c r="V297" s="273" t="n"/>
      <c r="W297" s="273" t="n"/>
      <c r="X297" s="273" t="inlineStr">
        <is>
          <t>No</t>
        </is>
      </c>
      <c r="Y297" s="41" t="n"/>
      <c r="Z297" s="273" t="n"/>
      <c r="AA297" s="35">
        <f>IF(X297="no",O297,O297*Y297)</f>
        <v/>
      </c>
      <c r="AB297" s="273" t="inlineStr">
        <is>
          <t>Mg</t>
        </is>
      </c>
      <c r="AC297" s="190">
        <f>INDEX(Tab_Def_Flows[[Flow_ID]:[CC_DM_source]],MATCH(Tab_Data_Flows[[#This Row],[Name(EN)]],Tab_Def_Flows[Name(EN)],0),13)</f>
        <v/>
      </c>
      <c r="AD297" s="272">
        <f>IF(J297="Yes",AA297*Tab_Data_Flows[[#This Row],[WC_'[%']]],"N.A.")</f>
        <v/>
      </c>
      <c r="AE297" s="272">
        <f>Tab_Data_Flows[[#This Row],[UoM_Flow_Py]]</f>
        <v/>
      </c>
      <c r="AF297" s="190">
        <f>INDEX(Tab_Def_Flows[[Flow_ID]:[CC_DM_source]],MATCH(Tab_Data_Flows[[#This Row],[Name(EN)]],Tab_Def_Flows[Name(EN)],0),15)</f>
        <v/>
      </c>
      <c r="AG297" s="272">
        <f>IF(K297="Yes",AF297*Tab_Data_Flows[[#This Row],[Flow_Py]],"N.A.")</f>
        <v/>
      </c>
      <c r="AH297" s="272">
        <f>Tab_Data_Flows[[#This Row],[UoM_Flow_Py]]</f>
        <v/>
      </c>
      <c r="AI297" s="190">
        <f>INDEX(Tab_Def_Flows[[Flow_ID]:[CC_DM_source]],MATCH(Tab_Data_Flows[[#This Row],[Name(EN)]],Tab_Def_Flows[Name(EN)],0),17)</f>
        <v/>
      </c>
      <c r="AJ297" s="272">
        <f>IF(L297="Yes",AI297*Tab_Data_Flows[[#This Row],[Flow_Py]]*Tab_Data_Flows[[#This Row],[DM_'[%']]],"N.A.")</f>
        <v/>
      </c>
      <c r="AK297" s="272">
        <f>Tab_Data_Flows[[#This Row],[UoM_Flow_Py]]</f>
        <v/>
      </c>
    </row>
    <row r="298">
      <c r="A298" s="296">
        <f>ROW()-1</f>
        <v/>
      </c>
      <c r="B298" s="272">
        <f>_xlfn.XLOOKUP(C298,Tab_Def_Flows[Name(EN)],Tab_Def_Flows[Flow_ID],,0,)</f>
        <v/>
      </c>
      <c r="C298" s="273" t="inlineStr">
        <is>
          <t>N.A.</t>
        </is>
      </c>
      <c r="D298" s="272">
        <f>_xlfn.XLOOKUP(C298,Tab_Def_Flows[Name(EN)],Tab_Def_Flows[Type_Biomass],,0,)</f>
        <v/>
      </c>
      <c r="E298" s="272">
        <f>_xlfn.XLOOKUP(C298,Tab_Def_Flows[Name(EN)],Tab_Def_Flows[Output_Process],,0,)</f>
        <v/>
      </c>
      <c r="F298" s="272">
        <f>_xlfn.XLOOKUP(C298,Tab_Def_Flows[Name(EN)],Tab_Def_Flows[Process_ID_O],,0,)</f>
        <v/>
      </c>
      <c r="G298" s="272">
        <f>_xlfn.XLOOKUP(C298,Tab_Def_Flows[Name(EN)],Tab_Def_Flows[Input_Process],,0,)</f>
        <v/>
      </c>
      <c r="H298" s="17">
        <f>_xlfn.XLOOKUP(C298,Tab_Def_Flows[Name(EN)],Tab_Def_Flows[Process_ID_I],,0,)</f>
        <v/>
      </c>
      <c r="I298" s="272">
        <f>_xlfn.XLOOKUP(C298,Tab_Def_Flows[Name(EN)],#REF!,,0,)</f>
        <v/>
      </c>
      <c r="J298" s="17">
        <f>_xlfn.XLOOKUP(C298,Tab_Def_Flows[Name(EN)],Tab_Def_Flows[WC?],,0,)</f>
        <v/>
      </c>
      <c r="K298" s="17">
        <f>_xlfn.XLOOKUP(C298,Tab_Def_Flows[Name(EN)],Tab_Def_Flows[DM?],,0,)</f>
        <v/>
      </c>
      <c r="L298" s="17">
        <f>_xlfn.XLOOKUP(C298,Tab_Def_Flows[Name(EN)],Tab_Def_Flows[CC?],,0,)</f>
        <v/>
      </c>
      <c r="M298" s="273" t="n"/>
      <c r="N298" s="273" t="n"/>
      <c r="O298" s="48" t="n"/>
      <c r="P298" s="273" t="n"/>
      <c r="Q298" s="273" t="n"/>
      <c r="R298" s="273" t="n"/>
      <c r="S298" s="23" t="n"/>
      <c r="T298" s="273" t="n"/>
      <c r="U298" s="273" t="n"/>
      <c r="V298" s="273" t="n"/>
      <c r="W298" s="273" t="n"/>
      <c r="X298" s="273" t="inlineStr">
        <is>
          <t>No</t>
        </is>
      </c>
      <c r="Y298" s="41" t="n"/>
      <c r="Z298" s="273" t="n"/>
      <c r="AA298" s="35">
        <f>IF(X298="no",O298,O298*Y298)</f>
        <v/>
      </c>
      <c r="AB298" s="273" t="inlineStr">
        <is>
          <t>Mg</t>
        </is>
      </c>
      <c r="AC298" s="190">
        <f>INDEX(Tab_Def_Flows[[Flow_ID]:[CC_DM_source]],MATCH(Tab_Data_Flows[[#This Row],[Name(EN)]],Tab_Def_Flows[Name(EN)],0),13)</f>
        <v/>
      </c>
      <c r="AD298" s="272">
        <f>IF(J298="Yes",AA298*Tab_Data_Flows[[#This Row],[WC_'[%']]],"N.A.")</f>
        <v/>
      </c>
      <c r="AE298" s="272">
        <f>Tab_Data_Flows[[#This Row],[UoM_Flow_Py]]</f>
        <v/>
      </c>
      <c r="AF298" s="190">
        <f>INDEX(Tab_Def_Flows[[Flow_ID]:[CC_DM_source]],MATCH(Tab_Data_Flows[[#This Row],[Name(EN)]],Tab_Def_Flows[Name(EN)],0),15)</f>
        <v/>
      </c>
      <c r="AG298" s="272">
        <f>IF(K298="Yes",AF298*Tab_Data_Flows[[#This Row],[Flow_Py]],"N.A.")</f>
        <v/>
      </c>
      <c r="AH298" s="272">
        <f>Tab_Data_Flows[[#This Row],[UoM_Flow_Py]]</f>
        <v/>
      </c>
      <c r="AI298" s="190">
        <f>INDEX(Tab_Def_Flows[[Flow_ID]:[CC_DM_source]],MATCH(Tab_Data_Flows[[#This Row],[Name(EN)]],Tab_Def_Flows[Name(EN)],0),17)</f>
        <v/>
      </c>
      <c r="AJ298" s="272">
        <f>IF(L298="Yes",AI298*Tab_Data_Flows[[#This Row],[Flow_Py]]*Tab_Data_Flows[[#This Row],[DM_'[%']]],"N.A.")</f>
        <v/>
      </c>
      <c r="AK298" s="272">
        <f>Tab_Data_Flows[[#This Row],[UoM_Flow_Py]]</f>
        <v/>
      </c>
    </row>
    <row r="299">
      <c r="A299" s="296">
        <f>ROW()-1</f>
        <v/>
      </c>
      <c r="B299" s="272">
        <f>_xlfn.XLOOKUP(C299,Tab_Def_Flows[Name(EN)],Tab_Def_Flows[Flow_ID],,0,)</f>
        <v/>
      </c>
      <c r="C299" s="273" t="inlineStr">
        <is>
          <t>N.A.</t>
        </is>
      </c>
      <c r="D299" s="272">
        <f>_xlfn.XLOOKUP(C299,Tab_Def_Flows[Name(EN)],Tab_Def_Flows[Type_Biomass],,0,)</f>
        <v/>
      </c>
      <c r="E299" s="272">
        <f>_xlfn.XLOOKUP(C299,Tab_Def_Flows[Name(EN)],Tab_Def_Flows[Output_Process],,0,)</f>
        <v/>
      </c>
      <c r="F299" s="272">
        <f>_xlfn.XLOOKUP(C299,Tab_Def_Flows[Name(EN)],Tab_Def_Flows[Process_ID_O],,0,)</f>
        <v/>
      </c>
      <c r="G299" s="272">
        <f>_xlfn.XLOOKUP(C299,Tab_Def_Flows[Name(EN)],Tab_Def_Flows[Input_Process],,0,)</f>
        <v/>
      </c>
      <c r="H299" s="17">
        <f>_xlfn.XLOOKUP(C299,Tab_Def_Flows[Name(EN)],Tab_Def_Flows[Process_ID_I],,0,)</f>
        <v/>
      </c>
      <c r="I299" s="272">
        <f>_xlfn.XLOOKUP(C299,Tab_Def_Flows[Name(EN)],#REF!,,0,)</f>
        <v/>
      </c>
      <c r="J299" s="17">
        <f>_xlfn.XLOOKUP(C299,Tab_Def_Flows[Name(EN)],Tab_Def_Flows[WC?],,0,)</f>
        <v/>
      </c>
      <c r="K299" s="17">
        <f>_xlfn.XLOOKUP(C299,Tab_Def_Flows[Name(EN)],Tab_Def_Flows[DM?],,0,)</f>
        <v/>
      </c>
      <c r="L299" s="17">
        <f>_xlfn.XLOOKUP(C299,Tab_Def_Flows[Name(EN)],Tab_Def_Flows[CC?],,0,)</f>
        <v/>
      </c>
      <c r="M299" s="273" t="n"/>
      <c r="N299" s="273" t="n"/>
      <c r="O299" s="48" t="n"/>
      <c r="P299" s="273" t="n"/>
      <c r="Q299" s="273" t="n"/>
      <c r="R299" s="273" t="n"/>
      <c r="S299" s="23" t="n"/>
      <c r="T299" s="273" t="n"/>
      <c r="U299" s="273" t="n"/>
      <c r="V299" s="273" t="n"/>
      <c r="W299" s="273" t="n"/>
      <c r="X299" s="273" t="inlineStr">
        <is>
          <t>No</t>
        </is>
      </c>
      <c r="Y299" s="41" t="n"/>
      <c r="Z299" s="273" t="n"/>
      <c r="AA299" s="35">
        <f>IF(X299="no",O299,O299*Y299)</f>
        <v/>
      </c>
      <c r="AB299" s="273" t="inlineStr">
        <is>
          <t>Mg</t>
        </is>
      </c>
      <c r="AC299" s="190">
        <f>INDEX(Tab_Def_Flows[[Flow_ID]:[CC_DM_source]],MATCH(Tab_Data_Flows[[#This Row],[Name(EN)]],Tab_Def_Flows[Name(EN)],0),13)</f>
        <v/>
      </c>
      <c r="AD299" s="272">
        <f>IF(J299="Yes",AA299*Tab_Data_Flows[[#This Row],[WC_'[%']]],"N.A.")</f>
        <v/>
      </c>
      <c r="AE299" s="272">
        <f>Tab_Data_Flows[[#This Row],[UoM_Flow_Py]]</f>
        <v/>
      </c>
      <c r="AF299" s="190">
        <f>INDEX(Tab_Def_Flows[[Flow_ID]:[CC_DM_source]],MATCH(Tab_Data_Flows[[#This Row],[Name(EN)]],Tab_Def_Flows[Name(EN)],0),15)</f>
        <v/>
      </c>
      <c r="AG299" s="272">
        <f>IF(K299="Yes",AF299*Tab_Data_Flows[[#This Row],[Flow_Py]],"N.A.")</f>
        <v/>
      </c>
      <c r="AH299" s="272">
        <f>Tab_Data_Flows[[#This Row],[UoM_Flow_Py]]</f>
        <v/>
      </c>
      <c r="AI299" s="190">
        <f>INDEX(Tab_Def_Flows[[Flow_ID]:[CC_DM_source]],MATCH(Tab_Data_Flows[[#This Row],[Name(EN)]],Tab_Def_Flows[Name(EN)],0),17)</f>
        <v/>
      </c>
      <c r="AJ299" s="272">
        <f>IF(L299="Yes",AI299*Tab_Data_Flows[[#This Row],[Flow_Py]]*Tab_Data_Flows[[#This Row],[DM_'[%']]],"N.A.")</f>
        <v/>
      </c>
      <c r="AK299" s="272">
        <f>Tab_Data_Flows[[#This Row],[UoM_Flow_Py]]</f>
        <v/>
      </c>
    </row>
    <row r="300">
      <c r="A300" s="296">
        <f>ROW()-1</f>
        <v/>
      </c>
      <c r="B300" s="272">
        <f>_xlfn.XLOOKUP(C300,Tab_Def_Flows[Name(EN)],Tab_Def_Flows[Flow_ID],,0,)</f>
        <v/>
      </c>
      <c r="C300" s="273" t="inlineStr">
        <is>
          <t>N.A.</t>
        </is>
      </c>
      <c r="D300" s="272">
        <f>_xlfn.XLOOKUP(C300,Tab_Def_Flows[Name(EN)],Tab_Def_Flows[Type_Biomass],,0,)</f>
        <v/>
      </c>
      <c r="E300" s="272">
        <f>_xlfn.XLOOKUP(C300,Tab_Def_Flows[Name(EN)],Tab_Def_Flows[Output_Process],,0,)</f>
        <v/>
      </c>
      <c r="F300" s="272">
        <f>_xlfn.XLOOKUP(C300,Tab_Def_Flows[Name(EN)],Tab_Def_Flows[Process_ID_O],,0,)</f>
        <v/>
      </c>
      <c r="G300" s="272">
        <f>_xlfn.XLOOKUP(C300,Tab_Def_Flows[Name(EN)],Tab_Def_Flows[Input_Process],,0,)</f>
        <v/>
      </c>
      <c r="H300" s="17">
        <f>_xlfn.XLOOKUP(C300,Tab_Def_Flows[Name(EN)],Tab_Def_Flows[Process_ID_I],,0,)</f>
        <v/>
      </c>
      <c r="I300" s="272">
        <f>_xlfn.XLOOKUP(C300,Tab_Def_Flows[Name(EN)],#REF!,,0,)</f>
        <v/>
      </c>
      <c r="J300" s="17">
        <f>_xlfn.XLOOKUP(C300,Tab_Def_Flows[Name(EN)],Tab_Def_Flows[WC?],,0,)</f>
        <v/>
      </c>
      <c r="K300" s="17">
        <f>_xlfn.XLOOKUP(C300,Tab_Def_Flows[Name(EN)],Tab_Def_Flows[DM?],,0,)</f>
        <v/>
      </c>
      <c r="L300" s="17">
        <f>_xlfn.XLOOKUP(C300,Tab_Def_Flows[Name(EN)],Tab_Def_Flows[CC?],,0,)</f>
        <v/>
      </c>
      <c r="M300" s="273" t="n"/>
      <c r="N300" s="273" t="n"/>
      <c r="O300" s="48" t="n"/>
      <c r="P300" s="273" t="n"/>
      <c r="Q300" s="273" t="n"/>
      <c r="R300" s="273" t="n"/>
      <c r="S300" s="23" t="n"/>
      <c r="T300" s="273" t="n"/>
      <c r="U300" s="273" t="n"/>
      <c r="V300" s="273" t="n"/>
      <c r="W300" s="273" t="n"/>
      <c r="X300" s="273" t="inlineStr">
        <is>
          <t>No</t>
        </is>
      </c>
      <c r="Y300" s="41" t="n"/>
      <c r="Z300" s="273" t="n"/>
      <c r="AA300" s="35">
        <f>IF(X300="no",O300,O300*Y300)</f>
        <v/>
      </c>
      <c r="AB300" s="273" t="inlineStr">
        <is>
          <t>Mg</t>
        </is>
      </c>
      <c r="AC300" s="190">
        <f>INDEX(Tab_Def_Flows[[Flow_ID]:[CC_DM_source]],MATCH(Tab_Data_Flows[[#This Row],[Name(EN)]],Tab_Def_Flows[Name(EN)],0),13)</f>
        <v/>
      </c>
      <c r="AD300" s="272">
        <f>IF(J300="Yes",AA300*Tab_Data_Flows[[#This Row],[WC_'[%']]],"N.A.")</f>
        <v/>
      </c>
      <c r="AE300" s="272">
        <f>Tab_Data_Flows[[#This Row],[UoM_Flow_Py]]</f>
        <v/>
      </c>
      <c r="AF300" s="190">
        <f>INDEX(Tab_Def_Flows[[Flow_ID]:[CC_DM_source]],MATCH(Tab_Data_Flows[[#This Row],[Name(EN)]],Tab_Def_Flows[Name(EN)],0),15)</f>
        <v/>
      </c>
      <c r="AG300" s="272">
        <f>IF(K300="Yes",AF300*Tab_Data_Flows[[#This Row],[Flow_Py]],"N.A.")</f>
        <v/>
      </c>
      <c r="AH300" s="272">
        <f>Tab_Data_Flows[[#This Row],[UoM_Flow_Py]]</f>
        <v/>
      </c>
      <c r="AI300" s="190">
        <f>INDEX(Tab_Def_Flows[[Flow_ID]:[CC_DM_source]],MATCH(Tab_Data_Flows[[#This Row],[Name(EN)]],Tab_Def_Flows[Name(EN)],0),17)</f>
        <v/>
      </c>
      <c r="AJ300" s="272">
        <f>IF(L300="Yes",AI300*Tab_Data_Flows[[#This Row],[Flow_Py]]*Tab_Data_Flows[[#This Row],[DM_'[%']]],"N.A.")</f>
        <v/>
      </c>
      <c r="AK300" s="272">
        <f>Tab_Data_Flows[[#This Row],[UoM_Flow_Py]]</f>
        <v/>
      </c>
    </row>
    <row r="301">
      <c r="A301" s="296">
        <f>ROW()-1</f>
        <v/>
      </c>
      <c r="B301" s="272">
        <f>_xlfn.XLOOKUP(C301,Tab_Def_Flows[Name(EN)],Tab_Def_Flows[Flow_ID],,0,)</f>
        <v/>
      </c>
      <c r="C301" s="273" t="inlineStr">
        <is>
          <t>N.A.</t>
        </is>
      </c>
      <c r="D301" s="272">
        <f>_xlfn.XLOOKUP(C301,Tab_Def_Flows[Name(EN)],Tab_Def_Flows[Type_Biomass],,0,)</f>
        <v/>
      </c>
      <c r="E301" s="272">
        <f>_xlfn.XLOOKUP(C301,Tab_Def_Flows[Name(EN)],Tab_Def_Flows[Output_Process],,0,)</f>
        <v/>
      </c>
      <c r="F301" s="272">
        <f>_xlfn.XLOOKUP(C301,Tab_Def_Flows[Name(EN)],Tab_Def_Flows[Process_ID_O],,0,)</f>
        <v/>
      </c>
      <c r="G301" s="272">
        <f>_xlfn.XLOOKUP(C301,Tab_Def_Flows[Name(EN)],Tab_Def_Flows[Input_Process],,0,)</f>
        <v/>
      </c>
      <c r="H301" s="17">
        <f>_xlfn.XLOOKUP(C301,Tab_Def_Flows[Name(EN)],Tab_Def_Flows[Process_ID_I],,0,)</f>
        <v/>
      </c>
      <c r="I301" s="272">
        <f>_xlfn.XLOOKUP(C301,Tab_Def_Flows[Name(EN)],#REF!,,0,)</f>
        <v/>
      </c>
      <c r="J301" s="17">
        <f>_xlfn.XLOOKUP(C301,Tab_Def_Flows[Name(EN)],Tab_Def_Flows[WC?],,0,)</f>
        <v/>
      </c>
      <c r="K301" s="17">
        <f>_xlfn.XLOOKUP(C301,Tab_Def_Flows[Name(EN)],Tab_Def_Flows[DM?],,0,)</f>
        <v/>
      </c>
      <c r="L301" s="17">
        <f>_xlfn.XLOOKUP(C301,Tab_Def_Flows[Name(EN)],Tab_Def_Flows[CC?],,0,)</f>
        <v/>
      </c>
      <c r="M301" s="273" t="n"/>
      <c r="N301" s="273" t="n"/>
      <c r="O301" s="48" t="n"/>
      <c r="P301" s="273" t="n"/>
      <c r="Q301" s="273" t="n"/>
      <c r="R301" s="273" t="n"/>
      <c r="S301" s="23" t="n"/>
      <c r="T301" s="273" t="n"/>
      <c r="U301" s="273" t="n"/>
      <c r="V301" s="273" t="n"/>
      <c r="W301" s="273" t="n"/>
      <c r="X301" s="273" t="inlineStr">
        <is>
          <t>No</t>
        </is>
      </c>
      <c r="Y301" s="41" t="n"/>
      <c r="Z301" s="273" t="n"/>
      <c r="AA301" s="35">
        <f>IF(X301="no",O301,O301*Y301)</f>
        <v/>
      </c>
      <c r="AB301" s="273" t="inlineStr">
        <is>
          <t>Mg</t>
        </is>
      </c>
      <c r="AC301" s="190">
        <f>INDEX(Tab_Def_Flows[[Flow_ID]:[CC_DM_source]],MATCH(Tab_Data_Flows[[#This Row],[Name(EN)]],Tab_Def_Flows[Name(EN)],0),13)</f>
        <v/>
      </c>
      <c r="AD301" s="272">
        <f>IF(J301="Yes",AA301*Tab_Data_Flows[[#This Row],[WC_'[%']]],"N.A.")</f>
        <v/>
      </c>
      <c r="AE301" s="272">
        <f>Tab_Data_Flows[[#This Row],[UoM_Flow_Py]]</f>
        <v/>
      </c>
      <c r="AF301" s="190">
        <f>INDEX(Tab_Def_Flows[[Flow_ID]:[CC_DM_source]],MATCH(Tab_Data_Flows[[#This Row],[Name(EN)]],Tab_Def_Flows[Name(EN)],0),15)</f>
        <v/>
      </c>
      <c r="AG301" s="272">
        <f>IF(K301="Yes",AF301*Tab_Data_Flows[[#This Row],[Flow_Py]],"N.A.")</f>
        <v/>
      </c>
      <c r="AH301" s="272">
        <f>Tab_Data_Flows[[#This Row],[UoM_Flow_Py]]</f>
        <v/>
      </c>
      <c r="AI301" s="190">
        <f>INDEX(Tab_Def_Flows[[Flow_ID]:[CC_DM_source]],MATCH(Tab_Data_Flows[[#This Row],[Name(EN)]],Tab_Def_Flows[Name(EN)],0),17)</f>
        <v/>
      </c>
      <c r="AJ301" s="272">
        <f>IF(L301="Yes",AI301*Tab_Data_Flows[[#This Row],[Flow_Py]]*Tab_Data_Flows[[#This Row],[DM_'[%']]],"N.A.")</f>
        <v/>
      </c>
      <c r="AK301" s="272">
        <f>Tab_Data_Flows[[#This Row],[UoM_Flow_Py]]</f>
        <v/>
      </c>
    </row>
    <row r="302">
      <c r="A302" s="296">
        <f>ROW()-1</f>
        <v/>
      </c>
      <c r="B302" s="272">
        <f>_xlfn.XLOOKUP(C302,Tab_Def_Flows[Name(EN)],Tab_Def_Flows[Flow_ID],,0,)</f>
        <v/>
      </c>
      <c r="C302" s="273" t="inlineStr">
        <is>
          <t>N.A.</t>
        </is>
      </c>
      <c r="D302" s="272">
        <f>_xlfn.XLOOKUP(C302,Tab_Def_Flows[Name(EN)],Tab_Def_Flows[Type_Biomass],,0,)</f>
        <v/>
      </c>
      <c r="E302" s="272">
        <f>_xlfn.XLOOKUP(C302,Tab_Def_Flows[Name(EN)],Tab_Def_Flows[Output_Process],,0,)</f>
        <v/>
      </c>
      <c r="F302" s="272">
        <f>_xlfn.XLOOKUP(C302,Tab_Def_Flows[Name(EN)],Tab_Def_Flows[Process_ID_O],,0,)</f>
        <v/>
      </c>
      <c r="G302" s="272">
        <f>_xlfn.XLOOKUP(C302,Tab_Def_Flows[Name(EN)],Tab_Def_Flows[Input_Process],,0,)</f>
        <v/>
      </c>
      <c r="H302" s="17">
        <f>_xlfn.XLOOKUP(C302,Tab_Def_Flows[Name(EN)],Tab_Def_Flows[Process_ID_I],,0,)</f>
        <v/>
      </c>
      <c r="I302" s="272">
        <f>_xlfn.XLOOKUP(C302,Tab_Def_Flows[Name(EN)],#REF!,,0,)</f>
        <v/>
      </c>
      <c r="J302" s="17">
        <f>_xlfn.XLOOKUP(C302,Tab_Def_Flows[Name(EN)],Tab_Def_Flows[WC?],,0,)</f>
        <v/>
      </c>
      <c r="K302" s="17">
        <f>_xlfn.XLOOKUP(C302,Tab_Def_Flows[Name(EN)],Tab_Def_Flows[DM?],,0,)</f>
        <v/>
      </c>
      <c r="L302" s="17">
        <f>_xlfn.XLOOKUP(C302,Tab_Def_Flows[Name(EN)],Tab_Def_Flows[CC?],,0,)</f>
        <v/>
      </c>
      <c r="M302" s="273" t="n"/>
      <c r="N302" s="273" t="n"/>
      <c r="O302" s="48" t="n"/>
      <c r="P302" s="273" t="n"/>
      <c r="Q302" s="273" t="n"/>
      <c r="R302" s="273" t="n"/>
      <c r="S302" s="23" t="n"/>
      <c r="T302" s="273" t="n"/>
      <c r="U302" s="273" t="n"/>
      <c r="V302" s="273" t="n"/>
      <c r="W302" s="273" t="n"/>
      <c r="X302" s="273" t="inlineStr">
        <is>
          <t>No</t>
        </is>
      </c>
      <c r="Y302" s="41" t="n"/>
      <c r="Z302" s="273" t="n"/>
      <c r="AA302" s="35">
        <f>IF(X302="no",O302,O302*Y302)</f>
        <v/>
      </c>
      <c r="AB302" s="273" t="inlineStr">
        <is>
          <t>Mg</t>
        </is>
      </c>
      <c r="AC302" s="190">
        <f>INDEX(Tab_Def_Flows[[Flow_ID]:[CC_DM_source]],MATCH(Tab_Data_Flows[[#This Row],[Name(EN)]],Tab_Def_Flows[Name(EN)],0),13)</f>
        <v/>
      </c>
      <c r="AD302" s="272">
        <f>IF(J302="Yes",AA302*Tab_Data_Flows[[#This Row],[WC_'[%']]],"N.A.")</f>
        <v/>
      </c>
      <c r="AE302" s="272">
        <f>Tab_Data_Flows[[#This Row],[UoM_Flow_Py]]</f>
        <v/>
      </c>
      <c r="AF302" s="190">
        <f>INDEX(Tab_Def_Flows[[Flow_ID]:[CC_DM_source]],MATCH(Tab_Data_Flows[[#This Row],[Name(EN)]],Tab_Def_Flows[Name(EN)],0),15)</f>
        <v/>
      </c>
      <c r="AG302" s="272">
        <f>IF(K302="Yes",AF302*Tab_Data_Flows[[#This Row],[Flow_Py]],"N.A.")</f>
        <v/>
      </c>
      <c r="AH302" s="272">
        <f>Tab_Data_Flows[[#This Row],[UoM_Flow_Py]]</f>
        <v/>
      </c>
      <c r="AI302" s="190">
        <f>INDEX(Tab_Def_Flows[[Flow_ID]:[CC_DM_source]],MATCH(Tab_Data_Flows[[#This Row],[Name(EN)]],Tab_Def_Flows[Name(EN)],0),17)</f>
        <v/>
      </c>
      <c r="AJ302" s="272">
        <f>IF(L302="Yes",AI302*Tab_Data_Flows[[#This Row],[Flow_Py]]*Tab_Data_Flows[[#This Row],[DM_'[%']]],"N.A.")</f>
        <v/>
      </c>
      <c r="AK302" s="272">
        <f>Tab_Data_Flows[[#This Row],[UoM_Flow_Py]]</f>
        <v/>
      </c>
    </row>
    <row r="303">
      <c r="A303" s="296">
        <f>ROW()-1</f>
        <v/>
      </c>
      <c r="B303" s="272">
        <f>_xlfn.XLOOKUP(C303,Tab_Def_Flows[Name(EN)],Tab_Def_Flows[Flow_ID],,0,)</f>
        <v/>
      </c>
      <c r="C303" s="273" t="inlineStr">
        <is>
          <t>N.A.</t>
        </is>
      </c>
      <c r="D303" s="272">
        <f>_xlfn.XLOOKUP(C303,Tab_Def_Flows[Name(EN)],Tab_Def_Flows[Type_Biomass],,0,)</f>
        <v/>
      </c>
      <c r="E303" s="272">
        <f>_xlfn.XLOOKUP(C303,Tab_Def_Flows[Name(EN)],Tab_Def_Flows[Output_Process],,0,)</f>
        <v/>
      </c>
      <c r="F303" s="272">
        <f>_xlfn.XLOOKUP(C303,Tab_Def_Flows[Name(EN)],Tab_Def_Flows[Process_ID_O],,0,)</f>
        <v/>
      </c>
      <c r="G303" s="272">
        <f>_xlfn.XLOOKUP(C303,Tab_Def_Flows[Name(EN)],Tab_Def_Flows[Input_Process],,0,)</f>
        <v/>
      </c>
      <c r="H303" s="17">
        <f>_xlfn.XLOOKUP(C303,Tab_Def_Flows[Name(EN)],Tab_Def_Flows[Process_ID_I],,0,)</f>
        <v/>
      </c>
      <c r="I303" s="272">
        <f>_xlfn.XLOOKUP(C303,Tab_Def_Flows[Name(EN)],#REF!,,0,)</f>
        <v/>
      </c>
      <c r="J303" s="17">
        <f>_xlfn.XLOOKUP(C303,Tab_Def_Flows[Name(EN)],Tab_Def_Flows[WC?],,0,)</f>
        <v/>
      </c>
      <c r="K303" s="17">
        <f>_xlfn.XLOOKUP(C303,Tab_Def_Flows[Name(EN)],Tab_Def_Flows[DM?],,0,)</f>
        <v/>
      </c>
      <c r="L303" s="17">
        <f>_xlfn.XLOOKUP(C303,Tab_Def_Flows[Name(EN)],Tab_Def_Flows[CC?],,0,)</f>
        <v/>
      </c>
      <c r="M303" s="273" t="n"/>
      <c r="N303" s="273" t="n"/>
      <c r="O303" s="48" t="n"/>
      <c r="P303" s="273" t="n"/>
      <c r="Q303" s="273" t="n"/>
      <c r="R303" s="273" t="n"/>
      <c r="S303" s="23" t="n"/>
      <c r="T303" s="273" t="n"/>
      <c r="U303" s="273" t="n"/>
      <c r="V303" s="273" t="n"/>
      <c r="W303" s="273" t="n"/>
      <c r="X303" s="273" t="inlineStr">
        <is>
          <t>No</t>
        </is>
      </c>
      <c r="Y303" s="41" t="n"/>
      <c r="Z303" s="273" t="n"/>
      <c r="AA303" s="35">
        <f>IF(X303="no",O303,O303*Y303)</f>
        <v/>
      </c>
      <c r="AB303" s="273" t="inlineStr">
        <is>
          <t>Mg</t>
        </is>
      </c>
      <c r="AC303" s="190">
        <f>INDEX(Tab_Def_Flows[[Flow_ID]:[CC_DM_source]],MATCH(Tab_Data_Flows[[#This Row],[Name(EN)]],Tab_Def_Flows[Name(EN)],0),13)</f>
        <v/>
      </c>
      <c r="AD303" s="272">
        <f>IF(J303="Yes",AA303*Tab_Data_Flows[[#This Row],[WC_'[%']]],"N.A.")</f>
        <v/>
      </c>
      <c r="AE303" s="272">
        <f>Tab_Data_Flows[[#This Row],[UoM_Flow_Py]]</f>
        <v/>
      </c>
      <c r="AF303" s="190">
        <f>INDEX(Tab_Def_Flows[[Flow_ID]:[CC_DM_source]],MATCH(Tab_Data_Flows[[#This Row],[Name(EN)]],Tab_Def_Flows[Name(EN)],0),15)</f>
        <v/>
      </c>
      <c r="AG303" s="272">
        <f>IF(K303="Yes",AF303*Tab_Data_Flows[[#This Row],[Flow_Py]],"N.A.")</f>
        <v/>
      </c>
      <c r="AH303" s="272">
        <f>Tab_Data_Flows[[#This Row],[UoM_Flow_Py]]</f>
        <v/>
      </c>
      <c r="AI303" s="190">
        <f>INDEX(Tab_Def_Flows[[Flow_ID]:[CC_DM_source]],MATCH(Tab_Data_Flows[[#This Row],[Name(EN)]],Tab_Def_Flows[Name(EN)],0),17)</f>
        <v/>
      </c>
      <c r="AJ303" s="272">
        <f>IF(L303="Yes",AI303*Tab_Data_Flows[[#This Row],[Flow_Py]]*Tab_Data_Flows[[#This Row],[DM_'[%']]],"N.A.")</f>
        <v/>
      </c>
      <c r="AK303" s="272">
        <f>Tab_Data_Flows[[#This Row],[UoM_Flow_Py]]</f>
        <v/>
      </c>
    </row>
    <row r="304">
      <c r="A304" s="296">
        <f>ROW()-1</f>
        <v/>
      </c>
      <c r="B304" s="272">
        <f>_xlfn.XLOOKUP(C304,Tab_Def_Flows[Name(EN)],Tab_Def_Flows[Flow_ID],,0,)</f>
        <v/>
      </c>
      <c r="C304" s="273" t="inlineStr">
        <is>
          <t>N.A.</t>
        </is>
      </c>
      <c r="D304" s="272">
        <f>_xlfn.XLOOKUP(C304,Tab_Def_Flows[Name(EN)],Tab_Def_Flows[Type_Biomass],,0,)</f>
        <v/>
      </c>
      <c r="E304" s="272">
        <f>_xlfn.XLOOKUP(C304,Tab_Def_Flows[Name(EN)],Tab_Def_Flows[Output_Process],,0,)</f>
        <v/>
      </c>
      <c r="F304" s="272">
        <f>_xlfn.XLOOKUP(C304,Tab_Def_Flows[Name(EN)],Tab_Def_Flows[Process_ID_O],,0,)</f>
        <v/>
      </c>
      <c r="G304" s="272">
        <f>_xlfn.XLOOKUP(C304,Tab_Def_Flows[Name(EN)],Tab_Def_Flows[Input_Process],,0,)</f>
        <v/>
      </c>
      <c r="H304" s="17">
        <f>_xlfn.XLOOKUP(C304,Tab_Def_Flows[Name(EN)],Tab_Def_Flows[Process_ID_I],,0,)</f>
        <v/>
      </c>
      <c r="I304" s="272">
        <f>_xlfn.XLOOKUP(C304,Tab_Def_Flows[Name(EN)],#REF!,,0,)</f>
        <v/>
      </c>
      <c r="J304" s="17">
        <f>_xlfn.XLOOKUP(C304,Tab_Def_Flows[Name(EN)],Tab_Def_Flows[WC?],,0,)</f>
        <v/>
      </c>
      <c r="K304" s="17">
        <f>_xlfn.XLOOKUP(C304,Tab_Def_Flows[Name(EN)],Tab_Def_Flows[DM?],,0,)</f>
        <v/>
      </c>
      <c r="L304" s="17">
        <f>_xlfn.XLOOKUP(C304,Tab_Def_Flows[Name(EN)],Tab_Def_Flows[CC?],,0,)</f>
        <v/>
      </c>
      <c r="M304" s="273" t="n"/>
      <c r="N304" s="273" t="n"/>
      <c r="O304" s="48" t="n"/>
      <c r="P304" s="273" t="n"/>
      <c r="Q304" s="273" t="n"/>
      <c r="R304" s="273" t="n"/>
      <c r="S304" s="23" t="n"/>
      <c r="T304" s="273" t="n"/>
      <c r="U304" s="273" t="n"/>
      <c r="V304" s="273" t="n"/>
      <c r="W304" s="273" t="n"/>
      <c r="X304" s="273" t="inlineStr">
        <is>
          <t>No</t>
        </is>
      </c>
      <c r="Y304" s="41" t="n"/>
      <c r="Z304" s="273" t="n"/>
      <c r="AA304" s="35">
        <f>IF(X304="no",O304,O304*Y304)</f>
        <v/>
      </c>
      <c r="AB304" s="273" t="inlineStr">
        <is>
          <t>Mg</t>
        </is>
      </c>
      <c r="AC304" s="190">
        <f>INDEX(Tab_Def_Flows[[Flow_ID]:[CC_DM_source]],MATCH(Tab_Data_Flows[[#This Row],[Name(EN)]],Tab_Def_Flows[Name(EN)],0),13)</f>
        <v/>
      </c>
      <c r="AD304" s="272">
        <f>IF(J304="Yes",AA304*Tab_Data_Flows[[#This Row],[WC_'[%']]],"N.A.")</f>
        <v/>
      </c>
      <c r="AE304" s="272">
        <f>Tab_Data_Flows[[#This Row],[UoM_Flow_Py]]</f>
        <v/>
      </c>
      <c r="AF304" s="190">
        <f>INDEX(Tab_Def_Flows[[Flow_ID]:[CC_DM_source]],MATCH(Tab_Data_Flows[[#This Row],[Name(EN)]],Tab_Def_Flows[Name(EN)],0),15)</f>
        <v/>
      </c>
      <c r="AG304" s="272">
        <f>IF(K304="Yes",AF304*Tab_Data_Flows[[#This Row],[Flow_Py]],"N.A.")</f>
        <v/>
      </c>
      <c r="AH304" s="272">
        <f>Tab_Data_Flows[[#This Row],[UoM_Flow_Py]]</f>
        <v/>
      </c>
      <c r="AI304" s="190">
        <f>INDEX(Tab_Def_Flows[[Flow_ID]:[CC_DM_source]],MATCH(Tab_Data_Flows[[#This Row],[Name(EN)]],Tab_Def_Flows[Name(EN)],0),17)</f>
        <v/>
      </c>
      <c r="AJ304" s="272">
        <f>IF(L304="Yes",AI304*Tab_Data_Flows[[#This Row],[Flow_Py]]*Tab_Data_Flows[[#This Row],[DM_'[%']]],"N.A.")</f>
        <v/>
      </c>
      <c r="AK304" s="272">
        <f>Tab_Data_Flows[[#This Row],[UoM_Flow_Py]]</f>
        <v/>
      </c>
    </row>
    <row r="305">
      <c r="A305" s="296">
        <f>ROW()-1</f>
        <v/>
      </c>
      <c r="B305" s="272">
        <f>_xlfn.XLOOKUP(C305,Tab_Def_Flows[Name(EN)],Tab_Def_Flows[Flow_ID],,0,)</f>
        <v/>
      </c>
      <c r="C305" s="273" t="inlineStr">
        <is>
          <t>N.A.</t>
        </is>
      </c>
      <c r="D305" s="272">
        <f>_xlfn.XLOOKUP(C305,Tab_Def_Flows[Name(EN)],Tab_Def_Flows[Type_Biomass],,0,)</f>
        <v/>
      </c>
      <c r="E305" s="272">
        <f>_xlfn.XLOOKUP(C305,Tab_Def_Flows[Name(EN)],Tab_Def_Flows[Output_Process],,0,)</f>
        <v/>
      </c>
      <c r="F305" s="272">
        <f>_xlfn.XLOOKUP(C305,Tab_Def_Flows[Name(EN)],Tab_Def_Flows[Process_ID_O],,0,)</f>
        <v/>
      </c>
      <c r="G305" s="272">
        <f>_xlfn.XLOOKUP(C305,Tab_Def_Flows[Name(EN)],Tab_Def_Flows[Input_Process],,0,)</f>
        <v/>
      </c>
      <c r="H305" s="17">
        <f>_xlfn.XLOOKUP(C305,Tab_Def_Flows[Name(EN)],Tab_Def_Flows[Process_ID_I],,0,)</f>
        <v/>
      </c>
      <c r="I305" s="272">
        <f>_xlfn.XLOOKUP(C305,Tab_Def_Flows[Name(EN)],#REF!,,0,)</f>
        <v/>
      </c>
      <c r="J305" s="17">
        <f>_xlfn.XLOOKUP(C305,Tab_Def_Flows[Name(EN)],Tab_Def_Flows[WC?],,0,)</f>
        <v/>
      </c>
      <c r="K305" s="17">
        <f>_xlfn.XLOOKUP(C305,Tab_Def_Flows[Name(EN)],Tab_Def_Flows[DM?],,0,)</f>
        <v/>
      </c>
      <c r="L305" s="17">
        <f>_xlfn.XLOOKUP(C305,Tab_Def_Flows[Name(EN)],Tab_Def_Flows[CC?],,0,)</f>
        <v/>
      </c>
      <c r="M305" s="273" t="n"/>
      <c r="N305" s="273" t="n"/>
      <c r="O305" s="48" t="n"/>
      <c r="P305" s="273" t="n"/>
      <c r="Q305" s="273" t="n"/>
      <c r="R305" s="273" t="n"/>
      <c r="S305" s="23" t="n"/>
      <c r="T305" s="273" t="n"/>
      <c r="U305" s="273" t="n"/>
      <c r="V305" s="273" t="n"/>
      <c r="W305" s="273" t="n"/>
      <c r="X305" s="273" t="inlineStr">
        <is>
          <t>No</t>
        </is>
      </c>
      <c r="Y305" s="41" t="n"/>
      <c r="Z305" s="273" t="n"/>
      <c r="AA305" s="35">
        <f>IF(X305="no",O305,O305*Y305)</f>
        <v/>
      </c>
      <c r="AB305" s="273" t="inlineStr">
        <is>
          <t>Mg</t>
        </is>
      </c>
      <c r="AC305" s="190">
        <f>INDEX(Tab_Def_Flows[[Flow_ID]:[CC_DM_source]],MATCH(Tab_Data_Flows[[#This Row],[Name(EN)]],Tab_Def_Flows[Name(EN)],0),13)</f>
        <v/>
      </c>
      <c r="AD305" s="272">
        <f>IF(J305="Yes",AA305*Tab_Data_Flows[[#This Row],[WC_'[%']]],"N.A.")</f>
        <v/>
      </c>
      <c r="AE305" s="272">
        <f>Tab_Data_Flows[[#This Row],[UoM_Flow_Py]]</f>
        <v/>
      </c>
      <c r="AF305" s="190">
        <f>INDEX(Tab_Def_Flows[[Flow_ID]:[CC_DM_source]],MATCH(Tab_Data_Flows[[#This Row],[Name(EN)]],Tab_Def_Flows[Name(EN)],0),15)</f>
        <v/>
      </c>
      <c r="AG305" s="272">
        <f>IF(K305="Yes",AF305*Tab_Data_Flows[[#This Row],[Flow_Py]],"N.A.")</f>
        <v/>
      </c>
      <c r="AH305" s="272">
        <f>Tab_Data_Flows[[#This Row],[UoM_Flow_Py]]</f>
        <v/>
      </c>
      <c r="AI305" s="190">
        <f>INDEX(Tab_Def_Flows[[Flow_ID]:[CC_DM_source]],MATCH(Tab_Data_Flows[[#This Row],[Name(EN)]],Tab_Def_Flows[Name(EN)],0),17)</f>
        <v/>
      </c>
      <c r="AJ305" s="272">
        <f>IF(L305="Yes",AI305*Tab_Data_Flows[[#This Row],[Flow_Py]]*Tab_Data_Flows[[#This Row],[DM_'[%']]],"N.A.")</f>
        <v/>
      </c>
      <c r="AK305" s="272">
        <f>Tab_Data_Flows[[#This Row],[UoM_Flow_Py]]</f>
        <v/>
      </c>
    </row>
    <row r="306">
      <c r="A306" s="296">
        <f>ROW()-1</f>
        <v/>
      </c>
      <c r="B306" s="272">
        <f>_xlfn.XLOOKUP(C306,Tab_Def_Flows[Name(EN)],Tab_Def_Flows[Flow_ID],,0,)</f>
        <v/>
      </c>
      <c r="C306" s="273" t="inlineStr">
        <is>
          <t>N.A.</t>
        </is>
      </c>
      <c r="D306" s="272">
        <f>_xlfn.XLOOKUP(C306,Tab_Def_Flows[Name(EN)],Tab_Def_Flows[Type_Biomass],,0,)</f>
        <v/>
      </c>
      <c r="E306" s="272">
        <f>_xlfn.XLOOKUP(C306,Tab_Def_Flows[Name(EN)],Tab_Def_Flows[Output_Process],,0,)</f>
        <v/>
      </c>
      <c r="F306" s="272">
        <f>_xlfn.XLOOKUP(C306,Tab_Def_Flows[Name(EN)],Tab_Def_Flows[Process_ID_O],,0,)</f>
        <v/>
      </c>
      <c r="G306" s="272">
        <f>_xlfn.XLOOKUP(C306,Tab_Def_Flows[Name(EN)],Tab_Def_Flows[Input_Process],,0,)</f>
        <v/>
      </c>
      <c r="H306" s="17">
        <f>_xlfn.XLOOKUP(C306,Tab_Def_Flows[Name(EN)],Tab_Def_Flows[Process_ID_I],,0,)</f>
        <v/>
      </c>
      <c r="I306" s="272">
        <f>_xlfn.XLOOKUP(C306,Tab_Def_Flows[Name(EN)],#REF!,,0,)</f>
        <v/>
      </c>
      <c r="J306" s="17">
        <f>_xlfn.XLOOKUP(C306,Tab_Def_Flows[Name(EN)],Tab_Def_Flows[WC?],,0,)</f>
        <v/>
      </c>
      <c r="K306" s="17">
        <f>_xlfn.XLOOKUP(C306,Tab_Def_Flows[Name(EN)],Tab_Def_Flows[DM?],,0,)</f>
        <v/>
      </c>
      <c r="L306" s="17">
        <f>_xlfn.XLOOKUP(C306,Tab_Def_Flows[Name(EN)],Tab_Def_Flows[CC?],,0,)</f>
        <v/>
      </c>
      <c r="M306" s="273" t="n"/>
      <c r="N306" s="273" t="n"/>
      <c r="O306" s="48" t="n"/>
      <c r="P306" s="273" t="n"/>
      <c r="Q306" s="273" t="n"/>
      <c r="R306" s="273" t="n"/>
      <c r="S306" s="23" t="n"/>
      <c r="T306" s="273" t="n"/>
      <c r="U306" s="273" t="n"/>
      <c r="V306" s="273" t="n"/>
      <c r="W306" s="273" t="n"/>
      <c r="X306" s="273" t="inlineStr">
        <is>
          <t>No</t>
        </is>
      </c>
      <c r="Y306" s="41" t="n"/>
      <c r="Z306" s="273" t="n"/>
      <c r="AA306" s="35">
        <f>IF(X306="no",O306,O306*Y306)</f>
        <v/>
      </c>
      <c r="AB306" s="273" t="inlineStr">
        <is>
          <t>Mg</t>
        </is>
      </c>
      <c r="AC306" s="190">
        <f>INDEX(Tab_Def_Flows[[Flow_ID]:[CC_DM_source]],MATCH(Tab_Data_Flows[[#This Row],[Name(EN)]],Tab_Def_Flows[Name(EN)],0),13)</f>
        <v/>
      </c>
      <c r="AD306" s="272">
        <f>IF(J306="Yes",AA306*Tab_Data_Flows[[#This Row],[WC_'[%']]],"N.A.")</f>
        <v/>
      </c>
      <c r="AE306" s="272">
        <f>Tab_Data_Flows[[#This Row],[UoM_Flow_Py]]</f>
        <v/>
      </c>
      <c r="AF306" s="190">
        <f>INDEX(Tab_Def_Flows[[Flow_ID]:[CC_DM_source]],MATCH(Tab_Data_Flows[[#This Row],[Name(EN)]],Tab_Def_Flows[Name(EN)],0),15)</f>
        <v/>
      </c>
      <c r="AG306" s="272">
        <f>IF(K306="Yes",AF306*Tab_Data_Flows[[#This Row],[Flow_Py]],"N.A.")</f>
        <v/>
      </c>
      <c r="AH306" s="272">
        <f>Tab_Data_Flows[[#This Row],[UoM_Flow_Py]]</f>
        <v/>
      </c>
      <c r="AI306" s="190">
        <f>INDEX(Tab_Def_Flows[[Flow_ID]:[CC_DM_source]],MATCH(Tab_Data_Flows[[#This Row],[Name(EN)]],Tab_Def_Flows[Name(EN)],0),17)</f>
        <v/>
      </c>
      <c r="AJ306" s="272">
        <f>IF(L306="Yes",AI306*Tab_Data_Flows[[#This Row],[Flow_Py]]*Tab_Data_Flows[[#This Row],[DM_'[%']]],"N.A.")</f>
        <v/>
      </c>
      <c r="AK306" s="272">
        <f>Tab_Data_Flows[[#This Row],[UoM_Flow_Py]]</f>
        <v/>
      </c>
    </row>
    <row r="307">
      <c r="A307" s="296">
        <f>ROW()-1</f>
        <v/>
      </c>
      <c r="B307" s="272">
        <f>_xlfn.XLOOKUP(C307,Tab_Def_Flows[Name(EN)],Tab_Def_Flows[Flow_ID],,0,)</f>
        <v/>
      </c>
      <c r="C307" s="273" t="inlineStr">
        <is>
          <t>N.A.</t>
        </is>
      </c>
      <c r="D307" s="272">
        <f>_xlfn.XLOOKUP(C307,Tab_Def_Flows[Name(EN)],Tab_Def_Flows[Type_Biomass],,0,)</f>
        <v/>
      </c>
      <c r="E307" s="272">
        <f>_xlfn.XLOOKUP(C307,Tab_Def_Flows[Name(EN)],Tab_Def_Flows[Output_Process],,0,)</f>
        <v/>
      </c>
      <c r="F307" s="272">
        <f>_xlfn.XLOOKUP(C307,Tab_Def_Flows[Name(EN)],Tab_Def_Flows[Process_ID_O],,0,)</f>
        <v/>
      </c>
      <c r="G307" s="272">
        <f>_xlfn.XLOOKUP(C307,Tab_Def_Flows[Name(EN)],Tab_Def_Flows[Input_Process],,0,)</f>
        <v/>
      </c>
      <c r="H307" s="17">
        <f>_xlfn.XLOOKUP(C307,Tab_Def_Flows[Name(EN)],Tab_Def_Flows[Process_ID_I],,0,)</f>
        <v/>
      </c>
      <c r="I307" s="272">
        <f>_xlfn.XLOOKUP(C307,Tab_Def_Flows[Name(EN)],#REF!,,0,)</f>
        <v/>
      </c>
      <c r="J307" s="17">
        <f>_xlfn.XLOOKUP(C307,Tab_Def_Flows[Name(EN)],Tab_Def_Flows[WC?],,0,)</f>
        <v/>
      </c>
      <c r="K307" s="17">
        <f>_xlfn.XLOOKUP(C307,Tab_Def_Flows[Name(EN)],Tab_Def_Flows[DM?],,0,)</f>
        <v/>
      </c>
      <c r="L307" s="17">
        <f>_xlfn.XLOOKUP(C307,Tab_Def_Flows[Name(EN)],Tab_Def_Flows[CC?],,0,)</f>
        <v/>
      </c>
      <c r="M307" s="273" t="n"/>
      <c r="N307" s="273" t="n"/>
      <c r="O307" s="48" t="n"/>
      <c r="P307" s="273" t="n"/>
      <c r="Q307" s="273" t="n"/>
      <c r="R307" s="273" t="n"/>
      <c r="S307" s="23" t="n"/>
      <c r="T307" s="273" t="n"/>
      <c r="U307" s="273" t="n"/>
      <c r="V307" s="273" t="n"/>
      <c r="W307" s="273" t="n"/>
      <c r="X307" s="273" t="inlineStr">
        <is>
          <t>No</t>
        </is>
      </c>
      <c r="Y307" s="41" t="n"/>
      <c r="Z307" s="273" t="n"/>
      <c r="AA307" s="35">
        <f>IF(X307="no",O307,O307*Y307)</f>
        <v/>
      </c>
      <c r="AB307" s="273" t="inlineStr">
        <is>
          <t>Mg</t>
        </is>
      </c>
      <c r="AC307" s="190">
        <f>INDEX(Tab_Def_Flows[[Flow_ID]:[CC_DM_source]],MATCH(Tab_Data_Flows[[#This Row],[Name(EN)]],Tab_Def_Flows[Name(EN)],0),13)</f>
        <v/>
      </c>
      <c r="AD307" s="272">
        <f>IF(J307="Yes",AA307*Tab_Data_Flows[[#This Row],[WC_'[%']]],"N.A.")</f>
        <v/>
      </c>
      <c r="AE307" s="272">
        <f>Tab_Data_Flows[[#This Row],[UoM_Flow_Py]]</f>
        <v/>
      </c>
      <c r="AF307" s="190">
        <f>INDEX(Tab_Def_Flows[[Flow_ID]:[CC_DM_source]],MATCH(Tab_Data_Flows[[#This Row],[Name(EN)]],Tab_Def_Flows[Name(EN)],0),15)</f>
        <v/>
      </c>
      <c r="AG307" s="272">
        <f>IF(K307="Yes",AF307*Tab_Data_Flows[[#This Row],[Flow_Py]],"N.A.")</f>
        <v/>
      </c>
      <c r="AH307" s="272">
        <f>Tab_Data_Flows[[#This Row],[UoM_Flow_Py]]</f>
        <v/>
      </c>
      <c r="AI307" s="190">
        <f>INDEX(Tab_Def_Flows[[Flow_ID]:[CC_DM_source]],MATCH(Tab_Data_Flows[[#This Row],[Name(EN)]],Tab_Def_Flows[Name(EN)],0),17)</f>
        <v/>
      </c>
      <c r="AJ307" s="272">
        <f>IF(L307="Yes",AI307*Tab_Data_Flows[[#This Row],[Flow_Py]]*Tab_Data_Flows[[#This Row],[DM_'[%']]],"N.A.")</f>
        <v/>
      </c>
      <c r="AK307" s="272">
        <f>Tab_Data_Flows[[#This Row],[UoM_Flow_Py]]</f>
        <v/>
      </c>
    </row>
    <row r="308">
      <c r="A308" s="296">
        <f>ROW()-1</f>
        <v/>
      </c>
      <c r="B308" s="272">
        <f>_xlfn.XLOOKUP(C308,Tab_Def_Flows[Name(EN)],Tab_Def_Flows[Flow_ID],,0,)</f>
        <v/>
      </c>
      <c r="C308" s="273" t="inlineStr">
        <is>
          <t>N.A.</t>
        </is>
      </c>
      <c r="D308" s="272">
        <f>_xlfn.XLOOKUP(C308,Tab_Def_Flows[Name(EN)],Tab_Def_Flows[Type_Biomass],,0,)</f>
        <v/>
      </c>
      <c r="E308" s="272">
        <f>_xlfn.XLOOKUP(C308,Tab_Def_Flows[Name(EN)],Tab_Def_Flows[Output_Process],,0,)</f>
        <v/>
      </c>
      <c r="F308" s="272">
        <f>_xlfn.XLOOKUP(C308,Tab_Def_Flows[Name(EN)],Tab_Def_Flows[Process_ID_O],,0,)</f>
        <v/>
      </c>
      <c r="G308" s="272">
        <f>_xlfn.XLOOKUP(C308,Tab_Def_Flows[Name(EN)],Tab_Def_Flows[Input_Process],,0,)</f>
        <v/>
      </c>
      <c r="H308" s="17">
        <f>_xlfn.XLOOKUP(C308,Tab_Def_Flows[Name(EN)],Tab_Def_Flows[Process_ID_I],,0,)</f>
        <v/>
      </c>
      <c r="I308" s="272">
        <f>_xlfn.XLOOKUP(C308,Tab_Def_Flows[Name(EN)],#REF!,,0,)</f>
        <v/>
      </c>
      <c r="J308" s="17">
        <f>_xlfn.XLOOKUP(C308,Tab_Def_Flows[Name(EN)],Tab_Def_Flows[WC?],,0,)</f>
        <v/>
      </c>
      <c r="K308" s="17">
        <f>_xlfn.XLOOKUP(C308,Tab_Def_Flows[Name(EN)],Tab_Def_Flows[DM?],,0,)</f>
        <v/>
      </c>
      <c r="L308" s="17">
        <f>_xlfn.XLOOKUP(C308,Tab_Def_Flows[Name(EN)],Tab_Def_Flows[CC?],,0,)</f>
        <v/>
      </c>
      <c r="M308" s="273" t="n"/>
      <c r="N308" s="273" t="n"/>
      <c r="O308" s="48" t="n"/>
      <c r="P308" s="273" t="n"/>
      <c r="Q308" s="273" t="n"/>
      <c r="R308" s="273" t="n"/>
      <c r="S308" s="23" t="n"/>
      <c r="T308" s="273" t="n"/>
      <c r="U308" s="273" t="n"/>
      <c r="V308" s="273" t="n"/>
      <c r="W308" s="273" t="n"/>
      <c r="X308" s="273" t="inlineStr">
        <is>
          <t>No</t>
        </is>
      </c>
      <c r="Y308" s="41" t="n"/>
      <c r="Z308" s="273" t="n"/>
      <c r="AA308" s="35">
        <f>IF(X308="no",O308,O308*Y308)</f>
        <v/>
      </c>
      <c r="AB308" s="273" t="inlineStr">
        <is>
          <t>Mg</t>
        </is>
      </c>
      <c r="AC308" s="190">
        <f>INDEX(Tab_Def_Flows[[Flow_ID]:[CC_DM_source]],MATCH(Tab_Data_Flows[[#This Row],[Name(EN)]],Tab_Def_Flows[Name(EN)],0),13)</f>
        <v/>
      </c>
      <c r="AD308" s="272">
        <f>IF(J308="Yes",AA308*Tab_Data_Flows[[#This Row],[WC_'[%']]],"N.A.")</f>
        <v/>
      </c>
      <c r="AE308" s="272">
        <f>Tab_Data_Flows[[#This Row],[UoM_Flow_Py]]</f>
        <v/>
      </c>
      <c r="AF308" s="190">
        <f>INDEX(Tab_Def_Flows[[Flow_ID]:[CC_DM_source]],MATCH(Tab_Data_Flows[[#This Row],[Name(EN)]],Tab_Def_Flows[Name(EN)],0),15)</f>
        <v/>
      </c>
      <c r="AG308" s="272">
        <f>IF(K308="Yes",AF308*Tab_Data_Flows[[#This Row],[Flow_Py]],"N.A.")</f>
        <v/>
      </c>
      <c r="AH308" s="272">
        <f>Tab_Data_Flows[[#This Row],[UoM_Flow_Py]]</f>
        <v/>
      </c>
      <c r="AI308" s="190">
        <f>INDEX(Tab_Def_Flows[[Flow_ID]:[CC_DM_source]],MATCH(Tab_Data_Flows[[#This Row],[Name(EN)]],Tab_Def_Flows[Name(EN)],0),17)</f>
        <v/>
      </c>
      <c r="AJ308" s="272">
        <f>IF(L308="Yes",AI308*Tab_Data_Flows[[#This Row],[Flow_Py]]*Tab_Data_Flows[[#This Row],[DM_'[%']]],"N.A.")</f>
        <v/>
      </c>
      <c r="AK308" s="272">
        <f>Tab_Data_Flows[[#This Row],[UoM_Flow_Py]]</f>
        <v/>
      </c>
    </row>
    <row r="309">
      <c r="A309" s="296">
        <f>ROW()-1</f>
        <v/>
      </c>
      <c r="B309" s="272">
        <f>_xlfn.XLOOKUP(C309,Tab_Def_Flows[Name(EN)],Tab_Def_Flows[Flow_ID],,0,)</f>
        <v/>
      </c>
      <c r="C309" s="273" t="inlineStr">
        <is>
          <t>N.A.</t>
        </is>
      </c>
      <c r="D309" s="272">
        <f>_xlfn.XLOOKUP(C309,Tab_Def_Flows[Name(EN)],Tab_Def_Flows[Type_Biomass],,0,)</f>
        <v/>
      </c>
      <c r="E309" s="272">
        <f>_xlfn.XLOOKUP(C309,Tab_Def_Flows[Name(EN)],Tab_Def_Flows[Output_Process],,0,)</f>
        <v/>
      </c>
      <c r="F309" s="272">
        <f>_xlfn.XLOOKUP(C309,Tab_Def_Flows[Name(EN)],Tab_Def_Flows[Process_ID_O],,0,)</f>
        <v/>
      </c>
      <c r="G309" s="272">
        <f>_xlfn.XLOOKUP(C309,Tab_Def_Flows[Name(EN)],Tab_Def_Flows[Input_Process],,0,)</f>
        <v/>
      </c>
      <c r="H309" s="17">
        <f>_xlfn.XLOOKUP(C309,Tab_Def_Flows[Name(EN)],Tab_Def_Flows[Process_ID_I],,0,)</f>
        <v/>
      </c>
      <c r="I309" s="272">
        <f>_xlfn.XLOOKUP(C309,Tab_Def_Flows[Name(EN)],#REF!,,0,)</f>
        <v/>
      </c>
      <c r="J309" s="17">
        <f>_xlfn.XLOOKUP(C309,Tab_Def_Flows[Name(EN)],Tab_Def_Flows[WC?],,0,)</f>
        <v/>
      </c>
      <c r="K309" s="17">
        <f>_xlfn.XLOOKUP(C309,Tab_Def_Flows[Name(EN)],Tab_Def_Flows[DM?],,0,)</f>
        <v/>
      </c>
      <c r="L309" s="17">
        <f>_xlfn.XLOOKUP(C309,Tab_Def_Flows[Name(EN)],Tab_Def_Flows[CC?],,0,)</f>
        <v/>
      </c>
      <c r="M309" s="273" t="n"/>
      <c r="N309" s="273" t="n"/>
      <c r="O309" s="48" t="n"/>
      <c r="P309" s="273" t="n"/>
      <c r="Q309" s="273" t="n"/>
      <c r="R309" s="273" t="n"/>
      <c r="S309" s="23" t="n"/>
      <c r="T309" s="273" t="n"/>
      <c r="U309" s="273" t="n"/>
      <c r="V309" s="273" t="n"/>
      <c r="W309" s="273" t="n"/>
      <c r="X309" s="273" t="inlineStr">
        <is>
          <t>No</t>
        </is>
      </c>
      <c r="Y309" s="41" t="n"/>
      <c r="Z309" s="273" t="n"/>
      <c r="AA309" s="35">
        <f>IF(X309="no",O309,O309*Y309)</f>
        <v/>
      </c>
      <c r="AB309" s="273" t="inlineStr">
        <is>
          <t>Mg</t>
        </is>
      </c>
      <c r="AC309" s="190">
        <f>INDEX(Tab_Def_Flows[[Flow_ID]:[CC_DM_source]],MATCH(Tab_Data_Flows[[#This Row],[Name(EN)]],Tab_Def_Flows[Name(EN)],0),13)</f>
        <v/>
      </c>
      <c r="AD309" s="272">
        <f>IF(J309="Yes",AA309*Tab_Data_Flows[[#This Row],[WC_'[%']]],"N.A.")</f>
        <v/>
      </c>
      <c r="AE309" s="272">
        <f>Tab_Data_Flows[[#This Row],[UoM_Flow_Py]]</f>
        <v/>
      </c>
      <c r="AF309" s="190">
        <f>INDEX(Tab_Def_Flows[[Flow_ID]:[CC_DM_source]],MATCH(Tab_Data_Flows[[#This Row],[Name(EN)]],Tab_Def_Flows[Name(EN)],0),15)</f>
        <v/>
      </c>
      <c r="AG309" s="272">
        <f>IF(K309="Yes",AF309*Tab_Data_Flows[[#This Row],[Flow_Py]],"N.A.")</f>
        <v/>
      </c>
      <c r="AH309" s="272">
        <f>Tab_Data_Flows[[#This Row],[UoM_Flow_Py]]</f>
        <v/>
      </c>
      <c r="AI309" s="190">
        <f>INDEX(Tab_Def_Flows[[Flow_ID]:[CC_DM_source]],MATCH(Tab_Data_Flows[[#This Row],[Name(EN)]],Tab_Def_Flows[Name(EN)],0),17)</f>
        <v/>
      </c>
      <c r="AJ309" s="272">
        <f>IF(L309="Yes",AI309*Tab_Data_Flows[[#This Row],[Flow_Py]]*Tab_Data_Flows[[#This Row],[DM_'[%']]],"N.A.")</f>
        <v/>
      </c>
      <c r="AK309" s="272">
        <f>Tab_Data_Flows[[#This Row],[UoM_Flow_Py]]</f>
        <v/>
      </c>
    </row>
    <row r="310">
      <c r="A310" s="296">
        <f>ROW()-1</f>
        <v/>
      </c>
      <c r="B310" s="272">
        <f>_xlfn.XLOOKUP(C310,Tab_Def_Flows[Name(EN)],Tab_Def_Flows[Flow_ID],,0,)</f>
        <v/>
      </c>
      <c r="C310" s="273" t="inlineStr">
        <is>
          <t>N.A.</t>
        </is>
      </c>
      <c r="D310" s="272">
        <f>_xlfn.XLOOKUP(C310,Tab_Def_Flows[Name(EN)],Tab_Def_Flows[Type_Biomass],,0,)</f>
        <v/>
      </c>
      <c r="E310" s="272">
        <f>_xlfn.XLOOKUP(C310,Tab_Def_Flows[Name(EN)],Tab_Def_Flows[Output_Process],,0,)</f>
        <v/>
      </c>
      <c r="F310" s="272">
        <f>_xlfn.XLOOKUP(C310,Tab_Def_Flows[Name(EN)],Tab_Def_Flows[Process_ID_O],,0,)</f>
        <v/>
      </c>
      <c r="G310" s="272">
        <f>_xlfn.XLOOKUP(C310,Tab_Def_Flows[Name(EN)],Tab_Def_Flows[Input_Process],,0,)</f>
        <v/>
      </c>
      <c r="H310" s="17">
        <f>_xlfn.XLOOKUP(C310,Tab_Def_Flows[Name(EN)],Tab_Def_Flows[Process_ID_I],,0,)</f>
        <v/>
      </c>
      <c r="I310" s="272">
        <f>_xlfn.XLOOKUP(C310,Tab_Def_Flows[Name(EN)],#REF!,,0,)</f>
        <v/>
      </c>
      <c r="J310" s="17">
        <f>_xlfn.XLOOKUP(C310,Tab_Def_Flows[Name(EN)],Tab_Def_Flows[WC?],,0,)</f>
        <v/>
      </c>
      <c r="K310" s="17">
        <f>_xlfn.XLOOKUP(C310,Tab_Def_Flows[Name(EN)],Tab_Def_Flows[DM?],,0,)</f>
        <v/>
      </c>
      <c r="L310" s="17">
        <f>_xlfn.XLOOKUP(C310,Tab_Def_Flows[Name(EN)],Tab_Def_Flows[CC?],,0,)</f>
        <v/>
      </c>
      <c r="M310" s="273" t="n"/>
      <c r="N310" s="273" t="n"/>
      <c r="O310" s="48" t="n"/>
      <c r="P310" s="273" t="n"/>
      <c r="Q310" s="273" t="n"/>
      <c r="R310" s="273" t="n"/>
      <c r="S310" s="23" t="n"/>
      <c r="T310" s="273" t="n"/>
      <c r="U310" s="273" t="n"/>
      <c r="V310" s="273" t="n"/>
      <c r="W310" s="273" t="n"/>
      <c r="X310" s="273" t="inlineStr">
        <is>
          <t>No</t>
        </is>
      </c>
      <c r="Y310" s="41" t="n"/>
      <c r="Z310" s="273" t="n"/>
      <c r="AA310" s="35">
        <f>IF(X310="no",O310,O310*Y310)</f>
        <v/>
      </c>
      <c r="AB310" s="273" t="inlineStr">
        <is>
          <t>Mg</t>
        </is>
      </c>
      <c r="AC310" s="190">
        <f>INDEX(Tab_Def_Flows[[Flow_ID]:[CC_DM_source]],MATCH(Tab_Data_Flows[[#This Row],[Name(EN)]],Tab_Def_Flows[Name(EN)],0),13)</f>
        <v/>
      </c>
      <c r="AD310" s="272">
        <f>IF(J310="Yes",AA310*Tab_Data_Flows[[#This Row],[WC_'[%']]],"N.A.")</f>
        <v/>
      </c>
      <c r="AE310" s="272">
        <f>Tab_Data_Flows[[#This Row],[UoM_Flow_Py]]</f>
        <v/>
      </c>
      <c r="AF310" s="190">
        <f>INDEX(Tab_Def_Flows[[Flow_ID]:[CC_DM_source]],MATCH(Tab_Data_Flows[[#This Row],[Name(EN)]],Tab_Def_Flows[Name(EN)],0),15)</f>
        <v/>
      </c>
      <c r="AG310" s="272">
        <f>IF(K310="Yes",AF310*Tab_Data_Flows[[#This Row],[Flow_Py]],"N.A.")</f>
        <v/>
      </c>
      <c r="AH310" s="272">
        <f>Tab_Data_Flows[[#This Row],[UoM_Flow_Py]]</f>
        <v/>
      </c>
      <c r="AI310" s="190">
        <f>INDEX(Tab_Def_Flows[[Flow_ID]:[CC_DM_source]],MATCH(Tab_Data_Flows[[#This Row],[Name(EN)]],Tab_Def_Flows[Name(EN)],0),17)</f>
        <v/>
      </c>
      <c r="AJ310" s="272">
        <f>IF(L310="Yes",AI310*Tab_Data_Flows[[#This Row],[Flow_Py]]*Tab_Data_Flows[[#This Row],[DM_'[%']]],"N.A.")</f>
        <v/>
      </c>
      <c r="AK310" s="272">
        <f>Tab_Data_Flows[[#This Row],[UoM_Flow_Py]]</f>
        <v/>
      </c>
    </row>
    <row r="311">
      <c r="A311" s="296">
        <f>ROW()-1</f>
        <v/>
      </c>
      <c r="B311" s="272">
        <f>_xlfn.XLOOKUP(C311,Tab_Def_Flows[Name(EN)],Tab_Def_Flows[Flow_ID],,0,)</f>
        <v/>
      </c>
      <c r="C311" s="273" t="inlineStr">
        <is>
          <t>N.A.</t>
        </is>
      </c>
      <c r="D311" s="272">
        <f>_xlfn.XLOOKUP(C311,Tab_Def_Flows[Name(EN)],Tab_Def_Flows[Type_Biomass],,0,)</f>
        <v/>
      </c>
      <c r="E311" s="272">
        <f>_xlfn.XLOOKUP(C311,Tab_Def_Flows[Name(EN)],Tab_Def_Flows[Output_Process],,0,)</f>
        <v/>
      </c>
      <c r="F311" s="272">
        <f>_xlfn.XLOOKUP(C311,Tab_Def_Flows[Name(EN)],Tab_Def_Flows[Process_ID_O],,0,)</f>
        <v/>
      </c>
      <c r="G311" s="272">
        <f>_xlfn.XLOOKUP(C311,Tab_Def_Flows[Name(EN)],Tab_Def_Flows[Input_Process],,0,)</f>
        <v/>
      </c>
      <c r="H311" s="17">
        <f>_xlfn.XLOOKUP(C311,Tab_Def_Flows[Name(EN)],Tab_Def_Flows[Process_ID_I],,0,)</f>
        <v/>
      </c>
      <c r="I311" s="272">
        <f>_xlfn.XLOOKUP(C311,Tab_Def_Flows[Name(EN)],#REF!,,0,)</f>
        <v/>
      </c>
      <c r="J311" s="17">
        <f>_xlfn.XLOOKUP(C311,Tab_Def_Flows[Name(EN)],Tab_Def_Flows[WC?],,0,)</f>
        <v/>
      </c>
      <c r="K311" s="17">
        <f>_xlfn.XLOOKUP(C311,Tab_Def_Flows[Name(EN)],Tab_Def_Flows[DM?],,0,)</f>
        <v/>
      </c>
      <c r="L311" s="17">
        <f>_xlfn.XLOOKUP(C311,Tab_Def_Flows[Name(EN)],Tab_Def_Flows[CC?],,0,)</f>
        <v/>
      </c>
      <c r="M311" s="273" t="n"/>
      <c r="N311" s="273" t="n"/>
      <c r="O311" s="48" t="n"/>
      <c r="P311" s="273" t="n"/>
      <c r="Q311" s="273" t="n"/>
      <c r="R311" s="273" t="n"/>
      <c r="S311" s="23" t="n"/>
      <c r="T311" s="273" t="n"/>
      <c r="U311" s="273" t="n"/>
      <c r="V311" s="273" t="n"/>
      <c r="W311" s="273" t="n"/>
      <c r="X311" s="273" t="inlineStr">
        <is>
          <t>No</t>
        </is>
      </c>
      <c r="Y311" s="41" t="n"/>
      <c r="Z311" s="273" t="n"/>
      <c r="AA311" s="35">
        <f>IF(X311="no",O311,O311*Y311)</f>
        <v/>
      </c>
      <c r="AB311" s="273" t="inlineStr">
        <is>
          <t>Mg</t>
        </is>
      </c>
      <c r="AC311" s="190">
        <f>INDEX(Tab_Def_Flows[[Flow_ID]:[CC_DM_source]],MATCH(Tab_Data_Flows[[#This Row],[Name(EN)]],Tab_Def_Flows[Name(EN)],0),13)</f>
        <v/>
      </c>
      <c r="AD311" s="272">
        <f>IF(J311="Yes",AA311*Tab_Data_Flows[[#This Row],[WC_'[%']]],"N.A.")</f>
        <v/>
      </c>
      <c r="AE311" s="272">
        <f>Tab_Data_Flows[[#This Row],[UoM_Flow_Py]]</f>
        <v/>
      </c>
      <c r="AF311" s="190">
        <f>INDEX(Tab_Def_Flows[[Flow_ID]:[CC_DM_source]],MATCH(Tab_Data_Flows[[#This Row],[Name(EN)]],Tab_Def_Flows[Name(EN)],0),15)</f>
        <v/>
      </c>
      <c r="AG311" s="272">
        <f>IF(K311="Yes",AF311*Tab_Data_Flows[[#This Row],[Flow_Py]],"N.A.")</f>
        <v/>
      </c>
      <c r="AH311" s="272">
        <f>Tab_Data_Flows[[#This Row],[UoM_Flow_Py]]</f>
        <v/>
      </c>
      <c r="AI311" s="190">
        <f>INDEX(Tab_Def_Flows[[Flow_ID]:[CC_DM_source]],MATCH(Tab_Data_Flows[[#This Row],[Name(EN)]],Tab_Def_Flows[Name(EN)],0),17)</f>
        <v/>
      </c>
      <c r="AJ311" s="272">
        <f>IF(L311="Yes",AI311*Tab_Data_Flows[[#This Row],[Flow_Py]]*Tab_Data_Flows[[#This Row],[DM_'[%']]],"N.A.")</f>
        <v/>
      </c>
      <c r="AK311" s="272">
        <f>Tab_Data_Flows[[#This Row],[UoM_Flow_Py]]</f>
        <v/>
      </c>
    </row>
    <row r="312">
      <c r="A312" s="296">
        <f>ROW()-1</f>
        <v/>
      </c>
      <c r="B312" s="272">
        <f>_xlfn.XLOOKUP(C312,Tab_Def_Flows[Name(EN)],Tab_Def_Flows[Flow_ID],,0,)</f>
        <v/>
      </c>
      <c r="C312" s="273" t="inlineStr">
        <is>
          <t>N.A.</t>
        </is>
      </c>
      <c r="D312" s="272">
        <f>_xlfn.XLOOKUP(C312,Tab_Def_Flows[Name(EN)],Tab_Def_Flows[Type_Biomass],,0,)</f>
        <v/>
      </c>
      <c r="E312" s="272">
        <f>_xlfn.XLOOKUP(C312,Tab_Def_Flows[Name(EN)],Tab_Def_Flows[Output_Process],,0,)</f>
        <v/>
      </c>
      <c r="F312" s="272">
        <f>_xlfn.XLOOKUP(C312,Tab_Def_Flows[Name(EN)],Tab_Def_Flows[Process_ID_O],,0,)</f>
        <v/>
      </c>
      <c r="G312" s="272">
        <f>_xlfn.XLOOKUP(C312,Tab_Def_Flows[Name(EN)],Tab_Def_Flows[Input_Process],,0,)</f>
        <v/>
      </c>
      <c r="H312" s="17">
        <f>_xlfn.XLOOKUP(C312,Tab_Def_Flows[Name(EN)],Tab_Def_Flows[Process_ID_I],,0,)</f>
        <v/>
      </c>
      <c r="I312" s="272">
        <f>_xlfn.XLOOKUP(C312,Tab_Def_Flows[Name(EN)],#REF!,,0,)</f>
        <v/>
      </c>
      <c r="J312" s="17">
        <f>_xlfn.XLOOKUP(C312,Tab_Def_Flows[Name(EN)],Tab_Def_Flows[WC?],,0,)</f>
        <v/>
      </c>
      <c r="K312" s="17">
        <f>_xlfn.XLOOKUP(C312,Tab_Def_Flows[Name(EN)],Tab_Def_Flows[DM?],,0,)</f>
        <v/>
      </c>
      <c r="L312" s="17">
        <f>_xlfn.XLOOKUP(C312,Tab_Def_Flows[Name(EN)],Tab_Def_Flows[CC?],,0,)</f>
        <v/>
      </c>
      <c r="M312" s="273" t="n"/>
      <c r="N312" s="273" t="n"/>
      <c r="O312" s="48" t="n"/>
      <c r="P312" s="273" t="n"/>
      <c r="Q312" s="273" t="n"/>
      <c r="R312" s="273" t="n"/>
      <c r="S312" s="23" t="n"/>
      <c r="T312" s="273" t="n"/>
      <c r="U312" s="273" t="n"/>
      <c r="V312" s="273" t="n"/>
      <c r="W312" s="273" t="n"/>
      <c r="X312" s="273" t="inlineStr">
        <is>
          <t>No</t>
        </is>
      </c>
      <c r="Y312" s="41" t="n"/>
      <c r="Z312" s="273" t="n"/>
      <c r="AA312" s="35">
        <f>IF(X312="no",O312,O312*Y312)</f>
        <v/>
      </c>
      <c r="AB312" s="273" t="inlineStr">
        <is>
          <t>Mg</t>
        </is>
      </c>
      <c r="AC312" s="190">
        <f>INDEX(Tab_Def_Flows[[Flow_ID]:[CC_DM_source]],MATCH(Tab_Data_Flows[[#This Row],[Name(EN)]],Tab_Def_Flows[Name(EN)],0),13)</f>
        <v/>
      </c>
      <c r="AD312" s="272">
        <f>IF(J312="Yes",AA312*Tab_Data_Flows[[#This Row],[WC_'[%']]],"N.A.")</f>
        <v/>
      </c>
      <c r="AE312" s="272">
        <f>Tab_Data_Flows[[#This Row],[UoM_Flow_Py]]</f>
        <v/>
      </c>
      <c r="AF312" s="190">
        <f>INDEX(Tab_Def_Flows[[Flow_ID]:[CC_DM_source]],MATCH(Tab_Data_Flows[[#This Row],[Name(EN)]],Tab_Def_Flows[Name(EN)],0),15)</f>
        <v/>
      </c>
      <c r="AG312" s="272">
        <f>IF(K312="Yes",AF312*Tab_Data_Flows[[#This Row],[Flow_Py]],"N.A.")</f>
        <v/>
      </c>
      <c r="AH312" s="272">
        <f>Tab_Data_Flows[[#This Row],[UoM_Flow_Py]]</f>
        <v/>
      </c>
      <c r="AI312" s="190">
        <f>INDEX(Tab_Def_Flows[[Flow_ID]:[CC_DM_source]],MATCH(Tab_Data_Flows[[#This Row],[Name(EN)]],Tab_Def_Flows[Name(EN)],0),17)</f>
        <v/>
      </c>
      <c r="AJ312" s="272">
        <f>IF(L312="Yes",AI312*Tab_Data_Flows[[#This Row],[Flow_Py]]*Tab_Data_Flows[[#This Row],[DM_'[%']]],"N.A.")</f>
        <v/>
      </c>
      <c r="AK312" s="272">
        <f>Tab_Data_Flows[[#This Row],[UoM_Flow_Py]]</f>
        <v/>
      </c>
    </row>
    <row r="313">
      <c r="A313" s="296">
        <f>ROW()-1</f>
        <v/>
      </c>
      <c r="B313" s="272">
        <f>_xlfn.XLOOKUP(C313,Tab_Def_Flows[Name(EN)],Tab_Def_Flows[Flow_ID],,0,)</f>
        <v/>
      </c>
      <c r="C313" s="273" t="inlineStr">
        <is>
          <t>N.A.</t>
        </is>
      </c>
      <c r="D313" s="272">
        <f>_xlfn.XLOOKUP(C313,Tab_Def_Flows[Name(EN)],Tab_Def_Flows[Type_Biomass],,0,)</f>
        <v/>
      </c>
      <c r="E313" s="272">
        <f>_xlfn.XLOOKUP(C313,Tab_Def_Flows[Name(EN)],Tab_Def_Flows[Output_Process],,0,)</f>
        <v/>
      </c>
      <c r="F313" s="272">
        <f>_xlfn.XLOOKUP(C313,Tab_Def_Flows[Name(EN)],Tab_Def_Flows[Process_ID_O],,0,)</f>
        <v/>
      </c>
      <c r="G313" s="272">
        <f>_xlfn.XLOOKUP(C313,Tab_Def_Flows[Name(EN)],Tab_Def_Flows[Input_Process],,0,)</f>
        <v/>
      </c>
      <c r="H313" s="17">
        <f>_xlfn.XLOOKUP(C313,Tab_Def_Flows[Name(EN)],Tab_Def_Flows[Process_ID_I],,0,)</f>
        <v/>
      </c>
      <c r="I313" s="272">
        <f>_xlfn.XLOOKUP(C313,Tab_Def_Flows[Name(EN)],#REF!,,0,)</f>
        <v/>
      </c>
      <c r="J313" s="17">
        <f>_xlfn.XLOOKUP(C313,Tab_Def_Flows[Name(EN)],Tab_Def_Flows[WC?],,0,)</f>
        <v/>
      </c>
      <c r="K313" s="17">
        <f>_xlfn.XLOOKUP(C313,Tab_Def_Flows[Name(EN)],Tab_Def_Flows[DM?],,0,)</f>
        <v/>
      </c>
      <c r="L313" s="17">
        <f>_xlfn.XLOOKUP(C313,Tab_Def_Flows[Name(EN)],Tab_Def_Flows[CC?],,0,)</f>
        <v/>
      </c>
      <c r="M313" s="273" t="n"/>
      <c r="N313" s="273" t="n"/>
      <c r="O313" s="48" t="n"/>
      <c r="P313" s="273" t="n"/>
      <c r="Q313" s="273" t="n"/>
      <c r="R313" s="273" t="n"/>
      <c r="S313" s="23" t="n"/>
      <c r="T313" s="273" t="n"/>
      <c r="U313" s="273" t="n"/>
      <c r="V313" s="273" t="n"/>
      <c r="W313" s="273" t="n"/>
      <c r="X313" s="273" t="inlineStr">
        <is>
          <t>No</t>
        </is>
      </c>
      <c r="Y313" s="41" t="n"/>
      <c r="Z313" s="273" t="n"/>
      <c r="AA313" s="35">
        <f>IF(X313="no",O313,O313*Y313)</f>
        <v/>
      </c>
      <c r="AB313" s="273" t="inlineStr">
        <is>
          <t>Mg</t>
        </is>
      </c>
      <c r="AC313" s="190">
        <f>INDEX(Tab_Def_Flows[[Flow_ID]:[CC_DM_source]],MATCH(Tab_Data_Flows[[#This Row],[Name(EN)]],Tab_Def_Flows[Name(EN)],0),13)</f>
        <v/>
      </c>
      <c r="AD313" s="272">
        <f>IF(J313="Yes",AA313*Tab_Data_Flows[[#This Row],[WC_'[%']]],"N.A.")</f>
        <v/>
      </c>
      <c r="AE313" s="272">
        <f>Tab_Data_Flows[[#This Row],[UoM_Flow_Py]]</f>
        <v/>
      </c>
      <c r="AF313" s="190">
        <f>INDEX(Tab_Def_Flows[[Flow_ID]:[CC_DM_source]],MATCH(Tab_Data_Flows[[#This Row],[Name(EN)]],Tab_Def_Flows[Name(EN)],0),15)</f>
        <v/>
      </c>
      <c r="AG313" s="272">
        <f>IF(K313="Yes",AF313*Tab_Data_Flows[[#This Row],[Flow_Py]],"N.A.")</f>
        <v/>
      </c>
      <c r="AH313" s="272">
        <f>Tab_Data_Flows[[#This Row],[UoM_Flow_Py]]</f>
        <v/>
      </c>
      <c r="AI313" s="190">
        <f>INDEX(Tab_Def_Flows[[Flow_ID]:[CC_DM_source]],MATCH(Tab_Data_Flows[[#This Row],[Name(EN)]],Tab_Def_Flows[Name(EN)],0),17)</f>
        <v/>
      </c>
      <c r="AJ313" s="272">
        <f>IF(L313="Yes",AI313*Tab_Data_Flows[[#This Row],[Flow_Py]]*Tab_Data_Flows[[#This Row],[DM_'[%']]],"N.A.")</f>
        <v/>
      </c>
      <c r="AK313" s="272">
        <f>Tab_Data_Flows[[#This Row],[UoM_Flow_Py]]</f>
        <v/>
      </c>
    </row>
    <row r="314">
      <c r="A314" s="296">
        <f>ROW()-1</f>
        <v/>
      </c>
      <c r="B314" s="272">
        <f>_xlfn.XLOOKUP(C314,Tab_Def_Flows[Name(EN)],Tab_Def_Flows[Flow_ID],,0,)</f>
        <v/>
      </c>
      <c r="C314" s="273" t="inlineStr">
        <is>
          <t>N.A.</t>
        </is>
      </c>
      <c r="D314" s="272">
        <f>_xlfn.XLOOKUP(C314,Tab_Def_Flows[Name(EN)],Tab_Def_Flows[Type_Biomass],,0,)</f>
        <v/>
      </c>
      <c r="E314" s="272">
        <f>_xlfn.XLOOKUP(C314,Tab_Def_Flows[Name(EN)],Tab_Def_Flows[Output_Process],,0,)</f>
        <v/>
      </c>
      <c r="F314" s="272">
        <f>_xlfn.XLOOKUP(C314,Tab_Def_Flows[Name(EN)],Tab_Def_Flows[Process_ID_O],,0,)</f>
        <v/>
      </c>
      <c r="G314" s="272">
        <f>_xlfn.XLOOKUP(C314,Tab_Def_Flows[Name(EN)],Tab_Def_Flows[Input_Process],,0,)</f>
        <v/>
      </c>
      <c r="H314" s="17">
        <f>_xlfn.XLOOKUP(C314,Tab_Def_Flows[Name(EN)],Tab_Def_Flows[Process_ID_I],,0,)</f>
        <v/>
      </c>
      <c r="I314" s="272">
        <f>_xlfn.XLOOKUP(C314,Tab_Def_Flows[Name(EN)],#REF!,,0,)</f>
        <v/>
      </c>
      <c r="J314" s="17">
        <f>_xlfn.XLOOKUP(C314,Tab_Def_Flows[Name(EN)],Tab_Def_Flows[WC?],,0,)</f>
        <v/>
      </c>
      <c r="K314" s="17">
        <f>_xlfn.XLOOKUP(C314,Tab_Def_Flows[Name(EN)],Tab_Def_Flows[DM?],,0,)</f>
        <v/>
      </c>
      <c r="L314" s="17">
        <f>_xlfn.XLOOKUP(C314,Tab_Def_Flows[Name(EN)],Tab_Def_Flows[CC?],,0,)</f>
        <v/>
      </c>
      <c r="M314" s="273" t="n"/>
      <c r="N314" s="273" t="n"/>
      <c r="O314" s="48" t="n"/>
      <c r="P314" s="273" t="n"/>
      <c r="Q314" s="273" t="n"/>
      <c r="R314" s="273" t="n"/>
      <c r="S314" s="23" t="n"/>
      <c r="T314" s="273" t="n"/>
      <c r="U314" s="273" t="n"/>
      <c r="V314" s="273" t="n"/>
      <c r="W314" s="273" t="n"/>
      <c r="X314" s="273" t="inlineStr">
        <is>
          <t>No</t>
        </is>
      </c>
      <c r="Y314" s="41" t="n"/>
      <c r="Z314" s="273" t="n"/>
      <c r="AA314" s="35">
        <f>IF(X314="no",O314,O314*Y314)</f>
        <v/>
      </c>
      <c r="AB314" s="273" t="inlineStr">
        <is>
          <t>Mg</t>
        </is>
      </c>
      <c r="AC314" s="190">
        <f>INDEX(Tab_Def_Flows[[Flow_ID]:[CC_DM_source]],MATCH(Tab_Data_Flows[[#This Row],[Name(EN)]],Tab_Def_Flows[Name(EN)],0),13)</f>
        <v/>
      </c>
      <c r="AD314" s="272">
        <f>IF(J314="Yes",AA314*Tab_Data_Flows[[#This Row],[WC_'[%']]],"N.A.")</f>
        <v/>
      </c>
      <c r="AE314" s="272">
        <f>Tab_Data_Flows[[#This Row],[UoM_Flow_Py]]</f>
        <v/>
      </c>
      <c r="AF314" s="190">
        <f>INDEX(Tab_Def_Flows[[Flow_ID]:[CC_DM_source]],MATCH(Tab_Data_Flows[[#This Row],[Name(EN)]],Tab_Def_Flows[Name(EN)],0),15)</f>
        <v/>
      </c>
      <c r="AG314" s="272">
        <f>IF(K314="Yes",AF314*Tab_Data_Flows[[#This Row],[Flow_Py]],"N.A.")</f>
        <v/>
      </c>
      <c r="AH314" s="272">
        <f>Tab_Data_Flows[[#This Row],[UoM_Flow_Py]]</f>
        <v/>
      </c>
      <c r="AI314" s="190">
        <f>INDEX(Tab_Def_Flows[[Flow_ID]:[CC_DM_source]],MATCH(Tab_Data_Flows[[#This Row],[Name(EN)]],Tab_Def_Flows[Name(EN)],0),17)</f>
        <v/>
      </c>
      <c r="AJ314" s="272">
        <f>IF(L314="Yes",AI314*Tab_Data_Flows[[#This Row],[Flow_Py]]*Tab_Data_Flows[[#This Row],[DM_'[%']]],"N.A.")</f>
        <v/>
      </c>
      <c r="AK314" s="272">
        <f>Tab_Data_Flows[[#This Row],[UoM_Flow_Py]]</f>
        <v/>
      </c>
    </row>
    <row r="315">
      <c r="A315" s="296">
        <f>ROW()-1</f>
        <v/>
      </c>
      <c r="B315" s="272">
        <f>_xlfn.XLOOKUP(C315,Tab_Def_Flows[Name(EN)],Tab_Def_Flows[Flow_ID],,0,)</f>
        <v/>
      </c>
      <c r="C315" s="273" t="inlineStr">
        <is>
          <t>N.A.</t>
        </is>
      </c>
      <c r="D315" s="272">
        <f>_xlfn.XLOOKUP(C315,Tab_Def_Flows[Name(EN)],Tab_Def_Flows[Type_Biomass],,0,)</f>
        <v/>
      </c>
      <c r="E315" s="272">
        <f>_xlfn.XLOOKUP(C315,Tab_Def_Flows[Name(EN)],Tab_Def_Flows[Output_Process],,0,)</f>
        <v/>
      </c>
      <c r="F315" s="272">
        <f>_xlfn.XLOOKUP(C315,Tab_Def_Flows[Name(EN)],Tab_Def_Flows[Process_ID_O],,0,)</f>
        <v/>
      </c>
      <c r="G315" s="272">
        <f>_xlfn.XLOOKUP(C315,Tab_Def_Flows[Name(EN)],Tab_Def_Flows[Input_Process],,0,)</f>
        <v/>
      </c>
      <c r="H315" s="17">
        <f>_xlfn.XLOOKUP(C315,Tab_Def_Flows[Name(EN)],Tab_Def_Flows[Process_ID_I],,0,)</f>
        <v/>
      </c>
      <c r="I315" s="272">
        <f>_xlfn.XLOOKUP(C315,Tab_Def_Flows[Name(EN)],#REF!,,0,)</f>
        <v/>
      </c>
      <c r="J315" s="17">
        <f>_xlfn.XLOOKUP(C315,Tab_Def_Flows[Name(EN)],Tab_Def_Flows[WC?],,0,)</f>
        <v/>
      </c>
      <c r="K315" s="17">
        <f>_xlfn.XLOOKUP(C315,Tab_Def_Flows[Name(EN)],Tab_Def_Flows[DM?],,0,)</f>
        <v/>
      </c>
      <c r="L315" s="17">
        <f>_xlfn.XLOOKUP(C315,Tab_Def_Flows[Name(EN)],Tab_Def_Flows[CC?],,0,)</f>
        <v/>
      </c>
      <c r="M315" s="273" t="n"/>
      <c r="N315" s="273" t="n"/>
      <c r="O315" s="48" t="n"/>
      <c r="P315" s="273" t="n"/>
      <c r="Q315" s="273" t="n"/>
      <c r="R315" s="273" t="n"/>
      <c r="S315" s="23" t="n"/>
      <c r="T315" s="273" t="n"/>
      <c r="U315" s="273" t="n"/>
      <c r="V315" s="273" t="n"/>
      <c r="W315" s="273" t="n"/>
      <c r="X315" s="273" t="inlineStr">
        <is>
          <t>No</t>
        </is>
      </c>
      <c r="Y315" s="41" t="n"/>
      <c r="Z315" s="273" t="n"/>
      <c r="AA315" s="35">
        <f>IF(X315="no",O315,O315*Y315)</f>
        <v/>
      </c>
      <c r="AB315" s="273" t="inlineStr">
        <is>
          <t>Mg</t>
        </is>
      </c>
      <c r="AC315" s="190">
        <f>INDEX(Tab_Def_Flows[[Flow_ID]:[CC_DM_source]],MATCH(Tab_Data_Flows[[#This Row],[Name(EN)]],Tab_Def_Flows[Name(EN)],0),13)</f>
        <v/>
      </c>
      <c r="AD315" s="272">
        <f>IF(J315="Yes",AA315*Tab_Data_Flows[[#This Row],[WC_'[%']]],"N.A.")</f>
        <v/>
      </c>
      <c r="AE315" s="272">
        <f>Tab_Data_Flows[[#This Row],[UoM_Flow_Py]]</f>
        <v/>
      </c>
      <c r="AF315" s="190">
        <f>INDEX(Tab_Def_Flows[[Flow_ID]:[CC_DM_source]],MATCH(Tab_Data_Flows[[#This Row],[Name(EN)]],Tab_Def_Flows[Name(EN)],0),15)</f>
        <v/>
      </c>
      <c r="AG315" s="272">
        <f>IF(K315="Yes",AF315*Tab_Data_Flows[[#This Row],[Flow_Py]],"N.A.")</f>
        <v/>
      </c>
      <c r="AH315" s="272">
        <f>Tab_Data_Flows[[#This Row],[UoM_Flow_Py]]</f>
        <v/>
      </c>
      <c r="AI315" s="190">
        <f>INDEX(Tab_Def_Flows[[Flow_ID]:[CC_DM_source]],MATCH(Tab_Data_Flows[[#This Row],[Name(EN)]],Tab_Def_Flows[Name(EN)],0),17)</f>
        <v/>
      </c>
      <c r="AJ315" s="272">
        <f>IF(L315="Yes",AI315*Tab_Data_Flows[[#This Row],[Flow_Py]]*Tab_Data_Flows[[#This Row],[DM_'[%']]],"N.A.")</f>
        <v/>
      </c>
      <c r="AK315" s="272">
        <f>Tab_Data_Flows[[#This Row],[UoM_Flow_Py]]</f>
        <v/>
      </c>
    </row>
    <row r="316">
      <c r="A316" s="296">
        <f>ROW()-1</f>
        <v/>
      </c>
      <c r="B316" s="272">
        <f>_xlfn.XLOOKUP(C316,Tab_Def_Flows[Name(EN)],Tab_Def_Flows[Flow_ID],,0,)</f>
        <v/>
      </c>
      <c r="C316" s="273" t="inlineStr">
        <is>
          <t>N.A.</t>
        </is>
      </c>
      <c r="D316" s="272">
        <f>_xlfn.XLOOKUP(C316,Tab_Def_Flows[Name(EN)],Tab_Def_Flows[Type_Biomass],,0,)</f>
        <v/>
      </c>
      <c r="E316" s="272">
        <f>_xlfn.XLOOKUP(C316,Tab_Def_Flows[Name(EN)],Tab_Def_Flows[Output_Process],,0,)</f>
        <v/>
      </c>
      <c r="F316" s="272">
        <f>_xlfn.XLOOKUP(C316,Tab_Def_Flows[Name(EN)],Tab_Def_Flows[Process_ID_O],,0,)</f>
        <v/>
      </c>
      <c r="G316" s="272">
        <f>_xlfn.XLOOKUP(C316,Tab_Def_Flows[Name(EN)],Tab_Def_Flows[Input_Process],,0,)</f>
        <v/>
      </c>
      <c r="H316" s="17">
        <f>_xlfn.XLOOKUP(C316,Tab_Def_Flows[Name(EN)],Tab_Def_Flows[Process_ID_I],,0,)</f>
        <v/>
      </c>
      <c r="I316" s="272">
        <f>_xlfn.XLOOKUP(C316,Tab_Def_Flows[Name(EN)],#REF!,,0,)</f>
        <v/>
      </c>
      <c r="J316" s="17">
        <f>_xlfn.XLOOKUP(C316,Tab_Def_Flows[Name(EN)],Tab_Def_Flows[WC?],,0,)</f>
        <v/>
      </c>
      <c r="K316" s="17">
        <f>_xlfn.XLOOKUP(C316,Tab_Def_Flows[Name(EN)],Tab_Def_Flows[DM?],,0,)</f>
        <v/>
      </c>
      <c r="L316" s="17">
        <f>_xlfn.XLOOKUP(C316,Tab_Def_Flows[Name(EN)],Tab_Def_Flows[CC?],,0,)</f>
        <v/>
      </c>
      <c r="M316" s="273" t="n"/>
      <c r="N316" s="273" t="n"/>
      <c r="O316" s="48" t="n"/>
      <c r="P316" s="273" t="n"/>
      <c r="Q316" s="273" t="n"/>
      <c r="R316" s="273" t="n"/>
      <c r="S316" s="23" t="n"/>
      <c r="T316" s="273" t="n"/>
      <c r="U316" s="273" t="n"/>
      <c r="V316" s="273" t="n"/>
      <c r="W316" s="273" t="n"/>
      <c r="X316" s="273" t="inlineStr">
        <is>
          <t>No</t>
        </is>
      </c>
      <c r="Y316" s="41" t="n"/>
      <c r="Z316" s="273" t="n"/>
      <c r="AA316" s="35">
        <f>IF(X316="no",O316,O316*Y316)</f>
        <v/>
      </c>
      <c r="AB316" s="273" t="inlineStr">
        <is>
          <t>Mg</t>
        </is>
      </c>
      <c r="AC316" s="190">
        <f>INDEX(Tab_Def_Flows[[Flow_ID]:[CC_DM_source]],MATCH(Tab_Data_Flows[[#This Row],[Name(EN)]],Tab_Def_Flows[Name(EN)],0),13)</f>
        <v/>
      </c>
      <c r="AD316" s="272">
        <f>IF(J316="Yes",AA316*Tab_Data_Flows[[#This Row],[WC_'[%']]],"N.A.")</f>
        <v/>
      </c>
      <c r="AE316" s="272">
        <f>Tab_Data_Flows[[#This Row],[UoM_Flow_Py]]</f>
        <v/>
      </c>
      <c r="AF316" s="190">
        <f>INDEX(Tab_Def_Flows[[Flow_ID]:[CC_DM_source]],MATCH(Tab_Data_Flows[[#This Row],[Name(EN)]],Tab_Def_Flows[Name(EN)],0),15)</f>
        <v/>
      </c>
      <c r="AG316" s="272">
        <f>IF(K316="Yes",AF316*Tab_Data_Flows[[#This Row],[Flow_Py]],"N.A.")</f>
        <v/>
      </c>
      <c r="AH316" s="272">
        <f>Tab_Data_Flows[[#This Row],[UoM_Flow_Py]]</f>
        <v/>
      </c>
      <c r="AI316" s="190">
        <f>INDEX(Tab_Def_Flows[[Flow_ID]:[CC_DM_source]],MATCH(Tab_Data_Flows[[#This Row],[Name(EN)]],Tab_Def_Flows[Name(EN)],0),17)</f>
        <v/>
      </c>
      <c r="AJ316" s="272">
        <f>IF(L316="Yes",AI316*Tab_Data_Flows[[#This Row],[Flow_Py]]*Tab_Data_Flows[[#This Row],[DM_'[%']]],"N.A.")</f>
        <v/>
      </c>
      <c r="AK316" s="272">
        <f>Tab_Data_Flows[[#This Row],[UoM_Flow_Py]]</f>
        <v/>
      </c>
    </row>
    <row r="317">
      <c r="A317" s="296">
        <f>ROW()-1</f>
        <v/>
      </c>
      <c r="B317" s="272">
        <f>_xlfn.XLOOKUP(C317,Tab_Def_Flows[Name(EN)],Tab_Def_Flows[Flow_ID],,0,)</f>
        <v/>
      </c>
      <c r="C317" s="273" t="inlineStr">
        <is>
          <t>N.A.</t>
        </is>
      </c>
      <c r="D317" s="272">
        <f>_xlfn.XLOOKUP(C317,Tab_Def_Flows[Name(EN)],Tab_Def_Flows[Type_Biomass],,0,)</f>
        <v/>
      </c>
      <c r="E317" s="272">
        <f>_xlfn.XLOOKUP(C317,Tab_Def_Flows[Name(EN)],Tab_Def_Flows[Output_Process],,0,)</f>
        <v/>
      </c>
      <c r="F317" s="272">
        <f>_xlfn.XLOOKUP(C317,Tab_Def_Flows[Name(EN)],Tab_Def_Flows[Process_ID_O],,0,)</f>
        <v/>
      </c>
      <c r="G317" s="272">
        <f>_xlfn.XLOOKUP(C317,Tab_Def_Flows[Name(EN)],Tab_Def_Flows[Input_Process],,0,)</f>
        <v/>
      </c>
      <c r="H317" s="17">
        <f>_xlfn.XLOOKUP(C317,Tab_Def_Flows[Name(EN)],Tab_Def_Flows[Process_ID_I],,0,)</f>
        <v/>
      </c>
      <c r="I317" s="272">
        <f>_xlfn.XLOOKUP(C317,Tab_Def_Flows[Name(EN)],#REF!,,0,)</f>
        <v/>
      </c>
      <c r="J317" s="17">
        <f>_xlfn.XLOOKUP(C317,Tab_Def_Flows[Name(EN)],Tab_Def_Flows[WC?],,0,)</f>
        <v/>
      </c>
      <c r="K317" s="17">
        <f>_xlfn.XLOOKUP(C317,Tab_Def_Flows[Name(EN)],Tab_Def_Flows[DM?],,0,)</f>
        <v/>
      </c>
      <c r="L317" s="17">
        <f>_xlfn.XLOOKUP(C317,Tab_Def_Flows[Name(EN)],Tab_Def_Flows[CC?],,0,)</f>
        <v/>
      </c>
      <c r="M317" s="273" t="n"/>
      <c r="N317" s="273" t="n"/>
      <c r="O317" s="48" t="n"/>
      <c r="P317" s="273" t="n"/>
      <c r="Q317" s="273" t="n"/>
      <c r="R317" s="273" t="n"/>
      <c r="S317" s="23" t="n"/>
      <c r="T317" s="273" t="n"/>
      <c r="U317" s="273" t="n"/>
      <c r="V317" s="273" t="n"/>
      <c r="W317" s="273" t="n"/>
      <c r="X317" s="273" t="inlineStr">
        <is>
          <t>No</t>
        </is>
      </c>
      <c r="Y317" s="41" t="n"/>
      <c r="Z317" s="273" t="n"/>
      <c r="AA317" s="35">
        <f>IF(X317="no",O317,O317*Y317)</f>
        <v/>
      </c>
      <c r="AB317" s="273" t="inlineStr">
        <is>
          <t>Mg</t>
        </is>
      </c>
      <c r="AC317" s="190">
        <f>INDEX(Tab_Def_Flows[[Flow_ID]:[CC_DM_source]],MATCH(Tab_Data_Flows[[#This Row],[Name(EN)]],Tab_Def_Flows[Name(EN)],0),13)</f>
        <v/>
      </c>
      <c r="AD317" s="272">
        <f>IF(J317="Yes",AA317*Tab_Data_Flows[[#This Row],[WC_'[%']]],"N.A.")</f>
        <v/>
      </c>
      <c r="AE317" s="272">
        <f>Tab_Data_Flows[[#This Row],[UoM_Flow_Py]]</f>
        <v/>
      </c>
      <c r="AF317" s="190">
        <f>INDEX(Tab_Def_Flows[[Flow_ID]:[CC_DM_source]],MATCH(Tab_Data_Flows[[#This Row],[Name(EN)]],Tab_Def_Flows[Name(EN)],0),15)</f>
        <v/>
      </c>
      <c r="AG317" s="272">
        <f>IF(K317="Yes",AF317*Tab_Data_Flows[[#This Row],[Flow_Py]],"N.A.")</f>
        <v/>
      </c>
      <c r="AH317" s="272">
        <f>Tab_Data_Flows[[#This Row],[UoM_Flow_Py]]</f>
        <v/>
      </c>
      <c r="AI317" s="190">
        <f>INDEX(Tab_Def_Flows[[Flow_ID]:[CC_DM_source]],MATCH(Tab_Data_Flows[[#This Row],[Name(EN)]],Tab_Def_Flows[Name(EN)],0),17)</f>
        <v/>
      </c>
      <c r="AJ317" s="272">
        <f>IF(L317="Yes",AI317*Tab_Data_Flows[[#This Row],[Flow_Py]]*Tab_Data_Flows[[#This Row],[DM_'[%']]],"N.A.")</f>
        <v/>
      </c>
      <c r="AK317" s="272">
        <f>Tab_Data_Flows[[#This Row],[UoM_Flow_Py]]</f>
        <v/>
      </c>
    </row>
    <row r="318">
      <c r="A318" s="296">
        <f>ROW()-1</f>
        <v/>
      </c>
      <c r="B318" s="272">
        <f>_xlfn.XLOOKUP(C318,Tab_Def_Flows[Name(EN)],Tab_Def_Flows[Flow_ID],,0,)</f>
        <v/>
      </c>
      <c r="C318" s="273" t="inlineStr">
        <is>
          <t>N.A.</t>
        </is>
      </c>
      <c r="D318" s="272">
        <f>_xlfn.XLOOKUP(C318,Tab_Def_Flows[Name(EN)],Tab_Def_Flows[Type_Biomass],,0,)</f>
        <v/>
      </c>
      <c r="E318" s="272">
        <f>_xlfn.XLOOKUP(C318,Tab_Def_Flows[Name(EN)],Tab_Def_Flows[Output_Process],,0,)</f>
        <v/>
      </c>
      <c r="F318" s="272">
        <f>_xlfn.XLOOKUP(C318,Tab_Def_Flows[Name(EN)],Tab_Def_Flows[Process_ID_O],,0,)</f>
        <v/>
      </c>
      <c r="G318" s="272">
        <f>_xlfn.XLOOKUP(C318,Tab_Def_Flows[Name(EN)],Tab_Def_Flows[Input_Process],,0,)</f>
        <v/>
      </c>
      <c r="H318" s="17">
        <f>_xlfn.XLOOKUP(C318,Tab_Def_Flows[Name(EN)],Tab_Def_Flows[Process_ID_I],,0,)</f>
        <v/>
      </c>
      <c r="I318" s="272">
        <f>_xlfn.XLOOKUP(C318,Tab_Def_Flows[Name(EN)],#REF!,,0,)</f>
        <v/>
      </c>
      <c r="J318" s="17">
        <f>_xlfn.XLOOKUP(C318,Tab_Def_Flows[Name(EN)],Tab_Def_Flows[WC?],,0,)</f>
        <v/>
      </c>
      <c r="K318" s="17">
        <f>_xlfn.XLOOKUP(C318,Tab_Def_Flows[Name(EN)],Tab_Def_Flows[DM?],,0,)</f>
        <v/>
      </c>
      <c r="L318" s="17">
        <f>_xlfn.XLOOKUP(C318,Tab_Def_Flows[Name(EN)],Tab_Def_Flows[CC?],,0,)</f>
        <v/>
      </c>
      <c r="M318" s="273" t="n"/>
      <c r="N318" s="273" t="n"/>
      <c r="O318" s="48" t="n"/>
      <c r="P318" s="273" t="n"/>
      <c r="Q318" s="273" t="n"/>
      <c r="R318" s="273" t="n"/>
      <c r="S318" s="23" t="n"/>
      <c r="T318" s="273" t="n"/>
      <c r="U318" s="273" t="n"/>
      <c r="V318" s="273" t="n"/>
      <c r="W318" s="273" t="n"/>
      <c r="X318" s="273" t="inlineStr">
        <is>
          <t>No</t>
        </is>
      </c>
      <c r="Y318" s="41" t="n"/>
      <c r="Z318" s="273" t="n"/>
      <c r="AA318" s="35">
        <f>IF(X318="no",O318,O318*Y318)</f>
        <v/>
      </c>
      <c r="AB318" s="273" t="inlineStr">
        <is>
          <t>Mg</t>
        </is>
      </c>
      <c r="AC318" s="190">
        <f>INDEX(Tab_Def_Flows[[Flow_ID]:[CC_DM_source]],MATCH(Tab_Data_Flows[[#This Row],[Name(EN)]],Tab_Def_Flows[Name(EN)],0),13)</f>
        <v/>
      </c>
      <c r="AD318" s="272">
        <f>IF(J318="Yes",AA318*Tab_Data_Flows[[#This Row],[WC_'[%']]],"N.A.")</f>
        <v/>
      </c>
      <c r="AE318" s="272">
        <f>Tab_Data_Flows[[#This Row],[UoM_Flow_Py]]</f>
        <v/>
      </c>
      <c r="AF318" s="190">
        <f>INDEX(Tab_Def_Flows[[Flow_ID]:[CC_DM_source]],MATCH(Tab_Data_Flows[[#This Row],[Name(EN)]],Tab_Def_Flows[Name(EN)],0),15)</f>
        <v/>
      </c>
      <c r="AG318" s="272">
        <f>IF(K318="Yes",AF318*Tab_Data_Flows[[#This Row],[Flow_Py]],"N.A.")</f>
        <v/>
      </c>
      <c r="AH318" s="272">
        <f>Tab_Data_Flows[[#This Row],[UoM_Flow_Py]]</f>
        <v/>
      </c>
      <c r="AI318" s="190">
        <f>INDEX(Tab_Def_Flows[[Flow_ID]:[CC_DM_source]],MATCH(Tab_Data_Flows[[#This Row],[Name(EN)]],Tab_Def_Flows[Name(EN)],0),17)</f>
        <v/>
      </c>
      <c r="AJ318" s="272">
        <f>IF(L318="Yes",AI318*Tab_Data_Flows[[#This Row],[Flow_Py]]*Tab_Data_Flows[[#This Row],[DM_'[%']]],"N.A.")</f>
        <v/>
      </c>
      <c r="AK318" s="272">
        <f>Tab_Data_Flows[[#This Row],[UoM_Flow_Py]]</f>
        <v/>
      </c>
    </row>
    <row r="319">
      <c r="A319" s="296">
        <f>ROW()-1</f>
        <v/>
      </c>
      <c r="B319" s="272">
        <f>_xlfn.XLOOKUP(C319,Tab_Def_Flows[Name(EN)],Tab_Def_Flows[Flow_ID],,0,)</f>
        <v/>
      </c>
      <c r="C319" s="273" t="inlineStr">
        <is>
          <t>N.A.</t>
        </is>
      </c>
      <c r="D319" s="272">
        <f>_xlfn.XLOOKUP(C319,Tab_Def_Flows[Name(EN)],Tab_Def_Flows[Type_Biomass],,0,)</f>
        <v/>
      </c>
      <c r="E319" s="272">
        <f>_xlfn.XLOOKUP(C319,Tab_Def_Flows[Name(EN)],Tab_Def_Flows[Output_Process],,0,)</f>
        <v/>
      </c>
      <c r="F319" s="272">
        <f>_xlfn.XLOOKUP(C319,Tab_Def_Flows[Name(EN)],Tab_Def_Flows[Process_ID_O],,0,)</f>
        <v/>
      </c>
      <c r="G319" s="272">
        <f>_xlfn.XLOOKUP(C319,Tab_Def_Flows[Name(EN)],Tab_Def_Flows[Input_Process],,0,)</f>
        <v/>
      </c>
      <c r="H319" s="17">
        <f>_xlfn.XLOOKUP(C319,Tab_Def_Flows[Name(EN)],Tab_Def_Flows[Process_ID_I],,0,)</f>
        <v/>
      </c>
      <c r="I319" s="272">
        <f>_xlfn.XLOOKUP(C319,Tab_Def_Flows[Name(EN)],#REF!,,0,)</f>
        <v/>
      </c>
      <c r="J319" s="17">
        <f>_xlfn.XLOOKUP(C319,Tab_Def_Flows[Name(EN)],Tab_Def_Flows[WC?],,0,)</f>
        <v/>
      </c>
      <c r="K319" s="17">
        <f>_xlfn.XLOOKUP(C319,Tab_Def_Flows[Name(EN)],Tab_Def_Flows[DM?],,0,)</f>
        <v/>
      </c>
      <c r="L319" s="17">
        <f>_xlfn.XLOOKUP(C319,Tab_Def_Flows[Name(EN)],Tab_Def_Flows[CC?],,0,)</f>
        <v/>
      </c>
      <c r="M319" s="273" t="n"/>
      <c r="N319" s="273" t="n"/>
      <c r="O319" s="48" t="n"/>
      <c r="P319" s="273" t="n"/>
      <c r="Q319" s="273" t="n"/>
      <c r="R319" s="273" t="n"/>
      <c r="S319" s="23" t="n"/>
      <c r="T319" s="273" t="n"/>
      <c r="U319" s="273" t="n"/>
      <c r="V319" s="273" t="n"/>
      <c r="W319" s="273" t="n"/>
      <c r="X319" s="273" t="inlineStr">
        <is>
          <t>No</t>
        </is>
      </c>
      <c r="Y319" s="41" t="n"/>
      <c r="Z319" s="273" t="n"/>
      <c r="AA319" s="35">
        <f>IF(X319="no",O319,O319*Y319)</f>
        <v/>
      </c>
      <c r="AB319" s="273" t="inlineStr">
        <is>
          <t>Mg</t>
        </is>
      </c>
      <c r="AC319" s="190">
        <f>INDEX(Tab_Def_Flows[[Flow_ID]:[CC_DM_source]],MATCH(Tab_Data_Flows[[#This Row],[Name(EN)]],Tab_Def_Flows[Name(EN)],0),13)</f>
        <v/>
      </c>
      <c r="AD319" s="272">
        <f>IF(J319="Yes",AA319*Tab_Data_Flows[[#This Row],[WC_'[%']]],"N.A.")</f>
        <v/>
      </c>
      <c r="AE319" s="272">
        <f>Tab_Data_Flows[[#This Row],[UoM_Flow_Py]]</f>
        <v/>
      </c>
      <c r="AF319" s="190">
        <f>INDEX(Tab_Def_Flows[[Flow_ID]:[CC_DM_source]],MATCH(Tab_Data_Flows[[#This Row],[Name(EN)]],Tab_Def_Flows[Name(EN)],0),15)</f>
        <v/>
      </c>
      <c r="AG319" s="272">
        <f>IF(K319="Yes",AF319*Tab_Data_Flows[[#This Row],[Flow_Py]],"N.A.")</f>
        <v/>
      </c>
      <c r="AH319" s="272">
        <f>Tab_Data_Flows[[#This Row],[UoM_Flow_Py]]</f>
        <v/>
      </c>
      <c r="AI319" s="190">
        <f>INDEX(Tab_Def_Flows[[Flow_ID]:[CC_DM_source]],MATCH(Tab_Data_Flows[[#This Row],[Name(EN)]],Tab_Def_Flows[Name(EN)],0),17)</f>
        <v/>
      </c>
      <c r="AJ319" s="272">
        <f>IF(L319="Yes",AI319*Tab_Data_Flows[[#This Row],[Flow_Py]]*Tab_Data_Flows[[#This Row],[DM_'[%']]],"N.A.")</f>
        <v/>
      </c>
      <c r="AK319" s="272">
        <f>Tab_Data_Flows[[#This Row],[UoM_Flow_Py]]</f>
        <v/>
      </c>
    </row>
    <row r="320">
      <c r="A320" s="296">
        <f>ROW()-1</f>
        <v/>
      </c>
      <c r="B320" s="272">
        <f>_xlfn.XLOOKUP(C320,Tab_Def_Flows[Name(EN)],Tab_Def_Flows[Flow_ID],,0,)</f>
        <v/>
      </c>
      <c r="C320" s="273" t="inlineStr">
        <is>
          <t>N.A.</t>
        </is>
      </c>
      <c r="D320" s="272">
        <f>_xlfn.XLOOKUP(C320,Tab_Def_Flows[Name(EN)],Tab_Def_Flows[Type_Biomass],,0,)</f>
        <v/>
      </c>
      <c r="E320" s="272">
        <f>_xlfn.XLOOKUP(C320,Tab_Def_Flows[Name(EN)],Tab_Def_Flows[Output_Process],,0,)</f>
        <v/>
      </c>
      <c r="F320" s="272">
        <f>_xlfn.XLOOKUP(C320,Tab_Def_Flows[Name(EN)],Tab_Def_Flows[Process_ID_O],,0,)</f>
        <v/>
      </c>
      <c r="G320" s="272">
        <f>_xlfn.XLOOKUP(C320,Tab_Def_Flows[Name(EN)],Tab_Def_Flows[Input_Process],,0,)</f>
        <v/>
      </c>
      <c r="H320" s="17">
        <f>_xlfn.XLOOKUP(C320,Tab_Def_Flows[Name(EN)],Tab_Def_Flows[Process_ID_I],,0,)</f>
        <v/>
      </c>
      <c r="I320" s="272">
        <f>_xlfn.XLOOKUP(C320,Tab_Def_Flows[Name(EN)],#REF!,,0,)</f>
        <v/>
      </c>
      <c r="J320" s="17">
        <f>_xlfn.XLOOKUP(C320,Tab_Def_Flows[Name(EN)],Tab_Def_Flows[WC?],,0,)</f>
        <v/>
      </c>
      <c r="K320" s="17">
        <f>_xlfn.XLOOKUP(C320,Tab_Def_Flows[Name(EN)],Tab_Def_Flows[DM?],,0,)</f>
        <v/>
      </c>
      <c r="L320" s="17">
        <f>_xlfn.XLOOKUP(C320,Tab_Def_Flows[Name(EN)],Tab_Def_Flows[CC?],,0,)</f>
        <v/>
      </c>
      <c r="M320" s="273" t="n"/>
      <c r="N320" s="273" t="n"/>
      <c r="O320" s="48" t="n"/>
      <c r="P320" s="273" t="n"/>
      <c r="Q320" s="273" t="n"/>
      <c r="R320" s="273" t="n"/>
      <c r="S320" s="23" t="n"/>
      <c r="T320" s="273" t="n"/>
      <c r="U320" s="273" t="n"/>
      <c r="V320" s="273" t="n"/>
      <c r="W320" s="273" t="n"/>
      <c r="X320" s="273" t="inlineStr">
        <is>
          <t>No</t>
        </is>
      </c>
      <c r="Y320" s="41" t="n"/>
      <c r="Z320" s="273" t="n"/>
      <c r="AA320" s="35">
        <f>IF(X320="no",O320,O320*Y320)</f>
        <v/>
      </c>
      <c r="AB320" s="273" t="inlineStr">
        <is>
          <t>Mg</t>
        </is>
      </c>
      <c r="AC320" s="190">
        <f>INDEX(Tab_Def_Flows[[Flow_ID]:[CC_DM_source]],MATCH(Tab_Data_Flows[[#This Row],[Name(EN)]],Tab_Def_Flows[Name(EN)],0),13)</f>
        <v/>
      </c>
      <c r="AD320" s="272">
        <f>IF(J320="Yes",AA320*Tab_Data_Flows[[#This Row],[WC_'[%']]],"N.A.")</f>
        <v/>
      </c>
      <c r="AE320" s="272">
        <f>Tab_Data_Flows[[#This Row],[UoM_Flow_Py]]</f>
        <v/>
      </c>
      <c r="AF320" s="190">
        <f>INDEX(Tab_Def_Flows[[Flow_ID]:[CC_DM_source]],MATCH(Tab_Data_Flows[[#This Row],[Name(EN)]],Tab_Def_Flows[Name(EN)],0),15)</f>
        <v/>
      </c>
      <c r="AG320" s="272">
        <f>IF(K320="Yes",AF320*Tab_Data_Flows[[#This Row],[Flow_Py]],"N.A.")</f>
        <v/>
      </c>
      <c r="AH320" s="272">
        <f>Tab_Data_Flows[[#This Row],[UoM_Flow_Py]]</f>
        <v/>
      </c>
      <c r="AI320" s="190">
        <f>INDEX(Tab_Def_Flows[[Flow_ID]:[CC_DM_source]],MATCH(Tab_Data_Flows[[#This Row],[Name(EN)]],Tab_Def_Flows[Name(EN)],0),17)</f>
        <v/>
      </c>
      <c r="AJ320" s="272">
        <f>IF(L320="Yes",AI320*Tab_Data_Flows[[#This Row],[Flow_Py]]*Tab_Data_Flows[[#This Row],[DM_'[%']]],"N.A.")</f>
        <v/>
      </c>
      <c r="AK320" s="272">
        <f>Tab_Data_Flows[[#This Row],[UoM_Flow_Py]]</f>
        <v/>
      </c>
    </row>
    <row r="321">
      <c r="A321" s="296">
        <f>ROW()-1</f>
        <v/>
      </c>
      <c r="B321" s="272">
        <f>_xlfn.XLOOKUP(C321,Tab_Def_Flows[Name(EN)],Tab_Def_Flows[Flow_ID],,0,)</f>
        <v/>
      </c>
      <c r="C321" s="273" t="inlineStr">
        <is>
          <t>N.A.</t>
        </is>
      </c>
      <c r="D321" s="272">
        <f>_xlfn.XLOOKUP(C321,Tab_Def_Flows[Name(EN)],Tab_Def_Flows[Type_Biomass],,0,)</f>
        <v/>
      </c>
      <c r="E321" s="272">
        <f>_xlfn.XLOOKUP(C321,Tab_Def_Flows[Name(EN)],Tab_Def_Flows[Output_Process],,0,)</f>
        <v/>
      </c>
      <c r="F321" s="272">
        <f>_xlfn.XLOOKUP(C321,Tab_Def_Flows[Name(EN)],Tab_Def_Flows[Process_ID_O],,0,)</f>
        <v/>
      </c>
      <c r="G321" s="272">
        <f>_xlfn.XLOOKUP(C321,Tab_Def_Flows[Name(EN)],Tab_Def_Flows[Input_Process],,0,)</f>
        <v/>
      </c>
      <c r="H321" s="17">
        <f>_xlfn.XLOOKUP(C321,Tab_Def_Flows[Name(EN)],Tab_Def_Flows[Process_ID_I],,0,)</f>
        <v/>
      </c>
      <c r="I321" s="272">
        <f>_xlfn.XLOOKUP(C321,Tab_Def_Flows[Name(EN)],#REF!,,0,)</f>
        <v/>
      </c>
      <c r="J321" s="17">
        <f>_xlfn.XLOOKUP(C321,Tab_Def_Flows[Name(EN)],Tab_Def_Flows[WC?],,0,)</f>
        <v/>
      </c>
      <c r="K321" s="17">
        <f>_xlfn.XLOOKUP(C321,Tab_Def_Flows[Name(EN)],Tab_Def_Flows[DM?],,0,)</f>
        <v/>
      </c>
      <c r="L321" s="17">
        <f>_xlfn.XLOOKUP(C321,Tab_Def_Flows[Name(EN)],Tab_Def_Flows[CC?],,0,)</f>
        <v/>
      </c>
      <c r="M321" s="273" t="n"/>
      <c r="N321" s="273" t="n"/>
      <c r="O321" s="48" t="n"/>
      <c r="P321" s="273" t="n"/>
      <c r="Q321" s="273" t="n"/>
      <c r="R321" s="273" t="n"/>
      <c r="S321" s="23" t="n"/>
      <c r="T321" s="273" t="n"/>
      <c r="U321" s="273" t="n"/>
      <c r="V321" s="273" t="n"/>
      <c r="W321" s="273" t="n"/>
      <c r="X321" s="273" t="inlineStr">
        <is>
          <t>No</t>
        </is>
      </c>
      <c r="Y321" s="41" t="n"/>
      <c r="Z321" s="273" t="n"/>
      <c r="AA321" s="35">
        <f>IF(X321="no",O321,O321*Y321)</f>
        <v/>
      </c>
      <c r="AB321" s="273" t="inlineStr">
        <is>
          <t>Mg</t>
        </is>
      </c>
      <c r="AC321" s="190">
        <f>INDEX(Tab_Def_Flows[[Flow_ID]:[CC_DM_source]],MATCH(Tab_Data_Flows[[#This Row],[Name(EN)]],Tab_Def_Flows[Name(EN)],0),13)</f>
        <v/>
      </c>
      <c r="AD321" s="272">
        <f>IF(J321="Yes",AA321*Tab_Data_Flows[[#This Row],[WC_'[%']]],"N.A.")</f>
        <v/>
      </c>
      <c r="AE321" s="272">
        <f>Tab_Data_Flows[[#This Row],[UoM_Flow_Py]]</f>
        <v/>
      </c>
      <c r="AF321" s="190">
        <f>INDEX(Tab_Def_Flows[[Flow_ID]:[CC_DM_source]],MATCH(Tab_Data_Flows[[#This Row],[Name(EN)]],Tab_Def_Flows[Name(EN)],0),15)</f>
        <v/>
      </c>
      <c r="AG321" s="272">
        <f>IF(K321="Yes",AF321*Tab_Data_Flows[[#This Row],[Flow_Py]],"N.A.")</f>
        <v/>
      </c>
      <c r="AH321" s="272">
        <f>Tab_Data_Flows[[#This Row],[UoM_Flow_Py]]</f>
        <v/>
      </c>
      <c r="AI321" s="190">
        <f>INDEX(Tab_Def_Flows[[Flow_ID]:[CC_DM_source]],MATCH(Tab_Data_Flows[[#This Row],[Name(EN)]],Tab_Def_Flows[Name(EN)],0),17)</f>
        <v/>
      </c>
      <c r="AJ321" s="272">
        <f>IF(L321="Yes",AI321*Tab_Data_Flows[[#This Row],[Flow_Py]]*Tab_Data_Flows[[#This Row],[DM_'[%']]],"N.A.")</f>
        <v/>
      </c>
      <c r="AK321" s="272">
        <f>Tab_Data_Flows[[#This Row],[UoM_Flow_Py]]</f>
        <v/>
      </c>
    </row>
    <row r="322">
      <c r="A322" s="296">
        <f>ROW()-1</f>
        <v/>
      </c>
      <c r="B322" s="272">
        <f>_xlfn.XLOOKUP(C322,Tab_Def_Flows[Name(EN)],Tab_Def_Flows[Flow_ID],,0,)</f>
        <v/>
      </c>
      <c r="C322" s="273" t="inlineStr">
        <is>
          <t>N.A.</t>
        </is>
      </c>
      <c r="D322" s="272">
        <f>_xlfn.XLOOKUP(C322,Tab_Def_Flows[Name(EN)],Tab_Def_Flows[Type_Biomass],,0,)</f>
        <v/>
      </c>
      <c r="E322" s="272">
        <f>_xlfn.XLOOKUP(C322,Tab_Def_Flows[Name(EN)],Tab_Def_Flows[Output_Process],,0,)</f>
        <v/>
      </c>
      <c r="F322" s="272">
        <f>_xlfn.XLOOKUP(C322,Tab_Def_Flows[Name(EN)],Tab_Def_Flows[Process_ID_O],,0,)</f>
        <v/>
      </c>
      <c r="G322" s="272">
        <f>_xlfn.XLOOKUP(C322,Tab_Def_Flows[Name(EN)],Tab_Def_Flows[Input_Process],,0,)</f>
        <v/>
      </c>
      <c r="H322" s="17">
        <f>_xlfn.XLOOKUP(C322,Tab_Def_Flows[Name(EN)],Tab_Def_Flows[Process_ID_I],,0,)</f>
        <v/>
      </c>
      <c r="I322" s="272">
        <f>_xlfn.XLOOKUP(C322,Tab_Def_Flows[Name(EN)],#REF!,,0,)</f>
        <v/>
      </c>
      <c r="J322" s="17">
        <f>_xlfn.XLOOKUP(C322,Tab_Def_Flows[Name(EN)],Tab_Def_Flows[WC?],,0,)</f>
        <v/>
      </c>
      <c r="K322" s="17">
        <f>_xlfn.XLOOKUP(C322,Tab_Def_Flows[Name(EN)],Tab_Def_Flows[DM?],,0,)</f>
        <v/>
      </c>
      <c r="L322" s="17">
        <f>_xlfn.XLOOKUP(C322,Tab_Def_Flows[Name(EN)],Tab_Def_Flows[CC?],,0,)</f>
        <v/>
      </c>
      <c r="M322" s="273" t="n"/>
      <c r="N322" s="273" t="n"/>
      <c r="O322" s="48" t="n"/>
      <c r="P322" s="273" t="n"/>
      <c r="Q322" s="273" t="n"/>
      <c r="R322" s="273" t="n"/>
      <c r="S322" s="23" t="n"/>
      <c r="T322" s="273" t="n"/>
      <c r="U322" s="273" t="n"/>
      <c r="V322" s="273" t="n"/>
      <c r="W322" s="273" t="n"/>
      <c r="X322" s="273" t="inlineStr">
        <is>
          <t>No</t>
        </is>
      </c>
      <c r="Y322" s="41" t="n"/>
      <c r="Z322" s="273" t="n"/>
      <c r="AA322" s="35">
        <f>IF(X322="no",O322,O322*Y322)</f>
        <v/>
      </c>
      <c r="AB322" s="273" t="inlineStr">
        <is>
          <t>Mg</t>
        </is>
      </c>
      <c r="AC322" s="190">
        <f>INDEX(Tab_Def_Flows[[Flow_ID]:[CC_DM_source]],MATCH(Tab_Data_Flows[[#This Row],[Name(EN)]],Tab_Def_Flows[Name(EN)],0),13)</f>
        <v/>
      </c>
      <c r="AD322" s="272">
        <f>IF(J322="Yes",AA322*Tab_Data_Flows[[#This Row],[WC_'[%']]],"N.A.")</f>
        <v/>
      </c>
      <c r="AE322" s="272">
        <f>Tab_Data_Flows[[#This Row],[UoM_Flow_Py]]</f>
        <v/>
      </c>
      <c r="AF322" s="190">
        <f>INDEX(Tab_Def_Flows[[Flow_ID]:[CC_DM_source]],MATCH(Tab_Data_Flows[[#This Row],[Name(EN)]],Tab_Def_Flows[Name(EN)],0),15)</f>
        <v/>
      </c>
      <c r="AG322" s="272">
        <f>IF(K322="Yes",AF322*Tab_Data_Flows[[#This Row],[Flow_Py]],"N.A.")</f>
        <v/>
      </c>
      <c r="AH322" s="272">
        <f>Tab_Data_Flows[[#This Row],[UoM_Flow_Py]]</f>
        <v/>
      </c>
      <c r="AI322" s="190">
        <f>INDEX(Tab_Def_Flows[[Flow_ID]:[CC_DM_source]],MATCH(Tab_Data_Flows[[#This Row],[Name(EN)]],Tab_Def_Flows[Name(EN)],0),17)</f>
        <v/>
      </c>
      <c r="AJ322" s="272">
        <f>IF(L322="Yes",AI322*Tab_Data_Flows[[#This Row],[Flow_Py]]*Tab_Data_Flows[[#This Row],[DM_'[%']]],"N.A.")</f>
        <v/>
      </c>
      <c r="AK322" s="272">
        <f>Tab_Data_Flows[[#This Row],[UoM_Flow_Py]]</f>
        <v/>
      </c>
    </row>
    <row r="323">
      <c r="A323" s="296">
        <f>ROW()-1</f>
        <v/>
      </c>
      <c r="B323" s="272">
        <f>_xlfn.XLOOKUP(C323,Tab_Def_Flows[Name(EN)],Tab_Def_Flows[Flow_ID],,0,)</f>
        <v/>
      </c>
      <c r="C323" s="273" t="inlineStr">
        <is>
          <t>N.A.</t>
        </is>
      </c>
      <c r="D323" s="272">
        <f>_xlfn.XLOOKUP(C323,Tab_Def_Flows[Name(EN)],Tab_Def_Flows[Type_Biomass],,0,)</f>
        <v/>
      </c>
      <c r="E323" s="272">
        <f>_xlfn.XLOOKUP(C323,Tab_Def_Flows[Name(EN)],Tab_Def_Flows[Output_Process],,0,)</f>
        <v/>
      </c>
      <c r="F323" s="272">
        <f>_xlfn.XLOOKUP(C323,Tab_Def_Flows[Name(EN)],Tab_Def_Flows[Process_ID_O],,0,)</f>
        <v/>
      </c>
      <c r="G323" s="272">
        <f>_xlfn.XLOOKUP(C323,Tab_Def_Flows[Name(EN)],Tab_Def_Flows[Input_Process],,0,)</f>
        <v/>
      </c>
      <c r="H323" s="17">
        <f>_xlfn.XLOOKUP(C323,Tab_Def_Flows[Name(EN)],Tab_Def_Flows[Process_ID_I],,0,)</f>
        <v/>
      </c>
      <c r="I323" s="272">
        <f>_xlfn.XLOOKUP(C323,Tab_Def_Flows[Name(EN)],#REF!,,0,)</f>
        <v/>
      </c>
      <c r="J323" s="17">
        <f>_xlfn.XLOOKUP(C323,Tab_Def_Flows[Name(EN)],Tab_Def_Flows[WC?],,0,)</f>
        <v/>
      </c>
      <c r="K323" s="17">
        <f>_xlfn.XLOOKUP(C323,Tab_Def_Flows[Name(EN)],Tab_Def_Flows[DM?],,0,)</f>
        <v/>
      </c>
      <c r="L323" s="17">
        <f>_xlfn.XLOOKUP(C323,Tab_Def_Flows[Name(EN)],Tab_Def_Flows[CC?],,0,)</f>
        <v/>
      </c>
      <c r="M323" s="273" t="n"/>
      <c r="N323" s="273" t="n"/>
      <c r="O323" s="48" t="n"/>
      <c r="P323" s="273" t="n"/>
      <c r="Q323" s="273" t="n"/>
      <c r="R323" s="273" t="n"/>
      <c r="S323" s="23" t="n"/>
      <c r="T323" s="273" t="n"/>
      <c r="U323" s="273" t="n"/>
      <c r="V323" s="273" t="n"/>
      <c r="W323" s="273" t="n"/>
      <c r="X323" s="273" t="inlineStr">
        <is>
          <t>No</t>
        </is>
      </c>
      <c r="Y323" s="41" t="n"/>
      <c r="Z323" s="273" t="n"/>
      <c r="AA323" s="35">
        <f>IF(X323="no",O323,O323*Y323)</f>
        <v/>
      </c>
      <c r="AB323" s="273" t="inlineStr">
        <is>
          <t>Mg</t>
        </is>
      </c>
      <c r="AC323" s="190">
        <f>INDEX(Tab_Def_Flows[[Flow_ID]:[CC_DM_source]],MATCH(Tab_Data_Flows[[#This Row],[Name(EN)]],Tab_Def_Flows[Name(EN)],0),13)</f>
        <v/>
      </c>
      <c r="AD323" s="272">
        <f>IF(J323="Yes",AA323*Tab_Data_Flows[[#This Row],[WC_'[%']]],"N.A.")</f>
        <v/>
      </c>
      <c r="AE323" s="272">
        <f>Tab_Data_Flows[[#This Row],[UoM_Flow_Py]]</f>
        <v/>
      </c>
      <c r="AF323" s="190">
        <f>INDEX(Tab_Def_Flows[[Flow_ID]:[CC_DM_source]],MATCH(Tab_Data_Flows[[#This Row],[Name(EN)]],Tab_Def_Flows[Name(EN)],0),15)</f>
        <v/>
      </c>
      <c r="AG323" s="272">
        <f>IF(K323="Yes",AF323*Tab_Data_Flows[[#This Row],[Flow_Py]],"N.A.")</f>
        <v/>
      </c>
      <c r="AH323" s="272">
        <f>Tab_Data_Flows[[#This Row],[UoM_Flow_Py]]</f>
        <v/>
      </c>
      <c r="AI323" s="190">
        <f>INDEX(Tab_Def_Flows[[Flow_ID]:[CC_DM_source]],MATCH(Tab_Data_Flows[[#This Row],[Name(EN)]],Tab_Def_Flows[Name(EN)],0),17)</f>
        <v/>
      </c>
      <c r="AJ323" s="272">
        <f>IF(L323="Yes",AI323*Tab_Data_Flows[[#This Row],[Flow_Py]]*Tab_Data_Flows[[#This Row],[DM_'[%']]],"N.A.")</f>
        <v/>
      </c>
      <c r="AK323" s="272">
        <f>Tab_Data_Flows[[#This Row],[UoM_Flow_Py]]</f>
        <v/>
      </c>
    </row>
    <row r="324">
      <c r="A324" s="296">
        <f>ROW()-1</f>
        <v/>
      </c>
      <c r="B324" s="272">
        <f>_xlfn.XLOOKUP(C324,Tab_Def_Flows[Name(EN)],Tab_Def_Flows[Flow_ID],,0,)</f>
        <v/>
      </c>
      <c r="C324" s="273" t="inlineStr">
        <is>
          <t>N.A.</t>
        </is>
      </c>
      <c r="D324" s="272">
        <f>_xlfn.XLOOKUP(C324,Tab_Def_Flows[Name(EN)],Tab_Def_Flows[Type_Biomass],,0,)</f>
        <v/>
      </c>
      <c r="E324" s="272">
        <f>_xlfn.XLOOKUP(C324,Tab_Def_Flows[Name(EN)],Tab_Def_Flows[Output_Process],,0,)</f>
        <v/>
      </c>
      <c r="F324" s="272">
        <f>_xlfn.XLOOKUP(C324,Tab_Def_Flows[Name(EN)],Tab_Def_Flows[Process_ID_O],,0,)</f>
        <v/>
      </c>
      <c r="G324" s="272">
        <f>_xlfn.XLOOKUP(C324,Tab_Def_Flows[Name(EN)],Tab_Def_Flows[Input_Process],,0,)</f>
        <v/>
      </c>
      <c r="H324" s="17">
        <f>_xlfn.XLOOKUP(C324,Tab_Def_Flows[Name(EN)],Tab_Def_Flows[Process_ID_I],,0,)</f>
        <v/>
      </c>
      <c r="I324" s="272">
        <f>_xlfn.XLOOKUP(C324,Tab_Def_Flows[Name(EN)],#REF!,,0,)</f>
        <v/>
      </c>
      <c r="J324" s="17">
        <f>_xlfn.XLOOKUP(C324,Tab_Def_Flows[Name(EN)],Tab_Def_Flows[WC?],,0,)</f>
        <v/>
      </c>
      <c r="K324" s="17">
        <f>_xlfn.XLOOKUP(C324,Tab_Def_Flows[Name(EN)],Tab_Def_Flows[DM?],,0,)</f>
        <v/>
      </c>
      <c r="L324" s="17">
        <f>_xlfn.XLOOKUP(C324,Tab_Def_Flows[Name(EN)],Tab_Def_Flows[CC?],,0,)</f>
        <v/>
      </c>
      <c r="M324" s="273" t="n"/>
      <c r="N324" s="273" t="n"/>
      <c r="O324" s="48" t="n"/>
      <c r="P324" s="273" t="n"/>
      <c r="Q324" s="273" t="n"/>
      <c r="R324" s="273" t="n"/>
      <c r="S324" s="23" t="n"/>
      <c r="T324" s="273" t="n"/>
      <c r="U324" s="273" t="n"/>
      <c r="V324" s="273" t="n"/>
      <c r="W324" s="273" t="n"/>
      <c r="X324" s="273" t="inlineStr">
        <is>
          <t>No</t>
        </is>
      </c>
      <c r="Y324" s="41" t="n"/>
      <c r="Z324" s="273" t="n"/>
      <c r="AA324" s="35">
        <f>IF(X324="no",O324,O324*Y324)</f>
        <v/>
      </c>
      <c r="AB324" s="273" t="inlineStr">
        <is>
          <t>Mg</t>
        </is>
      </c>
      <c r="AC324" s="190">
        <f>INDEX(Tab_Def_Flows[[Flow_ID]:[CC_DM_source]],MATCH(Tab_Data_Flows[[#This Row],[Name(EN)]],Tab_Def_Flows[Name(EN)],0),13)</f>
        <v/>
      </c>
      <c r="AD324" s="272">
        <f>IF(J324="Yes",AA324*Tab_Data_Flows[[#This Row],[WC_'[%']]],"N.A.")</f>
        <v/>
      </c>
      <c r="AE324" s="272">
        <f>Tab_Data_Flows[[#This Row],[UoM_Flow_Py]]</f>
        <v/>
      </c>
      <c r="AF324" s="190">
        <f>INDEX(Tab_Def_Flows[[Flow_ID]:[CC_DM_source]],MATCH(Tab_Data_Flows[[#This Row],[Name(EN)]],Tab_Def_Flows[Name(EN)],0),15)</f>
        <v/>
      </c>
      <c r="AG324" s="272">
        <f>IF(K324="Yes",AF324*Tab_Data_Flows[[#This Row],[Flow_Py]],"N.A.")</f>
        <v/>
      </c>
      <c r="AH324" s="272">
        <f>Tab_Data_Flows[[#This Row],[UoM_Flow_Py]]</f>
        <v/>
      </c>
      <c r="AI324" s="190">
        <f>INDEX(Tab_Def_Flows[[Flow_ID]:[CC_DM_source]],MATCH(Tab_Data_Flows[[#This Row],[Name(EN)]],Tab_Def_Flows[Name(EN)],0),17)</f>
        <v/>
      </c>
      <c r="AJ324" s="272">
        <f>IF(L324="Yes",AI324*Tab_Data_Flows[[#This Row],[Flow_Py]]*Tab_Data_Flows[[#This Row],[DM_'[%']]],"N.A.")</f>
        <v/>
      </c>
      <c r="AK324" s="272">
        <f>Tab_Data_Flows[[#This Row],[UoM_Flow_Py]]</f>
        <v/>
      </c>
    </row>
    <row r="325">
      <c r="A325" s="296">
        <f>ROW()-1</f>
        <v/>
      </c>
      <c r="B325" s="272">
        <f>_xlfn.XLOOKUP(C325,Tab_Def_Flows[Name(EN)],Tab_Def_Flows[Flow_ID],,0,)</f>
        <v/>
      </c>
      <c r="C325" s="273" t="inlineStr">
        <is>
          <t>N.A.</t>
        </is>
      </c>
      <c r="D325" s="272">
        <f>_xlfn.XLOOKUP(C325,Tab_Def_Flows[Name(EN)],Tab_Def_Flows[Type_Biomass],,0,)</f>
        <v/>
      </c>
      <c r="E325" s="272">
        <f>_xlfn.XLOOKUP(C325,Tab_Def_Flows[Name(EN)],Tab_Def_Flows[Output_Process],,0,)</f>
        <v/>
      </c>
      <c r="F325" s="272">
        <f>_xlfn.XLOOKUP(C325,Tab_Def_Flows[Name(EN)],Tab_Def_Flows[Process_ID_O],,0,)</f>
        <v/>
      </c>
      <c r="G325" s="272">
        <f>_xlfn.XLOOKUP(C325,Tab_Def_Flows[Name(EN)],Tab_Def_Flows[Input_Process],,0,)</f>
        <v/>
      </c>
      <c r="H325" s="17">
        <f>_xlfn.XLOOKUP(C325,Tab_Def_Flows[Name(EN)],Tab_Def_Flows[Process_ID_I],,0,)</f>
        <v/>
      </c>
      <c r="I325" s="272">
        <f>_xlfn.XLOOKUP(C325,Tab_Def_Flows[Name(EN)],#REF!,,0,)</f>
        <v/>
      </c>
      <c r="J325" s="17">
        <f>_xlfn.XLOOKUP(C325,Tab_Def_Flows[Name(EN)],Tab_Def_Flows[WC?],,0,)</f>
        <v/>
      </c>
      <c r="K325" s="17">
        <f>_xlfn.XLOOKUP(C325,Tab_Def_Flows[Name(EN)],Tab_Def_Flows[DM?],,0,)</f>
        <v/>
      </c>
      <c r="L325" s="17">
        <f>_xlfn.XLOOKUP(C325,Tab_Def_Flows[Name(EN)],Tab_Def_Flows[CC?],,0,)</f>
        <v/>
      </c>
      <c r="M325" s="273" t="n"/>
      <c r="N325" s="273" t="n"/>
      <c r="O325" s="48" t="n"/>
      <c r="P325" s="273" t="n"/>
      <c r="Q325" s="273" t="n"/>
      <c r="R325" s="273" t="n"/>
      <c r="S325" s="23" t="n"/>
      <c r="T325" s="273" t="n"/>
      <c r="U325" s="273" t="n"/>
      <c r="V325" s="273" t="n"/>
      <c r="W325" s="273" t="n"/>
      <c r="X325" s="273" t="inlineStr">
        <is>
          <t>No</t>
        </is>
      </c>
      <c r="Y325" s="41" t="n"/>
      <c r="Z325" s="273" t="n"/>
      <c r="AA325" s="35">
        <f>IF(X325="no",O325,O325*Y325)</f>
        <v/>
      </c>
      <c r="AB325" s="273" t="inlineStr">
        <is>
          <t>Mg</t>
        </is>
      </c>
      <c r="AC325" s="190">
        <f>INDEX(Tab_Def_Flows[[Flow_ID]:[CC_DM_source]],MATCH(Tab_Data_Flows[[#This Row],[Name(EN)]],Tab_Def_Flows[Name(EN)],0),13)</f>
        <v/>
      </c>
      <c r="AD325" s="272">
        <f>IF(J325="Yes",AA325*Tab_Data_Flows[[#This Row],[WC_'[%']]],"N.A.")</f>
        <v/>
      </c>
      <c r="AE325" s="272">
        <f>Tab_Data_Flows[[#This Row],[UoM_Flow_Py]]</f>
        <v/>
      </c>
      <c r="AF325" s="190">
        <f>INDEX(Tab_Def_Flows[[Flow_ID]:[CC_DM_source]],MATCH(Tab_Data_Flows[[#This Row],[Name(EN)]],Tab_Def_Flows[Name(EN)],0),15)</f>
        <v/>
      </c>
      <c r="AG325" s="272">
        <f>IF(K325="Yes",AF325*Tab_Data_Flows[[#This Row],[Flow_Py]],"N.A.")</f>
        <v/>
      </c>
      <c r="AH325" s="272">
        <f>Tab_Data_Flows[[#This Row],[UoM_Flow_Py]]</f>
        <v/>
      </c>
      <c r="AI325" s="190">
        <f>INDEX(Tab_Def_Flows[[Flow_ID]:[CC_DM_source]],MATCH(Tab_Data_Flows[[#This Row],[Name(EN)]],Tab_Def_Flows[Name(EN)],0),17)</f>
        <v/>
      </c>
      <c r="AJ325" s="272">
        <f>IF(L325="Yes",AI325*Tab_Data_Flows[[#This Row],[Flow_Py]]*Tab_Data_Flows[[#This Row],[DM_'[%']]],"N.A.")</f>
        <v/>
      </c>
      <c r="AK325" s="272">
        <f>Tab_Data_Flows[[#This Row],[UoM_Flow_Py]]</f>
        <v/>
      </c>
    </row>
    <row r="326">
      <c r="A326" s="296">
        <f>ROW()-1</f>
        <v/>
      </c>
      <c r="B326" s="272">
        <f>_xlfn.XLOOKUP(C326,Tab_Def_Flows[Name(EN)],Tab_Def_Flows[Flow_ID],,0,)</f>
        <v/>
      </c>
      <c r="C326" s="273" t="inlineStr">
        <is>
          <t>N.A.</t>
        </is>
      </c>
      <c r="D326" s="272">
        <f>_xlfn.XLOOKUP(C326,Tab_Def_Flows[Name(EN)],Tab_Def_Flows[Type_Biomass],,0,)</f>
        <v/>
      </c>
      <c r="E326" s="272">
        <f>_xlfn.XLOOKUP(C326,Tab_Def_Flows[Name(EN)],Tab_Def_Flows[Output_Process],,0,)</f>
        <v/>
      </c>
      <c r="F326" s="272">
        <f>_xlfn.XLOOKUP(C326,Tab_Def_Flows[Name(EN)],Tab_Def_Flows[Process_ID_O],,0,)</f>
        <v/>
      </c>
      <c r="G326" s="272">
        <f>_xlfn.XLOOKUP(C326,Tab_Def_Flows[Name(EN)],Tab_Def_Flows[Input_Process],,0,)</f>
        <v/>
      </c>
      <c r="H326" s="17">
        <f>_xlfn.XLOOKUP(C326,Tab_Def_Flows[Name(EN)],Tab_Def_Flows[Process_ID_I],,0,)</f>
        <v/>
      </c>
      <c r="I326" s="272">
        <f>_xlfn.XLOOKUP(C326,Tab_Def_Flows[Name(EN)],#REF!,,0,)</f>
        <v/>
      </c>
      <c r="J326" s="17">
        <f>_xlfn.XLOOKUP(C326,Tab_Def_Flows[Name(EN)],Tab_Def_Flows[WC?],,0,)</f>
        <v/>
      </c>
      <c r="K326" s="17">
        <f>_xlfn.XLOOKUP(C326,Tab_Def_Flows[Name(EN)],Tab_Def_Flows[DM?],,0,)</f>
        <v/>
      </c>
      <c r="L326" s="17">
        <f>_xlfn.XLOOKUP(C326,Tab_Def_Flows[Name(EN)],Tab_Def_Flows[CC?],,0,)</f>
        <v/>
      </c>
      <c r="M326" s="273" t="n"/>
      <c r="N326" s="273" t="n"/>
      <c r="O326" s="48" t="n"/>
      <c r="P326" s="273" t="n"/>
      <c r="Q326" s="273" t="n"/>
      <c r="R326" s="273" t="n"/>
      <c r="S326" s="23" t="n"/>
      <c r="T326" s="273" t="n"/>
      <c r="U326" s="273" t="n"/>
      <c r="V326" s="273" t="n"/>
      <c r="W326" s="273" t="n"/>
      <c r="X326" s="273" t="inlineStr">
        <is>
          <t>No</t>
        </is>
      </c>
      <c r="Y326" s="41" t="n"/>
      <c r="Z326" s="273" t="n"/>
      <c r="AA326" s="35">
        <f>IF(X326="no",O326,O326*Y326)</f>
        <v/>
      </c>
      <c r="AB326" s="273" t="inlineStr">
        <is>
          <t>Mg</t>
        </is>
      </c>
      <c r="AC326" s="190">
        <f>INDEX(Tab_Def_Flows[[Flow_ID]:[CC_DM_source]],MATCH(Tab_Data_Flows[[#This Row],[Name(EN)]],Tab_Def_Flows[Name(EN)],0),13)</f>
        <v/>
      </c>
      <c r="AD326" s="272">
        <f>IF(J326="Yes",AA326*Tab_Data_Flows[[#This Row],[WC_'[%']]],"N.A.")</f>
        <v/>
      </c>
      <c r="AE326" s="272">
        <f>Tab_Data_Flows[[#This Row],[UoM_Flow_Py]]</f>
        <v/>
      </c>
      <c r="AF326" s="190">
        <f>INDEX(Tab_Def_Flows[[Flow_ID]:[CC_DM_source]],MATCH(Tab_Data_Flows[[#This Row],[Name(EN)]],Tab_Def_Flows[Name(EN)],0),15)</f>
        <v/>
      </c>
      <c r="AG326" s="272">
        <f>IF(K326="Yes",AF326*Tab_Data_Flows[[#This Row],[Flow_Py]],"N.A.")</f>
        <v/>
      </c>
      <c r="AH326" s="272">
        <f>Tab_Data_Flows[[#This Row],[UoM_Flow_Py]]</f>
        <v/>
      </c>
      <c r="AI326" s="190">
        <f>INDEX(Tab_Def_Flows[[Flow_ID]:[CC_DM_source]],MATCH(Tab_Data_Flows[[#This Row],[Name(EN)]],Tab_Def_Flows[Name(EN)],0),17)</f>
        <v/>
      </c>
      <c r="AJ326" s="272">
        <f>IF(L326="Yes",AI326*Tab_Data_Flows[[#This Row],[Flow_Py]]*Tab_Data_Flows[[#This Row],[DM_'[%']]],"N.A.")</f>
        <v/>
      </c>
      <c r="AK326" s="272">
        <f>Tab_Data_Flows[[#This Row],[UoM_Flow_Py]]</f>
        <v/>
      </c>
    </row>
    <row r="327">
      <c r="A327" s="296">
        <f>ROW()-1</f>
        <v/>
      </c>
      <c r="B327" s="272">
        <f>_xlfn.XLOOKUP(C327,Tab_Def_Flows[Name(EN)],Tab_Def_Flows[Flow_ID],,0,)</f>
        <v/>
      </c>
      <c r="C327" s="273" t="inlineStr">
        <is>
          <t>N.A.</t>
        </is>
      </c>
      <c r="D327" s="272">
        <f>_xlfn.XLOOKUP(C327,Tab_Def_Flows[Name(EN)],Tab_Def_Flows[Type_Biomass],,0,)</f>
        <v/>
      </c>
      <c r="E327" s="272">
        <f>_xlfn.XLOOKUP(C327,Tab_Def_Flows[Name(EN)],Tab_Def_Flows[Output_Process],,0,)</f>
        <v/>
      </c>
      <c r="F327" s="272">
        <f>_xlfn.XLOOKUP(C327,Tab_Def_Flows[Name(EN)],Tab_Def_Flows[Process_ID_O],,0,)</f>
        <v/>
      </c>
      <c r="G327" s="272">
        <f>_xlfn.XLOOKUP(C327,Tab_Def_Flows[Name(EN)],Tab_Def_Flows[Input_Process],,0,)</f>
        <v/>
      </c>
      <c r="H327" s="17">
        <f>_xlfn.XLOOKUP(C327,Tab_Def_Flows[Name(EN)],Tab_Def_Flows[Process_ID_I],,0,)</f>
        <v/>
      </c>
      <c r="I327" s="272">
        <f>_xlfn.XLOOKUP(C327,Tab_Def_Flows[Name(EN)],#REF!,,0,)</f>
        <v/>
      </c>
      <c r="J327" s="17">
        <f>_xlfn.XLOOKUP(C327,Tab_Def_Flows[Name(EN)],Tab_Def_Flows[WC?],,0,)</f>
        <v/>
      </c>
      <c r="K327" s="17">
        <f>_xlfn.XLOOKUP(C327,Tab_Def_Flows[Name(EN)],Tab_Def_Flows[DM?],,0,)</f>
        <v/>
      </c>
      <c r="L327" s="17">
        <f>_xlfn.XLOOKUP(C327,Tab_Def_Flows[Name(EN)],Tab_Def_Flows[CC?],,0,)</f>
        <v/>
      </c>
      <c r="M327" s="273" t="n"/>
      <c r="N327" s="273" t="n"/>
      <c r="O327" s="48" t="n"/>
      <c r="P327" s="273" t="n"/>
      <c r="Q327" s="273" t="n"/>
      <c r="R327" s="273" t="n"/>
      <c r="S327" s="23" t="n"/>
      <c r="T327" s="273" t="n"/>
      <c r="U327" s="273" t="n"/>
      <c r="V327" s="273" t="n"/>
      <c r="W327" s="273" t="n"/>
      <c r="X327" s="273" t="inlineStr">
        <is>
          <t>No</t>
        </is>
      </c>
      <c r="Y327" s="41" t="n"/>
      <c r="Z327" s="273" t="n"/>
      <c r="AA327" s="35">
        <f>IF(X327="no",O327,O327*Y327)</f>
        <v/>
      </c>
      <c r="AB327" s="273" t="inlineStr">
        <is>
          <t>Mg</t>
        </is>
      </c>
      <c r="AC327" s="190">
        <f>INDEX(Tab_Def_Flows[[Flow_ID]:[CC_DM_source]],MATCH(Tab_Data_Flows[[#This Row],[Name(EN)]],Tab_Def_Flows[Name(EN)],0),13)</f>
        <v/>
      </c>
      <c r="AD327" s="272">
        <f>IF(J327="Yes",AA327*Tab_Data_Flows[[#This Row],[WC_'[%']]],"N.A.")</f>
        <v/>
      </c>
      <c r="AE327" s="272">
        <f>Tab_Data_Flows[[#This Row],[UoM_Flow_Py]]</f>
        <v/>
      </c>
      <c r="AF327" s="190">
        <f>INDEX(Tab_Def_Flows[[Flow_ID]:[CC_DM_source]],MATCH(Tab_Data_Flows[[#This Row],[Name(EN)]],Tab_Def_Flows[Name(EN)],0),15)</f>
        <v/>
      </c>
      <c r="AG327" s="272">
        <f>IF(K327="Yes",AF327*Tab_Data_Flows[[#This Row],[Flow_Py]],"N.A.")</f>
        <v/>
      </c>
      <c r="AH327" s="272">
        <f>Tab_Data_Flows[[#This Row],[UoM_Flow_Py]]</f>
        <v/>
      </c>
      <c r="AI327" s="190">
        <f>INDEX(Tab_Def_Flows[[Flow_ID]:[CC_DM_source]],MATCH(Tab_Data_Flows[[#This Row],[Name(EN)]],Tab_Def_Flows[Name(EN)],0),17)</f>
        <v/>
      </c>
      <c r="AJ327" s="272">
        <f>IF(L327="Yes",AI327*Tab_Data_Flows[[#This Row],[Flow_Py]]*Tab_Data_Flows[[#This Row],[DM_'[%']]],"N.A.")</f>
        <v/>
      </c>
      <c r="AK327" s="272">
        <f>Tab_Data_Flows[[#This Row],[UoM_Flow_Py]]</f>
        <v/>
      </c>
    </row>
    <row r="328">
      <c r="A328" s="296">
        <f>ROW()-1</f>
        <v/>
      </c>
      <c r="B328" s="272">
        <f>_xlfn.XLOOKUP(C328,Tab_Def_Flows[Name(EN)],Tab_Def_Flows[Flow_ID],,0,)</f>
        <v/>
      </c>
      <c r="C328" s="273" t="inlineStr">
        <is>
          <t>N.A.</t>
        </is>
      </c>
      <c r="D328" s="272">
        <f>_xlfn.XLOOKUP(C328,Tab_Def_Flows[Name(EN)],Tab_Def_Flows[Type_Biomass],,0,)</f>
        <v/>
      </c>
      <c r="E328" s="272">
        <f>_xlfn.XLOOKUP(C328,Tab_Def_Flows[Name(EN)],Tab_Def_Flows[Output_Process],,0,)</f>
        <v/>
      </c>
      <c r="F328" s="272">
        <f>_xlfn.XLOOKUP(C328,Tab_Def_Flows[Name(EN)],Tab_Def_Flows[Process_ID_O],,0,)</f>
        <v/>
      </c>
      <c r="G328" s="272">
        <f>_xlfn.XLOOKUP(C328,Tab_Def_Flows[Name(EN)],Tab_Def_Flows[Input_Process],,0,)</f>
        <v/>
      </c>
      <c r="H328" s="17">
        <f>_xlfn.XLOOKUP(C328,Tab_Def_Flows[Name(EN)],Tab_Def_Flows[Process_ID_I],,0,)</f>
        <v/>
      </c>
      <c r="I328" s="272">
        <f>_xlfn.XLOOKUP(C328,Tab_Def_Flows[Name(EN)],#REF!,,0,)</f>
        <v/>
      </c>
      <c r="J328" s="17">
        <f>_xlfn.XLOOKUP(C328,Tab_Def_Flows[Name(EN)],Tab_Def_Flows[WC?],,0,)</f>
        <v/>
      </c>
      <c r="K328" s="17">
        <f>_xlfn.XLOOKUP(C328,Tab_Def_Flows[Name(EN)],Tab_Def_Flows[DM?],,0,)</f>
        <v/>
      </c>
      <c r="L328" s="17">
        <f>_xlfn.XLOOKUP(C328,Tab_Def_Flows[Name(EN)],Tab_Def_Flows[CC?],,0,)</f>
        <v/>
      </c>
      <c r="M328" s="273" t="n"/>
      <c r="N328" s="273" t="n"/>
      <c r="O328" s="48" t="n"/>
      <c r="P328" s="273" t="n"/>
      <c r="Q328" s="273" t="n"/>
      <c r="R328" s="273" t="n"/>
      <c r="S328" s="23" t="n"/>
      <c r="T328" s="273" t="n"/>
      <c r="U328" s="273" t="n"/>
      <c r="V328" s="273" t="n"/>
      <c r="W328" s="273" t="n"/>
      <c r="X328" s="273" t="inlineStr">
        <is>
          <t>No</t>
        </is>
      </c>
      <c r="Y328" s="41" t="n"/>
      <c r="Z328" s="273" t="n"/>
      <c r="AA328" s="35">
        <f>IF(X328="no",O328,O328*Y328)</f>
        <v/>
      </c>
      <c r="AB328" s="273" t="inlineStr">
        <is>
          <t>Mg</t>
        </is>
      </c>
      <c r="AC328" s="190">
        <f>INDEX(Tab_Def_Flows[[Flow_ID]:[CC_DM_source]],MATCH(Tab_Data_Flows[[#This Row],[Name(EN)]],Tab_Def_Flows[Name(EN)],0),13)</f>
        <v/>
      </c>
      <c r="AD328" s="272">
        <f>IF(J328="Yes",AA328*Tab_Data_Flows[[#This Row],[WC_'[%']]],"N.A.")</f>
        <v/>
      </c>
      <c r="AE328" s="272">
        <f>Tab_Data_Flows[[#This Row],[UoM_Flow_Py]]</f>
        <v/>
      </c>
      <c r="AF328" s="190">
        <f>INDEX(Tab_Def_Flows[[Flow_ID]:[CC_DM_source]],MATCH(Tab_Data_Flows[[#This Row],[Name(EN)]],Tab_Def_Flows[Name(EN)],0),15)</f>
        <v/>
      </c>
      <c r="AG328" s="272">
        <f>IF(K328="Yes",AF328*Tab_Data_Flows[[#This Row],[Flow_Py]],"N.A.")</f>
        <v/>
      </c>
      <c r="AH328" s="272">
        <f>Tab_Data_Flows[[#This Row],[UoM_Flow_Py]]</f>
        <v/>
      </c>
      <c r="AI328" s="190">
        <f>INDEX(Tab_Def_Flows[[Flow_ID]:[CC_DM_source]],MATCH(Tab_Data_Flows[[#This Row],[Name(EN)]],Tab_Def_Flows[Name(EN)],0),17)</f>
        <v/>
      </c>
      <c r="AJ328" s="272">
        <f>IF(L328="Yes",AI328*Tab_Data_Flows[[#This Row],[Flow_Py]]*Tab_Data_Flows[[#This Row],[DM_'[%']]],"N.A.")</f>
        <v/>
      </c>
      <c r="AK328" s="272">
        <f>Tab_Data_Flows[[#This Row],[UoM_Flow_Py]]</f>
        <v/>
      </c>
    </row>
    <row r="329">
      <c r="A329" s="296">
        <f>ROW()-1</f>
        <v/>
      </c>
      <c r="B329" s="272">
        <f>_xlfn.XLOOKUP(C329,Tab_Def_Flows[Name(EN)],Tab_Def_Flows[Flow_ID],,0,)</f>
        <v/>
      </c>
      <c r="C329" s="273" t="inlineStr">
        <is>
          <t>N.A.</t>
        </is>
      </c>
      <c r="D329" s="272">
        <f>_xlfn.XLOOKUP(C329,Tab_Def_Flows[Name(EN)],Tab_Def_Flows[Type_Biomass],,0,)</f>
        <v/>
      </c>
      <c r="E329" s="272">
        <f>_xlfn.XLOOKUP(C329,Tab_Def_Flows[Name(EN)],Tab_Def_Flows[Output_Process],,0,)</f>
        <v/>
      </c>
      <c r="F329" s="272">
        <f>_xlfn.XLOOKUP(C329,Tab_Def_Flows[Name(EN)],Tab_Def_Flows[Process_ID_O],,0,)</f>
        <v/>
      </c>
      <c r="G329" s="272">
        <f>_xlfn.XLOOKUP(C329,Tab_Def_Flows[Name(EN)],Tab_Def_Flows[Input_Process],,0,)</f>
        <v/>
      </c>
      <c r="H329" s="17">
        <f>_xlfn.XLOOKUP(C329,Tab_Def_Flows[Name(EN)],Tab_Def_Flows[Process_ID_I],,0,)</f>
        <v/>
      </c>
      <c r="I329" s="272">
        <f>_xlfn.XLOOKUP(C329,Tab_Def_Flows[Name(EN)],#REF!,,0,)</f>
        <v/>
      </c>
      <c r="J329" s="17">
        <f>_xlfn.XLOOKUP(C329,Tab_Def_Flows[Name(EN)],Tab_Def_Flows[WC?],,0,)</f>
        <v/>
      </c>
      <c r="K329" s="17">
        <f>_xlfn.XLOOKUP(C329,Tab_Def_Flows[Name(EN)],Tab_Def_Flows[DM?],,0,)</f>
        <v/>
      </c>
      <c r="L329" s="17">
        <f>_xlfn.XLOOKUP(C329,Tab_Def_Flows[Name(EN)],Tab_Def_Flows[CC?],,0,)</f>
        <v/>
      </c>
      <c r="M329" s="273" t="n"/>
      <c r="N329" s="273" t="n"/>
      <c r="O329" s="48" t="n"/>
      <c r="P329" s="273" t="n"/>
      <c r="Q329" s="273" t="n"/>
      <c r="R329" s="273" t="n"/>
      <c r="S329" s="23" t="n"/>
      <c r="T329" s="273" t="n"/>
      <c r="U329" s="273" t="n"/>
      <c r="V329" s="273" t="n"/>
      <c r="W329" s="273" t="n"/>
      <c r="X329" s="273" t="inlineStr">
        <is>
          <t>No</t>
        </is>
      </c>
      <c r="Y329" s="41" t="n"/>
      <c r="Z329" s="273" t="n"/>
      <c r="AA329" s="35">
        <f>IF(X329="no",O329,O329*Y329)</f>
        <v/>
      </c>
      <c r="AB329" s="273" t="inlineStr">
        <is>
          <t>Mg</t>
        </is>
      </c>
      <c r="AC329" s="190">
        <f>INDEX(Tab_Def_Flows[[Flow_ID]:[CC_DM_source]],MATCH(Tab_Data_Flows[[#This Row],[Name(EN)]],Tab_Def_Flows[Name(EN)],0),13)</f>
        <v/>
      </c>
      <c r="AD329" s="272">
        <f>IF(J329="Yes",AA329*Tab_Data_Flows[[#This Row],[WC_'[%']]],"N.A.")</f>
        <v/>
      </c>
      <c r="AE329" s="272">
        <f>Tab_Data_Flows[[#This Row],[UoM_Flow_Py]]</f>
        <v/>
      </c>
      <c r="AF329" s="190">
        <f>INDEX(Tab_Def_Flows[[Flow_ID]:[CC_DM_source]],MATCH(Tab_Data_Flows[[#This Row],[Name(EN)]],Tab_Def_Flows[Name(EN)],0),15)</f>
        <v/>
      </c>
      <c r="AG329" s="272">
        <f>IF(K329="Yes",AF329*Tab_Data_Flows[[#This Row],[Flow_Py]],"N.A.")</f>
        <v/>
      </c>
      <c r="AH329" s="272">
        <f>Tab_Data_Flows[[#This Row],[UoM_Flow_Py]]</f>
        <v/>
      </c>
      <c r="AI329" s="190">
        <f>INDEX(Tab_Def_Flows[[Flow_ID]:[CC_DM_source]],MATCH(Tab_Data_Flows[[#This Row],[Name(EN)]],Tab_Def_Flows[Name(EN)],0),17)</f>
        <v/>
      </c>
      <c r="AJ329" s="272">
        <f>IF(L329="Yes",AI329*Tab_Data_Flows[[#This Row],[Flow_Py]]*Tab_Data_Flows[[#This Row],[DM_'[%']]],"N.A.")</f>
        <v/>
      </c>
      <c r="AK329" s="272">
        <f>Tab_Data_Flows[[#This Row],[UoM_Flow_Py]]</f>
        <v/>
      </c>
    </row>
    <row r="330">
      <c r="A330" s="296">
        <f>ROW()-1</f>
        <v/>
      </c>
      <c r="B330" s="272">
        <f>_xlfn.XLOOKUP(C330,Tab_Def_Flows[Name(EN)],Tab_Def_Flows[Flow_ID],,0,)</f>
        <v/>
      </c>
      <c r="C330" s="273" t="inlineStr">
        <is>
          <t>N.A.</t>
        </is>
      </c>
      <c r="D330" s="272">
        <f>_xlfn.XLOOKUP(C330,Tab_Def_Flows[Name(EN)],Tab_Def_Flows[Type_Biomass],,0,)</f>
        <v/>
      </c>
      <c r="E330" s="272">
        <f>_xlfn.XLOOKUP(C330,Tab_Def_Flows[Name(EN)],Tab_Def_Flows[Output_Process],,0,)</f>
        <v/>
      </c>
      <c r="F330" s="272">
        <f>_xlfn.XLOOKUP(C330,Tab_Def_Flows[Name(EN)],Tab_Def_Flows[Process_ID_O],,0,)</f>
        <v/>
      </c>
      <c r="G330" s="272">
        <f>_xlfn.XLOOKUP(C330,Tab_Def_Flows[Name(EN)],Tab_Def_Flows[Input_Process],,0,)</f>
        <v/>
      </c>
      <c r="H330" s="17">
        <f>_xlfn.XLOOKUP(C330,Tab_Def_Flows[Name(EN)],Tab_Def_Flows[Process_ID_I],,0,)</f>
        <v/>
      </c>
      <c r="I330" s="272">
        <f>_xlfn.XLOOKUP(C330,Tab_Def_Flows[Name(EN)],#REF!,,0,)</f>
        <v/>
      </c>
      <c r="J330" s="17">
        <f>_xlfn.XLOOKUP(C330,Tab_Def_Flows[Name(EN)],Tab_Def_Flows[WC?],,0,)</f>
        <v/>
      </c>
      <c r="K330" s="17">
        <f>_xlfn.XLOOKUP(C330,Tab_Def_Flows[Name(EN)],Tab_Def_Flows[DM?],,0,)</f>
        <v/>
      </c>
      <c r="L330" s="17">
        <f>_xlfn.XLOOKUP(C330,Tab_Def_Flows[Name(EN)],Tab_Def_Flows[CC?],,0,)</f>
        <v/>
      </c>
      <c r="M330" s="273" t="n"/>
      <c r="N330" s="273" t="n"/>
      <c r="O330" s="48" t="n"/>
      <c r="P330" s="273" t="n"/>
      <c r="Q330" s="273" t="n"/>
      <c r="R330" s="273" t="n"/>
      <c r="S330" s="23" t="n"/>
      <c r="T330" s="273" t="n"/>
      <c r="U330" s="273" t="n"/>
      <c r="V330" s="273" t="n"/>
      <c r="W330" s="273" t="n"/>
      <c r="X330" s="273" t="inlineStr">
        <is>
          <t>No</t>
        </is>
      </c>
      <c r="Y330" s="41" t="n"/>
      <c r="Z330" s="273" t="n"/>
      <c r="AA330" s="35">
        <f>IF(X330="no",O330,O330*Y330)</f>
        <v/>
      </c>
      <c r="AB330" s="273" t="inlineStr">
        <is>
          <t>Mg</t>
        </is>
      </c>
      <c r="AC330" s="190">
        <f>INDEX(Tab_Def_Flows[[Flow_ID]:[CC_DM_source]],MATCH(Tab_Data_Flows[[#This Row],[Name(EN)]],Tab_Def_Flows[Name(EN)],0),13)</f>
        <v/>
      </c>
      <c r="AD330" s="272">
        <f>IF(J330="Yes",AA330*Tab_Data_Flows[[#This Row],[WC_'[%']]],"N.A.")</f>
        <v/>
      </c>
      <c r="AE330" s="272">
        <f>Tab_Data_Flows[[#This Row],[UoM_Flow_Py]]</f>
        <v/>
      </c>
      <c r="AF330" s="190">
        <f>INDEX(Tab_Def_Flows[[Flow_ID]:[CC_DM_source]],MATCH(Tab_Data_Flows[[#This Row],[Name(EN)]],Tab_Def_Flows[Name(EN)],0),15)</f>
        <v/>
      </c>
      <c r="AG330" s="272">
        <f>IF(K330="Yes",AF330*Tab_Data_Flows[[#This Row],[Flow_Py]],"N.A.")</f>
        <v/>
      </c>
      <c r="AH330" s="272">
        <f>Tab_Data_Flows[[#This Row],[UoM_Flow_Py]]</f>
        <v/>
      </c>
      <c r="AI330" s="190">
        <f>INDEX(Tab_Def_Flows[[Flow_ID]:[CC_DM_source]],MATCH(Tab_Data_Flows[[#This Row],[Name(EN)]],Tab_Def_Flows[Name(EN)],0),17)</f>
        <v/>
      </c>
      <c r="AJ330" s="272">
        <f>IF(L330="Yes",AI330*Tab_Data_Flows[[#This Row],[Flow_Py]]*Tab_Data_Flows[[#This Row],[DM_'[%']]],"N.A.")</f>
        <v/>
      </c>
      <c r="AK330" s="272">
        <f>Tab_Data_Flows[[#This Row],[UoM_Flow_Py]]</f>
        <v/>
      </c>
    </row>
    <row r="331">
      <c r="A331" s="296">
        <f>ROW()-1</f>
        <v/>
      </c>
      <c r="B331" s="272">
        <f>_xlfn.XLOOKUP(C331,Tab_Def_Flows[Name(EN)],Tab_Def_Flows[Flow_ID],,0,)</f>
        <v/>
      </c>
      <c r="C331" s="273" t="inlineStr">
        <is>
          <t>N.A.</t>
        </is>
      </c>
      <c r="D331" s="272">
        <f>_xlfn.XLOOKUP(C331,Tab_Def_Flows[Name(EN)],Tab_Def_Flows[Type_Biomass],,0,)</f>
        <v/>
      </c>
      <c r="E331" s="272">
        <f>_xlfn.XLOOKUP(C331,Tab_Def_Flows[Name(EN)],Tab_Def_Flows[Output_Process],,0,)</f>
        <v/>
      </c>
      <c r="F331" s="272">
        <f>_xlfn.XLOOKUP(C331,Tab_Def_Flows[Name(EN)],Tab_Def_Flows[Process_ID_O],,0,)</f>
        <v/>
      </c>
      <c r="G331" s="272">
        <f>_xlfn.XLOOKUP(C331,Tab_Def_Flows[Name(EN)],Tab_Def_Flows[Input_Process],,0,)</f>
        <v/>
      </c>
      <c r="H331" s="17">
        <f>_xlfn.XLOOKUP(C331,Tab_Def_Flows[Name(EN)],Tab_Def_Flows[Process_ID_I],,0,)</f>
        <v/>
      </c>
      <c r="I331" s="272">
        <f>_xlfn.XLOOKUP(C331,Tab_Def_Flows[Name(EN)],#REF!,,0,)</f>
        <v/>
      </c>
      <c r="J331" s="17">
        <f>_xlfn.XLOOKUP(C331,Tab_Def_Flows[Name(EN)],Tab_Def_Flows[WC?],,0,)</f>
        <v/>
      </c>
      <c r="K331" s="17">
        <f>_xlfn.XLOOKUP(C331,Tab_Def_Flows[Name(EN)],Tab_Def_Flows[DM?],,0,)</f>
        <v/>
      </c>
      <c r="L331" s="17">
        <f>_xlfn.XLOOKUP(C331,Tab_Def_Flows[Name(EN)],Tab_Def_Flows[CC?],,0,)</f>
        <v/>
      </c>
      <c r="M331" s="273" t="n"/>
      <c r="N331" s="273" t="n"/>
      <c r="O331" s="48" t="n"/>
      <c r="P331" s="273" t="n"/>
      <c r="Q331" s="273" t="n"/>
      <c r="R331" s="273" t="n"/>
      <c r="S331" s="23" t="n"/>
      <c r="T331" s="273" t="n"/>
      <c r="U331" s="273" t="n"/>
      <c r="V331" s="273" t="n"/>
      <c r="W331" s="273" t="n"/>
      <c r="X331" s="273" t="inlineStr">
        <is>
          <t>No</t>
        </is>
      </c>
      <c r="Y331" s="41" t="n"/>
      <c r="Z331" s="273" t="n"/>
      <c r="AA331" s="35">
        <f>IF(X331="no",O331,O331*Y331)</f>
        <v/>
      </c>
      <c r="AB331" s="273" t="inlineStr">
        <is>
          <t>Mg</t>
        </is>
      </c>
      <c r="AC331" s="190">
        <f>INDEX(Tab_Def_Flows[[Flow_ID]:[CC_DM_source]],MATCH(Tab_Data_Flows[[#This Row],[Name(EN)]],Tab_Def_Flows[Name(EN)],0),13)</f>
        <v/>
      </c>
      <c r="AD331" s="272">
        <f>IF(J331="Yes",AA331*Tab_Data_Flows[[#This Row],[WC_'[%']]],"N.A.")</f>
        <v/>
      </c>
      <c r="AE331" s="272">
        <f>Tab_Data_Flows[[#This Row],[UoM_Flow_Py]]</f>
        <v/>
      </c>
      <c r="AF331" s="190">
        <f>INDEX(Tab_Def_Flows[[Flow_ID]:[CC_DM_source]],MATCH(Tab_Data_Flows[[#This Row],[Name(EN)]],Tab_Def_Flows[Name(EN)],0),15)</f>
        <v/>
      </c>
      <c r="AG331" s="272">
        <f>IF(K331="Yes",AF331*Tab_Data_Flows[[#This Row],[Flow_Py]],"N.A.")</f>
        <v/>
      </c>
      <c r="AH331" s="272">
        <f>Tab_Data_Flows[[#This Row],[UoM_Flow_Py]]</f>
        <v/>
      </c>
      <c r="AI331" s="190">
        <f>INDEX(Tab_Def_Flows[[Flow_ID]:[CC_DM_source]],MATCH(Tab_Data_Flows[[#This Row],[Name(EN)]],Tab_Def_Flows[Name(EN)],0),17)</f>
        <v/>
      </c>
      <c r="AJ331" s="272">
        <f>IF(L331="Yes",AI331*Tab_Data_Flows[[#This Row],[Flow_Py]]*Tab_Data_Flows[[#This Row],[DM_'[%']]],"N.A.")</f>
        <v/>
      </c>
      <c r="AK331" s="272">
        <f>Tab_Data_Flows[[#This Row],[UoM_Flow_Py]]</f>
        <v/>
      </c>
    </row>
    <row r="332">
      <c r="A332" s="296">
        <f>ROW()-1</f>
        <v/>
      </c>
      <c r="B332" s="272">
        <f>_xlfn.XLOOKUP(C332,Tab_Def_Flows[Name(EN)],Tab_Def_Flows[Flow_ID],,0,)</f>
        <v/>
      </c>
      <c r="C332" s="273" t="inlineStr">
        <is>
          <t>N.A.</t>
        </is>
      </c>
      <c r="D332" s="272">
        <f>_xlfn.XLOOKUP(C332,Tab_Def_Flows[Name(EN)],Tab_Def_Flows[Type_Biomass],,0,)</f>
        <v/>
      </c>
      <c r="E332" s="272">
        <f>_xlfn.XLOOKUP(C332,Tab_Def_Flows[Name(EN)],Tab_Def_Flows[Output_Process],,0,)</f>
        <v/>
      </c>
      <c r="F332" s="272">
        <f>_xlfn.XLOOKUP(C332,Tab_Def_Flows[Name(EN)],Tab_Def_Flows[Process_ID_O],,0,)</f>
        <v/>
      </c>
      <c r="G332" s="272">
        <f>_xlfn.XLOOKUP(C332,Tab_Def_Flows[Name(EN)],Tab_Def_Flows[Input_Process],,0,)</f>
        <v/>
      </c>
      <c r="H332" s="17">
        <f>_xlfn.XLOOKUP(C332,Tab_Def_Flows[Name(EN)],Tab_Def_Flows[Process_ID_I],,0,)</f>
        <v/>
      </c>
      <c r="I332" s="272">
        <f>_xlfn.XLOOKUP(C332,Tab_Def_Flows[Name(EN)],#REF!,,0,)</f>
        <v/>
      </c>
      <c r="J332" s="17">
        <f>_xlfn.XLOOKUP(C332,Tab_Def_Flows[Name(EN)],Tab_Def_Flows[WC?],,0,)</f>
        <v/>
      </c>
      <c r="K332" s="17">
        <f>_xlfn.XLOOKUP(C332,Tab_Def_Flows[Name(EN)],Tab_Def_Flows[DM?],,0,)</f>
        <v/>
      </c>
      <c r="L332" s="17">
        <f>_xlfn.XLOOKUP(C332,Tab_Def_Flows[Name(EN)],Tab_Def_Flows[CC?],,0,)</f>
        <v/>
      </c>
      <c r="M332" s="273" t="n"/>
      <c r="N332" s="273" t="n"/>
      <c r="O332" s="48" t="n"/>
      <c r="P332" s="273" t="n"/>
      <c r="Q332" s="273" t="n"/>
      <c r="R332" s="273" t="n"/>
      <c r="S332" s="23" t="n"/>
      <c r="T332" s="273" t="n"/>
      <c r="U332" s="273" t="n"/>
      <c r="V332" s="273" t="n"/>
      <c r="W332" s="273" t="n"/>
      <c r="X332" s="273" t="inlineStr">
        <is>
          <t>No</t>
        </is>
      </c>
      <c r="Y332" s="41" t="n"/>
      <c r="Z332" s="273" t="n"/>
      <c r="AA332" s="35">
        <f>IF(X332="no",O332,O332*Y332)</f>
        <v/>
      </c>
      <c r="AB332" s="273" t="inlineStr">
        <is>
          <t>Mg</t>
        </is>
      </c>
      <c r="AC332" s="190">
        <f>INDEX(Tab_Def_Flows[[Flow_ID]:[CC_DM_source]],MATCH(Tab_Data_Flows[[#This Row],[Name(EN)]],Tab_Def_Flows[Name(EN)],0),13)</f>
        <v/>
      </c>
      <c r="AD332" s="272">
        <f>IF(J332="Yes",AA332*Tab_Data_Flows[[#This Row],[WC_'[%']]],"N.A.")</f>
        <v/>
      </c>
      <c r="AE332" s="272">
        <f>Tab_Data_Flows[[#This Row],[UoM_Flow_Py]]</f>
        <v/>
      </c>
      <c r="AF332" s="190">
        <f>INDEX(Tab_Def_Flows[[Flow_ID]:[CC_DM_source]],MATCH(Tab_Data_Flows[[#This Row],[Name(EN)]],Tab_Def_Flows[Name(EN)],0),15)</f>
        <v/>
      </c>
      <c r="AG332" s="272">
        <f>IF(K332="Yes",AF332*Tab_Data_Flows[[#This Row],[Flow_Py]],"N.A.")</f>
        <v/>
      </c>
      <c r="AH332" s="272">
        <f>Tab_Data_Flows[[#This Row],[UoM_Flow_Py]]</f>
        <v/>
      </c>
      <c r="AI332" s="190">
        <f>INDEX(Tab_Def_Flows[[Flow_ID]:[CC_DM_source]],MATCH(Tab_Data_Flows[[#This Row],[Name(EN)]],Tab_Def_Flows[Name(EN)],0),17)</f>
        <v/>
      </c>
      <c r="AJ332" s="272">
        <f>IF(L332="Yes",AI332*Tab_Data_Flows[[#This Row],[Flow_Py]]*Tab_Data_Flows[[#This Row],[DM_'[%']]],"N.A.")</f>
        <v/>
      </c>
      <c r="AK332" s="272">
        <f>Tab_Data_Flows[[#This Row],[UoM_Flow_Py]]</f>
        <v/>
      </c>
    </row>
    <row r="333">
      <c r="A333" s="296">
        <f>ROW()-1</f>
        <v/>
      </c>
      <c r="B333" s="272">
        <f>_xlfn.XLOOKUP(C333,Tab_Def_Flows[Name(EN)],Tab_Def_Flows[Flow_ID],,0,)</f>
        <v/>
      </c>
      <c r="C333" s="273" t="inlineStr">
        <is>
          <t>N.A.</t>
        </is>
      </c>
      <c r="D333" s="272">
        <f>_xlfn.XLOOKUP(C333,Tab_Def_Flows[Name(EN)],Tab_Def_Flows[Type_Biomass],,0,)</f>
        <v/>
      </c>
      <c r="E333" s="272">
        <f>_xlfn.XLOOKUP(C333,Tab_Def_Flows[Name(EN)],Tab_Def_Flows[Output_Process],,0,)</f>
        <v/>
      </c>
      <c r="F333" s="272">
        <f>_xlfn.XLOOKUP(C333,Tab_Def_Flows[Name(EN)],Tab_Def_Flows[Process_ID_O],,0,)</f>
        <v/>
      </c>
      <c r="G333" s="272">
        <f>_xlfn.XLOOKUP(C333,Tab_Def_Flows[Name(EN)],Tab_Def_Flows[Input_Process],,0,)</f>
        <v/>
      </c>
      <c r="H333" s="17">
        <f>_xlfn.XLOOKUP(C333,Tab_Def_Flows[Name(EN)],Tab_Def_Flows[Process_ID_I],,0,)</f>
        <v/>
      </c>
      <c r="I333" s="272">
        <f>_xlfn.XLOOKUP(C333,Tab_Def_Flows[Name(EN)],#REF!,,0,)</f>
        <v/>
      </c>
      <c r="J333" s="17">
        <f>_xlfn.XLOOKUP(C333,Tab_Def_Flows[Name(EN)],Tab_Def_Flows[WC?],,0,)</f>
        <v/>
      </c>
      <c r="K333" s="17">
        <f>_xlfn.XLOOKUP(C333,Tab_Def_Flows[Name(EN)],Tab_Def_Flows[DM?],,0,)</f>
        <v/>
      </c>
      <c r="L333" s="17">
        <f>_xlfn.XLOOKUP(C333,Tab_Def_Flows[Name(EN)],Tab_Def_Flows[CC?],,0,)</f>
        <v/>
      </c>
      <c r="M333" s="273" t="n"/>
      <c r="N333" s="273" t="n"/>
      <c r="O333" s="48" t="n"/>
      <c r="P333" s="273" t="n"/>
      <c r="Q333" s="273" t="n"/>
      <c r="R333" s="273" t="n"/>
      <c r="S333" s="23" t="n"/>
      <c r="T333" s="273" t="n"/>
      <c r="U333" s="273" t="n"/>
      <c r="V333" s="273" t="n"/>
      <c r="W333" s="273" t="n"/>
      <c r="X333" s="273" t="inlineStr">
        <is>
          <t>No</t>
        </is>
      </c>
      <c r="Y333" s="41" t="n"/>
      <c r="Z333" s="273" t="n"/>
      <c r="AA333" s="35">
        <f>IF(X333="no",O333,O333*Y333)</f>
        <v/>
      </c>
      <c r="AB333" s="273" t="inlineStr">
        <is>
          <t>Mg</t>
        </is>
      </c>
      <c r="AC333" s="190">
        <f>INDEX(Tab_Def_Flows[[Flow_ID]:[CC_DM_source]],MATCH(Tab_Data_Flows[[#This Row],[Name(EN)]],Tab_Def_Flows[Name(EN)],0),13)</f>
        <v/>
      </c>
      <c r="AD333" s="272">
        <f>IF(J333="Yes",AA333*Tab_Data_Flows[[#This Row],[WC_'[%']]],"N.A.")</f>
        <v/>
      </c>
      <c r="AE333" s="272">
        <f>Tab_Data_Flows[[#This Row],[UoM_Flow_Py]]</f>
        <v/>
      </c>
      <c r="AF333" s="190">
        <f>INDEX(Tab_Def_Flows[[Flow_ID]:[CC_DM_source]],MATCH(Tab_Data_Flows[[#This Row],[Name(EN)]],Tab_Def_Flows[Name(EN)],0),15)</f>
        <v/>
      </c>
      <c r="AG333" s="272">
        <f>IF(K333="Yes",AF333*Tab_Data_Flows[[#This Row],[Flow_Py]],"N.A.")</f>
        <v/>
      </c>
      <c r="AH333" s="272">
        <f>Tab_Data_Flows[[#This Row],[UoM_Flow_Py]]</f>
        <v/>
      </c>
      <c r="AI333" s="190">
        <f>INDEX(Tab_Def_Flows[[Flow_ID]:[CC_DM_source]],MATCH(Tab_Data_Flows[[#This Row],[Name(EN)]],Tab_Def_Flows[Name(EN)],0),17)</f>
        <v/>
      </c>
      <c r="AJ333" s="272">
        <f>IF(L333="Yes",AI333*Tab_Data_Flows[[#This Row],[Flow_Py]]*Tab_Data_Flows[[#This Row],[DM_'[%']]],"N.A.")</f>
        <v/>
      </c>
      <c r="AK333" s="272">
        <f>Tab_Data_Flows[[#This Row],[UoM_Flow_Py]]</f>
        <v/>
      </c>
    </row>
    <row r="334">
      <c r="A334" s="296">
        <f>ROW()-1</f>
        <v/>
      </c>
      <c r="B334" s="272">
        <f>_xlfn.XLOOKUP(C334,Tab_Def_Flows[Name(EN)],Tab_Def_Flows[Flow_ID],,0,)</f>
        <v/>
      </c>
      <c r="C334" s="273" t="inlineStr">
        <is>
          <t>N.A.</t>
        </is>
      </c>
      <c r="D334" s="272">
        <f>_xlfn.XLOOKUP(C334,Tab_Def_Flows[Name(EN)],Tab_Def_Flows[Type_Biomass],,0,)</f>
        <v/>
      </c>
      <c r="E334" s="272">
        <f>_xlfn.XLOOKUP(C334,Tab_Def_Flows[Name(EN)],Tab_Def_Flows[Output_Process],,0,)</f>
        <v/>
      </c>
      <c r="F334" s="272">
        <f>_xlfn.XLOOKUP(C334,Tab_Def_Flows[Name(EN)],Tab_Def_Flows[Process_ID_O],,0,)</f>
        <v/>
      </c>
      <c r="G334" s="272">
        <f>_xlfn.XLOOKUP(C334,Tab_Def_Flows[Name(EN)],Tab_Def_Flows[Input_Process],,0,)</f>
        <v/>
      </c>
      <c r="H334" s="17">
        <f>_xlfn.XLOOKUP(C334,Tab_Def_Flows[Name(EN)],Tab_Def_Flows[Process_ID_I],,0,)</f>
        <v/>
      </c>
      <c r="I334" s="272">
        <f>_xlfn.XLOOKUP(C334,Tab_Def_Flows[Name(EN)],#REF!,,0,)</f>
        <v/>
      </c>
      <c r="J334" s="17">
        <f>_xlfn.XLOOKUP(C334,Tab_Def_Flows[Name(EN)],Tab_Def_Flows[WC?],,0,)</f>
        <v/>
      </c>
      <c r="K334" s="17">
        <f>_xlfn.XLOOKUP(C334,Tab_Def_Flows[Name(EN)],Tab_Def_Flows[DM?],,0,)</f>
        <v/>
      </c>
      <c r="L334" s="17">
        <f>_xlfn.XLOOKUP(C334,Tab_Def_Flows[Name(EN)],Tab_Def_Flows[CC?],,0,)</f>
        <v/>
      </c>
      <c r="M334" s="273" t="n"/>
      <c r="N334" s="273" t="n"/>
      <c r="O334" s="48" t="n"/>
      <c r="P334" s="273" t="n"/>
      <c r="Q334" s="273" t="n"/>
      <c r="R334" s="273" t="n"/>
      <c r="S334" s="273" t="n"/>
      <c r="T334" s="273" t="n"/>
      <c r="U334" s="273" t="n"/>
      <c r="V334" s="273" t="n"/>
      <c r="W334" s="273" t="n"/>
      <c r="X334" s="273" t="inlineStr">
        <is>
          <t>No</t>
        </is>
      </c>
      <c r="Y334" s="273" t="n"/>
      <c r="Z334" s="273" t="n"/>
      <c r="AA334" s="35">
        <f>IF(X334="no",O334,O334*Y334)</f>
        <v/>
      </c>
      <c r="AB334" s="273" t="inlineStr">
        <is>
          <t>Mg</t>
        </is>
      </c>
      <c r="AC334" s="190">
        <f>INDEX(Tab_Def_Flows[[Flow_ID]:[CC_DM_source]],MATCH(Tab_Data_Flows[[#This Row],[Name(EN)]],Tab_Def_Flows[Name(EN)],0),13)</f>
        <v/>
      </c>
      <c r="AD334" s="272">
        <f>IF(J334="Yes",AA334*Tab_Data_Flows[[#This Row],[WC_'[%']]],"N.A.")</f>
        <v/>
      </c>
      <c r="AE334" s="272">
        <f>Tab_Data_Flows[[#This Row],[UoM_Flow_Py]]</f>
        <v/>
      </c>
      <c r="AF334" s="190">
        <f>INDEX(Tab_Def_Flows[[Flow_ID]:[CC_DM_source]],MATCH(Tab_Data_Flows[[#This Row],[Name(EN)]],Tab_Def_Flows[Name(EN)],0),15)</f>
        <v/>
      </c>
      <c r="AG334" s="272">
        <f>IF(K334="Yes",AF334*Tab_Data_Flows[[#This Row],[Flow_Py]],"N.A.")</f>
        <v/>
      </c>
      <c r="AH334" s="272">
        <f>Tab_Data_Flows[[#This Row],[UoM_Flow_Py]]</f>
        <v/>
      </c>
      <c r="AI334" s="190">
        <f>INDEX(Tab_Def_Flows[[Flow_ID]:[CC_DM_source]],MATCH(Tab_Data_Flows[[#This Row],[Name(EN)]],Tab_Def_Flows[Name(EN)],0),17)</f>
        <v/>
      </c>
      <c r="AJ334" s="272">
        <f>IF(L334="Yes",AI334*Tab_Data_Flows[[#This Row],[Flow_Py]]*Tab_Data_Flows[[#This Row],[DM_'[%']]],"N.A.")</f>
        <v/>
      </c>
      <c r="AK334" s="272">
        <f>Tab_Data_Flows[[#This Row],[UoM_Flow_Py]]</f>
        <v/>
      </c>
    </row>
    <row r="335">
      <c r="A335" s="296">
        <f>ROW()-1</f>
        <v/>
      </c>
      <c r="B335" s="272">
        <f>_xlfn.XLOOKUP(C335,Tab_Def_Flows[Name(EN)],Tab_Def_Flows[Flow_ID],,0,)</f>
        <v/>
      </c>
      <c r="C335" s="273" t="inlineStr">
        <is>
          <t>N.A.</t>
        </is>
      </c>
      <c r="D335" s="272">
        <f>_xlfn.XLOOKUP(C335,Tab_Def_Flows[Name(EN)],Tab_Def_Flows[Type_Biomass],,0,)</f>
        <v/>
      </c>
      <c r="E335" s="272">
        <f>_xlfn.XLOOKUP(C335,Tab_Def_Flows[Name(EN)],Tab_Def_Flows[Output_Process],,0,)</f>
        <v/>
      </c>
      <c r="F335" s="272">
        <f>_xlfn.XLOOKUP(C335,Tab_Def_Flows[Name(EN)],Tab_Def_Flows[Process_ID_O],,0,)</f>
        <v/>
      </c>
      <c r="G335" s="272">
        <f>_xlfn.XLOOKUP(C335,Tab_Def_Flows[Name(EN)],Tab_Def_Flows[Input_Process],,0,)</f>
        <v/>
      </c>
      <c r="H335" s="17">
        <f>_xlfn.XLOOKUP(C335,Tab_Def_Flows[Name(EN)],Tab_Def_Flows[Process_ID_I],,0,)</f>
        <v/>
      </c>
      <c r="I335" s="272">
        <f>_xlfn.XLOOKUP(C335,Tab_Def_Flows[Name(EN)],#REF!,,0,)</f>
        <v/>
      </c>
      <c r="J335" s="17">
        <f>_xlfn.XLOOKUP(C335,Tab_Def_Flows[Name(EN)],Tab_Def_Flows[WC?],,0,)</f>
        <v/>
      </c>
      <c r="K335" s="17">
        <f>_xlfn.XLOOKUP(C335,Tab_Def_Flows[Name(EN)],Tab_Def_Flows[DM?],,0,)</f>
        <v/>
      </c>
      <c r="L335" s="17">
        <f>_xlfn.XLOOKUP(C335,Tab_Def_Flows[Name(EN)],Tab_Def_Flows[CC?],,0,)</f>
        <v/>
      </c>
      <c r="M335" s="273" t="n"/>
      <c r="N335" s="273" t="n"/>
      <c r="O335" s="48" t="n"/>
      <c r="P335" s="273" t="n"/>
      <c r="Q335" s="273" t="n"/>
      <c r="R335" s="273" t="n"/>
      <c r="S335" s="273" t="n"/>
      <c r="T335" s="273" t="n"/>
      <c r="U335" s="273" t="n"/>
      <c r="V335" s="273" t="n"/>
      <c r="W335" s="273" t="n"/>
      <c r="X335" s="273" t="inlineStr">
        <is>
          <t>No</t>
        </is>
      </c>
      <c r="Y335" s="273" t="n"/>
      <c r="Z335" s="273" t="n"/>
      <c r="AA335" s="35">
        <f>IF(X335="no",O335,O335*Y335)</f>
        <v/>
      </c>
      <c r="AB335" s="273" t="inlineStr">
        <is>
          <t>Mg</t>
        </is>
      </c>
      <c r="AC335" s="190">
        <f>INDEX(Tab_Def_Flows[[Flow_ID]:[CC_DM_source]],MATCH(Tab_Data_Flows[[#This Row],[Name(EN)]],Tab_Def_Flows[Name(EN)],0),13)</f>
        <v/>
      </c>
      <c r="AD335" s="272">
        <f>IF(J335="Yes",AA335*Tab_Data_Flows[[#This Row],[WC_'[%']]],"N.A.")</f>
        <v/>
      </c>
      <c r="AE335" s="272">
        <f>Tab_Data_Flows[[#This Row],[UoM_Flow_Py]]</f>
        <v/>
      </c>
      <c r="AF335" s="190">
        <f>INDEX(Tab_Def_Flows[[Flow_ID]:[CC_DM_source]],MATCH(Tab_Data_Flows[[#This Row],[Name(EN)]],Tab_Def_Flows[Name(EN)],0),15)</f>
        <v/>
      </c>
      <c r="AG335" s="272">
        <f>IF(K335="Yes",AF335*Tab_Data_Flows[[#This Row],[Flow_Py]],"N.A.")</f>
        <v/>
      </c>
      <c r="AH335" s="272">
        <f>Tab_Data_Flows[[#This Row],[UoM_Flow_Py]]</f>
        <v/>
      </c>
      <c r="AI335" s="190">
        <f>INDEX(Tab_Def_Flows[[Flow_ID]:[CC_DM_source]],MATCH(Tab_Data_Flows[[#This Row],[Name(EN)]],Tab_Def_Flows[Name(EN)],0),17)</f>
        <v/>
      </c>
      <c r="AJ335" s="272">
        <f>IF(L335="Yes",AI335*Tab_Data_Flows[[#This Row],[Flow_Py]]*Tab_Data_Flows[[#This Row],[DM_'[%']]],"N.A.")</f>
        <v/>
      </c>
      <c r="AK335" s="272">
        <f>Tab_Data_Flows[[#This Row],[UoM_Flow_Py]]</f>
        <v/>
      </c>
    </row>
    <row r="336">
      <c r="A336" s="296">
        <f>ROW()-1</f>
        <v/>
      </c>
      <c r="B336" s="272">
        <f>_xlfn.XLOOKUP(C336,Tab_Def_Flows[Name(EN)],Tab_Def_Flows[Flow_ID],,0,)</f>
        <v/>
      </c>
      <c r="C336" s="273" t="inlineStr">
        <is>
          <t>N.A.</t>
        </is>
      </c>
      <c r="D336" s="272">
        <f>_xlfn.XLOOKUP(C336,Tab_Def_Flows[Name(EN)],Tab_Def_Flows[Type_Biomass],,0,)</f>
        <v/>
      </c>
      <c r="E336" s="272">
        <f>_xlfn.XLOOKUP(C336,Tab_Def_Flows[Name(EN)],Tab_Def_Flows[Output_Process],,0,)</f>
        <v/>
      </c>
      <c r="F336" s="272">
        <f>_xlfn.XLOOKUP(C336,Tab_Def_Flows[Name(EN)],Tab_Def_Flows[Process_ID_O],,0,)</f>
        <v/>
      </c>
      <c r="G336" s="272">
        <f>_xlfn.XLOOKUP(C336,Tab_Def_Flows[Name(EN)],Tab_Def_Flows[Input_Process],,0,)</f>
        <v/>
      </c>
      <c r="H336" s="17">
        <f>_xlfn.XLOOKUP(C336,Tab_Def_Flows[Name(EN)],Tab_Def_Flows[Process_ID_I],,0,)</f>
        <v/>
      </c>
      <c r="I336" s="272">
        <f>_xlfn.XLOOKUP(C336,Tab_Def_Flows[Name(EN)],#REF!,,0,)</f>
        <v/>
      </c>
      <c r="J336" s="17">
        <f>_xlfn.XLOOKUP(C336,Tab_Def_Flows[Name(EN)],Tab_Def_Flows[WC?],,0,)</f>
        <v/>
      </c>
      <c r="K336" s="17">
        <f>_xlfn.XLOOKUP(C336,Tab_Def_Flows[Name(EN)],Tab_Def_Flows[DM?],,0,)</f>
        <v/>
      </c>
      <c r="L336" s="17">
        <f>_xlfn.XLOOKUP(C336,Tab_Def_Flows[Name(EN)],Tab_Def_Flows[CC?],,0,)</f>
        <v/>
      </c>
      <c r="M336" s="273" t="n"/>
      <c r="N336" s="273" t="n"/>
      <c r="O336" s="48" t="n"/>
      <c r="P336" s="273" t="n"/>
      <c r="Q336" s="273" t="n"/>
      <c r="R336" s="273" t="n"/>
      <c r="S336" s="273" t="n"/>
      <c r="T336" s="273" t="n"/>
      <c r="U336" s="273" t="n"/>
      <c r="V336" s="273" t="n"/>
      <c r="W336" s="273" t="n"/>
      <c r="X336" s="273" t="inlineStr">
        <is>
          <t>No</t>
        </is>
      </c>
      <c r="Y336" s="273" t="n"/>
      <c r="Z336" s="273" t="n"/>
      <c r="AA336" s="35">
        <f>IF(X336="no",O336,O336*Y336)</f>
        <v/>
      </c>
      <c r="AB336" s="273" t="inlineStr">
        <is>
          <t>Mg</t>
        </is>
      </c>
      <c r="AC336" s="190">
        <f>INDEX(Tab_Def_Flows[[Flow_ID]:[CC_DM_source]],MATCH(Tab_Data_Flows[[#This Row],[Name(EN)]],Tab_Def_Flows[Name(EN)],0),13)</f>
        <v/>
      </c>
      <c r="AD336" s="272">
        <f>IF(J336="Yes",AA336*Tab_Data_Flows[[#This Row],[WC_'[%']]],"N.A.")</f>
        <v/>
      </c>
      <c r="AE336" s="272">
        <f>Tab_Data_Flows[[#This Row],[UoM_Flow_Py]]</f>
        <v/>
      </c>
      <c r="AF336" s="190">
        <f>INDEX(Tab_Def_Flows[[Flow_ID]:[CC_DM_source]],MATCH(Tab_Data_Flows[[#This Row],[Name(EN)]],Tab_Def_Flows[Name(EN)],0),15)</f>
        <v/>
      </c>
      <c r="AG336" s="272">
        <f>IF(K336="Yes",AF336*Tab_Data_Flows[[#This Row],[Flow_Py]],"N.A.")</f>
        <v/>
      </c>
      <c r="AH336" s="272">
        <f>Tab_Data_Flows[[#This Row],[UoM_Flow_Py]]</f>
        <v/>
      </c>
      <c r="AI336" s="190">
        <f>INDEX(Tab_Def_Flows[[Flow_ID]:[CC_DM_source]],MATCH(Tab_Data_Flows[[#This Row],[Name(EN)]],Tab_Def_Flows[Name(EN)],0),17)</f>
        <v/>
      </c>
      <c r="AJ336" s="272">
        <f>IF(L336="Yes",AI336*Tab_Data_Flows[[#This Row],[Flow_Py]]*Tab_Data_Flows[[#This Row],[DM_'[%']]],"N.A.")</f>
        <v/>
      </c>
      <c r="AK336" s="272">
        <f>Tab_Data_Flows[[#This Row],[UoM_Flow_Py]]</f>
        <v/>
      </c>
    </row>
    <row r="337">
      <c r="A337" s="296">
        <f>ROW()-1</f>
        <v/>
      </c>
      <c r="B337" s="272">
        <f>_xlfn.XLOOKUP(C337,Tab_Def_Flows[Name(EN)],Tab_Def_Flows[Flow_ID],,0,)</f>
        <v/>
      </c>
      <c r="C337" s="273" t="inlineStr">
        <is>
          <t>N.A.</t>
        </is>
      </c>
      <c r="D337" s="272">
        <f>_xlfn.XLOOKUP(C337,Tab_Def_Flows[Name(EN)],Tab_Def_Flows[Type_Biomass],,0,)</f>
        <v/>
      </c>
      <c r="E337" s="272">
        <f>_xlfn.XLOOKUP(C337,Tab_Def_Flows[Name(EN)],Tab_Def_Flows[Output_Process],,0,)</f>
        <v/>
      </c>
      <c r="F337" s="272">
        <f>_xlfn.XLOOKUP(C337,Tab_Def_Flows[Name(EN)],Tab_Def_Flows[Process_ID_O],,0,)</f>
        <v/>
      </c>
      <c r="G337" s="272">
        <f>_xlfn.XLOOKUP(C337,Tab_Def_Flows[Name(EN)],Tab_Def_Flows[Input_Process],,0,)</f>
        <v/>
      </c>
      <c r="H337" s="17">
        <f>_xlfn.XLOOKUP(C337,Tab_Def_Flows[Name(EN)],Tab_Def_Flows[Process_ID_I],,0,)</f>
        <v/>
      </c>
      <c r="I337" s="272">
        <f>_xlfn.XLOOKUP(C337,Tab_Def_Flows[Name(EN)],#REF!,,0,)</f>
        <v/>
      </c>
      <c r="J337" s="17">
        <f>_xlfn.XLOOKUP(C337,Tab_Def_Flows[Name(EN)],Tab_Def_Flows[WC?],,0,)</f>
        <v/>
      </c>
      <c r="K337" s="17">
        <f>_xlfn.XLOOKUP(C337,Tab_Def_Flows[Name(EN)],Tab_Def_Flows[DM?],,0,)</f>
        <v/>
      </c>
      <c r="L337" s="17">
        <f>_xlfn.XLOOKUP(C337,Tab_Def_Flows[Name(EN)],Tab_Def_Flows[CC?],,0,)</f>
        <v/>
      </c>
      <c r="M337" s="273" t="n"/>
      <c r="N337" s="273" t="n"/>
      <c r="O337" s="48" t="n"/>
      <c r="P337" s="273" t="n"/>
      <c r="Q337" s="273" t="n"/>
      <c r="R337" s="273" t="n"/>
      <c r="S337" s="273" t="n"/>
      <c r="T337" s="273" t="n"/>
      <c r="U337" s="273" t="n"/>
      <c r="V337" s="273" t="n"/>
      <c r="W337" s="273" t="n"/>
      <c r="X337" s="273" t="inlineStr">
        <is>
          <t>No</t>
        </is>
      </c>
      <c r="Y337" s="273" t="n"/>
      <c r="Z337" s="273" t="n"/>
      <c r="AA337" s="35">
        <f>IF(X337="no",O337,O337*Y337)</f>
        <v/>
      </c>
      <c r="AB337" s="273" t="inlineStr">
        <is>
          <t>Mg</t>
        </is>
      </c>
      <c r="AC337" s="190">
        <f>INDEX(Tab_Def_Flows[[Flow_ID]:[CC_DM_source]],MATCH(Tab_Data_Flows[[#This Row],[Name(EN)]],Tab_Def_Flows[Name(EN)],0),13)</f>
        <v/>
      </c>
      <c r="AD337" s="272">
        <f>IF(J337="Yes",AA337*Tab_Data_Flows[[#This Row],[WC_'[%']]],"N.A.")</f>
        <v/>
      </c>
      <c r="AE337" s="272">
        <f>Tab_Data_Flows[[#This Row],[UoM_Flow_Py]]</f>
        <v/>
      </c>
      <c r="AF337" s="190">
        <f>INDEX(Tab_Def_Flows[[Flow_ID]:[CC_DM_source]],MATCH(Tab_Data_Flows[[#This Row],[Name(EN)]],Tab_Def_Flows[Name(EN)],0),15)</f>
        <v/>
      </c>
      <c r="AG337" s="272">
        <f>IF(K337="Yes",AF337*Tab_Data_Flows[[#This Row],[Flow_Py]],"N.A.")</f>
        <v/>
      </c>
      <c r="AH337" s="272">
        <f>Tab_Data_Flows[[#This Row],[UoM_Flow_Py]]</f>
        <v/>
      </c>
      <c r="AI337" s="190">
        <f>INDEX(Tab_Def_Flows[[Flow_ID]:[CC_DM_source]],MATCH(Tab_Data_Flows[[#This Row],[Name(EN)]],Tab_Def_Flows[Name(EN)],0),17)</f>
        <v/>
      </c>
      <c r="AJ337" s="272">
        <f>IF(L337="Yes",AI337*Tab_Data_Flows[[#This Row],[Flow_Py]]*Tab_Data_Flows[[#This Row],[DM_'[%']]],"N.A.")</f>
        <v/>
      </c>
      <c r="AK337" s="272">
        <f>Tab_Data_Flows[[#This Row],[UoM_Flow_Py]]</f>
        <v/>
      </c>
    </row>
    <row r="338">
      <c r="A338" s="296">
        <f>ROW()-1</f>
        <v/>
      </c>
      <c r="B338" s="272">
        <f>_xlfn.XLOOKUP(C338,Tab_Def_Flows[Name(EN)],Tab_Def_Flows[Flow_ID],,0,)</f>
        <v/>
      </c>
      <c r="C338" s="273" t="inlineStr">
        <is>
          <t>N.A.</t>
        </is>
      </c>
      <c r="D338" s="272">
        <f>_xlfn.XLOOKUP(C338,Tab_Def_Flows[Name(EN)],Tab_Def_Flows[Type_Biomass],,0,)</f>
        <v/>
      </c>
      <c r="E338" s="272">
        <f>_xlfn.XLOOKUP(C338,Tab_Def_Flows[Name(EN)],Tab_Def_Flows[Output_Process],,0,)</f>
        <v/>
      </c>
      <c r="F338" s="272">
        <f>_xlfn.XLOOKUP(C338,Tab_Def_Flows[Name(EN)],Tab_Def_Flows[Process_ID_O],,0,)</f>
        <v/>
      </c>
      <c r="G338" s="272">
        <f>_xlfn.XLOOKUP(C338,Tab_Def_Flows[Name(EN)],Tab_Def_Flows[Input_Process],,0,)</f>
        <v/>
      </c>
      <c r="H338" s="17">
        <f>_xlfn.XLOOKUP(C338,Tab_Def_Flows[Name(EN)],Tab_Def_Flows[Process_ID_I],,0,)</f>
        <v/>
      </c>
      <c r="I338" s="272">
        <f>_xlfn.XLOOKUP(C338,Tab_Def_Flows[Name(EN)],#REF!,,0,)</f>
        <v/>
      </c>
      <c r="J338" s="17">
        <f>_xlfn.XLOOKUP(C338,Tab_Def_Flows[Name(EN)],Tab_Def_Flows[WC?],,0,)</f>
        <v/>
      </c>
      <c r="K338" s="17">
        <f>_xlfn.XLOOKUP(C338,Tab_Def_Flows[Name(EN)],Tab_Def_Flows[DM?],,0,)</f>
        <v/>
      </c>
      <c r="L338" s="17">
        <f>_xlfn.XLOOKUP(C338,Tab_Def_Flows[Name(EN)],Tab_Def_Flows[CC?],,0,)</f>
        <v/>
      </c>
      <c r="M338" s="273" t="n"/>
      <c r="N338" s="273" t="n"/>
      <c r="O338" s="48" t="n"/>
      <c r="P338" s="273" t="n"/>
      <c r="Q338" s="273" t="n"/>
      <c r="R338" s="273" t="n"/>
      <c r="S338" s="273" t="n"/>
      <c r="T338" s="273" t="n"/>
      <c r="U338" s="273" t="n"/>
      <c r="V338" s="273" t="n"/>
      <c r="W338" s="273" t="n"/>
      <c r="X338" s="273" t="inlineStr">
        <is>
          <t>No</t>
        </is>
      </c>
      <c r="Y338" s="273" t="n"/>
      <c r="Z338" s="273" t="n"/>
      <c r="AA338" s="35">
        <f>IF(X338="no",O338,O338*Y338)</f>
        <v/>
      </c>
      <c r="AB338" s="273" t="inlineStr">
        <is>
          <t>Mg</t>
        </is>
      </c>
      <c r="AC338" s="190">
        <f>INDEX(Tab_Def_Flows[[Flow_ID]:[CC_DM_source]],MATCH(Tab_Data_Flows[[#This Row],[Name(EN)]],Tab_Def_Flows[Name(EN)],0),13)</f>
        <v/>
      </c>
      <c r="AD338" s="272">
        <f>IF(J338="Yes",AA338*Tab_Data_Flows[[#This Row],[WC_'[%']]],"N.A.")</f>
        <v/>
      </c>
      <c r="AE338" s="272">
        <f>Tab_Data_Flows[[#This Row],[UoM_Flow_Py]]</f>
        <v/>
      </c>
      <c r="AF338" s="190">
        <f>INDEX(Tab_Def_Flows[[Flow_ID]:[CC_DM_source]],MATCH(Tab_Data_Flows[[#This Row],[Name(EN)]],Tab_Def_Flows[Name(EN)],0),15)</f>
        <v/>
      </c>
      <c r="AG338" s="272">
        <f>IF(K338="Yes",AF338*Tab_Data_Flows[[#This Row],[Flow_Py]],"N.A.")</f>
        <v/>
      </c>
      <c r="AH338" s="272">
        <f>Tab_Data_Flows[[#This Row],[UoM_Flow_Py]]</f>
        <v/>
      </c>
      <c r="AI338" s="190">
        <f>INDEX(Tab_Def_Flows[[Flow_ID]:[CC_DM_source]],MATCH(Tab_Data_Flows[[#This Row],[Name(EN)]],Tab_Def_Flows[Name(EN)],0),17)</f>
        <v/>
      </c>
      <c r="AJ338" s="272">
        <f>IF(L338="Yes",AI338*Tab_Data_Flows[[#This Row],[Flow_Py]]*Tab_Data_Flows[[#This Row],[DM_'[%']]],"N.A.")</f>
        <v/>
      </c>
      <c r="AK338" s="272">
        <f>Tab_Data_Flows[[#This Row],[UoM_Flow_Py]]</f>
        <v/>
      </c>
    </row>
    <row r="339">
      <c r="A339" s="296">
        <f>ROW()-1</f>
        <v/>
      </c>
      <c r="B339" s="272">
        <f>_xlfn.XLOOKUP(C339,Tab_Def_Flows[Name(EN)],Tab_Def_Flows[Flow_ID],,0,)</f>
        <v/>
      </c>
      <c r="C339" s="273" t="inlineStr">
        <is>
          <t>N.A.</t>
        </is>
      </c>
      <c r="D339" s="272">
        <f>_xlfn.XLOOKUP(C339,Tab_Def_Flows[Name(EN)],Tab_Def_Flows[Type_Biomass],,0,)</f>
        <v/>
      </c>
      <c r="E339" s="272">
        <f>_xlfn.XLOOKUP(C339,Tab_Def_Flows[Name(EN)],Tab_Def_Flows[Output_Process],,0,)</f>
        <v/>
      </c>
      <c r="F339" s="272">
        <f>_xlfn.XLOOKUP(C339,Tab_Def_Flows[Name(EN)],Tab_Def_Flows[Process_ID_O],,0,)</f>
        <v/>
      </c>
      <c r="G339" s="272">
        <f>_xlfn.XLOOKUP(C339,Tab_Def_Flows[Name(EN)],Tab_Def_Flows[Input_Process],,0,)</f>
        <v/>
      </c>
      <c r="H339" s="17">
        <f>_xlfn.XLOOKUP(C339,Tab_Def_Flows[Name(EN)],Tab_Def_Flows[Process_ID_I],,0,)</f>
        <v/>
      </c>
      <c r="I339" s="272">
        <f>_xlfn.XLOOKUP(C339,Tab_Def_Flows[Name(EN)],#REF!,,0,)</f>
        <v/>
      </c>
      <c r="J339" s="17">
        <f>_xlfn.XLOOKUP(C339,Tab_Def_Flows[Name(EN)],Tab_Def_Flows[WC?],,0,)</f>
        <v/>
      </c>
      <c r="K339" s="17">
        <f>_xlfn.XLOOKUP(C339,Tab_Def_Flows[Name(EN)],Tab_Def_Flows[DM?],,0,)</f>
        <v/>
      </c>
      <c r="L339" s="17">
        <f>_xlfn.XLOOKUP(C339,Tab_Def_Flows[Name(EN)],Tab_Def_Flows[CC?],,0,)</f>
        <v/>
      </c>
      <c r="M339" s="273" t="n"/>
      <c r="N339" s="273" t="n"/>
      <c r="O339" s="48" t="n"/>
      <c r="P339" s="273" t="n"/>
      <c r="Q339" s="273" t="n"/>
      <c r="R339" s="273" t="n"/>
      <c r="S339" s="273" t="n"/>
      <c r="T339" s="273" t="n"/>
      <c r="U339" s="273" t="n"/>
      <c r="V339" s="273" t="n"/>
      <c r="W339" s="273" t="n"/>
      <c r="X339" s="273" t="inlineStr">
        <is>
          <t>No</t>
        </is>
      </c>
      <c r="Y339" s="273" t="n"/>
      <c r="Z339" s="273" t="n"/>
      <c r="AA339" s="35">
        <f>IF(X339="no",O339,O339*Y339)</f>
        <v/>
      </c>
      <c r="AB339" s="273" t="inlineStr">
        <is>
          <t>Mg</t>
        </is>
      </c>
      <c r="AC339" s="190">
        <f>INDEX(Tab_Def_Flows[[Flow_ID]:[CC_DM_source]],MATCH(Tab_Data_Flows[[#This Row],[Name(EN)]],Tab_Def_Flows[Name(EN)],0),13)</f>
        <v/>
      </c>
      <c r="AD339" s="272">
        <f>IF(J339="Yes",AA339*Tab_Data_Flows[[#This Row],[WC_'[%']]],"N.A.")</f>
        <v/>
      </c>
      <c r="AE339" s="272">
        <f>Tab_Data_Flows[[#This Row],[UoM_Flow_Py]]</f>
        <v/>
      </c>
      <c r="AF339" s="190">
        <f>INDEX(Tab_Def_Flows[[Flow_ID]:[CC_DM_source]],MATCH(Tab_Data_Flows[[#This Row],[Name(EN)]],Tab_Def_Flows[Name(EN)],0),15)</f>
        <v/>
      </c>
      <c r="AG339" s="272">
        <f>IF(K339="Yes",AF339*Tab_Data_Flows[[#This Row],[Flow_Py]],"N.A.")</f>
        <v/>
      </c>
      <c r="AH339" s="272">
        <f>Tab_Data_Flows[[#This Row],[UoM_Flow_Py]]</f>
        <v/>
      </c>
      <c r="AI339" s="190">
        <f>INDEX(Tab_Def_Flows[[Flow_ID]:[CC_DM_source]],MATCH(Tab_Data_Flows[[#This Row],[Name(EN)]],Tab_Def_Flows[Name(EN)],0),17)</f>
        <v/>
      </c>
      <c r="AJ339" s="272">
        <f>IF(L339="Yes",AI339*Tab_Data_Flows[[#This Row],[Flow_Py]]*Tab_Data_Flows[[#This Row],[DM_'[%']]],"N.A.")</f>
        <v/>
      </c>
      <c r="AK339" s="272">
        <f>Tab_Data_Flows[[#This Row],[UoM_Flow_Py]]</f>
        <v/>
      </c>
    </row>
    <row r="340">
      <c r="A340" s="296">
        <f>ROW()-1</f>
        <v/>
      </c>
      <c r="B340" s="272">
        <f>_xlfn.XLOOKUP(C340,Tab_Def_Flows[Name(EN)],Tab_Def_Flows[Flow_ID],,0,)</f>
        <v/>
      </c>
      <c r="C340" s="273" t="inlineStr">
        <is>
          <t>N.A.</t>
        </is>
      </c>
      <c r="D340" s="272">
        <f>_xlfn.XLOOKUP(C340,Tab_Def_Flows[Name(EN)],Tab_Def_Flows[Type_Biomass],,0,)</f>
        <v/>
      </c>
      <c r="E340" s="272">
        <f>_xlfn.XLOOKUP(C340,Tab_Def_Flows[Name(EN)],Tab_Def_Flows[Output_Process],,0,)</f>
        <v/>
      </c>
      <c r="F340" s="272">
        <f>_xlfn.XLOOKUP(C340,Tab_Def_Flows[Name(EN)],Tab_Def_Flows[Process_ID_O],,0,)</f>
        <v/>
      </c>
      <c r="G340" s="272">
        <f>_xlfn.XLOOKUP(C340,Tab_Def_Flows[Name(EN)],Tab_Def_Flows[Input_Process],,0,)</f>
        <v/>
      </c>
      <c r="H340" s="17">
        <f>_xlfn.XLOOKUP(C340,Tab_Def_Flows[Name(EN)],Tab_Def_Flows[Process_ID_I],,0,)</f>
        <v/>
      </c>
      <c r="I340" s="272">
        <f>_xlfn.XLOOKUP(C340,Tab_Def_Flows[Name(EN)],#REF!,,0,)</f>
        <v/>
      </c>
      <c r="J340" s="17">
        <f>_xlfn.XLOOKUP(C340,Tab_Def_Flows[Name(EN)],Tab_Def_Flows[WC?],,0,)</f>
        <v/>
      </c>
      <c r="K340" s="17">
        <f>_xlfn.XLOOKUP(C340,Tab_Def_Flows[Name(EN)],Tab_Def_Flows[DM?],,0,)</f>
        <v/>
      </c>
      <c r="L340" s="17">
        <f>_xlfn.XLOOKUP(C340,Tab_Def_Flows[Name(EN)],Tab_Def_Flows[CC?],,0,)</f>
        <v/>
      </c>
      <c r="M340" s="273" t="n"/>
      <c r="N340" s="273" t="n"/>
      <c r="O340" s="48" t="n"/>
      <c r="P340" s="273" t="n"/>
      <c r="Q340" s="273" t="n"/>
      <c r="R340" s="273" t="n"/>
      <c r="S340" s="273" t="n"/>
      <c r="T340" s="273" t="n"/>
      <c r="U340" s="273" t="n"/>
      <c r="V340" s="273" t="n"/>
      <c r="W340" s="273" t="n"/>
      <c r="X340" s="273" t="inlineStr">
        <is>
          <t>No</t>
        </is>
      </c>
      <c r="Y340" s="273" t="n"/>
      <c r="Z340" s="273" t="n"/>
      <c r="AA340" s="35">
        <f>IF(X340="no",O340,O340*Y340)</f>
        <v/>
      </c>
      <c r="AB340" s="273" t="inlineStr">
        <is>
          <t>Mg</t>
        </is>
      </c>
      <c r="AC340" s="190">
        <f>INDEX(Tab_Def_Flows[[Flow_ID]:[CC_DM_source]],MATCH(Tab_Data_Flows[[#This Row],[Name(EN)]],Tab_Def_Flows[Name(EN)],0),13)</f>
        <v/>
      </c>
      <c r="AD340" s="272">
        <f>IF(J340="Yes",AA340*Tab_Data_Flows[[#This Row],[WC_'[%']]],"N.A.")</f>
        <v/>
      </c>
      <c r="AE340" s="272">
        <f>Tab_Data_Flows[[#This Row],[UoM_Flow_Py]]</f>
        <v/>
      </c>
      <c r="AF340" s="190">
        <f>INDEX(Tab_Def_Flows[[Flow_ID]:[CC_DM_source]],MATCH(Tab_Data_Flows[[#This Row],[Name(EN)]],Tab_Def_Flows[Name(EN)],0),15)</f>
        <v/>
      </c>
      <c r="AG340" s="272">
        <f>IF(K340="Yes",AF340*Tab_Data_Flows[[#This Row],[Flow_Py]],"N.A.")</f>
        <v/>
      </c>
      <c r="AH340" s="272">
        <f>Tab_Data_Flows[[#This Row],[UoM_Flow_Py]]</f>
        <v/>
      </c>
      <c r="AI340" s="190">
        <f>INDEX(Tab_Def_Flows[[Flow_ID]:[CC_DM_source]],MATCH(Tab_Data_Flows[[#This Row],[Name(EN)]],Tab_Def_Flows[Name(EN)],0),17)</f>
        <v/>
      </c>
      <c r="AJ340" s="272">
        <f>IF(L340="Yes",AI340*Tab_Data_Flows[[#This Row],[Flow_Py]]*Tab_Data_Flows[[#This Row],[DM_'[%']]],"N.A.")</f>
        <v/>
      </c>
      <c r="AK340" s="272">
        <f>Tab_Data_Flows[[#This Row],[UoM_Flow_Py]]</f>
        <v/>
      </c>
    </row>
    <row r="341">
      <c r="A341" s="296">
        <f>ROW()-1</f>
        <v/>
      </c>
      <c r="B341" s="272">
        <f>_xlfn.XLOOKUP(C341,Tab_Def_Flows[Name(EN)],Tab_Def_Flows[Flow_ID],,0,)</f>
        <v/>
      </c>
      <c r="C341" s="273" t="inlineStr">
        <is>
          <t>N.A.</t>
        </is>
      </c>
      <c r="D341" s="272">
        <f>_xlfn.XLOOKUP(C341,Tab_Def_Flows[Name(EN)],Tab_Def_Flows[Type_Biomass],,0,)</f>
        <v/>
      </c>
      <c r="E341" s="272">
        <f>_xlfn.XLOOKUP(C341,Tab_Def_Flows[Name(EN)],Tab_Def_Flows[Output_Process],,0,)</f>
        <v/>
      </c>
      <c r="F341" s="272">
        <f>_xlfn.XLOOKUP(C341,Tab_Def_Flows[Name(EN)],Tab_Def_Flows[Process_ID_O],,0,)</f>
        <v/>
      </c>
      <c r="G341" s="272">
        <f>_xlfn.XLOOKUP(C341,Tab_Def_Flows[Name(EN)],Tab_Def_Flows[Input_Process],,0,)</f>
        <v/>
      </c>
      <c r="H341" s="17">
        <f>_xlfn.XLOOKUP(C341,Tab_Def_Flows[Name(EN)],Tab_Def_Flows[Process_ID_I],,0,)</f>
        <v/>
      </c>
      <c r="I341" s="272">
        <f>_xlfn.XLOOKUP(C341,Tab_Def_Flows[Name(EN)],#REF!,,0,)</f>
        <v/>
      </c>
      <c r="J341" s="17">
        <f>_xlfn.XLOOKUP(C341,Tab_Def_Flows[Name(EN)],Tab_Def_Flows[WC?],,0,)</f>
        <v/>
      </c>
      <c r="K341" s="17">
        <f>_xlfn.XLOOKUP(C341,Tab_Def_Flows[Name(EN)],Tab_Def_Flows[DM?],,0,)</f>
        <v/>
      </c>
      <c r="L341" s="17">
        <f>_xlfn.XLOOKUP(C341,Tab_Def_Flows[Name(EN)],Tab_Def_Flows[CC?],,0,)</f>
        <v/>
      </c>
      <c r="M341" s="273" t="n"/>
      <c r="N341" s="273" t="n"/>
      <c r="O341" s="48" t="n"/>
      <c r="P341" s="273" t="n"/>
      <c r="Q341" s="273" t="n"/>
      <c r="R341" s="273" t="n"/>
      <c r="S341" s="273" t="n"/>
      <c r="T341" s="273" t="n"/>
      <c r="U341" s="273" t="n"/>
      <c r="V341" s="273" t="n"/>
      <c r="W341" s="273" t="n"/>
      <c r="X341" s="273" t="inlineStr">
        <is>
          <t>No</t>
        </is>
      </c>
      <c r="Y341" s="273" t="n"/>
      <c r="Z341" s="273" t="n"/>
      <c r="AA341" s="35">
        <f>IF(X341="no",O341,O341*Y341)</f>
        <v/>
      </c>
      <c r="AB341" s="273" t="inlineStr">
        <is>
          <t>Mg</t>
        </is>
      </c>
      <c r="AC341" s="190">
        <f>INDEX(Tab_Def_Flows[[Flow_ID]:[CC_DM_source]],MATCH(Tab_Data_Flows[[#This Row],[Name(EN)]],Tab_Def_Flows[Name(EN)],0),13)</f>
        <v/>
      </c>
      <c r="AD341" s="272">
        <f>IF(J341="Yes",AA341*Tab_Data_Flows[[#This Row],[WC_'[%']]],"N.A.")</f>
        <v/>
      </c>
      <c r="AE341" s="272">
        <f>Tab_Data_Flows[[#This Row],[UoM_Flow_Py]]</f>
        <v/>
      </c>
      <c r="AF341" s="190">
        <f>INDEX(Tab_Def_Flows[[Flow_ID]:[CC_DM_source]],MATCH(Tab_Data_Flows[[#This Row],[Name(EN)]],Tab_Def_Flows[Name(EN)],0),15)</f>
        <v/>
      </c>
      <c r="AG341" s="272">
        <f>IF(K341="Yes",AF341*Tab_Data_Flows[[#This Row],[Flow_Py]],"N.A.")</f>
        <v/>
      </c>
      <c r="AH341" s="272">
        <f>Tab_Data_Flows[[#This Row],[UoM_Flow_Py]]</f>
        <v/>
      </c>
      <c r="AI341" s="190">
        <f>INDEX(Tab_Def_Flows[[Flow_ID]:[CC_DM_source]],MATCH(Tab_Data_Flows[[#This Row],[Name(EN)]],Tab_Def_Flows[Name(EN)],0),17)</f>
        <v/>
      </c>
      <c r="AJ341" s="272">
        <f>IF(L341="Yes",AI341*Tab_Data_Flows[[#This Row],[Flow_Py]]*Tab_Data_Flows[[#This Row],[DM_'[%']]],"N.A.")</f>
        <v/>
      </c>
      <c r="AK341" s="272">
        <f>Tab_Data_Flows[[#This Row],[UoM_Flow_Py]]</f>
        <v/>
      </c>
    </row>
    <row r="342">
      <c r="A342" s="296">
        <f>ROW()-1</f>
        <v/>
      </c>
      <c r="B342" s="272">
        <f>_xlfn.XLOOKUP(C342,Tab_Def_Flows[Name(EN)],Tab_Def_Flows[Flow_ID],,0,)</f>
        <v/>
      </c>
      <c r="C342" s="273" t="inlineStr">
        <is>
          <t>N.A.</t>
        </is>
      </c>
      <c r="D342" s="272">
        <f>_xlfn.XLOOKUP(C342,Tab_Def_Flows[Name(EN)],Tab_Def_Flows[Type_Biomass],,0,)</f>
        <v/>
      </c>
      <c r="E342" s="272">
        <f>_xlfn.XLOOKUP(C342,Tab_Def_Flows[Name(EN)],Tab_Def_Flows[Output_Process],,0,)</f>
        <v/>
      </c>
      <c r="F342" s="272">
        <f>_xlfn.XLOOKUP(C342,Tab_Def_Flows[Name(EN)],Tab_Def_Flows[Process_ID_O],,0,)</f>
        <v/>
      </c>
      <c r="G342" s="272">
        <f>_xlfn.XLOOKUP(C342,Tab_Def_Flows[Name(EN)],Tab_Def_Flows[Input_Process],,0,)</f>
        <v/>
      </c>
      <c r="H342" s="17">
        <f>_xlfn.XLOOKUP(C342,Tab_Def_Flows[Name(EN)],Tab_Def_Flows[Process_ID_I],,0,)</f>
        <v/>
      </c>
      <c r="I342" s="272">
        <f>_xlfn.XLOOKUP(C342,Tab_Def_Flows[Name(EN)],#REF!,,0,)</f>
        <v/>
      </c>
      <c r="J342" s="17">
        <f>_xlfn.XLOOKUP(C342,Tab_Def_Flows[Name(EN)],Tab_Def_Flows[WC?],,0,)</f>
        <v/>
      </c>
      <c r="K342" s="17">
        <f>_xlfn.XLOOKUP(C342,Tab_Def_Flows[Name(EN)],Tab_Def_Flows[DM?],,0,)</f>
        <v/>
      </c>
      <c r="L342" s="17">
        <f>_xlfn.XLOOKUP(C342,Tab_Def_Flows[Name(EN)],Tab_Def_Flows[CC?],,0,)</f>
        <v/>
      </c>
      <c r="M342" s="273" t="n"/>
      <c r="N342" s="273" t="n"/>
      <c r="O342" s="48" t="n"/>
      <c r="P342" s="273" t="n"/>
      <c r="Q342" s="273" t="n"/>
      <c r="R342" s="273" t="n"/>
      <c r="S342" s="273" t="n"/>
      <c r="T342" s="273" t="n"/>
      <c r="U342" s="273" t="n"/>
      <c r="V342" s="273" t="n"/>
      <c r="W342" s="273" t="n"/>
      <c r="X342" s="273" t="inlineStr">
        <is>
          <t>No</t>
        </is>
      </c>
      <c r="Y342" s="273" t="n"/>
      <c r="Z342" s="273" t="n"/>
      <c r="AA342" s="35">
        <f>IF(X342="no",O342,O342*Y342)</f>
        <v/>
      </c>
      <c r="AB342" s="273" t="inlineStr">
        <is>
          <t>Mg</t>
        </is>
      </c>
      <c r="AC342" s="190">
        <f>INDEX(Tab_Def_Flows[[Flow_ID]:[CC_DM_source]],MATCH(Tab_Data_Flows[[#This Row],[Name(EN)]],Tab_Def_Flows[Name(EN)],0),13)</f>
        <v/>
      </c>
      <c r="AD342" s="272">
        <f>IF(J342="Yes",AA342*Tab_Data_Flows[[#This Row],[WC_'[%']]],"N.A.")</f>
        <v/>
      </c>
      <c r="AE342" s="272">
        <f>Tab_Data_Flows[[#This Row],[UoM_Flow_Py]]</f>
        <v/>
      </c>
      <c r="AF342" s="190">
        <f>INDEX(Tab_Def_Flows[[Flow_ID]:[CC_DM_source]],MATCH(Tab_Data_Flows[[#This Row],[Name(EN)]],Tab_Def_Flows[Name(EN)],0),15)</f>
        <v/>
      </c>
      <c r="AG342" s="272">
        <f>IF(K342="Yes",AF342*Tab_Data_Flows[[#This Row],[Flow_Py]],"N.A.")</f>
        <v/>
      </c>
      <c r="AH342" s="272">
        <f>Tab_Data_Flows[[#This Row],[UoM_Flow_Py]]</f>
        <v/>
      </c>
      <c r="AI342" s="190">
        <f>INDEX(Tab_Def_Flows[[Flow_ID]:[CC_DM_source]],MATCH(Tab_Data_Flows[[#This Row],[Name(EN)]],Tab_Def_Flows[Name(EN)],0),17)</f>
        <v/>
      </c>
      <c r="AJ342" s="272">
        <f>IF(L342="Yes",AI342*Tab_Data_Flows[[#This Row],[Flow_Py]]*Tab_Data_Flows[[#This Row],[DM_'[%']]],"N.A.")</f>
        <v/>
      </c>
      <c r="AK342" s="272">
        <f>Tab_Data_Flows[[#This Row],[UoM_Flow_Py]]</f>
        <v/>
      </c>
    </row>
    <row r="343">
      <c r="A343" s="296">
        <f>ROW()-1</f>
        <v/>
      </c>
      <c r="B343" s="272">
        <f>_xlfn.XLOOKUP(C343,Tab_Def_Flows[Name(EN)],Tab_Def_Flows[Flow_ID],,0,)</f>
        <v/>
      </c>
      <c r="C343" s="273" t="inlineStr">
        <is>
          <t>N.A.</t>
        </is>
      </c>
      <c r="D343" s="272">
        <f>_xlfn.XLOOKUP(C343,Tab_Def_Flows[Name(EN)],Tab_Def_Flows[Type_Biomass],,0,)</f>
        <v/>
      </c>
      <c r="E343" s="272">
        <f>_xlfn.XLOOKUP(C343,Tab_Def_Flows[Name(EN)],Tab_Def_Flows[Output_Process],,0,)</f>
        <v/>
      </c>
      <c r="F343" s="272">
        <f>_xlfn.XLOOKUP(C343,Tab_Def_Flows[Name(EN)],Tab_Def_Flows[Process_ID_O],,0,)</f>
        <v/>
      </c>
      <c r="G343" s="272">
        <f>_xlfn.XLOOKUP(C343,Tab_Def_Flows[Name(EN)],Tab_Def_Flows[Input_Process],,0,)</f>
        <v/>
      </c>
      <c r="H343" s="17">
        <f>_xlfn.XLOOKUP(C343,Tab_Def_Flows[Name(EN)],Tab_Def_Flows[Process_ID_I],,0,)</f>
        <v/>
      </c>
      <c r="I343" s="272">
        <f>_xlfn.XLOOKUP(C343,Tab_Def_Flows[Name(EN)],#REF!,,0,)</f>
        <v/>
      </c>
      <c r="J343" s="17">
        <f>_xlfn.XLOOKUP(C343,Tab_Def_Flows[Name(EN)],Tab_Def_Flows[WC?],,0,)</f>
        <v/>
      </c>
      <c r="K343" s="17">
        <f>_xlfn.XLOOKUP(C343,Tab_Def_Flows[Name(EN)],Tab_Def_Flows[DM?],,0,)</f>
        <v/>
      </c>
      <c r="L343" s="17">
        <f>_xlfn.XLOOKUP(C343,Tab_Def_Flows[Name(EN)],Tab_Def_Flows[CC?],,0,)</f>
        <v/>
      </c>
      <c r="M343" s="273" t="n"/>
      <c r="N343" s="273" t="n"/>
      <c r="O343" s="48" t="n"/>
      <c r="P343" s="273" t="n"/>
      <c r="Q343" s="273" t="n"/>
      <c r="R343" s="273" t="n"/>
      <c r="S343" s="273" t="n"/>
      <c r="T343" s="273" t="n"/>
      <c r="U343" s="273" t="n"/>
      <c r="V343" s="273" t="n"/>
      <c r="W343" s="273" t="n"/>
      <c r="X343" s="273" t="inlineStr">
        <is>
          <t>No</t>
        </is>
      </c>
      <c r="Y343" s="273" t="n"/>
      <c r="Z343" s="273" t="n"/>
      <c r="AA343" s="35">
        <f>IF(X343="no",O343,O343*Y343)</f>
        <v/>
      </c>
      <c r="AB343" s="273" t="inlineStr">
        <is>
          <t>Mg</t>
        </is>
      </c>
      <c r="AC343" s="190">
        <f>INDEX(Tab_Def_Flows[[Flow_ID]:[CC_DM_source]],MATCH(Tab_Data_Flows[[#This Row],[Name(EN)]],Tab_Def_Flows[Name(EN)],0),13)</f>
        <v/>
      </c>
      <c r="AD343" s="272">
        <f>IF(J343="Yes",AA343*Tab_Data_Flows[[#This Row],[WC_'[%']]],"N.A.")</f>
        <v/>
      </c>
      <c r="AE343" s="272">
        <f>Tab_Data_Flows[[#This Row],[UoM_Flow_Py]]</f>
        <v/>
      </c>
      <c r="AF343" s="190">
        <f>INDEX(Tab_Def_Flows[[Flow_ID]:[CC_DM_source]],MATCH(Tab_Data_Flows[[#This Row],[Name(EN)]],Tab_Def_Flows[Name(EN)],0),15)</f>
        <v/>
      </c>
      <c r="AG343" s="272">
        <f>IF(K343="Yes",AF343*Tab_Data_Flows[[#This Row],[Flow_Py]],"N.A.")</f>
        <v/>
      </c>
      <c r="AH343" s="272">
        <f>Tab_Data_Flows[[#This Row],[UoM_Flow_Py]]</f>
        <v/>
      </c>
      <c r="AI343" s="190">
        <f>INDEX(Tab_Def_Flows[[Flow_ID]:[CC_DM_source]],MATCH(Tab_Data_Flows[[#This Row],[Name(EN)]],Tab_Def_Flows[Name(EN)],0),17)</f>
        <v/>
      </c>
      <c r="AJ343" s="272">
        <f>IF(L343="Yes",AI343*Tab_Data_Flows[[#This Row],[Flow_Py]]*Tab_Data_Flows[[#This Row],[DM_'[%']]],"N.A.")</f>
        <v/>
      </c>
      <c r="AK343" s="272">
        <f>Tab_Data_Flows[[#This Row],[UoM_Flow_Py]]</f>
        <v/>
      </c>
    </row>
    <row r="344">
      <c r="A344" s="296">
        <f>ROW()-1</f>
        <v/>
      </c>
      <c r="B344" s="272">
        <f>_xlfn.XLOOKUP(C344,Tab_Def_Flows[Name(EN)],Tab_Def_Flows[Flow_ID],,0,)</f>
        <v/>
      </c>
      <c r="C344" s="273" t="inlineStr">
        <is>
          <t>N.A.</t>
        </is>
      </c>
      <c r="D344" s="272">
        <f>_xlfn.XLOOKUP(C344,Tab_Def_Flows[Name(EN)],Tab_Def_Flows[Type_Biomass],,0,)</f>
        <v/>
      </c>
      <c r="E344" s="272">
        <f>_xlfn.XLOOKUP(C344,Tab_Def_Flows[Name(EN)],Tab_Def_Flows[Output_Process],,0,)</f>
        <v/>
      </c>
      <c r="F344" s="272">
        <f>_xlfn.XLOOKUP(C344,Tab_Def_Flows[Name(EN)],Tab_Def_Flows[Process_ID_O],,0,)</f>
        <v/>
      </c>
      <c r="G344" s="272">
        <f>_xlfn.XLOOKUP(C344,Tab_Def_Flows[Name(EN)],Tab_Def_Flows[Input_Process],,0,)</f>
        <v/>
      </c>
      <c r="H344" s="17">
        <f>_xlfn.XLOOKUP(C344,Tab_Def_Flows[Name(EN)],Tab_Def_Flows[Process_ID_I],,0,)</f>
        <v/>
      </c>
      <c r="I344" s="272">
        <f>_xlfn.XLOOKUP(C344,Tab_Def_Flows[Name(EN)],#REF!,,0,)</f>
        <v/>
      </c>
      <c r="J344" s="17">
        <f>_xlfn.XLOOKUP(C344,Tab_Def_Flows[Name(EN)],Tab_Def_Flows[WC?],,0,)</f>
        <v/>
      </c>
      <c r="K344" s="17">
        <f>_xlfn.XLOOKUP(C344,Tab_Def_Flows[Name(EN)],Tab_Def_Flows[DM?],,0,)</f>
        <v/>
      </c>
      <c r="L344" s="17">
        <f>_xlfn.XLOOKUP(C344,Tab_Def_Flows[Name(EN)],Tab_Def_Flows[CC?],,0,)</f>
        <v/>
      </c>
      <c r="M344" s="273" t="n"/>
      <c r="N344" s="273" t="n"/>
      <c r="O344" s="48" t="n"/>
      <c r="P344" s="273" t="n"/>
      <c r="Q344" s="273" t="n"/>
      <c r="R344" s="273" t="n"/>
      <c r="S344" s="273" t="n"/>
      <c r="T344" s="273" t="n"/>
      <c r="U344" s="273" t="n"/>
      <c r="V344" s="273" t="n"/>
      <c r="W344" s="273" t="n"/>
      <c r="X344" s="273" t="inlineStr">
        <is>
          <t>No</t>
        </is>
      </c>
      <c r="Y344" s="273" t="n"/>
      <c r="Z344" s="273" t="n"/>
      <c r="AA344" s="35">
        <f>IF(X344="no",O344,O344*Y344)</f>
        <v/>
      </c>
      <c r="AB344" s="273" t="inlineStr">
        <is>
          <t>Mg</t>
        </is>
      </c>
      <c r="AC344" s="190">
        <f>INDEX(Tab_Def_Flows[[Flow_ID]:[CC_DM_source]],MATCH(Tab_Data_Flows[[#This Row],[Name(EN)]],Tab_Def_Flows[Name(EN)],0),13)</f>
        <v/>
      </c>
      <c r="AD344" s="272">
        <f>IF(J344="Yes",AA344*Tab_Data_Flows[[#This Row],[WC_'[%']]],"N.A.")</f>
        <v/>
      </c>
      <c r="AE344" s="272">
        <f>Tab_Data_Flows[[#This Row],[UoM_Flow_Py]]</f>
        <v/>
      </c>
      <c r="AF344" s="190">
        <f>INDEX(Tab_Def_Flows[[Flow_ID]:[CC_DM_source]],MATCH(Tab_Data_Flows[[#This Row],[Name(EN)]],Tab_Def_Flows[Name(EN)],0),15)</f>
        <v/>
      </c>
      <c r="AG344" s="272">
        <f>IF(K344="Yes",AF344*Tab_Data_Flows[[#This Row],[Flow_Py]],"N.A.")</f>
        <v/>
      </c>
      <c r="AH344" s="272">
        <f>Tab_Data_Flows[[#This Row],[UoM_Flow_Py]]</f>
        <v/>
      </c>
      <c r="AI344" s="190">
        <f>INDEX(Tab_Def_Flows[[Flow_ID]:[CC_DM_source]],MATCH(Tab_Data_Flows[[#This Row],[Name(EN)]],Tab_Def_Flows[Name(EN)],0),17)</f>
        <v/>
      </c>
      <c r="AJ344" s="272">
        <f>IF(L344="Yes",AI344*Tab_Data_Flows[[#This Row],[Flow_Py]]*Tab_Data_Flows[[#This Row],[DM_'[%']]],"N.A.")</f>
        <v/>
      </c>
      <c r="AK344" s="272">
        <f>Tab_Data_Flows[[#This Row],[UoM_Flow_Py]]</f>
        <v/>
      </c>
    </row>
    <row r="345">
      <c r="A345" s="296">
        <f>ROW()-1</f>
        <v/>
      </c>
      <c r="B345" s="272">
        <f>_xlfn.XLOOKUP(C345,Tab_Def_Flows[Name(EN)],Tab_Def_Flows[Flow_ID],,0,)</f>
        <v/>
      </c>
      <c r="C345" s="273" t="inlineStr">
        <is>
          <t>N.A.</t>
        </is>
      </c>
      <c r="D345" s="272">
        <f>_xlfn.XLOOKUP(C345,Tab_Def_Flows[Name(EN)],Tab_Def_Flows[Type_Biomass],,0,)</f>
        <v/>
      </c>
      <c r="E345" s="272">
        <f>_xlfn.XLOOKUP(C345,Tab_Def_Flows[Name(EN)],Tab_Def_Flows[Output_Process],,0,)</f>
        <v/>
      </c>
      <c r="F345" s="272">
        <f>_xlfn.XLOOKUP(C345,Tab_Def_Flows[Name(EN)],Tab_Def_Flows[Process_ID_O],,0,)</f>
        <v/>
      </c>
      <c r="G345" s="272">
        <f>_xlfn.XLOOKUP(C345,Tab_Def_Flows[Name(EN)],Tab_Def_Flows[Input_Process],,0,)</f>
        <v/>
      </c>
      <c r="H345" s="17">
        <f>_xlfn.XLOOKUP(C345,Tab_Def_Flows[Name(EN)],Tab_Def_Flows[Process_ID_I],,0,)</f>
        <v/>
      </c>
      <c r="I345" s="272">
        <f>_xlfn.XLOOKUP(C345,Tab_Def_Flows[Name(EN)],#REF!,,0,)</f>
        <v/>
      </c>
      <c r="J345" s="17">
        <f>_xlfn.XLOOKUP(C345,Tab_Def_Flows[Name(EN)],Tab_Def_Flows[WC?],,0,)</f>
        <v/>
      </c>
      <c r="K345" s="17">
        <f>_xlfn.XLOOKUP(C345,Tab_Def_Flows[Name(EN)],Tab_Def_Flows[DM?],,0,)</f>
        <v/>
      </c>
      <c r="L345" s="17">
        <f>_xlfn.XLOOKUP(C345,Tab_Def_Flows[Name(EN)],Tab_Def_Flows[CC?],,0,)</f>
        <v/>
      </c>
      <c r="M345" s="273" t="n"/>
      <c r="N345" s="273" t="n"/>
      <c r="O345" s="48" t="n"/>
      <c r="P345" s="273" t="n"/>
      <c r="Q345" s="273" t="n"/>
      <c r="R345" s="273" t="n"/>
      <c r="S345" s="273" t="n"/>
      <c r="T345" s="273" t="n"/>
      <c r="U345" s="273" t="n"/>
      <c r="V345" s="273" t="n"/>
      <c r="W345" s="273" t="n"/>
      <c r="X345" s="273" t="inlineStr">
        <is>
          <t>No</t>
        </is>
      </c>
      <c r="Y345" s="273" t="n"/>
      <c r="Z345" s="273" t="n"/>
      <c r="AA345" s="35">
        <f>IF(X345="no",O345,O345*Y345)</f>
        <v/>
      </c>
      <c r="AB345" s="273" t="inlineStr">
        <is>
          <t>Mg</t>
        </is>
      </c>
      <c r="AC345" s="190">
        <f>INDEX(Tab_Def_Flows[[Flow_ID]:[CC_DM_source]],MATCH(Tab_Data_Flows[[#This Row],[Name(EN)]],Tab_Def_Flows[Name(EN)],0),13)</f>
        <v/>
      </c>
      <c r="AD345" s="272">
        <f>IF(J345="Yes",AA345*Tab_Data_Flows[[#This Row],[WC_'[%']]],"N.A.")</f>
        <v/>
      </c>
      <c r="AE345" s="272">
        <f>Tab_Data_Flows[[#This Row],[UoM_Flow_Py]]</f>
        <v/>
      </c>
      <c r="AF345" s="190">
        <f>INDEX(Tab_Def_Flows[[Flow_ID]:[CC_DM_source]],MATCH(Tab_Data_Flows[[#This Row],[Name(EN)]],Tab_Def_Flows[Name(EN)],0),15)</f>
        <v/>
      </c>
      <c r="AG345" s="272">
        <f>IF(K345="Yes",AF345*Tab_Data_Flows[[#This Row],[Flow_Py]],"N.A.")</f>
        <v/>
      </c>
      <c r="AH345" s="272">
        <f>Tab_Data_Flows[[#This Row],[UoM_Flow_Py]]</f>
        <v/>
      </c>
      <c r="AI345" s="190">
        <f>INDEX(Tab_Def_Flows[[Flow_ID]:[CC_DM_source]],MATCH(Tab_Data_Flows[[#This Row],[Name(EN)]],Tab_Def_Flows[Name(EN)],0),17)</f>
        <v/>
      </c>
      <c r="AJ345" s="272">
        <f>IF(L345="Yes",AI345*Tab_Data_Flows[[#This Row],[Flow_Py]]*Tab_Data_Flows[[#This Row],[DM_'[%']]],"N.A.")</f>
        <v/>
      </c>
      <c r="AK345" s="272">
        <f>Tab_Data_Flows[[#This Row],[UoM_Flow_Py]]</f>
        <v/>
      </c>
    </row>
    <row r="346">
      <c r="A346" s="296">
        <f>ROW()-1</f>
        <v/>
      </c>
      <c r="B346" s="272">
        <f>_xlfn.XLOOKUP(C346,Tab_Def_Flows[Name(EN)],Tab_Def_Flows[Flow_ID],,0,)</f>
        <v/>
      </c>
      <c r="C346" s="273" t="inlineStr">
        <is>
          <t>N.A.</t>
        </is>
      </c>
      <c r="D346" s="272">
        <f>_xlfn.XLOOKUP(C346,Tab_Def_Flows[Name(EN)],Tab_Def_Flows[Type_Biomass],,0,)</f>
        <v/>
      </c>
      <c r="E346" s="272">
        <f>_xlfn.XLOOKUP(C346,Tab_Def_Flows[Name(EN)],Tab_Def_Flows[Output_Process],,0,)</f>
        <v/>
      </c>
      <c r="F346" s="272">
        <f>_xlfn.XLOOKUP(C346,Tab_Def_Flows[Name(EN)],Tab_Def_Flows[Process_ID_O],,0,)</f>
        <v/>
      </c>
      <c r="G346" s="272">
        <f>_xlfn.XLOOKUP(C346,Tab_Def_Flows[Name(EN)],Tab_Def_Flows[Input_Process],,0,)</f>
        <v/>
      </c>
      <c r="H346" s="17">
        <f>_xlfn.XLOOKUP(C346,Tab_Def_Flows[Name(EN)],Tab_Def_Flows[Process_ID_I],,0,)</f>
        <v/>
      </c>
      <c r="I346" s="272">
        <f>_xlfn.XLOOKUP(C346,Tab_Def_Flows[Name(EN)],#REF!,,0,)</f>
        <v/>
      </c>
      <c r="J346" s="17">
        <f>_xlfn.XLOOKUP(C346,Tab_Def_Flows[Name(EN)],Tab_Def_Flows[WC?],,0,)</f>
        <v/>
      </c>
      <c r="K346" s="17">
        <f>_xlfn.XLOOKUP(C346,Tab_Def_Flows[Name(EN)],Tab_Def_Flows[DM?],,0,)</f>
        <v/>
      </c>
      <c r="L346" s="17">
        <f>_xlfn.XLOOKUP(C346,Tab_Def_Flows[Name(EN)],Tab_Def_Flows[CC?],,0,)</f>
        <v/>
      </c>
      <c r="M346" s="273" t="n"/>
      <c r="N346" s="273" t="n"/>
      <c r="O346" s="48" t="n"/>
      <c r="P346" s="273" t="n"/>
      <c r="Q346" s="273" t="n"/>
      <c r="R346" s="273" t="n"/>
      <c r="S346" s="273" t="n"/>
      <c r="T346" s="273" t="n"/>
      <c r="U346" s="273" t="n"/>
      <c r="V346" s="273" t="n"/>
      <c r="W346" s="273" t="n"/>
      <c r="X346" s="273" t="inlineStr">
        <is>
          <t>No</t>
        </is>
      </c>
      <c r="Y346" s="273" t="n"/>
      <c r="Z346" s="273" t="n"/>
      <c r="AA346" s="35">
        <f>IF(X346="no",O346,O346*Y346)</f>
        <v/>
      </c>
      <c r="AB346" s="273" t="inlineStr">
        <is>
          <t>Mg</t>
        </is>
      </c>
      <c r="AC346" s="190">
        <f>INDEX(Tab_Def_Flows[[Flow_ID]:[CC_DM_source]],MATCH(Tab_Data_Flows[[#This Row],[Name(EN)]],Tab_Def_Flows[Name(EN)],0),13)</f>
        <v/>
      </c>
      <c r="AD346" s="272">
        <f>IF(J346="Yes",AA346*Tab_Data_Flows[[#This Row],[WC_'[%']]],"N.A.")</f>
        <v/>
      </c>
      <c r="AE346" s="272">
        <f>Tab_Data_Flows[[#This Row],[UoM_Flow_Py]]</f>
        <v/>
      </c>
      <c r="AF346" s="190">
        <f>INDEX(Tab_Def_Flows[[Flow_ID]:[CC_DM_source]],MATCH(Tab_Data_Flows[[#This Row],[Name(EN)]],Tab_Def_Flows[Name(EN)],0),15)</f>
        <v/>
      </c>
      <c r="AG346" s="272">
        <f>IF(K346="Yes",AF346*Tab_Data_Flows[[#This Row],[Flow_Py]],"N.A.")</f>
        <v/>
      </c>
      <c r="AH346" s="272">
        <f>Tab_Data_Flows[[#This Row],[UoM_Flow_Py]]</f>
        <v/>
      </c>
      <c r="AI346" s="190">
        <f>INDEX(Tab_Def_Flows[[Flow_ID]:[CC_DM_source]],MATCH(Tab_Data_Flows[[#This Row],[Name(EN)]],Tab_Def_Flows[Name(EN)],0),17)</f>
        <v/>
      </c>
      <c r="AJ346" s="272">
        <f>IF(L346="Yes",AI346*Tab_Data_Flows[[#This Row],[Flow_Py]]*Tab_Data_Flows[[#This Row],[DM_'[%']]],"N.A.")</f>
        <v/>
      </c>
      <c r="AK346" s="272">
        <f>Tab_Data_Flows[[#This Row],[UoM_Flow_Py]]</f>
        <v/>
      </c>
    </row>
    <row r="347">
      <c r="A347" s="296">
        <f>ROW()-1</f>
        <v/>
      </c>
      <c r="B347" s="272">
        <f>_xlfn.XLOOKUP(C347,Tab_Def_Flows[Name(EN)],Tab_Def_Flows[Flow_ID],,0,)</f>
        <v/>
      </c>
      <c r="C347" s="273" t="inlineStr">
        <is>
          <t>N.A.</t>
        </is>
      </c>
      <c r="D347" s="272">
        <f>_xlfn.XLOOKUP(C347,Tab_Def_Flows[Name(EN)],Tab_Def_Flows[Type_Biomass],,0,)</f>
        <v/>
      </c>
      <c r="E347" s="272">
        <f>_xlfn.XLOOKUP(C347,Tab_Def_Flows[Name(EN)],Tab_Def_Flows[Output_Process],,0,)</f>
        <v/>
      </c>
      <c r="F347" s="272">
        <f>_xlfn.XLOOKUP(C347,Tab_Def_Flows[Name(EN)],Tab_Def_Flows[Process_ID_O],,0,)</f>
        <v/>
      </c>
      <c r="G347" s="272">
        <f>_xlfn.XLOOKUP(C347,Tab_Def_Flows[Name(EN)],Tab_Def_Flows[Input_Process],,0,)</f>
        <v/>
      </c>
      <c r="H347" s="17">
        <f>_xlfn.XLOOKUP(C347,Tab_Def_Flows[Name(EN)],Tab_Def_Flows[Process_ID_I],,0,)</f>
        <v/>
      </c>
      <c r="I347" s="272">
        <f>_xlfn.XLOOKUP(C347,Tab_Def_Flows[Name(EN)],#REF!,,0,)</f>
        <v/>
      </c>
      <c r="J347" s="17">
        <f>_xlfn.XLOOKUP(C347,Tab_Def_Flows[Name(EN)],Tab_Def_Flows[WC?],,0,)</f>
        <v/>
      </c>
      <c r="K347" s="17">
        <f>_xlfn.XLOOKUP(C347,Tab_Def_Flows[Name(EN)],Tab_Def_Flows[DM?],,0,)</f>
        <v/>
      </c>
      <c r="L347" s="17">
        <f>_xlfn.XLOOKUP(C347,Tab_Def_Flows[Name(EN)],Tab_Def_Flows[CC?],,0,)</f>
        <v/>
      </c>
      <c r="M347" s="273" t="n"/>
      <c r="N347" s="273" t="n"/>
      <c r="O347" s="48" t="n"/>
      <c r="P347" s="273" t="n"/>
      <c r="Q347" s="273" t="n"/>
      <c r="R347" s="273" t="n"/>
      <c r="S347" s="273" t="n"/>
      <c r="T347" s="273" t="n"/>
      <c r="U347" s="273" t="n"/>
      <c r="V347" s="273" t="n"/>
      <c r="W347" s="273" t="n"/>
      <c r="X347" s="273" t="inlineStr">
        <is>
          <t>No</t>
        </is>
      </c>
      <c r="Y347" s="273" t="n"/>
      <c r="Z347" s="273" t="n"/>
      <c r="AA347" s="35">
        <f>IF(X347="no",O347,O347*Y347)</f>
        <v/>
      </c>
      <c r="AB347" s="273" t="inlineStr">
        <is>
          <t>Mg</t>
        </is>
      </c>
      <c r="AC347" s="190">
        <f>INDEX(Tab_Def_Flows[[Flow_ID]:[CC_DM_source]],MATCH(Tab_Data_Flows[[#This Row],[Name(EN)]],Tab_Def_Flows[Name(EN)],0),13)</f>
        <v/>
      </c>
      <c r="AD347" s="272">
        <f>IF(J347="Yes",AA347*Tab_Data_Flows[[#This Row],[WC_'[%']]],"N.A.")</f>
        <v/>
      </c>
      <c r="AE347" s="272">
        <f>Tab_Data_Flows[[#This Row],[UoM_Flow_Py]]</f>
        <v/>
      </c>
      <c r="AF347" s="190">
        <f>INDEX(Tab_Def_Flows[[Flow_ID]:[CC_DM_source]],MATCH(Tab_Data_Flows[[#This Row],[Name(EN)]],Tab_Def_Flows[Name(EN)],0),15)</f>
        <v/>
      </c>
      <c r="AG347" s="272">
        <f>IF(K347="Yes",AF347*Tab_Data_Flows[[#This Row],[Flow_Py]],"N.A.")</f>
        <v/>
      </c>
      <c r="AH347" s="272">
        <f>Tab_Data_Flows[[#This Row],[UoM_Flow_Py]]</f>
        <v/>
      </c>
      <c r="AI347" s="190">
        <f>INDEX(Tab_Def_Flows[[Flow_ID]:[CC_DM_source]],MATCH(Tab_Data_Flows[[#This Row],[Name(EN)]],Tab_Def_Flows[Name(EN)],0),17)</f>
        <v/>
      </c>
      <c r="AJ347" s="272">
        <f>IF(L347="Yes",AI347*Tab_Data_Flows[[#This Row],[Flow_Py]]*Tab_Data_Flows[[#This Row],[DM_'[%']]],"N.A.")</f>
        <v/>
      </c>
      <c r="AK347" s="272">
        <f>Tab_Data_Flows[[#This Row],[UoM_Flow_Py]]</f>
        <v/>
      </c>
    </row>
    <row r="348">
      <c r="A348" s="296">
        <f>ROW()-1</f>
        <v/>
      </c>
      <c r="B348" s="272">
        <f>_xlfn.XLOOKUP(C348,Tab_Def_Flows[Name(EN)],Tab_Def_Flows[Flow_ID],,0,)</f>
        <v/>
      </c>
      <c r="C348" s="273" t="inlineStr">
        <is>
          <t>N.A.</t>
        </is>
      </c>
      <c r="D348" s="272">
        <f>_xlfn.XLOOKUP(C348,Tab_Def_Flows[Name(EN)],Tab_Def_Flows[Type_Biomass],,0,)</f>
        <v/>
      </c>
      <c r="E348" s="272">
        <f>_xlfn.XLOOKUP(C348,Tab_Def_Flows[Name(EN)],Tab_Def_Flows[Output_Process],,0,)</f>
        <v/>
      </c>
      <c r="F348" s="272">
        <f>_xlfn.XLOOKUP(C348,Tab_Def_Flows[Name(EN)],Tab_Def_Flows[Process_ID_O],,0,)</f>
        <v/>
      </c>
      <c r="G348" s="272">
        <f>_xlfn.XLOOKUP(C348,Tab_Def_Flows[Name(EN)],Tab_Def_Flows[Input_Process],,0,)</f>
        <v/>
      </c>
      <c r="H348" s="17">
        <f>_xlfn.XLOOKUP(C348,Tab_Def_Flows[Name(EN)],Tab_Def_Flows[Process_ID_I],,0,)</f>
        <v/>
      </c>
      <c r="I348" s="272">
        <f>_xlfn.XLOOKUP(C348,Tab_Def_Flows[Name(EN)],#REF!,,0,)</f>
        <v/>
      </c>
      <c r="J348" s="17">
        <f>_xlfn.XLOOKUP(C348,Tab_Def_Flows[Name(EN)],Tab_Def_Flows[WC?],,0,)</f>
        <v/>
      </c>
      <c r="K348" s="17">
        <f>_xlfn.XLOOKUP(C348,Tab_Def_Flows[Name(EN)],Tab_Def_Flows[DM?],,0,)</f>
        <v/>
      </c>
      <c r="L348" s="17">
        <f>_xlfn.XLOOKUP(C348,Tab_Def_Flows[Name(EN)],Tab_Def_Flows[CC?],,0,)</f>
        <v/>
      </c>
      <c r="M348" s="273" t="n"/>
      <c r="N348" s="273" t="n"/>
      <c r="O348" s="48" t="n"/>
      <c r="P348" s="273" t="n"/>
      <c r="Q348" s="273" t="n"/>
      <c r="R348" s="273" t="n"/>
      <c r="S348" s="273" t="n"/>
      <c r="T348" s="273" t="n"/>
      <c r="U348" s="273" t="n"/>
      <c r="V348" s="273" t="n"/>
      <c r="W348" s="273" t="n"/>
      <c r="X348" s="273" t="inlineStr">
        <is>
          <t>No</t>
        </is>
      </c>
      <c r="Y348" s="273" t="n"/>
      <c r="Z348" s="273" t="n"/>
      <c r="AA348" s="35">
        <f>IF(X348="no",O348,O348*Y348)</f>
        <v/>
      </c>
      <c r="AB348" s="273" t="inlineStr">
        <is>
          <t>Mg</t>
        </is>
      </c>
      <c r="AC348" s="190">
        <f>INDEX(Tab_Def_Flows[[Flow_ID]:[CC_DM_source]],MATCH(Tab_Data_Flows[[#This Row],[Name(EN)]],Tab_Def_Flows[Name(EN)],0),13)</f>
        <v/>
      </c>
      <c r="AD348" s="272">
        <f>IF(J348="Yes",AA348*Tab_Data_Flows[[#This Row],[WC_'[%']]],"N.A.")</f>
        <v/>
      </c>
      <c r="AE348" s="272">
        <f>Tab_Data_Flows[[#This Row],[UoM_Flow_Py]]</f>
        <v/>
      </c>
      <c r="AF348" s="190">
        <f>INDEX(Tab_Def_Flows[[Flow_ID]:[CC_DM_source]],MATCH(Tab_Data_Flows[[#This Row],[Name(EN)]],Tab_Def_Flows[Name(EN)],0),15)</f>
        <v/>
      </c>
      <c r="AG348" s="272">
        <f>IF(K348="Yes",AF348*Tab_Data_Flows[[#This Row],[Flow_Py]],"N.A.")</f>
        <v/>
      </c>
      <c r="AH348" s="272">
        <f>Tab_Data_Flows[[#This Row],[UoM_Flow_Py]]</f>
        <v/>
      </c>
      <c r="AI348" s="190">
        <f>INDEX(Tab_Def_Flows[[Flow_ID]:[CC_DM_source]],MATCH(Tab_Data_Flows[[#This Row],[Name(EN)]],Tab_Def_Flows[Name(EN)],0),17)</f>
        <v/>
      </c>
      <c r="AJ348" s="272">
        <f>IF(L348="Yes",AI348*Tab_Data_Flows[[#This Row],[Flow_Py]]*Tab_Data_Flows[[#This Row],[DM_'[%']]],"N.A.")</f>
        <v/>
      </c>
      <c r="AK348" s="272">
        <f>Tab_Data_Flows[[#This Row],[UoM_Flow_Py]]</f>
        <v/>
      </c>
    </row>
    <row r="349">
      <c r="A349" s="296">
        <f>ROW()-1</f>
        <v/>
      </c>
      <c r="B349" s="272">
        <f>_xlfn.XLOOKUP(C349,Tab_Def_Flows[Name(EN)],Tab_Def_Flows[Flow_ID],,0,)</f>
        <v/>
      </c>
      <c r="C349" s="273" t="inlineStr">
        <is>
          <t>N.A.</t>
        </is>
      </c>
      <c r="D349" s="272">
        <f>_xlfn.XLOOKUP(C349,Tab_Def_Flows[Name(EN)],Tab_Def_Flows[Type_Biomass],,0,)</f>
        <v/>
      </c>
      <c r="E349" s="272">
        <f>_xlfn.XLOOKUP(C349,Tab_Def_Flows[Name(EN)],Tab_Def_Flows[Output_Process],,0,)</f>
        <v/>
      </c>
      <c r="F349" s="272">
        <f>_xlfn.XLOOKUP(C349,Tab_Def_Flows[Name(EN)],Tab_Def_Flows[Process_ID_O],,0,)</f>
        <v/>
      </c>
      <c r="G349" s="272">
        <f>_xlfn.XLOOKUP(C349,Tab_Def_Flows[Name(EN)],Tab_Def_Flows[Input_Process],,0,)</f>
        <v/>
      </c>
      <c r="H349" s="17">
        <f>_xlfn.XLOOKUP(C349,Tab_Def_Flows[Name(EN)],Tab_Def_Flows[Process_ID_I],,0,)</f>
        <v/>
      </c>
      <c r="I349" s="272">
        <f>_xlfn.XLOOKUP(C349,Tab_Def_Flows[Name(EN)],#REF!,,0,)</f>
        <v/>
      </c>
      <c r="J349" s="17">
        <f>_xlfn.XLOOKUP(C349,Tab_Def_Flows[Name(EN)],Tab_Def_Flows[WC?],,0,)</f>
        <v/>
      </c>
      <c r="K349" s="17">
        <f>_xlfn.XLOOKUP(C349,Tab_Def_Flows[Name(EN)],Tab_Def_Flows[DM?],,0,)</f>
        <v/>
      </c>
      <c r="L349" s="17">
        <f>_xlfn.XLOOKUP(C349,Tab_Def_Flows[Name(EN)],Tab_Def_Flows[CC?],,0,)</f>
        <v/>
      </c>
      <c r="M349" s="273" t="n"/>
      <c r="N349" s="273" t="n"/>
      <c r="O349" s="48" t="n"/>
      <c r="P349" s="273" t="n"/>
      <c r="Q349" s="273" t="n"/>
      <c r="R349" s="273" t="n"/>
      <c r="S349" s="273" t="n"/>
      <c r="T349" s="273" t="n"/>
      <c r="U349" s="273" t="n"/>
      <c r="V349" s="273" t="n"/>
      <c r="W349" s="273" t="n"/>
      <c r="X349" s="273" t="inlineStr">
        <is>
          <t>No</t>
        </is>
      </c>
      <c r="Y349" s="273" t="n"/>
      <c r="Z349" s="273" t="n"/>
      <c r="AA349" s="35">
        <f>IF(X349="no",O349,O349*Y349)</f>
        <v/>
      </c>
      <c r="AB349" s="273" t="inlineStr">
        <is>
          <t>Mg</t>
        </is>
      </c>
      <c r="AC349" s="190">
        <f>INDEX(Tab_Def_Flows[[Flow_ID]:[CC_DM_source]],MATCH(Tab_Data_Flows[[#This Row],[Name(EN)]],Tab_Def_Flows[Name(EN)],0),13)</f>
        <v/>
      </c>
      <c r="AD349" s="272">
        <f>IF(J349="Yes",AA349*Tab_Data_Flows[[#This Row],[WC_'[%']]],"N.A.")</f>
        <v/>
      </c>
      <c r="AE349" s="272">
        <f>Tab_Data_Flows[[#This Row],[UoM_Flow_Py]]</f>
        <v/>
      </c>
      <c r="AF349" s="190">
        <f>INDEX(Tab_Def_Flows[[Flow_ID]:[CC_DM_source]],MATCH(Tab_Data_Flows[[#This Row],[Name(EN)]],Tab_Def_Flows[Name(EN)],0),15)</f>
        <v/>
      </c>
      <c r="AG349" s="272">
        <f>IF(K349="Yes",AF349*Tab_Data_Flows[[#This Row],[Flow_Py]],"N.A.")</f>
        <v/>
      </c>
      <c r="AH349" s="272">
        <f>Tab_Data_Flows[[#This Row],[UoM_Flow_Py]]</f>
        <v/>
      </c>
      <c r="AI349" s="190">
        <f>INDEX(Tab_Def_Flows[[Flow_ID]:[CC_DM_source]],MATCH(Tab_Data_Flows[[#This Row],[Name(EN)]],Tab_Def_Flows[Name(EN)],0),17)</f>
        <v/>
      </c>
      <c r="AJ349" s="272">
        <f>IF(L349="Yes",AI349*Tab_Data_Flows[[#This Row],[Flow_Py]]*Tab_Data_Flows[[#This Row],[DM_'[%']]],"N.A.")</f>
        <v/>
      </c>
      <c r="AK349" s="272">
        <f>Tab_Data_Flows[[#This Row],[UoM_Flow_Py]]</f>
        <v/>
      </c>
    </row>
    <row r="350">
      <c r="A350" s="296">
        <f>ROW()-1</f>
        <v/>
      </c>
      <c r="B350" s="272">
        <f>_xlfn.XLOOKUP(C350,Tab_Def_Flows[Name(EN)],Tab_Def_Flows[Flow_ID],,0,)</f>
        <v/>
      </c>
      <c r="C350" s="273" t="inlineStr">
        <is>
          <t>N.A.</t>
        </is>
      </c>
      <c r="D350" s="272">
        <f>_xlfn.XLOOKUP(C350,Tab_Def_Flows[Name(EN)],Tab_Def_Flows[Type_Biomass],,0,)</f>
        <v/>
      </c>
      <c r="E350" s="272">
        <f>_xlfn.XLOOKUP(C350,Tab_Def_Flows[Name(EN)],Tab_Def_Flows[Output_Process],,0,)</f>
        <v/>
      </c>
      <c r="F350" s="272">
        <f>_xlfn.XLOOKUP(C350,Tab_Def_Flows[Name(EN)],Tab_Def_Flows[Process_ID_O],,0,)</f>
        <v/>
      </c>
      <c r="G350" s="272">
        <f>_xlfn.XLOOKUP(C350,Tab_Def_Flows[Name(EN)],Tab_Def_Flows[Input_Process],,0,)</f>
        <v/>
      </c>
      <c r="H350" s="17">
        <f>_xlfn.XLOOKUP(C350,Tab_Def_Flows[Name(EN)],Tab_Def_Flows[Process_ID_I],,0,)</f>
        <v/>
      </c>
      <c r="I350" s="272">
        <f>_xlfn.XLOOKUP(C350,Tab_Def_Flows[Name(EN)],#REF!,,0,)</f>
        <v/>
      </c>
      <c r="J350" s="17">
        <f>_xlfn.XLOOKUP(C350,Tab_Def_Flows[Name(EN)],Tab_Def_Flows[WC?],,0,)</f>
        <v/>
      </c>
      <c r="K350" s="17">
        <f>_xlfn.XLOOKUP(C350,Tab_Def_Flows[Name(EN)],Tab_Def_Flows[DM?],,0,)</f>
        <v/>
      </c>
      <c r="L350" s="17">
        <f>_xlfn.XLOOKUP(C350,Tab_Def_Flows[Name(EN)],Tab_Def_Flows[CC?],,0,)</f>
        <v/>
      </c>
      <c r="M350" s="273" t="n"/>
      <c r="N350" s="273" t="n"/>
      <c r="O350" s="48" t="n"/>
      <c r="P350" s="273" t="n"/>
      <c r="Q350" s="273" t="n"/>
      <c r="R350" s="273" t="n"/>
      <c r="S350" s="273" t="n"/>
      <c r="T350" s="273" t="n"/>
      <c r="U350" s="273" t="n"/>
      <c r="V350" s="273" t="n"/>
      <c r="W350" s="273" t="n"/>
      <c r="X350" s="273" t="inlineStr">
        <is>
          <t>No</t>
        </is>
      </c>
      <c r="Y350" s="273" t="n"/>
      <c r="Z350" s="273" t="n"/>
      <c r="AA350" s="35">
        <f>IF(X350="no",O350,O350*Y350)</f>
        <v/>
      </c>
      <c r="AB350" s="273" t="inlineStr">
        <is>
          <t>Mg</t>
        </is>
      </c>
      <c r="AC350" s="190">
        <f>INDEX(Tab_Def_Flows[[Flow_ID]:[CC_DM_source]],MATCH(Tab_Data_Flows[[#This Row],[Name(EN)]],Tab_Def_Flows[Name(EN)],0),13)</f>
        <v/>
      </c>
      <c r="AD350" s="272">
        <f>IF(J350="Yes",AA350*Tab_Data_Flows[[#This Row],[WC_'[%']]],"N.A.")</f>
        <v/>
      </c>
      <c r="AE350" s="272">
        <f>Tab_Data_Flows[[#This Row],[UoM_Flow_Py]]</f>
        <v/>
      </c>
      <c r="AF350" s="190">
        <f>INDEX(Tab_Def_Flows[[Flow_ID]:[CC_DM_source]],MATCH(Tab_Data_Flows[[#This Row],[Name(EN)]],Tab_Def_Flows[Name(EN)],0),15)</f>
        <v/>
      </c>
      <c r="AG350" s="272">
        <f>IF(K350="Yes",AF350*Tab_Data_Flows[[#This Row],[Flow_Py]],"N.A.")</f>
        <v/>
      </c>
      <c r="AH350" s="272">
        <f>Tab_Data_Flows[[#This Row],[UoM_Flow_Py]]</f>
        <v/>
      </c>
      <c r="AI350" s="190">
        <f>INDEX(Tab_Def_Flows[[Flow_ID]:[CC_DM_source]],MATCH(Tab_Data_Flows[[#This Row],[Name(EN)]],Tab_Def_Flows[Name(EN)],0),17)</f>
        <v/>
      </c>
      <c r="AJ350" s="272">
        <f>IF(L350="Yes",AI350*Tab_Data_Flows[[#This Row],[Flow_Py]]*Tab_Data_Flows[[#This Row],[DM_'[%']]],"N.A.")</f>
        <v/>
      </c>
      <c r="AK350" s="272">
        <f>Tab_Data_Flows[[#This Row],[UoM_Flow_Py]]</f>
        <v/>
      </c>
    </row>
    <row r="351">
      <c r="AF351" s="44" t="n"/>
      <c r="AK351" s="42" t="n"/>
    </row>
  </sheetData>
  <pageMargins left="0.7" right="0.7" top="0.787401575" bottom="0.787401575" header="0.3" footer="0.3"/>
  <pageSetup orientation="portrait"/>
  <tableParts count="1">
    <tablePart xmlns:r="http://schemas.openxmlformats.org/officeDocument/2006/relationships" r:id="rId1"/>
  </tableParts>
</worksheet>
</file>

<file path=xl/worksheets/sheet7.xml><?xml version="1.0" encoding="utf-8"?>
<worksheet xmlns="http://schemas.openxmlformats.org/spreadsheetml/2006/main">
  <sheetPr codeName="Sheet7">
    <tabColor theme="9" tint="0.7999816888943144"/>
    <outlinePr summaryBelow="1" summaryRight="1"/>
    <pageSetUpPr/>
  </sheetPr>
  <dimension ref="A1:AL54"/>
  <sheetViews>
    <sheetView topLeftCell="A19" zoomScale="145" zoomScaleNormal="145" workbookViewId="0">
      <pane xSplit="4" topLeftCell="E1" activePane="topRight" state="frozen"/>
      <selection pane="topRight" activeCell="D24" sqref="D24"/>
    </sheetView>
  </sheetViews>
  <sheetFormatPr baseColWidth="8" defaultColWidth="10.85546875" defaultRowHeight="15"/>
  <cols>
    <col width="13" customWidth="1" min="1" max="1"/>
    <col width="6.85546875" customWidth="1" min="2" max="2"/>
    <col width="10.85546875" customWidth="1" min="3" max="3"/>
    <col width="42" customWidth="1" min="4" max="4"/>
    <col hidden="1" width="33.28515625" customWidth="1" min="5" max="5"/>
    <col hidden="1" width="32.5703125" customWidth="1" min="6" max="6"/>
    <col hidden="1" width="33.5703125" customWidth="1" min="7" max="7"/>
    <col hidden="1" width="16.42578125" customWidth="1" min="8" max="8"/>
    <col width="21.28515625" customWidth="1" min="9" max="9"/>
    <col width="9.28515625" customWidth="1" min="10" max="10"/>
    <col width="15.5703125" customWidth="1" min="11" max="16"/>
    <col hidden="1" width="26.7109375" customWidth="1" min="17" max="17"/>
    <col hidden="1" width="15.5703125" customWidth="1" min="18" max="18"/>
    <col hidden="1" width="21" customWidth="1" min="19" max="19"/>
    <col hidden="1" width="15.5703125" customWidth="1" min="20" max="26"/>
    <col hidden="1" width="27.85546875" customWidth="1" min="27" max="27"/>
    <col hidden="1" width="15.5703125" customWidth="1" min="28" max="28"/>
    <col hidden="1" width="26.5703125" customWidth="1" min="29" max="29"/>
    <col hidden="1" width="15.5703125" customWidth="1" min="30" max="30"/>
    <col hidden="1" width="31.42578125" customWidth="1" min="31" max="31"/>
    <col hidden="1" min="32" max="32"/>
    <col hidden="1" width="18" customWidth="1" min="33" max="33"/>
    <col hidden="1" min="34" max="34"/>
    <col hidden="1" width="17.140625" customWidth="1" min="35" max="35"/>
    <col hidden="1" width="14" customWidth="1" min="36" max="36"/>
    <col hidden="1" width="17" customWidth="1" min="37" max="37"/>
    <col hidden="1" min="38" max="38"/>
  </cols>
  <sheetData>
    <row r="1" ht="15.75" customHeight="1" thickBot="1">
      <c r="A1" s="295" t="inlineStr">
        <is>
          <t>Complete?</t>
        </is>
      </c>
      <c r="B1" s="295" t="inlineStr">
        <is>
          <t>ID</t>
        </is>
      </c>
      <c r="C1" s="295" t="inlineStr">
        <is>
          <t>Process_ID</t>
        </is>
      </c>
      <c r="D1" s="295" t="inlineStr">
        <is>
          <t>Name(EN)</t>
        </is>
      </c>
      <c r="E1" s="295" t="inlineStr">
        <is>
          <t>Region</t>
        </is>
      </c>
      <c r="F1" s="295" t="inlineStr">
        <is>
          <t>Carbon_Stock</t>
        </is>
      </c>
      <c r="G1" s="295" t="inlineStr">
        <is>
          <t>Life_Phase</t>
        </is>
      </c>
      <c r="H1" s="295" t="inlineStr">
        <is>
          <t>Description</t>
        </is>
      </c>
      <c r="I1" s="295" t="inlineStr">
        <is>
          <t>Process_Type</t>
        </is>
      </c>
      <c r="J1" s="295" t="inlineStr">
        <is>
          <t>TC?</t>
        </is>
      </c>
      <c r="K1" s="295" t="inlineStr">
        <is>
          <t>Dyn_TC?</t>
        </is>
      </c>
      <c r="L1" s="295" t="inlineStr">
        <is>
          <t>Stock?</t>
        </is>
      </c>
      <c r="M1" s="295" t="inlineStr">
        <is>
          <t>Initial_Stock?</t>
        </is>
      </c>
      <c r="N1" s="295" t="inlineStr">
        <is>
          <t>DSM?</t>
        </is>
      </c>
      <c r="O1" s="295" t="inlineStr">
        <is>
          <t>FOMP?</t>
        </is>
      </c>
      <c r="P1" s="295" t="inlineStr">
        <is>
          <t>Nr. Outflows</t>
        </is>
      </c>
      <c r="Q1" s="295" t="inlineStr">
        <is>
          <t>Input_Flow_I_1</t>
        </is>
      </c>
      <c r="R1" s="295" t="inlineStr">
        <is>
          <t>Flow_ID_I_1</t>
        </is>
      </c>
      <c r="S1" s="295" t="inlineStr">
        <is>
          <t>Input_Flow_I_2</t>
        </is>
      </c>
      <c r="T1" s="295" t="inlineStr">
        <is>
          <t>Flow_ID_I_2</t>
        </is>
      </c>
      <c r="U1" s="295" t="inlineStr">
        <is>
          <t>Input_Flow_I_3</t>
        </is>
      </c>
      <c r="V1" s="295" t="inlineStr">
        <is>
          <t>Flow_ID_I_3</t>
        </is>
      </c>
      <c r="W1" s="295" t="inlineStr">
        <is>
          <t>Input_Flow_I_4</t>
        </is>
      </c>
      <c r="X1" s="295" t="inlineStr">
        <is>
          <t>Flow_ID_I_4</t>
        </is>
      </c>
      <c r="Y1" s="295" t="inlineStr">
        <is>
          <t>Input_Flow_I_5</t>
        </is>
      </c>
      <c r="Z1" s="295" t="inlineStr">
        <is>
          <t>Flow_ID_I_5</t>
        </is>
      </c>
      <c r="AA1" s="295" t="inlineStr">
        <is>
          <t>Output_Flow_O_1</t>
        </is>
      </c>
      <c r="AB1" s="295" t="inlineStr">
        <is>
          <t>Flow_ID_O_1</t>
        </is>
      </c>
      <c r="AC1" s="295" t="inlineStr">
        <is>
          <t>Output_Flow_O_2</t>
        </is>
      </c>
      <c r="AD1" s="295" t="inlineStr">
        <is>
          <t>Flow_ID_O_2</t>
        </is>
      </c>
      <c r="AE1" s="295" t="inlineStr">
        <is>
          <t>Output_Flow_O_3</t>
        </is>
      </c>
      <c r="AF1" s="295" t="inlineStr">
        <is>
          <t>Flow_ID_O_3</t>
        </is>
      </c>
      <c r="AG1" s="295" t="inlineStr">
        <is>
          <t>Output_Flow_O_4</t>
        </is>
      </c>
      <c r="AH1" s="295" t="inlineStr">
        <is>
          <t>Flow_ID_O_4</t>
        </is>
      </c>
      <c r="AI1" s="295" t="inlineStr">
        <is>
          <t>Output_Flow_O_5</t>
        </is>
      </c>
      <c r="AJ1" s="295" t="inlineStr">
        <is>
          <t>Flow_ID_O_5</t>
        </is>
      </c>
      <c r="AK1" s="295" t="inlineStr">
        <is>
          <t>Output_Flow_O_6</t>
        </is>
      </c>
      <c r="AL1" s="295" t="inlineStr">
        <is>
          <t>Flow_ID_O_6</t>
        </is>
      </c>
    </row>
    <row r="2">
      <c r="A2" s="280" t="b">
        <v>1</v>
      </c>
      <c r="B2" s="43" t="inlineStr">
        <is>
          <t>00</t>
        </is>
      </c>
      <c r="C2" s="272">
        <f>LEFT(B2,2)</f>
        <v/>
      </c>
      <c r="D2" s="273" t="inlineStr">
        <is>
          <t>Atmosphere</t>
        </is>
      </c>
      <c r="E2" s="273" t="n"/>
      <c r="F2" s="273" t="n"/>
      <c r="G2" s="273" t="n"/>
      <c r="H2" s="280" t="n"/>
      <c r="I2" s="189" t="inlineStr">
        <is>
          <t>Process</t>
        </is>
      </c>
      <c r="J2" s="189" t="inlineStr">
        <is>
          <t>No</t>
        </is>
      </c>
      <c r="K2" s="189" t="inlineStr">
        <is>
          <t>No</t>
        </is>
      </c>
      <c r="L2" s="189" t="inlineStr">
        <is>
          <t>Yes</t>
        </is>
      </c>
      <c r="M2" s="189" t="inlineStr">
        <is>
          <t>No</t>
        </is>
      </c>
      <c r="N2" s="189" t="inlineStr">
        <is>
          <t>No</t>
        </is>
      </c>
      <c r="O2" s="189" t="inlineStr">
        <is>
          <t>No</t>
        </is>
      </c>
      <c r="P2" s="184" t="n">
        <v>1</v>
      </c>
      <c r="Q2" s="273" t="inlineStr">
        <is>
          <t>Incineration_Emissions_C</t>
        </is>
      </c>
      <c r="R2" s="10">
        <f>_xlfn.XLOOKUP(Q2,Tab_Def_Flows[Name(EN)],Tab_Def_Flows[Flow_ID],,0,)</f>
        <v/>
      </c>
      <c r="S2" s="273" t="inlineStr">
        <is>
          <t>N.A.</t>
        </is>
      </c>
      <c r="T2" s="10">
        <f>_xlfn.XLOOKUP(S2,Tab_Def_Flows[Name(EN)],Tab_Def_Flows[Flow_ID],,0,)</f>
        <v/>
      </c>
      <c r="U2" s="273" t="inlineStr">
        <is>
          <t>N.A.</t>
        </is>
      </c>
      <c r="V2" s="10">
        <f>_xlfn.XLOOKUP(U2,Tab_Def_Flows[Name(EN)],Tab_Def_Flows[Flow_ID],,0,)</f>
        <v/>
      </c>
      <c r="W2" s="273" t="inlineStr">
        <is>
          <t>N.A.</t>
        </is>
      </c>
      <c r="X2" s="10">
        <f>_xlfn.XLOOKUP(W2,Tab_Def_Flows[Name(EN)],Tab_Def_Flows[Flow_ID],,0,)</f>
        <v/>
      </c>
      <c r="Y2" s="273" t="inlineStr">
        <is>
          <t>N.A.</t>
        </is>
      </c>
      <c r="Z2" s="15">
        <f>_xlfn.XLOOKUP(Y2,Tab_Def_Flows[Name(EN)],Tab_Def_Flows[Flow_ID],,0,)</f>
        <v/>
      </c>
      <c r="AA2" s="189" t="inlineStr">
        <is>
          <t>Atmossphere_Input_C</t>
        </is>
      </c>
      <c r="AB2" s="12">
        <f>_xlfn.XLOOKUP(AA2,Tab_Def_Flows[Name(EN)],Tab_Def_Flows[Flow_ID],,0,)</f>
        <v/>
      </c>
      <c r="AC2" s="189" t="inlineStr">
        <is>
          <t>N.A.</t>
        </is>
      </c>
      <c r="AD2" s="12">
        <f>_xlfn.XLOOKUP(AC2,Tab_Def_Flows[Name(EN)],Tab_Def_Flows[Flow_ID],,0,)</f>
        <v/>
      </c>
      <c r="AE2" s="189" t="inlineStr">
        <is>
          <t>N.A.</t>
        </is>
      </c>
      <c r="AF2" s="12">
        <f>_xlfn.XLOOKUP(AE2,Tab_Def_Flows[Name(EN)],Tab_Def_Flows[Flow_ID],,0,)</f>
        <v/>
      </c>
      <c r="AG2" s="189" t="inlineStr">
        <is>
          <t>N.A.</t>
        </is>
      </c>
      <c r="AH2" s="12">
        <f>_xlfn.XLOOKUP(AG2,Tab_Def_Flows[Name(EN)],Tab_Def_Flows[Flow_ID],,0,)</f>
        <v/>
      </c>
      <c r="AI2" s="189" t="inlineStr">
        <is>
          <t>N.A.</t>
        </is>
      </c>
      <c r="AJ2" s="12">
        <f>_xlfn.XLOOKUP(AI2,Tab_Def_Flows[Name(EN)],Tab_Def_Flows[Flow_ID],,0,)</f>
        <v/>
      </c>
      <c r="AK2" s="189" t="inlineStr">
        <is>
          <t>N.A.</t>
        </is>
      </c>
      <c r="AL2" s="13">
        <f>_xlfn.XLOOKUP(AK2,Tab_Def_Flows[Name(EN)],Tab_Def_Flows[Flow_ID],,0,)</f>
        <v/>
      </c>
    </row>
    <row r="3">
      <c r="A3" s="280" t="b">
        <v>1</v>
      </c>
      <c r="B3" s="43" t="inlineStr">
        <is>
          <t>01</t>
        </is>
      </c>
      <c r="C3" s="272">
        <f>LEFT(B3,2)</f>
        <v/>
      </c>
      <c r="D3" s="273" t="inlineStr">
        <is>
          <t>Environment</t>
        </is>
      </c>
      <c r="E3" s="273" t="n"/>
      <c r="F3" s="273" t="n"/>
      <c r="G3" s="273" t="n"/>
      <c r="H3" s="280" t="n"/>
      <c r="I3" s="189" t="inlineStr">
        <is>
          <t>Process</t>
        </is>
      </c>
      <c r="J3" s="189" t="inlineStr">
        <is>
          <t>No</t>
        </is>
      </c>
      <c r="K3" s="189" t="inlineStr">
        <is>
          <t>No</t>
        </is>
      </c>
      <c r="L3" s="189" t="inlineStr">
        <is>
          <t>Yes</t>
        </is>
      </c>
      <c r="M3" s="189" t="inlineStr">
        <is>
          <t>No</t>
        </is>
      </c>
      <c r="N3" s="189" t="inlineStr">
        <is>
          <t>No</t>
        </is>
      </c>
      <c r="O3" s="189" t="inlineStr">
        <is>
          <t>No</t>
        </is>
      </c>
      <c r="P3" s="184" t="n">
        <v>1</v>
      </c>
      <c r="Q3" s="273" t="inlineStr">
        <is>
          <t>N.A.</t>
        </is>
      </c>
      <c r="R3" s="272">
        <f>_xlfn.XLOOKUP(Q3,Tab_Def_Flows[Name(EN)],Tab_Def_Flows[Flow_ID],,0,)</f>
        <v/>
      </c>
      <c r="S3" s="273" t="inlineStr">
        <is>
          <t>N.A.</t>
        </is>
      </c>
      <c r="T3" s="272">
        <f>_xlfn.XLOOKUP(S3,Tab_Def_Flows[Name(EN)],Tab_Def_Flows[Flow_ID],,0,)</f>
        <v/>
      </c>
      <c r="U3" s="273" t="inlineStr">
        <is>
          <t>N.A.</t>
        </is>
      </c>
      <c r="V3" s="272">
        <f>_xlfn.XLOOKUP(U3,Tab_Def_Flows[Name(EN)],Tab_Def_Flows[Flow_ID],,0,)</f>
        <v/>
      </c>
      <c r="W3" s="273" t="inlineStr">
        <is>
          <t>N.A.</t>
        </is>
      </c>
      <c r="X3" s="272">
        <f>_xlfn.XLOOKUP(W3,Tab_Def_Flows[Name(EN)],Tab_Def_Flows[Flow_ID],,0,)</f>
        <v/>
      </c>
      <c r="Y3" s="273" t="inlineStr">
        <is>
          <t>N.A.</t>
        </is>
      </c>
      <c r="Z3" s="13">
        <f>_xlfn.XLOOKUP(Y3,Tab_Def_Flows[Name(EN)],Tab_Def_Flows[Flow_ID],,0,)</f>
        <v/>
      </c>
      <c r="AA3" s="189" t="inlineStr">
        <is>
          <t>Environment_Input_E</t>
        </is>
      </c>
      <c r="AB3" s="272">
        <f>_xlfn.XLOOKUP(AA3,Tab_Def_Flows[Name(EN)],Tab_Def_Flows[Flow_ID],,0,)</f>
        <v/>
      </c>
      <c r="AC3" s="189" t="inlineStr">
        <is>
          <t>N.A.</t>
        </is>
      </c>
      <c r="AD3" s="272">
        <f>_xlfn.XLOOKUP(AC3,Tab_Def_Flows[Name(EN)],Tab_Def_Flows[Flow_ID],,0,)</f>
        <v/>
      </c>
      <c r="AE3" s="189" t="inlineStr">
        <is>
          <t>N.A.</t>
        </is>
      </c>
      <c r="AF3" s="272">
        <f>_xlfn.XLOOKUP(AE3,Tab_Def_Flows[Name(EN)],Tab_Def_Flows[Flow_ID],,0,)</f>
        <v/>
      </c>
      <c r="AG3" s="189" t="inlineStr">
        <is>
          <t>N.A.</t>
        </is>
      </c>
      <c r="AH3" s="272">
        <f>_xlfn.XLOOKUP(AG3,Tab_Def_Flows[Name(EN)],Tab_Def_Flows[Flow_ID],,0,)</f>
        <v/>
      </c>
      <c r="AI3" s="189" t="inlineStr">
        <is>
          <t>N.A.</t>
        </is>
      </c>
      <c r="AJ3" s="272">
        <f>_xlfn.XLOOKUP(AI3,Tab_Def_Flows[Name(EN)],Tab_Def_Flows[Flow_ID],,0,)</f>
        <v/>
      </c>
      <c r="AK3" s="189" t="inlineStr">
        <is>
          <t>N.A.</t>
        </is>
      </c>
      <c r="AL3" s="13">
        <f>_xlfn.XLOOKUP(AK3,Tab_Def_Flows[Name(EN)],Tab_Def_Flows[Flow_ID],,0,)</f>
        <v/>
      </c>
    </row>
    <row r="4">
      <c r="A4" s="280" t="b">
        <v>1</v>
      </c>
      <c r="B4" s="43" t="inlineStr">
        <is>
          <t>02</t>
        </is>
      </c>
      <c r="C4" s="272">
        <f>LEFT(B4,2)</f>
        <v/>
      </c>
      <c r="D4" s="273" t="inlineStr">
        <is>
          <t>Cultivation</t>
        </is>
      </c>
      <c r="E4" s="273" t="n"/>
      <c r="F4" s="273" t="n"/>
      <c r="G4" s="273" t="n"/>
      <c r="H4" s="280" t="n"/>
      <c r="I4" s="189" t="inlineStr">
        <is>
          <t>Process</t>
        </is>
      </c>
      <c r="J4" s="189" t="inlineStr">
        <is>
          <t>No</t>
        </is>
      </c>
      <c r="K4" s="189" t="inlineStr">
        <is>
          <t>No</t>
        </is>
      </c>
      <c r="L4" s="189" t="inlineStr">
        <is>
          <t>No</t>
        </is>
      </c>
      <c r="M4" s="189" t="inlineStr">
        <is>
          <t>No</t>
        </is>
      </c>
      <c r="N4" s="189" t="inlineStr">
        <is>
          <t>No</t>
        </is>
      </c>
      <c r="O4" s="189" t="inlineStr">
        <is>
          <t>No</t>
        </is>
      </c>
      <c r="P4" s="184" t="n">
        <v>1</v>
      </c>
      <c r="Q4" s="273" t="inlineStr">
        <is>
          <t>N.A.</t>
        </is>
      </c>
      <c r="R4" s="272">
        <f>_xlfn.XLOOKUP(Q4,Tab_Def_Flows[Name(EN)],Tab_Def_Flows[Flow_ID],,0,)</f>
        <v/>
      </c>
      <c r="S4" s="273" t="inlineStr">
        <is>
          <t>N.A.</t>
        </is>
      </c>
      <c r="T4" s="272">
        <f>_xlfn.XLOOKUP(S4,Tab_Def_Flows[Name(EN)],Tab_Def_Flows[Flow_ID],,0,)</f>
        <v/>
      </c>
      <c r="U4" s="273" t="inlineStr">
        <is>
          <t>N.A.</t>
        </is>
      </c>
      <c r="V4" s="272">
        <f>_xlfn.XLOOKUP(U4,Tab_Def_Flows[Name(EN)],Tab_Def_Flows[Flow_ID],,0,)</f>
        <v/>
      </c>
      <c r="W4" s="273" t="inlineStr">
        <is>
          <t>N.A.</t>
        </is>
      </c>
      <c r="X4" s="272">
        <f>_xlfn.XLOOKUP(W4,Tab_Def_Flows[Name(EN)],Tab_Def_Flows[Flow_ID],,0,)</f>
        <v/>
      </c>
      <c r="Y4" s="273" t="inlineStr">
        <is>
          <t>N.A.</t>
        </is>
      </c>
      <c r="Z4" s="13">
        <f>_xlfn.XLOOKUP(Y4,Tab_Def_Flows[Name(EN)],Tab_Def_Flows[Flow_ID],,0,)</f>
        <v/>
      </c>
      <c r="AA4" s="189" t="inlineStr">
        <is>
          <t>Wheat Plant</t>
        </is>
      </c>
      <c r="AB4" s="272">
        <f>_xlfn.XLOOKUP(AA4,Tab_Def_Flows[Name(EN)],Tab_Def_Flows[Flow_ID],,0,)</f>
        <v/>
      </c>
      <c r="AC4" s="189" t="inlineStr">
        <is>
          <t>N.A.</t>
        </is>
      </c>
      <c r="AD4" s="272">
        <f>_xlfn.XLOOKUP(AC4,Tab_Def_Flows[Name(EN)],Tab_Def_Flows[Flow_ID],,0,)</f>
        <v/>
      </c>
      <c r="AE4" s="189" t="inlineStr">
        <is>
          <t>N.A.</t>
        </is>
      </c>
      <c r="AF4" s="272">
        <f>_xlfn.XLOOKUP(AE4,Tab_Def_Flows[Name(EN)],Tab_Def_Flows[Flow_ID],,0,)</f>
        <v/>
      </c>
      <c r="AG4" s="189" t="inlineStr">
        <is>
          <t>N.A.</t>
        </is>
      </c>
      <c r="AH4" s="272">
        <f>_xlfn.XLOOKUP(AG4,Tab_Def_Flows[Name(EN)],Tab_Def_Flows[Flow_ID],,0,)</f>
        <v/>
      </c>
      <c r="AI4" s="189" t="inlineStr">
        <is>
          <t>N.A.</t>
        </is>
      </c>
      <c r="AJ4" s="272">
        <f>_xlfn.XLOOKUP(AI4,Tab_Def_Flows[Name(EN)],Tab_Def_Flows[Flow_ID],,0,)</f>
        <v/>
      </c>
      <c r="AK4" s="189" t="inlineStr">
        <is>
          <t>N.A.</t>
        </is>
      </c>
      <c r="AL4" s="13">
        <f>_xlfn.XLOOKUP(AK4,Tab_Def_Flows[Name(EN)],Tab_Def_Flows[Flow_ID],,0,)</f>
        <v/>
      </c>
    </row>
    <row r="5">
      <c r="A5" s="280" t="b">
        <v>1</v>
      </c>
      <c r="B5" s="43" t="inlineStr">
        <is>
          <t>03</t>
        </is>
      </c>
      <c r="C5" s="272">
        <f>LEFT(B5,2)</f>
        <v/>
      </c>
      <c r="D5" s="273" t="inlineStr">
        <is>
          <t>Harvest</t>
        </is>
      </c>
      <c r="E5" s="273" t="n"/>
      <c r="F5" s="273" t="n"/>
      <c r="G5" s="273" t="n"/>
      <c r="H5" s="280" t="n"/>
      <c r="I5" s="189" t="inlineStr">
        <is>
          <t>Process</t>
        </is>
      </c>
      <c r="J5" s="189" t="inlineStr">
        <is>
          <t>Yes</t>
        </is>
      </c>
      <c r="K5" s="189" t="inlineStr">
        <is>
          <t>No</t>
        </is>
      </c>
      <c r="L5" s="189" t="inlineStr">
        <is>
          <t>No</t>
        </is>
      </c>
      <c r="M5" s="189" t="inlineStr">
        <is>
          <t>No</t>
        </is>
      </c>
      <c r="N5" s="189" t="inlineStr">
        <is>
          <t>No</t>
        </is>
      </c>
      <c r="O5" s="189" t="inlineStr">
        <is>
          <t>No</t>
        </is>
      </c>
      <c r="P5" s="184" t="n">
        <v>2</v>
      </c>
      <c r="Q5" s="273" t="inlineStr">
        <is>
          <t>N.A.</t>
        </is>
      </c>
      <c r="R5" s="12">
        <f>_xlfn.XLOOKUP(Q5,Tab_Def_Flows[Name(EN)],Tab_Def_Flows[Flow_ID],,0,)</f>
        <v/>
      </c>
      <c r="S5" s="273" t="inlineStr">
        <is>
          <t>N.A.</t>
        </is>
      </c>
      <c r="T5" s="12">
        <f>_xlfn.XLOOKUP(S5,Tab_Def_Flows[Name(EN)],Tab_Def_Flows[Flow_ID],,0,)</f>
        <v/>
      </c>
      <c r="U5" s="273" t="inlineStr">
        <is>
          <t>N.A.</t>
        </is>
      </c>
      <c r="V5" s="12">
        <f>_xlfn.XLOOKUP(U5,Tab_Def_Flows[Name(EN)],Tab_Def_Flows[Flow_ID],,0,)</f>
        <v/>
      </c>
      <c r="W5" s="273" t="inlineStr">
        <is>
          <t>N.A.</t>
        </is>
      </c>
      <c r="X5" s="12">
        <f>_xlfn.XLOOKUP(W5,Tab_Def_Flows[Name(EN)],Tab_Def_Flows[Flow_ID],,0,)</f>
        <v/>
      </c>
      <c r="Y5" s="273" t="inlineStr">
        <is>
          <t>N.A.</t>
        </is>
      </c>
      <c r="Z5" s="13">
        <f>_xlfn.XLOOKUP(Y5,Tab_Def_Flows[Name(EN)],Tab_Def_Flows[Flow_ID],,0,)</f>
        <v/>
      </c>
      <c r="AA5" s="189" t="inlineStr">
        <is>
          <t>Grain</t>
        </is>
      </c>
      <c r="AB5" s="12">
        <f>_xlfn.XLOOKUP(AA5,Tab_Def_Flows[Name(EN)],Tab_Def_Flows[Flow_ID],,0,)</f>
        <v/>
      </c>
      <c r="AC5" s="189" t="inlineStr">
        <is>
          <t>Straw</t>
        </is>
      </c>
      <c r="AD5" s="12">
        <f>_xlfn.XLOOKUP(AC5,Tab_Def_Flows[Name(EN)],Tab_Def_Flows[Flow_ID],,0,)</f>
        <v/>
      </c>
      <c r="AE5" s="189" t="inlineStr">
        <is>
          <t>N.A.</t>
        </is>
      </c>
      <c r="AF5" s="12">
        <f>_xlfn.XLOOKUP(AE5,Tab_Def_Flows[Name(EN)],Tab_Def_Flows[Flow_ID],,0,)</f>
        <v/>
      </c>
      <c r="AG5" s="189" t="inlineStr">
        <is>
          <t>N.A.</t>
        </is>
      </c>
      <c r="AH5" s="12">
        <f>_xlfn.XLOOKUP(AG5,Tab_Def_Flows[Name(EN)],Tab_Def_Flows[Flow_ID],,0,)</f>
        <v/>
      </c>
      <c r="AI5" s="189" t="inlineStr">
        <is>
          <t>N.A.</t>
        </is>
      </c>
      <c r="AJ5" s="12">
        <f>_xlfn.XLOOKUP(AI5,Tab_Def_Flows[Name(EN)],Tab_Def_Flows[Flow_ID],,0,)</f>
        <v/>
      </c>
      <c r="AK5" s="189" t="inlineStr">
        <is>
          <t>N.A.</t>
        </is>
      </c>
      <c r="AL5" s="13">
        <f>_xlfn.XLOOKUP(AK5,Tab_Def_Flows[Name(EN)],Tab_Def_Flows[Flow_ID],,0,)</f>
        <v/>
      </c>
    </row>
    <row r="6">
      <c r="A6" s="280" t="b">
        <v>1</v>
      </c>
      <c r="B6" s="43" t="inlineStr">
        <is>
          <t>04</t>
        </is>
      </c>
      <c r="C6" s="272">
        <f>LEFT(B6,2)</f>
        <v/>
      </c>
      <c r="D6" s="273" t="inlineStr">
        <is>
          <t>Grain Processing &amp; Consumption</t>
        </is>
      </c>
      <c r="E6" s="273" t="n"/>
      <c r="F6" s="273" t="n"/>
      <c r="G6" s="273" t="n"/>
      <c r="H6" s="280" t="n"/>
      <c r="I6" s="189" t="inlineStr">
        <is>
          <t>Process</t>
        </is>
      </c>
      <c r="J6" s="189" t="inlineStr">
        <is>
          <t>Yes</t>
        </is>
      </c>
      <c r="K6" s="189" t="inlineStr">
        <is>
          <t>No</t>
        </is>
      </c>
      <c r="L6" s="189" t="inlineStr">
        <is>
          <t>No</t>
        </is>
      </c>
      <c r="M6" s="189" t="inlineStr">
        <is>
          <t>No</t>
        </is>
      </c>
      <c r="N6" s="189" t="inlineStr">
        <is>
          <t>No</t>
        </is>
      </c>
      <c r="O6" s="189" t="inlineStr">
        <is>
          <t>No</t>
        </is>
      </c>
      <c r="P6" s="184" t="n">
        <v>2</v>
      </c>
      <c r="Q6" s="273" t="inlineStr">
        <is>
          <t>N.A.</t>
        </is>
      </c>
      <c r="R6" s="12">
        <f>_xlfn.XLOOKUP(Q6,Tab_Def_Flows[Name(EN)],Tab_Def_Flows[Flow_ID],,0,)</f>
        <v/>
      </c>
      <c r="S6" s="273" t="inlineStr">
        <is>
          <t>N.A.</t>
        </is>
      </c>
      <c r="T6" s="12">
        <f>_xlfn.XLOOKUP(S6,Tab_Def_Flows[Name(EN)],Tab_Def_Flows[Flow_ID],,0,)</f>
        <v/>
      </c>
      <c r="U6" s="273" t="inlineStr">
        <is>
          <t>N.A.</t>
        </is>
      </c>
      <c r="V6" s="12">
        <f>_xlfn.XLOOKUP(U6,Tab_Def_Flows[Name(EN)],Tab_Def_Flows[Flow_ID],,0,)</f>
        <v/>
      </c>
      <c r="W6" s="273" t="inlineStr">
        <is>
          <t>N.A.</t>
        </is>
      </c>
      <c r="X6" s="12">
        <f>_xlfn.XLOOKUP(W6,Tab_Def_Flows[Name(EN)],Tab_Def_Flows[Flow_ID],,0,)</f>
        <v/>
      </c>
      <c r="Y6" s="273" t="inlineStr">
        <is>
          <t>N.A.</t>
        </is>
      </c>
      <c r="Z6" s="13">
        <f>_xlfn.XLOOKUP(Y6,Tab_Def_Flows[Name(EN)],Tab_Def_Flows[Flow_ID],,0,)</f>
        <v/>
      </c>
      <c r="AA6" s="189" t="inlineStr">
        <is>
          <t>Food_Emissions_C</t>
        </is>
      </c>
      <c r="AB6" s="12">
        <f>_xlfn.XLOOKUP(AA6,Tab_Def_Flows[Name(EN)],Tab_Def_Flows[Flow_ID],,0,)</f>
        <v/>
      </c>
      <c r="AC6" s="189" t="inlineStr">
        <is>
          <t>Food_Emissions_E</t>
        </is>
      </c>
      <c r="AD6" s="12">
        <f>_xlfn.XLOOKUP(AC6,Tab_Def_Flows[Name(EN)],Tab_Def_Flows[Flow_ID],,0,)</f>
        <v/>
      </c>
      <c r="AE6" s="189" t="inlineStr">
        <is>
          <t>N.A.</t>
        </is>
      </c>
      <c r="AF6" s="12">
        <f>_xlfn.XLOOKUP(AE6,Tab_Def_Flows[Name(EN)],Tab_Def_Flows[Flow_ID],,0,)</f>
        <v/>
      </c>
      <c r="AG6" s="189" t="inlineStr">
        <is>
          <t>N.A.</t>
        </is>
      </c>
      <c r="AH6" s="12">
        <f>_xlfn.XLOOKUP(AG6,Tab_Def_Flows[Name(EN)],Tab_Def_Flows[Flow_ID],,0,)</f>
        <v/>
      </c>
      <c r="AI6" s="189" t="inlineStr">
        <is>
          <t>N.A.</t>
        </is>
      </c>
      <c r="AJ6" s="12">
        <f>_xlfn.XLOOKUP(AI6,Tab_Def_Flows[Name(EN)],Tab_Def_Flows[Flow_ID],,0,)</f>
        <v/>
      </c>
      <c r="AK6" s="189" t="inlineStr">
        <is>
          <t>N.A.</t>
        </is>
      </c>
      <c r="AL6" s="13">
        <f>_xlfn.XLOOKUP(AK6,Tab_Def_Flows[Name(EN)],Tab_Def_Flows[Flow_ID],,0,)</f>
        <v/>
      </c>
    </row>
    <row r="7">
      <c r="A7" s="280" t="b">
        <v>1</v>
      </c>
      <c r="B7" s="43" t="inlineStr">
        <is>
          <t>05</t>
        </is>
      </c>
      <c r="C7" s="272">
        <f>LEFT(B7,2)</f>
        <v/>
      </c>
      <c r="D7" s="273" t="inlineStr">
        <is>
          <t>Straw C&amp;D</t>
        </is>
      </c>
      <c r="E7" s="273" t="n"/>
      <c r="F7" s="273" t="n"/>
      <c r="G7" s="273" t="n"/>
      <c r="H7" s="280" t="n"/>
      <c r="I7" s="189" t="inlineStr">
        <is>
          <t>Process</t>
        </is>
      </c>
      <c r="J7" s="189" t="inlineStr">
        <is>
          <t>Yes</t>
        </is>
      </c>
      <c r="K7" s="189" t="inlineStr">
        <is>
          <t>Yes</t>
        </is>
      </c>
      <c r="L7" s="189" t="inlineStr">
        <is>
          <t>No</t>
        </is>
      </c>
      <c r="M7" s="189" t="inlineStr">
        <is>
          <t>No</t>
        </is>
      </c>
      <c r="N7" s="189" t="inlineStr">
        <is>
          <t>No</t>
        </is>
      </c>
      <c r="O7" s="189" t="inlineStr">
        <is>
          <t>No</t>
        </is>
      </c>
      <c r="P7" s="184" t="n">
        <v>3</v>
      </c>
      <c r="Q7" s="273" t="inlineStr">
        <is>
          <t>N.A.</t>
        </is>
      </c>
      <c r="R7" s="272">
        <f>_xlfn.XLOOKUP(Q7,Tab_Def_Flows[Name(EN)],Tab_Def_Flows[Flow_ID],,0,)</f>
        <v/>
      </c>
      <c r="S7" s="273" t="inlineStr">
        <is>
          <t>N.A.</t>
        </is>
      </c>
      <c r="T7" s="272">
        <f>_xlfn.XLOOKUP(S7,Tab_Def_Flows[Name(EN)],Tab_Def_Flows[Flow_ID],,0,)</f>
        <v/>
      </c>
      <c r="U7" s="273" t="inlineStr">
        <is>
          <t>N.A.</t>
        </is>
      </c>
      <c r="V7" s="272">
        <f>_xlfn.XLOOKUP(U7,Tab_Def_Flows[Name(EN)],Tab_Def_Flows[Flow_ID],,0,)</f>
        <v/>
      </c>
      <c r="W7" s="273" t="inlineStr">
        <is>
          <t>N.A.</t>
        </is>
      </c>
      <c r="X7" s="272">
        <f>_xlfn.XLOOKUP(W7,Tab_Def_Flows[Name(EN)],Tab_Def_Flows[Flow_ID],,0,)</f>
        <v/>
      </c>
      <c r="Y7" s="273" t="inlineStr">
        <is>
          <t>N.A.</t>
        </is>
      </c>
      <c r="Z7" s="20">
        <f>_xlfn.XLOOKUP(Y7,Tab_Def_Flows[Name(EN)],Tab_Def_Flows[Flow_ID],,0,)</f>
        <v/>
      </c>
      <c r="AA7" s="189" t="inlineStr">
        <is>
          <t>Straw_incorperation</t>
        </is>
      </c>
      <c r="AB7" s="272">
        <f>_xlfn.XLOOKUP(AA7,Tab_Def_Flows[Name(EN)],Tab_Def_Flows[Flow_ID],,0,)</f>
        <v/>
      </c>
      <c r="AC7" s="189" t="inlineStr">
        <is>
          <t>Straw_animal_bedding</t>
        </is>
      </c>
      <c r="AD7" s="272">
        <f>_xlfn.XLOOKUP(AC7,Tab_Def_Flows[Name(EN)],Tab_Def_Flows[Flow_ID],,0,)</f>
        <v/>
      </c>
      <c r="AE7" s="189" t="inlineStr">
        <is>
          <t>N.A.</t>
        </is>
      </c>
      <c r="AF7" s="272">
        <f>_xlfn.XLOOKUP(AE7,Tab_Def_Flows[Name(EN)],Tab_Def_Flows[Flow_ID],,0,)</f>
        <v/>
      </c>
      <c r="AG7" s="189" t="inlineStr">
        <is>
          <t>N.A.</t>
        </is>
      </c>
      <c r="AH7" s="272">
        <f>_xlfn.XLOOKUP(AG7,Tab_Def_Flows[Name(EN)],Tab_Def_Flows[Flow_ID],,0,)</f>
        <v/>
      </c>
      <c r="AI7" s="189" t="inlineStr">
        <is>
          <t>N.A.</t>
        </is>
      </c>
      <c r="AJ7" s="272">
        <f>_xlfn.XLOOKUP(AI7,Tab_Def_Flows[Name(EN)],Tab_Def_Flows[Flow_ID],,0,)</f>
        <v/>
      </c>
      <c r="AK7" s="189" t="inlineStr">
        <is>
          <t>N.A.</t>
        </is>
      </c>
      <c r="AL7" s="13">
        <f>_xlfn.XLOOKUP(AK7,Tab_Def_Flows[Name(EN)],Tab_Def_Flows[Flow_ID],,0,)</f>
        <v/>
      </c>
    </row>
    <row r="8">
      <c r="A8" s="280" t="b">
        <v>1</v>
      </c>
      <c r="B8" s="43" t="inlineStr">
        <is>
          <t>06</t>
        </is>
      </c>
      <c r="C8" s="272">
        <f>LEFT(B8,2)</f>
        <v/>
      </c>
      <c r="D8" s="273" t="inlineStr">
        <is>
          <t>Direct Incorporation</t>
        </is>
      </c>
      <c r="E8" s="273" t="n"/>
      <c r="F8" s="273" t="n"/>
      <c r="G8" s="273" t="n"/>
      <c r="H8" s="280" t="n"/>
      <c r="I8" s="189" t="inlineStr">
        <is>
          <t>Process</t>
        </is>
      </c>
      <c r="J8" s="189" t="inlineStr">
        <is>
          <t>Yes</t>
        </is>
      </c>
      <c r="K8" s="189" t="inlineStr">
        <is>
          <t>No</t>
        </is>
      </c>
      <c r="L8" s="189" t="inlineStr">
        <is>
          <t>No</t>
        </is>
      </c>
      <c r="M8" s="189" t="inlineStr">
        <is>
          <t>No</t>
        </is>
      </c>
      <c r="N8" s="189" t="inlineStr">
        <is>
          <t>No</t>
        </is>
      </c>
      <c r="O8" s="189" t="inlineStr">
        <is>
          <t>No</t>
        </is>
      </c>
      <c r="P8" s="184" t="n">
        <v>1</v>
      </c>
      <c r="Q8" s="273" t="inlineStr">
        <is>
          <t>N.A.</t>
        </is>
      </c>
      <c r="R8" s="272">
        <f>_xlfn.XLOOKUP(Q8,Tab_Def_Flows[Name(EN)],Tab_Def_Flows[Flow_ID],,0,)</f>
        <v/>
      </c>
      <c r="S8" s="273" t="inlineStr">
        <is>
          <t>N.A.</t>
        </is>
      </c>
      <c r="T8" s="272">
        <f>_xlfn.XLOOKUP(S8,Tab_Def_Flows[Name(EN)],Tab_Def_Flows[Flow_ID],,0,)</f>
        <v/>
      </c>
      <c r="U8" s="273" t="inlineStr">
        <is>
          <t>N.A.</t>
        </is>
      </c>
      <c r="V8" s="272">
        <f>_xlfn.XLOOKUP(U8,Tab_Def_Flows[Name(EN)],Tab_Def_Flows[Flow_ID],,0,)</f>
        <v/>
      </c>
      <c r="W8" s="273" t="inlineStr">
        <is>
          <t>N.A.</t>
        </is>
      </c>
      <c r="X8" s="272">
        <f>_xlfn.XLOOKUP(W8,Tab_Def_Flows[Name(EN)],Tab_Def_Flows[Flow_ID],,0,)</f>
        <v/>
      </c>
      <c r="Y8" s="273" t="inlineStr">
        <is>
          <t>N.A.</t>
        </is>
      </c>
      <c r="Z8" s="17">
        <f>_xlfn.XLOOKUP(Y8,Tab_Def_Flows[Name(EN)],Tab_Def_Flows[Flow_ID],,0,)</f>
        <v/>
      </c>
      <c r="AA8" s="189" t="inlineStr">
        <is>
          <t>Straw_lithosphere</t>
        </is>
      </c>
      <c r="AB8" s="272">
        <f>_xlfn.XLOOKUP(AA8,Tab_Def_Flows[Name(EN)],Tab_Def_Flows[Flow_ID],,0,)</f>
        <v/>
      </c>
      <c r="AC8" s="189" t="inlineStr">
        <is>
          <t>N.A.</t>
        </is>
      </c>
      <c r="AD8" s="272">
        <f>_xlfn.XLOOKUP(AC8,Tab_Def_Flows[Name(EN)],Tab_Def_Flows[Flow_ID],,0,)</f>
        <v/>
      </c>
      <c r="AE8" s="189" t="inlineStr">
        <is>
          <t>N.A.</t>
        </is>
      </c>
      <c r="AF8" s="272">
        <f>_xlfn.XLOOKUP(AE8,Tab_Def_Flows[Name(EN)],Tab_Def_Flows[Flow_ID],,0,)</f>
        <v/>
      </c>
      <c r="AG8" s="189" t="inlineStr">
        <is>
          <t>N.A.</t>
        </is>
      </c>
      <c r="AH8" s="272">
        <f>_xlfn.XLOOKUP(AG8,Tab_Def_Flows[Name(EN)],Tab_Def_Flows[Flow_ID],,0,)</f>
        <v/>
      </c>
      <c r="AI8" s="189" t="inlineStr">
        <is>
          <t>N.A.</t>
        </is>
      </c>
      <c r="AJ8" s="272">
        <f>_xlfn.XLOOKUP(AI8,Tab_Def_Flows[Name(EN)],Tab_Def_Flows[Flow_ID],,0,)</f>
        <v/>
      </c>
      <c r="AK8" s="189" t="inlineStr">
        <is>
          <t>N.A.</t>
        </is>
      </c>
      <c r="AL8" s="13">
        <f>_xlfn.XLOOKUP(AK8,Tab_Def_Flows[Name(EN)],Tab_Def_Flows[Flow_ID],,0,)</f>
        <v/>
      </c>
    </row>
    <row r="9">
      <c r="A9" s="280" t="b">
        <v>1</v>
      </c>
      <c r="B9" s="43" t="inlineStr">
        <is>
          <t>07</t>
        </is>
      </c>
      <c r="C9" s="272">
        <f>LEFT(B9,2)</f>
        <v/>
      </c>
      <c r="D9" s="273" t="inlineStr">
        <is>
          <t>Animal bedding</t>
        </is>
      </c>
      <c r="E9" s="273" t="n"/>
      <c r="F9" s="273" t="n"/>
      <c r="G9" s="273" t="n"/>
      <c r="H9" s="280" t="n"/>
      <c r="I9" s="189" t="inlineStr">
        <is>
          <t>Process</t>
        </is>
      </c>
      <c r="J9" s="189" t="inlineStr">
        <is>
          <t>Yes</t>
        </is>
      </c>
      <c r="K9" s="189" t="inlineStr">
        <is>
          <t>No</t>
        </is>
      </c>
      <c r="L9" s="189" t="inlineStr">
        <is>
          <t>No</t>
        </is>
      </c>
      <c r="M9" s="189" t="inlineStr">
        <is>
          <t>No</t>
        </is>
      </c>
      <c r="N9" s="189" t="inlineStr">
        <is>
          <t>No</t>
        </is>
      </c>
      <c r="O9" s="189" t="inlineStr">
        <is>
          <t>No</t>
        </is>
      </c>
      <c r="P9" s="184" t="n">
        <v>2</v>
      </c>
      <c r="Q9" s="273" t="inlineStr">
        <is>
          <t>N.A.</t>
        </is>
      </c>
      <c r="R9" s="272">
        <f>_xlfn.XLOOKUP(Q9,Tab_Def_Flows[Name(EN)],Tab_Def_Flows[Flow_ID],,0,)</f>
        <v/>
      </c>
      <c r="S9" s="273" t="inlineStr">
        <is>
          <t>N.A.</t>
        </is>
      </c>
      <c r="T9" s="272">
        <f>_xlfn.XLOOKUP(S9,Tab_Def_Flows[Name(EN)],Tab_Def_Flows[Flow_ID],,0,)</f>
        <v/>
      </c>
      <c r="U9" s="273" t="inlineStr">
        <is>
          <t>N.A.</t>
        </is>
      </c>
      <c r="V9" s="272">
        <f>_xlfn.XLOOKUP(U9,Tab_Def_Flows[Name(EN)],Tab_Def_Flows[Flow_ID],,0,)</f>
        <v/>
      </c>
      <c r="W9" s="273" t="inlineStr">
        <is>
          <t>N.A.</t>
        </is>
      </c>
      <c r="X9" s="272">
        <f>_xlfn.XLOOKUP(W9,Tab_Def_Flows[Name(EN)],Tab_Def_Flows[Flow_ID],,0,)</f>
        <v/>
      </c>
      <c r="Y9" s="273" t="inlineStr">
        <is>
          <t>N.A.</t>
        </is>
      </c>
      <c r="Z9" s="17">
        <f>_xlfn.XLOOKUP(Y9,Tab_Def_Flows[Name(EN)],Tab_Def_Flows[Flow_ID],,0,)</f>
        <v/>
      </c>
      <c r="AA9" s="189" t="inlineStr">
        <is>
          <t>Animal bedding_Emissions_C</t>
        </is>
      </c>
      <c r="AB9" s="272">
        <f>_xlfn.XLOOKUP(AA9,Tab_Def_Flows[Name(EN)],Tab_Def_Flows[Flow_ID],,0,)</f>
        <v/>
      </c>
      <c r="AC9" s="189" t="inlineStr">
        <is>
          <t>Animal bedding_Emissions_C</t>
        </is>
      </c>
      <c r="AD9" s="272">
        <f>_xlfn.XLOOKUP(AC9,Tab_Def_Flows[Name(EN)],Tab_Def_Flows[Flow_ID],,0,)</f>
        <v/>
      </c>
      <c r="AE9" s="189" t="inlineStr">
        <is>
          <t>N.A.</t>
        </is>
      </c>
      <c r="AF9" s="272">
        <f>_xlfn.XLOOKUP(AE9,Tab_Def_Flows[Name(EN)],Tab_Def_Flows[Flow_ID],,0,)</f>
        <v/>
      </c>
      <c r="AG9" s="189" t="inlineStr">
        <is>
          <t>N.A.</t>
        </is>
      </c>
      <c r="AH9" s="272">
        <f>_xlfn.XLOOKUP(AG9,Tab_Def_Flows[Name(EN)],Tab_Def_Flows[Flow_ID],,0,)</f>
        <v/>
      </c>
      <c r="AI9" s="189" t="inlineStr">
        <is>
          <t>N.A.</t>
        </is>
      </c>
      <c r="AJ9" s="272">
        <f>_xlfn.XLOOKUP(AI9,Tab_Def_Flows[Name(EN)],Tab_Def_Flows[Flow_ID],,0,)</f>
        <v/>
      </c>
      <c r="AK9" s="189" t="inlineStr">
        <is>
          <t>N.A.</t>
        </is>
      </c>
      <c r="AL9" s="13">
        <f>_xlfn.XLOOKUP(AK9,Tab_Def_Flows[Name(EN)],Tab_Def_Flows[Flow_ID],,0,)</f>
        <v/>
      </c>
    </row>
    <row r="10">
      <c r="A10" s="280" t="b">
        <v>1</v>
      </c>
      <c r="B10" s="43" t="inlineStr">
        <is>
          <t>08</t>
        </is>
      </c>
      <c r="C10" s="272">
        <f>LEFT(B10,2)</f>
        <v/>
      </c>
      <c r="D10" s="273" t="inlineStr">
        <is>
          <t>Lithosphere (DI)</t>
        </is>
      </c>
      <c r="E10" s="273" t="n"/>
      <c r="F10" s="273" t="n"/>
      <c r="G10" s="273" t="n"/>
      <c r="H10" s="280" t="n"/>
      <c r="I10" s="189" t="inlineStr">
        <is>
          <t>Process</t>
        </is>
      </c>
      <c r="J10" s="189" t="inlineStr">
        <is>
          <t>Yes</t>
        </is>
      </c>
      <c r="K10" s="189" t="inlineStr">
        <is>
          <t>No</t>
        </is>
      </c>
      <c r="L10" s="189" t="inlineStr">
        <is>
          <t>Yes</t>
        </is>
      </c>
      <c r="M10" s="189" t="inlineStr">
        <is>
          <t>No</t>
        </is>
      </c>
      <c r="N10" s="189" t="inlineStr">
        <is>
          <t>No</t>
        </is>
      </c>
      <c r="O10" s="189" t="inlineStr">
        <is>
          <t>Yes</t>
        </is>
      </c>
      <c r="P10" s="273" t="n">
        <v>2</v>
      </c>
      <c r="Q10" s="273" t="inlineStr">
        <is>
          <t>N.A.</t>
        </is>
      </c>
      <c r="R10" s="272">
        <f>_xlfn.XLOOKUP(Q10,Tab_Def_Flows[Name(EN)],Tab_Def_Flows[Flow_ID],,0,)</f>
        <v/>
      </c>
      <c r="S10" s="273" t="inlineStr">
        <is>
          <t>N.A.</t>
        </is>
      </c>
      <c r="T10" s="272">
        <f>_xlfn.XLOOKUP(S10,Tab_Def_Flows[Name(EN)],Tab_Def_Flows[Flow_ID],,0,)</f>
        <v/>
      </c>
      <c r="U10" s="273" t="inlineStr">
        <is>
          <t>N.A.</t>
        </is>
      </c>
      <c r="V10" s="272">
        <f>_xlfn.XLOOKUP(U10,Tab_Def_Flows[Name(EN)],Tab_Def_Flows[Flow_ID],,0,)</f>
        <v/>
      </c>
      <c r="W10" s="273" t="inlineStr">
        <is>
          <t>N.A.</t>
        </is>
      </c>
      <c r="X10" s="272">
        <f>_xlfn.XLOOKUP(W10,Tab_Def_Flows[Name(EN)],Tab_Def_Flows[Flow_ID],,0,)</f>
        <v/>
      </c>
      <c r="Y10" s="273" t="inlineStr">
        <is>
          <t>N.A.</t>
        </is>
      </c>
      <c r="Z10" s="17">
        <f>_xlfn.XLOOKUP(Y10,Tab_Def_Flows[Name(EN)],Tab_Def_Flows[Flow_ID],,0,)</f>
        <v/>
      </c>
      <c r="AA10" s="189" t="inlineStr">
        <is>
          <t>Lithosphere_Emissions_C</t>
        </is>
      </c>
      <c r="AB10" s="272">
        <f>_xlfn.XLOOKUP(AA10,Tab_Def_Flows[Name(EN)],Tab_Def_Flows[Flow_ID],,0,)</f>
        <v/>
      </c>
      <c r="AC10" s="189" t="inlineStr">
        <is>
          <t>Lithosphere_Emissions_E</t>
        </is>
      </c>
      <c r="AD10" s="272">
        <f>_xlfn.XLOOKUP(AC10,Tab_Def_Flows[Name(EN)],Tab_Def_Flows[Flow_ID],,0,)</f>
        <v/>
      </c>
      <c r="AE10" s="189" t="inlineStr">
        <is>
          <t>N.A.</t>
        </is>
      </c>
      <c r="AF10" s="272">
        <f>_xlfn.XLOOKUP(AE10,Tab_Def_Flows[Name(EN)],Tab_Def_Flows[Flow_ID],,0,)</f>
        <v/>
      </c>
      <c r="AG10" s="189" t="inlineStr">
        <is>
          <t>N.A.</t>
        </is>
      </c>
      <c r="AH10" s="272">
        <f>_xlfn.XLOOKUP(AG10,Tab_Def_Flows[Name(EN)],Tab_Def_Flows[Flow_ID],,0,)</f>
        <v/>
      </c>
      <c r="AI10" s="189" t="inlineStr">
        <is>
          <t>N.A.</t>
        </is>
      </c>
      <c r="AJ10" s="272">
        <f>_xlfn.XLOOKUP(AI10,Tab_Def_Flows[Name(EN)],Tab_Def_Flows[Flow_ID],,0,)</f>
        <v/>
      </c>
      <c r="AK10" s="189" t="inlineStr">
        <is>
          <t>N.A.</t>
        </is>
      </c>
      <c r="AL10" s="13">
        <f>_xlfn.XLOOKUP(AK10,Tab_Def_Flows[Name(EN)],Tab_Def_Flows[Flow_ID],,0,)</f>
        <v/>
      </c>
    </row>
    <row r="11">
      <c r="A11" s="280" t="b">
        <v>1</v>
      </c>
      <c r="B11" s="43" t="inlineStr">
        <is>
          <t>09</t>
        </is>
      </c>
      <c r="C11" s="272">
        <f>LEFT(B11,2)</f>
        <v/>
      </c>
      <c r="D11" s="273" t="inlineStr">
        <is>
          <t>Compostation &amp; Incorporation</t>
        </is>
      </c>
      <c r="E11" s="273" t="n"/>
      <c r="F11" s="273" t="n"/>
      <c r="G11" s="273" t="n"/>
      <c r="H11" s="280" t="n"/>
      <c r="I11" s="189" t="inlineStr">
        <is>
          <t>Process</t>
        </is>
      </c>
      <c r="J11" s="189" t="inlineStr">
        <is>
          <t>Yes</t>
        </is>
      </c>
      <c r="K11" s="189" t="inlineStr">
        <is>
          <t>No</t>
        </is>
      </c>
      <c r="L11" s="189" t="inlineStr">
        <is>
          <t>No</t>
        </is>
      </c>
      <c r="M11" s="189" t="inlineStr">
        <is>
          <t>No</t>
        </is>
      </c>
      <c r="N11" s="189" t="inlineStr">
        <is>
          <t>No</t>
        </is>
      </c>
      <c r="O11" s="189" t="inlineStr">
        <is>
          <t>No</t>
        </is>
      </c>
      <c r="P11" s="273" t="n">
        <v>3</v>
      </c>
      <c r="Q11" s="273" t="inlineStr">
        <is>
          <t>N.A.</t>
        </is>
      </c>
      <c r="R11" s="272">
        <f>_xlfn.XLOOKUP(Q11,Tab_Def_Flows[Name(EN)],Tab_Def_Flows[Flow_ID],,0,)</f>
        <v/>
      </c>
      <c r="S11" s="273" t="inlineStr">
        <is>
          <t>N.A.</t>
        </is>
      </c>
      <c r="T11" s="272">
        <f>_xlfn.XLOOKUP(S11,Tab_Def_Flows[Name(EN)],Tab_Def_Flows[Flow_ID],,0,)</f>
        <v/>
      </c>
      <c r="U11" s="273" t="inlineStr">
        <is>
          <t>N.A.</t>
        </is>
      </c>
      <c r="V11" s="272">
        <f>_xlfn.XLOOKUP(U11,Tab_Def_Flows[Name(EN)],Tab_Def_Flows[Flow_ID],,0,)</f>
        <v/>
      </c>
      <c r="W11" s="273" t="inlineStr">
        <is>
          <t>N.A.</t>
        </is>
      </c>
      <c r="X11" s="272">
        <f>_xlfn.XLOOKUP(W11,Tab_Def_Flows[Name(EN)],Tab_Def_Flows[Flow_ID],,0,)</f>
        <v/>
      </c>
      <c r="Y11" s="273" t="inlineStr">
        <is>
          <t>N.A.</t>
        </is>
      </c>
      <c r="Z11" s="21">
        <f>_xlfn.XLOOKUP(Y11,Tab_Def_Flows[Name(EN)],Tab_Def_Flows[Flow_ID],,0,)</f>
        <v/>
      </c>
      <c r="AA11" s="189" t="inlineStr">
        <is>
          <t>N.A.</t>
        </is>
      </c>
      <c r="AB11" s="272">
        <f>_xlfn.XLOOKUP(AA11,Tab_Def_Flows[Name(EN)],Tab_Def_Flows[Flow_ID],,0,)</f>
        <v/>
      </c>
      <c r="AC11" s="189" t="inlineStr">
        <is>
          <t>N.A.</t>
        </is>
      </c>
      <c r="AD11" s="272">
        <f>_xlfn.XLOOKUP(AC11,Tab_Def_Flows[Name(EN)],Tab_Def_Flows[Flow_ID],,0,)</f>
        <v/>
      </c>
      <c r="AE11" s="189" t="inlineStr">
        <is>
          <t>N.A.</t>
        </is>
      </c>
      <c r="AF11" s="272">
        <f>_xlfn.XLOOKUP(AE11,Tab_Def_Flows[Name(EN)],Tab_Def_Flows[Flow_ID],,0,)</f>
        <v/>
      </c>
      <c r="AG11" s="189" t="inlineStr">
        <is>
          <t>N.A.</t>
        </is>
      </c>
      <c r="AH11" s="272">
        <f>_xlfn.XLOOKUP(AG11,Tab_Def_Flows[Name(EN)],Tab_Def_Flows[Flow_ID],,0,)</f>
        <v/>
      </c>
      <c r="AI11" s="189" t="inlineStr">
        <is>
          <t>N.A.</t>
        </is>
      </c>
      <c r="AJ11" s="272">
        <f>_xlfn.XLOOKUP(AI11,Tab_Def_Flows[Name(EN)],Tab_Def_Flows[Flow_ID],,0,)</f>
        <v/>
      </c>
      <c r="AK11" s="189" t="inlineStr">
        <is>
          <t>N.A.</t>
        </is>
      </c>
      <c r="AL11" s="13">
        <f>_xlfn.XLOOKUP(AK11,Tab_Def_Flows[Name(EN)],Tab_Def_Flows[Flow_ID],,0,)</f>
        <v/>
      </c>
    </row>
    <row r="12">
      <c r="A12" s="280" t="b">
        <v>1</v>
      </c>
      <c r="B12" s="43" t="inlineStr">
        <is>
          <t>10</t>
        </is>
      </c>
      <c r="C12" s="272">
        <f>LEFT(B12,2)</f>
        <v/>
      </c>
      <c r="D12" s="273" t="inlineStr">
        <is>
          <t>Lithosphere (C&amp;I)</t>
        </is>
      </c>
      <c r="E12" s="273" t="n"/>
      <c r="F12" s="273" t="n"/>
      <c r="G12" s="273" t="n"/>
      <c r="H12" s="280" t="n"/>
      <c r="I12" s="189" t="inlineStr">
        <is>
          <t>Process</t>
        </is>
      </c>
      <c r="J12" s="189" t="inlineStr">
        <is>
          <t>Yes</t>
        </is>
      </c>
      <c r="K12" s="189" t="inlineStr">
        <is>
          <t>No</t>
        </is>
      </c>
      <c r="L12" s="189" t="inlineStr">
        <is>
          <t>Yes</t>
        </is>
      </c>
      <c r="M12" s="189" t="inlineStr">
        <is>
          <t>No</t>
        </is>
      </c>
      <c r="N12" s="189" t="inlineStr">
        <is>
          <t>No</t>
        </is>
      </c>
      <c r="O12" s="189" t="inlineStr">
        <is>
          <t>Yes</t>
        </is>
      </c>
      <c r="P12" s="273" t="n">
        <v>2</v>
      </c>
      <c r="Q12" s="273" t="inlineStr">
        <is>
          <t>N.A.</t>
        </is>
      </c>
      <c r="R12" s="12">
        <f>_xlfn.XLOOKUP(Q12,Tab_Def_Flows[Name(EN)],Tab_Def_Flows[Flow_ID],,0,)</f>
        <v/>
      </c>
      <c r="S12" s="273" t="inlineStr">
        <is>
          <t>N.A.</t>
        </is>
      </c>
      <c r="T12" s="12">
        <f>_xlfn.XLOOKUP(S12,Tab_Def_Flows[Name(EN)],Tab_Def_Flows[Flow_ID],,0,)</f>
        <v/>
      </c>
      <c r="U12" s="273" t="inlineStr">
        <is>
          <t>N.A.</t>
        </is>
      </c>
      <c r="V12" s="12">
        <f>_xlfn.XLOOKUP(U12,Tab_Def_Flows[Name(EN)],Tab_Def_Flows[Flow_ID],,0,)</f>
        <v/>
      </c>
      <c r="W12" s="273" t="inlineStr">
        <is>
          <t>N.A.</t>
        </is>
      </c>
      <c r="X12" s="12">
        <f>_xlfn.XLOOKUP(W12,Tab_Def_Flows[Name(EN)],Tab_Def_Flows[Flow_ID],,0,)</f>
        <v/>
      </c>
      <c r="Y12" s="273" t="inlineStr">
        <is>
          <t>N.A.</t>
        </is>
      </c>
      <c r="Z12" s="13">
        <f>_xlfn.XLOOKUP(Y12,Tab_Def_Flows[Name(EN)],Tab_Def_Flows[Flow_ID],,0,)</f>
        <v/>
      </c>
      <c r="AA12" s="189" t="inlineStr">
        <is>
          <t>N.A.</t>
        </is>
      </c>
      <c r="AB12" s="12">
        <f>_xlfn.XLOOKUP(AA12,Tab_Def_Flows[Name(EN)],Tab_Def_Flows[Flow_ID],,0,)</f>
        <v/>
      </c>
      <c r="AC12" s="189" t="inlineStr">
        <is>
          <t>N.A.</t>
        </is>
      </c>
      <c r="AD12" s="12">
        <f>_xlfn.XLOOKUP(AC12,Tab_Def_Flows[Name(EN)],Tab_Def_Flows[Flow_ID],,0,)</f>
        <v/>
      </c>
      <c r="AE12" s="189" t="inlineStr">
        <is>
          <t>N.A.</t>
        </is>
      </c>
      <c r="AF12" s="12">
        <f>_xlfn.XLOOKUP(AE12,Tab_Def_Flows[Name(EN)],Tab_Def_Flows[Flow_ID],,0,)</f>
        <v/>
      </c>
      <c r="AG12" s="189" t="inlineStr">
        <is>
          <t>N.A.</t>
        </is>
      </c>
      <c r="AH12" s="12">
        <f>_xlfn.XLOOKUP(AG12,Tab_Def_Flows[Name(EN)],Tab_Def_Flows[Flow_ID],,0,)</f>
        <v/>
      </c>
      <c r="AI12" s="189" t="inlineStr">
        <is>
          <t>N.A.</t>
        </is>
      </c>
      <c r="AJ12" s="12">
        <f>_xlfn.XLOOKUP(AI12,Tab_Def_Flows[Name(EN)],Tab_Def_Flows[Flow_ID],,0,)</f>
        <v/>
      </c>
      <c r="AK12" s="189" t="inlineStr">
        <is>
          <t>N.A.</t>
        </is>
      </c>
      <c r="AL12" s="13">
        <f>_xlfn.XLOOKUP(AK12,Tab_Def_Flows[Name(EN)],Tab_Def_Flows[Flow_ID],,0,)</f>
        <v/>
      </c>
    </row>
    <row r="13">
      <c r="A13" s="280" t="b">
        <v>0</v>
      </c>
      <c r="B13" s="43" t="inlineStr">
        <is>
          <t>11</t>
        </is>
      </c>
      <c r="C13" s="272">
        <f>LEFT(B13,2)</f>
        <v/>
      </c>
      <c r="D13" s="273" t="n"/>
      <c r="E13" s="273" t="n"/>
      <c r="F13" s="273" t="n"/>
      <c r="G13" s="273" t="n"/>
      <c r="H13" s="280" t="n"/>
      <c r="I13" s="189" t="n"/>
      <c r="J13" s="189" t="n"/>
      <c r="K13" s="189" t="n"/>
      <c r="L13" s="189" t="n"/>
      <c r="M13" s="189" t="n"/>
      <c r="N13" s="189" t="n"/>
      <c r="O13" s="189" t="n"/>
      <c r="P13" s="273" t="n"/>
      <c r="Q13" s="273" t="inlineStr">
        <is>
          <t>N.A.</t>
        </is>
      </c>
      <c r="R13" s="12">
        <f>_xlfn.XLOOKUP(Q13,Tab_Def_Flows[Name(EN)],Tab_Def_Flows[Flow_ID],,0,)</f>
        <v/>
      </c>
      <c r="S13" s="273" t="inlineStr">
        <is>
          <t>N.A.</t>
        </is>
      </c>
      <c r="T13" s="12">
        <f>_xlfn.XLOOKUP(S13,Tab_Def_Flows[Name(EN)],Tab_Def_Flows[Flow_ID],,0,)</f>
        <v/>
      </c>
      <c r="U13" s="273" t="inlineStr">
        <is>
          <t>N.A.</t>
        </is>
      </c>
      <c r="V13" s="12">
        <f>_xlfn.XLOOKUP(U13,Tab_Def_Flows[Name(EN)],Tab_Def_Flows[Flow_ID],,0,)</f>
        <v/>
      </c>
      <c r="W13" s="273" t="inlineStr">
        <is>
          <t>N.A.</t>
        </is>
      </c>
      <c r="X13" s="12">
        <f>_xlfn.XLOOKUP(W13,Tab_Def_Flows[Name(EN)],Tab_Def_Flows[Flow_ID],,0,)</f>
        <v/>
      </c>
      <c r="Y13" s="273" t="inlineStr">
        <is>
          <t>N.A.</t>
        </is>
      </c>
      <c r="Z13" s="13">
        <f>_xlfn.XLOOKUP(Y13,Tab_Def_Flows[Name(EN)],Tab_Def_Flows[Flow_ID],,0,)</f>
        <v/>
      </c>
      <c r="AA13" s="189" t="inlineStr">
        <is>
          <t>N.A.</t>
        </is>
      </c>
      <c r="AB13" s="12">
        <f>_xlfn.XLOOKUP(AA13,Tab_Def_Flows[Name(EN)],Tab_Def_Flows[Flow_ID],,0,)</f>
        <v/>
      </c>
      <c r="AC13" s="189" t="inlineStr">
        <is>
          <t>N.A.</t>
        </is>
      </c>
      <c r="AD13" s="12">
        <f>_xlfn.XLOOKUP(AC13,Tab_Def_Flows[Name(EN)],Tab_Def_Flows[Flow_ID],,0,)</f>
        <v/>
      </c>
      <c r="AE13" s="189" t="inlineStr">
        <is>
          <t>N.A.</t>
        </is>
      </c>
      <c r="AF13" s="12">
        <f>_xlfn.XLOOKUP(AE13,Tab_Def_Flows[Name(EN)],Tab_Def_Flows[Flow_ID],,0,)</f>
        <v/>
      </c>
      <c r="AG13" s="189" t="inlineStr">
        <is>
          <t>N.A.</t>
        </is>
      </c>
      <c r="AH13" s="12">
        <f>_xlfn.XLOOKUP(AG13,Tab_Def_Flows[Name(EN)],Tab_Def_Flows[Flow_ID],,0,)</f>
        <v/>
      </c>
      <c r="AI13" s="189" t="inlineStr">
        <is>
          <t>N.A.</t>
        </is>
      </c>
      <c r="AJ13" s="12">
        <f>_xlfn.XLOOKUP(AI13,Tab_Def_Flows[Name(EN)],Tab_Def_Flows[Flow_ID],,0,)</f>
        <v/>
      </c>
      <c r="AK13" s="189" t="inlineStr">
        <is>
          <t>N.A.</t>
        </is>
      </c>
      <c r="AL13" s="13">
        <f>_xlfn.XLOOKUP(AK13,Tab_Def_Flows[Name(EN)],Tab_Def_Flows[Flow_ID],,0,)</f>
        <v/>
      </c>
    </row>
    <row r="14">
      <c r="A14" s="280" t="b">
        <v>0</v>
      </c>
      <c r="B14" s="43" t="inlineStr">
        <is>
          <t>12</t>
        </is>
      </c>
      <c r="C14" s="272">
        <f>LEFT(B14,2)</f>
        <v/>
      </c>
      <c r="D14" s="273" t="n"/>
      <c r="E14" s="273" t="n"/>
      <c r="F14" s="273" t="n"/>
      <c r="G14" s="273" t="n"/>
      <c r="H14" s="280" t="n"/>
      <c r="I14" s="189" t="n"/>
      <c r="J14" s="189" t="n"/>
      <c r="K14" s="189" t="n"/>
      <c r="L14" s="189" t="n"/>
      <c r="M14" s="189" t="n"/>
      <c r="N14" s="189" t="n"/>
      <c r="O14" s="189" t="n"/>
      <c r="P14" s="273" t="n"/>
      <c r="Q14" s="273" t="inlineStr">
        <is>
          <t>N.A.</t>
        </is>
      </c>
      <c r="R14" s="12">
        <f>_xlfn.XLOOKUP(Q14,Tab_Def_Flows[Name(EN)],Tab_Def_Flows[Flow_ID],,0,)</f>
        <v/>
      </c>
      <c r="S14" s="273" t="inlineStr">
        <is>
          <t>N.A.</t>
        </is>
      </c>
      <c r="T14" s="12">
        <f>_xlfn.XLOOKUP(S14,Tab_Def_Flows[Name(EN)],Tab_Def_Flows[Flow_ID],,0,)</f>
        <v/>
      </c>
      <c r="U14" s="273" t="inlineStr">
        <is>
          <t>N.A.</t>
        </is>
      </c>
      <c r="V14" s="12">
        <f>_xlfn.XLOOKUP(U14,Tab_Def_Flows[Name(EN)],Tab_Def_Flows[Flow_ID],,0,)</f>
        <v/>
      </c>
      <c r="W14" s="273" t="inlineStr">
        <is>
          <t>N.A.</t>
        </is>
      </c>
      <c r="X14" s="12">
        <f>_xlfn.XLOOKUP(W14,Tab_Def_Flows[Name(EN)],Tab_Def_Flows[Flow_ID],,0,)</f>
        <v/>
      </c>
      <c r="Y14" s="273" t="inlineStr">
        <is>
          <t>N.A.</t>
        </is>
      </c>
      <c r="Z14" s="13">
        <f>_xlfn.XLOOKUP(Y14,Tab_Def_Flows[Name(EN)],Tab_Def_Flows[Flow_ID],,0,)</f>
        <v/>
      </c>
      <c r="AA14" s="189" t="inlineStr">
        <is>
          <t>N.A.</t>
        </is>
      </c>
      <c r="AB14" s="12">
        <f>_xlfn.XLOOKUP(AA14,Tab_Def_Flows[Name(EN)],Tab_Def_Flows[Flow_ID],,0,)</f>
        <v/>
      </c>
      <c r="AC14" s="189" t="inlineStr">
        <is>
          <t>N.A.</t>
        </is>
      </c>
      <c r="AD14" s="12">
        <f>_xlfn.XLOOKUP(AC14,Tab_Def_Flows[Name(EN)],Tab_Def_Flows[Flow_ID],,0,)</f>
        <v/>
      </c>
      <c r="AE14" s="189" t="inlineStr">
        <is>
          <t>N.A.</t>
        </is>
      </c>
      <c r="AF14" s="12">
        <f>_xlfn.XLOOKUP(AE14,Tab_Def_Flows[Name(EN)],Tab_Def_Flows[Flow_ID],,0,)</f>
        <v/>
      </c>
      <c r="AG14" s="189" t="inlineStr">
        <is>
          <t>N.A.</t>
        </is>
      </c>
      <c r="AH14" s="12">
        <f>_xlfn.XLOOKUP(AG14,Tab_Def_Flows[Name(EN)],Tab_Def_Flows[Flow_ID],,0,)</f>
        <v/>
      </c>
      <c r="AI14" s="189" t="inlineStr">
        <is>
          <t>N.A.</t>
        </is>
      </c>
      <c r="AJ14" s="12">
        <f>_xlfn.XLOOKUP(AI14,Tab_Def_Flows[Name(EN)],Tab_Def_Flows[Flow_ID],,0,)</f>
        <v/>
      </c>
      <c r="AK14" s="189" t="inlineStr">
        <is>
          <t>N.A.</t>
        </is>
      </c>
      <c r="AL14" s="13">
        <f>_xlfn.XLOOKUP(AK14,Tab_Def_Flows[Name(EN)],Tab_Def_Flows[Flow_ID],,0,)</f>
        <v/>
      </c>
    </row>
    <row r="15">
      <c r="A15" s="280" t="b">
        <v>0</v>
      </c>
      <c r="B15" s="43" t="inlineStr">
        <is>
          <t>13</t>
        </is>
      </c>
      <c r="C15" s="272">
        <f>LEFT(B15,2)</f>
        <v/>
      </c>
      <c r="D15" s="273" t="n"/>
      <c r="E15" s="273" t="n"/>
      <c r="F15" s="273" t="n"/>
      <c r="G15" s="273" t="n"/>
      <c r="H15" s="280" t="n"/>
      <c r="I15" s="189" t="n"/>
      <c r="J15" s="189" t="n"/>
      <c r="K15" s="189" t="n"/>
      <c r="L15" s="189" t="n"/>
      <c r="M15" s="189" t="n"/>
      <c r="N15" s="189" t="n"/>
      <c r="O15" s="189" t="n"/>
      <c r="P15" s="273" t="n"/>
      <c r="Q15" s="273" t="inlineStr">
        <is>
          <t>N.A.</t>
        </is>
      </c>
      <c r="R15" s="12">
        <f>_xlfn.XLOOKUP(Q15,Tab_Def_Flows[Name(EN)],Tab_Def_Flows[Flow_ID],,0,)</f>
        <v/>
      </c>
      <c r="S15" s="273" t="inlineStr">
        <is>
          <t>N.A.</t>
        </is>
      </c>
      <c r="T15" s="12">
        <f>_xlfn.XLOOKUP(S15,Tab_Def_Flows[Name(EN)],Tab_Def_Flows[Flow_ID],,0,)</f>
        <v/>
      </c>
      <c r="U15" s="273" t="inlineStr">
        <is>
          <t>N.A.</t>
        </is>
      </c>
      <c r="V15" s="12">
        <f>_xlfn.XLOOKUP(U15,Tab_Def_Flows[Name(EN)],Tab_Def_Flows[Flow_ID],,0,)</f>
        <v/>
      </c>
      <c r="W15" s="273" t="inlineStr">
        <is>
          <t>N.A.</t>
        </is>
      </c>
      <c r="X15" s="12">
        <f>_xlfn.XLOOKUP(W15,Tab_Def_Flows[Name(EN)],Tab_Def_Flows[Flow_ID],,0,)</f>
        <v/>
      </c>
      <c r="Y15" s="273" t="inlineStr">
        <is>
          <t>N.A.</t>
        </is>
      </c>
      <c r="Z15" s="13">
        <f>_xlfn.XLOOKUP(Y15,Tab_Def_Flows[Name(EN)],Tab_Def_Flows[Flow_ID],,0,)</f>
        <v/>
      </c>
      <c r="AA15" s="189" t="inlineStr">
        <is>
          <t>N.A.</t>
        </is>
      </c>
      <c r="AB15" s="12">
        <f>_xlfn.XLOOKUP(AA15,Tab_Def_Flows[Name(EN)],Tab_Def_Flows[Flow_ID],,0,)</f>
        <v/>
      </c>
      <c r="AC15" s="189" t="inlineStr">
        <is>
          <t>N.A.</t>
        </is>
      </c>
      <c r="AD15" s="12">
        <f>_xlfn.XLOOKUP(AC15,Tab_Def_Flows[Name(EN)],Tab_Def_Flows[Flow_ID],,0,)</f>
        <v/>
      </c>
      <c r="AE15" s="189" t="inlineStr">
        <is>
          <t>N.A.</t>
        </is>
      </c>
      <c r="AF15" s="12">
        <f>_xlfn.XLOOKUP(AE15,Tab_Def_Flows[Name(EN)],Tab_Def_Flows[Flow_ID],,0,)</f>
        <v/>
      </c>
      <c r="AG15" s="189" t="inlineStr">
        <is>
          <t>N.A.</t>
        </is>
      </c>
      <c r="AH15" s="12">
        <f>_xlfn.XLOOKUP(AG15,Tab_Def_Flows[Name(EN)],Tab_Def_Flows[Flow_ID],,0,)</f>
        <v/>
      </c>
      <c r="AI15" s="189" t="inlineStr">
        <is>
          <t>N.A.</t>
        </is>
      </c>
      <c r="AJ15" s="12">
        <f>_xlfn.XLOOKUP(AI15,Tab_Def_Flows[Name(EN)],Tab_Def_Flows[Flow_ID],,0,)</f>
        <v/>
      </c>
      <c r="AK15" s="189" t="inlineStr">
        <is>
          <t>N.A.</t>
        </is>
      </c>
      <c r="AL15" s="13">
        <f>_xlfn.XLOOKUP(AK15,Tab_Def_Flows[Name(EN)],Tab_Def_Flows[Flow_ID],,0,)</f>
        <v/>
      </c>
    </row>
    <row r="16">
      <c r="A16" s="280" t="b">
        <v>0</v>
      </c>
      <c r="B16" s="43" t="inlineStr">
        <is>
          <t>14</t>
        </is>
      </c>
      <c r="C16" s="272">
        <f>LEFT(B16,2)</f>
        <v/>
      </c>
      <c r="D16" s="273" t="n"/>
      <c r="E16" s="273" t="n"/>
      <c r="F16" s="273" t="n"/>
      <c r="G16" s="273" t="n"/>
      <c r="H16" s="280" t="n"/>
      <c r="I16" s="189" t="n"/>
      <c r="J16" s="189" t="n"/>
      <c r="K16" s="189" t="n"/>
      <c r="L16" s="189" t="n"/>
      <c r="M16" s="189" t="n"/>
      <c r="N16" s="189" t="n"/>
      <c r="O16" s="189" t="n"/>
      <c r="P16" s="273" t="n"/>
      <c r="Q16" s="273" t="inlineStr">
        <is>
          <t>N.A.</t>
        </is>
      </c>
      <c r="R16" s="12">
        <f>_xlfn.XLOOKUP(Q16,Tab_Def_Flows[Name(EN)],Tab_Def_Flows[Flow_ID],,0,)</f>
        <v/>
      </c>
      <c r="S16" s="273" t="inlineStr">
        <is>
          <t>N.A.</t>
        </is>
      </c>
      <c r="T16" s="12">
        <f>_xlfn.XLOOKUP(S16,Tab_Def_Flows[Name(EN)],Tab_Def_Flows[Flow_ID],,0,)</f>
        <v/>
      </c>
      <c r="U16" s="273" t="inlineStr">
        <is>
          <t>N.A.</t>
        </is>
      </c>
      <c r="V16" s="12">
        <f>_xlfn.XLOOKUP(U16,Tab_Def_Flows[Name(EN)],Tab_Def_Flows[Flow_ID],,0,)</f>
        <v/>
      </c>
      <c r="W16" s="273" t="inlineStr">
        <is>
          <t>N.A.</t>
        </is>
      </c>
      <c r="X16" s="12">
        <f>_xlfn.XLOOKUP(W16,Tab_Def_Flows[Name(EN)],Tab_Def_Flows[Flow_ID],,0,)</f>
        <v/>
      </c>
      <c r="Y16" s="273" t="inlineStr">
        <is>
          <t>N.A.</t>
        </is>
      </c>
      <c r="Z16" s="13">
        <f>_xlfn.XLOOKUP(Y16,Tab_Def_Flows[Name(EN)],Tab_Def_Flows[Flow_ID],,0,)</f>
        <v/>
      </c>
      <c r="AA16" s="189" t="inlineStr">
        <is>
          <t>N.A.</t>
        </is>
      </c>
      <c r="AB16" s="12">
        <f>_xlfn.XLOOKUP(AA16,Tab_Def_Flows[Name(EN)],Tab_Def_Flows[Flow_ID],,0,)</f>
        <v/>
      </c>
      <c r="AC16" s="189" t="inlineStr">
        <is>
          <t>N.A.</t>
        </is>
      </c>
      <c r="AD16" s="12">
        <f>_xlfn.XLOOKUP(AC16,Tab_Def_Flows[Name(EN)],Tab_Def_Flows[Flow_ID],,0,)</f>
        <v/>
      </c>
      <c r="AE16" s="189" t="inlineStr">
        <is>
          <t>N.A.</t>
        </is>
      </c>
      <c r="AF16" s="12">
        <f>_xlfn.XLOOKUP(AE16,Tab_Def_Flows[Name(EN)],Tab_Def_Flows[Flow_ID],,0,)</f>
        <v/>
      </c>
      <c r="AG16" s="189" t="inlineStr">
        <is>
          <t>N.A.</t>
        </is>
      </c>
      <c r="AH16" s="12">
        <f>_xlfn.XLOOKUP(AG16,Tab_Def_Flows[Name(EN)],Tab_Def_Flows[Flow_ID],,0,)</f>
        <v/>
      </c>
      <c r="AI16" s="189" t="inlineStr">
        <is>
          <t>N.A.</t>
        </is>
      </c>
      <c r="AJ16" s="12">
        <f>_xlfn.XLOOKUP(AI16,Tab_Def_Flows[Name(EN)],Tab_Def_Flows[Flow_ID],,0,)</f>
        <v/>
      </c>
      <c r="AK16" s="189" t="inlineStr">
        <is>
          <t>N.A.</t>
        </is>
      </c>
      <c r="AL16" s="13">
        <f>_xlfn.XLOOKUP(AK16,Tab_Def_Flows[Name(EN)],Tab_Def_Flows[Flow_ID],,0,)</f>
        <v/>
      </c>
    </row>
    <row r="17" ht="15.75" customHeight="1" thickBot="1">
      <c r="A17" s="280" t="b">
        <v>0</v>
      </c>
      <c r="B17" s="43" t="inlineStr">
        <is>
          <t>15</t>
        </is>
      </c>
      <c r="C17" s="272">
        <f>LEFT(B17,2)</f>
        <v/>
      </c>
      <c r="D17" s="273" t="n"/>
      <c r="E17" s="273" t="n"/>
      <c r="F17" s="273" t="n"/>
      <c r="G17" s="273" t="n"/>
      <c r="H17" s="280" t="n"/>
      <c r="I17" s="189" t="n"/>
      <c r="J17" s="189" t="n"/>
      <c r="K17" s="189" t="n"/>
      <c r="L17" s="189" t="n"/>
      <c r="M17" s="189" t="n"/>
      <c r="N17" s="189" t="n"/>
      <c r="O17" s="189" t="n"/>
      <c r="P17" s="273" t="n"/>
      <c r="Q17" s="273" t="inlineStr">
        <is>
          <t>N.A.</t>
        </is>
      </c>
      <c r="R17" s="12">
        <f>_xlfn.XLOOKUP(Q17,Tab_Def_Flows[Name(EN)],Tab_Def_Flows[Flow_ID],,0,)</f>
        <v/>
      </c>
      <c r="S17" s="273" t="inlineStr">
        <is>
          <t>N.A.</t>
        </is>
      </c>
      <c r="T17" s="12">
        <f>_xlfn.XLOOKUP(S17,Tab_Def_Flows[Name(EN)],Tab_Def_Flows[Flow_ID],,0,)</f>
        <v/>
      </c>
      <c r="U17" s="273" t="inlineStr">
        <is>
          <t>N.A.</t>
        </is>
      </c>
      <c r="V17" s="12">
        <f>_xlfn.XLOOKUP(U17,Tab_Def_Flows[Name(EN)],Tab_Def_Flows[Flow_ID],,0,)</f>
        <v/>
      </c>
      <c r="W17" s="273" t="inlineStr">
        <is>
          <t>N.A.</t>
        </is>
      </c>
      <c r="X17" s="12">
        <f>_xlfn.XLOOKUP(W17,Tab_Def_Flows[Name(EN)],Tab_Def_Flows[Flow_ID],,0,)</f>
        <v/>
      </c>
      <c r="Y17" s="273" t="inlineStr">
        <is>
          <t>N.A.</t>
        </is>
      </c>
      <c r="Z17" s="13">
        <f>_xlfn.XLOOKUP(Y17,Tab_Def_Flows[Name(EN)],Tab_Def_Flows[Flow_ID],,0,)</f>
        <v/>
      </c>
      <c r="AA17" s="189" t="inlineStr">
        <is>
          <t>N.A.</t>
        </is>
      </c>
      <c r="AB17" s="12">
        <f>_xlfn.XLOOKUP(AA17,Tab_Def_Flows[Name(EN)],Tab_Def_Flows[Flow_ID],,0,)</f>
        <v/>
      </c>
      <c r="AC17" s="189" t="inlineStr">
        <is>
          <t>N.A.</t>
        </is>
      </c>
      <c r="AD17" s="12">
        <f>_xlfn.XLOOKUP(AC17,Tab_Def_Flows[Name(EN)],Tab_Def_Flows[Flow_ID],,0,)</f>
        <v/>
      </c>
      <c r="AE17" s="189" t="inlineStr">
        <is>
          <t>N.A.</t>
        </is>
      </c>
      <c r="AF17" s="12">
        <f>_xlfn.XLOOKUP(AE17,Tab_Def_Flows[Name(EN)],Tab_Def_Flows[Flow_ID],,0,)</f>
        <v/>
      </c>
      <c r="AG17" s="189" t="inlineStr">
        <is>
          <t>N.A.</t>
        </is>
      </c>
      <c r="AH17" s="12">
        <f>_xlfn.XLOOKUP(AG17,Tab_Def_Flows[Name(EN)],Tab_Def_Flows[Flow_ID],,0,)</f>
        <v/>
      </c>
      <c r="AI17" s="189" t="inlineStr">
        <is>
          <t>N.A.</t>
        </is>
      </c>
      <c r="AJ17" s="12">
        <f>_xlfn.XLOOKUP(AI17,Tab_Def_Flows[Name(EN)],Tab_Def_Flows[Flow_ID],,0,)</f>
        <v/>
      </c>
      <c r="AK17" s="189" t="inlineStr">
        <is>
          <t>N.A.</t>
        </is>
      </c>
      <c r="AL17" s="13">
        <f>_xlfn.XLOOKUP(AK17,Tab_Def_Flows[Name(EN)],Tab_Def_Flows[Flow_ID],,0,)</f>
        <v/>
      </c>
    </row>
    <row r="18">
      <c r="A18" s="280" t="b">
        <v>0</v>
      </c>
      <c r="B18" s="43" t="inlineStr">
        <is>
          <t>16</t>
        </is>
      </c>
      <c r="C18" s="272">
        <f>LEFT(B18,2)</f>
        <v/>
      </c>
      <c r="D18" s="273" t="n"/>
      <c r="E18" s="273" t="n"/>
      <c r="F18" s="273" t="n"/>
      <c r="G18" s="273" t="n"/>
      <c r="H18" s="280" t="n"/>
      <c r="I18" s="189" t="n"/>
      <c r="J18" s="189" t="n"/>
      <c r="K18" s="189" t="n"/>
      <c r="L18" s="189" t="n"/>
      <c r="M18" s="189" t="n"/>
      <c r="N18" s="189" t="n"/>
      <c r="O18" s="189" t="n"/>
      <c r="P18" s="273" t="n"/>
      <c r="Q18" s="273" t="inlineStr">
        <is>
          <t>N.A.</t>
        </is>
      </c>
      <c r="R18" s="10">
        <f>_xlfn.XLOOKUP(Q18,Tab_Def_Flows[Name(EN)],Tab_Def_Flows[Flow_ID],,0,)</f>
        <v/>
      </c>
      <c r="S18" s="273" t="inlineStr">
        <is>
          <t>N.A.</t>
        </is>
      </c>
      <c r="T18" s="10">
        <f>_xlfn.XLOOKUP(S18,Tab_Def_Flows[Name(EN)],Tab_Def_Flows[Flow_ID],,0,)</f>
        <v/>
      </c>
      <c r="U18" s="273" t="inlineStr">
        <is>
          <t>N.A.</t>
        </is>
      </c>
      <c r="V18" s="10">
        <f>_xlfn.XLOOKUP(U18,Tab_Def_Flows[Name(EN)],Tab_Def_Flows[Flow_ID],,0,)</f>
        <v/>
      </c>
      <c r="W18" s="273" t="inlineStr">
        <is>
          <t>N.A.</t>
        </is>
      </c>
      <c r="X18" s="10">
        <f>_xlfn.XLOOKUP(W18,Tab_Def_Flows[Name(EN)],Tab_Def_Flows[Flow_ID],,0,)</f>
        <v/>
      </c>
      <c r="Y18" s="273" t="inlineStr">
        <is>
          <t>N.A.</t>
        </is>
      </c>
      <c r="Z18" s="15">
        <f>_xlfn.XLOOKUP(Y18,Tab_Def_Flows[Name(EN)],Tab_Def_Flows[Flow_ID],,0,)</f>
        <v/>
      </c>
      <c r="AA18" s="189" t="inlineStr">
        <is>
          <t>N.A.</t>
        </is>
      </c>
      <c r="AB18" s="12">
        <f>_xlfn.XLOOKUP(AA18,Tab_Def_Flows[Name(EN)],Tab_Def_Flows[Flow_ID],,0,)</f>
        <v/>
      </c>
      <c r="AC18" s="189" t="inlineStr">
        <is>
          <t>N.A.</t>
        </is>
      </c>
      <c r="AD18" s="12">
        <f>_xlfn.XLOOKUP(AC18,Tab_Def_Flows[Name(EN)],Tab_Def_Flows[Flow_ID],,0,)</f>
        <v/>
      </c>
      <c r="AE18" s="189" t="inlineStr">
        <is>
          <t>N.A.</t>
        </is>
      </c>
      <c r="AF18" s="12">
        <f>_xlfn.XLOOKUP(AE18,Tab_Def_Flows[Name(EN)],Tab_Def_Flows[Flow_ID],,0,)</f>
        <v/>
      </c>
      <c r="AG18" s="189" t="inlineStr">
        <is>
          <t>N.A.</t>
        </is>
      </c>
      <c r="AH18" s="12">
        <f>_xlfn.XLOOKUP(AG18,Tab_Def_Flows[Name(EN)],Tab_Def_Flows[Flow_ID],,0,)</f>
        <v/>
      </c>
      <c r="AI18" s="189" t="inlineStr">
        <is>
          <t>N.A.</t>
        </is>
      </c>
      <c r="AJ18" s="12">
        <f>_xlfn.XLOOKUP(AI18,Tab_Def_Flows[Name(EN)],Tab_Def_Flows[Flow_ID],,0,)</f>
        <v/>
      </c>
      <c r="AK18" s="189" t="inlineStr">
        <is>
          <t>N.A.</t>
        </is>
      </c>
      <c r="AL18" s="13">
        <f>_xlfn.XLOOKUP(AK18,Tab_Def_Flows[Name(EN)],Tab_Def_Flows[Flow_ID],,0,)</f>
        <v/>
      </c>
    </row>
    <row r="19">
      <c r="A19" s="280" t="b">
        <v>0</v>
      </c>
      <c r="B19" s="43" t="inlineStr">
        <is>
          <t>17</t>
        </is>
      </c>
      <c r="C19" s="272">
        <f>LEFT(B19,2)</f>
        <v/>
      </c>
      <c r="D19" s="273" t="n"/>
      <c r="E19" s="273" t="n"/>
      <c r="F19" s="273" t="n"/>
      <c r="G19" s="273" t="n"/>
      <c r="H19" s="280" t="n"/>
      <c r="I19" s="189" t="n"/>
      <c r="J19" s="189" t="n"/>
      <c r="K19" s="189" t="n"/>
      <c r="L19" s="189" t="n"/>
      <c r="M19" s="189" t="n"/>
      <c r="N19" s="189" t="n"/>
      <c r="O19" s="189" t="n"/>
      <c r="P19" s="273" t="n"/>
      <c r="Q19" s="273" t="inlineStr">
        <is>
          <t>N.A.</t>
        </is>
      </c>
      <c r="R19" s="12">
        <f>_xlfn.XLOOKUP(Q19,Tab_Def_Flows[Name(EN)],Tab_Def_Flows[Flow_ID],,0,)</f>
        <v/>
      </c>
      <c r="S19" s="273" t="inlineStr">
        <is>
          <t>N.A.</t>
        </is>
      </c>
      <c r="T19" s="12">
        <f>_xlfn.XLOOKUP(S19,Tab_Def_Flows[Name(EN)],Tab_Def_Flows[Flow_ID],,0,)</f>
        <v/>
      </c>
      <c r="U19" s="273" t="inlineStr">
        <is>
          <t>N.A.</t>
        </is>
      </c>
      <c r="V19" s="12">
        <f>_xlfn.XLOOKUP(U19,Tab_Def_Flows[Name(EN)],Tab_Def_Flows[Flow_ID],,0,)</f>
        <v/>
      </c>
      <c r="W19" s="273" t="inlineStr">
        <is>
          <t>N.A.</t>
        </is>
      </c>
      <c r="X19" s="12">
        <f>_xlfn.XLOOKUP(W19,Tab_Def_Flows[Name(EN)],Tab_Def_Flows[Flow_ID],,0,)</f>
        <v/>
      </c>
      <c r="Y19" s="273" t="inlineStr">
        <is>
          <t>N.A.</t>
        </is>
      </c>
      <c r="Z19" s="13">
        <f>_xlfn.XLOOKUP(Y19,Tab_Def_Flows[Name(EN)],Tab_Def_Flows[Flow_ID],,0,)</f>
        <v/>
      </c>
      <c r="AA19" s="189" t="inlineStr">
        <is>
          <t>N.A.</t>
        </is>
      </c>
      <c r="AB19" s="12">
        <f>_xlfn.XLOOKUP(AA19,Tab_Def_Flows[Name(EN)],Tab_Def_Flows[Flow_ID],,0,)</f>
        <v/>
      </c>
      <c r="AC19" s="189" t="inlineStr">
        <is>
          <t>N.A.</t>
        </is>
      </c>
      <c r="AD19" s="12">
        <f>_xlfn.XLOOKUP(AC19,Tab_Def_Flows[Name(EN)],Tab_Def_Flows[Flow_ID],,0,)</f>
        <v/>
      </c>
      <c r="AE19" s="189" t="inlineStr">
        <is>
          <t>N.A.</t>
        </is>
      </c>
      <c r="AF19" s="12">
        <f>_xlfn.XLOOKUP(AE19,Tab_Def_Flows[Name(EN)],Tab_Def_Flows[Flow_ID],,0,)</f>
        <v/>
      </c>
      <c r="AG19" s="189" t="inlineStr">
        <is>
          <t>N.A.</t>
        </is>
      </c>
      <c r="AH19" s="12">
        <f>_xlfn.XLOOKUP(AG19,Tab_Def_Flows[Name(EN)],Tab_Def_Flows[Flow_ID],,0,)</f>
        <v/>
      </c>
      <c r="AI19" s="189" t="inlineStr">
        <is>
          <t>N.A.</t>
        </is>
      </c>
      <c r="AJ19" s="12">
        <f>_xlfn.XLOOKUP(AI19,Tab_Def_Flows[Name(EN)],Tab_Def_Flows[Flow_ID],,0,)</f>
        <v/>
      </c>
      <c r="AK19" s="189" t="inlineStr">
        <is>
          <t>N.A.</t>
        </is>
      </c>
      <c r="AL19" s="13">
        <f>_xlfn.XLOOKUP(AK19,Tab_Def_Flows[Name(EN)],Tab_Def_Flows[Flow_ID],,0,)</f>
        <v/>
      </c>
    </row>
    <row r="20">
      <c r="A20" s="280" t="b">
        <v>0</v>
      </c>
      <c r="B20" s="43" t="inlineStr">
        <is>
          <t>18</t>
        </is>
      </c>
      <c r="C20" s="272">
        <f>LEFT(B20,2)</f>
        <v/>
      </c>
      <c r="D20" s="273" t="n"/>
      <c r="E20" s="273" t="n"/>
      <c r="F20" s="273" t="n"/>
      <c r="G20" s="273" t="n"/>
      <c r="H20" s="280" t="n"/>
      <c r="I20" s="189" t="n"/>
      <c r="J20" s="189" t="n"/>
      <c r="K20" s="189" t="n"/>
      <c r="L20" s="189" t="n"/>
      <c r="M20" s="189" t="n"/>
      <c r="N20" s="189" t="n"/>
      <c r="O20" s="189" t="n"/>
      <c r="P20" s="273" t="n"/>
      <c r="Q20" s="273" t="inlineStr">
        <is>
          <t>N.A.</t>
        </is>
      </c>
      <c r="R20" s="12">
        <f>_xlfn.XLOOKUP(Q20,Tab_Def_Flows[Name(EN)],Tab_Def_Flows[Flow_ID],,0,)</f>
        <v/>
      </c>
      <c r="S20" s="273" t="inlineStr">
        <is>
          <t>N.A.</t>
        </is>
      </c>
      <c r="T20" s="12">
        <f>_xlfn.XLOOKUP(S20,Tab_Def_Flows[Name(EN)],Tab_Def_Flows[Flow_ID],,0,)</f>
        <v/>
      </c>
      <c r="U20" s="273" t="inlineStr">
        <is>
          <t>N.A.</t>
        </is>
      </c>
      <c r="V20" s="12">
        <f>_xlfn.XLOOKUP(U20,Tab_Def_Flows[Name(EN)],Tab_Def_Flows[Flow_ID],,0,)</f>
        <v/>
      </c>
      <c r="W20" s="273" t="inlineStr">
        <is>
          <t>N.A.</t>
        </is>
      </c>
      <c r="X20" s="12">
        <f>_xlfn.XLOOKUP(W20,Tab_Def_Flows[Name(EN)],Tab_Def_Flows[Flow_ID],,0,)</f>
        <v/>
      </c>
      <c r="Y20" s="273" t="inlineStr">
        <is>
          <t>N.A.</t>
        </is>
      </c>
      <c r="Z20" s="13">
        <f>_xlfn.XLOOKUP(Y20,Tab_Def_Flows[Name(EN)],Tab_Def_Flows[Flow_ID],,0,)</f>
        <v/>
      </c>
      <c r="AA20" s="189" t="inlineStr">
        <is>
          <t>N.A.</t>
        </is>
      </c>
      <c r="AB20" s="12">
        <f>_xlfn.XLOOKUP(AA20,Tab_Def_Flows[Name(EN)],Tab_Def_Flows[Flow_ID],,0,)</f>
        <v/>
      </c>
      <c r="AC20" s="189" t="inlineStr">
        <is>
          <t>N.A.</t>
        </is>
      </c>
      <c r="AD20" s="12">
        <f>_xlfn.XLOOKUP(AC20,Tab_Def_Flows[Name(EN)],Tab_Def_Flows[Flow_ID],,0,)</f>
        <v/>
      </c>
      <c r="AE20" s="189" t="inlineStr">
        <is>
          <t>N.A.</t>
        </is>
      </c>
      <c r="AF20" s="12">
        <f>_xlfn.XLOOKUP(AE20,Tab_Def_Flows[Name(EN)],Tab_Def_Flows[Flow_ID],,0,)</f>
        <v/>
      </c>
      <c r="AG20" s="189" t="inlineStr">
        <is>
          <t>N.A.</t>
        </is>
      </c>
      <c r="AH20" s="12">
        <f>_xlfn.XLOOKUP(AG20,Tab_Def_Flows[Name(EN)],Tab_Def_Flows[Flow_ID],,0,)</f>
        <v/>
      </c>
      <c r="AI20" s="189" t="inlineStr">
        <is>
          <t>N.A.</t>
        </is>
      </c>
      <c r="AJ20" s="12">
        <f>_xlfn.XLOOKUP(AI20,Tab_Def_Flows[Name(EN)],Tab_Def_Flows[Flow_ID],,0,)</f>
        <v/>
      </c>
      <c r="AK20" s="189" t="inlineStr">
        <is>
          <t>N.A.</t>
        </is>
      </c>
      <c r="AL20" s="13">
        <f>_xlfn.XLOOKUP(AK20,Tab_Def_Flows[Name(EN)],Tab_Def_Flows[Flow_ID],,0,)</f>
        <v/>
      </c>
    </row>
    <row r="21">
      <c r="A21" s="280" t="b">
        <v>0</v>
      </c>
      <c r="B21" s="43" t="inlineStr">
        <is>
          <t>19</t>
        </is>
      </c>
      <c r="C21" s="272">
        <f>LEFT(B21,2)</f>
        <v/>
      </c>
      <c r="D21" s="273" t="n"/>
      <c r="E21" s="273" t="n"/>
      <c r="F21" s="273" t="n"/>
      <c r="G21" s="273" t="n"/>
      <c r="H21" s="280" t="n"/>
      <c r="I21" s="189" t="n"/>
      <c r="J21" s="189" t="n"/>
      <c r="K21" s="189" t="n"/>
      <c r="L21" s="189" t="n"/>
      <c r="M21" s="189" t="n"/>
      <c r="N21" s="189" t="n"/>
      <c r="O21" s="189" t="n"/>
      <c r="P21" s="273" t="n"/>
      <c r="Q21" s="273" t="inlineStr">
        <is>
          <t>N.A.</t>
        </is>
      </c>
      <c r="R21" s="12">
        <f>_xlfn.XLOOKUP(Q21,Tab_Def_Flows[Name(EN)],Tab_Def_Flows[Flow_ID],,0,)</f>
        <v/>
      </c>
      <c r="S21" s="273" t="inlineStr">
        <is>
          <t>N.A.</t>
        </is>
      </c>
      <c r="T21" s="12">
        <f>_xlfn.XLOOKUP(S21,Tab_Def_Flows[Name(EN)],Tab_Def_Flows[Flow_ID],,0,)</f>
        <v/>
      </c>
      <c r="U21" s="273" t="inlineStr">
        <is>
          <t>N.A.</t>
        </is>
      </c>
      <c r="V21" s="12">
        <f>_xlfn.XLOOKUP(U21,Tab_Def_Flows[Name(EN)],Tab_Def_Flows[Flow_ID],,0,)</f>
        <v/>
      </c>
      <c r="W21" s="273" t="inlineStr">
        <is>
          <t>N.A.</t>
        </is>
      </c>
      <c r="X21" s="12">
        <f>_xlfn.XLOOKUP(W21,Tab_Def_Flows[Name(EN)],Tab_Def_Flows[Flow_ID],,0,)</f>
        <v/>
      </c>
      <c r="Y21" s="273" t="inlineStr">
        <is>
          <t>N.A.</t>
        </is>
      </c>
      <c r="Z21" s="13">
        <f>_xlfn.XLOOKUP(Y21,Tab_Def_Flows[Name(EN)],Tab_Def_Flows[Flow_ID],,0,)</f>
        <v/>
      </c>
      <c r="AA21" s="189" t="inlineStr">
        <is>
          <t>N.A.</t>
        </is>
      </c>
      <c r="AB21" s="12">
        <f>_xlfn.XLOOKUP(AA21,Tab_Def_Flows[Name(EN)],Tab_Def_Flows[Flow_ID],,0,)</f>
        <v/>
      </c>
      <c r="AC21" s="189" t="inlineStr">
        <is>
          <t>N.A.</t>
        </is>
      </c>
      <c r="AD21" s="12">
        <f>_xlfn.XLOOKUP(AC21,Tab_Def_Flows[Name(EN)],Tab_Def_Flows[Flow_ID],,0,)</f>
        <v/>
      </c>
      <c r="AE21" s="189" t="inlineStr">
        <is>
          <t>N.A.</t>
        </is>
      </c>
      <c r="AF21" s="12">
        <f>_xlfn.XLOOKUP(AE21,Tab_Def_Flows[Name(EN)],Tab_Def_Flows[Flow_ID],,0,)</f>
        <v/>
      </c>
      <c r="AG21" s="189" t="inlineStr">
        <is>
          <t>N.A.</t>
        </is>
      </c>
      <c r="AH21" s="12">
        <f>_xlfn.XLOOKUP(AG21,Tab_Def_Flows[Name(EN)],Tab_Def_Flows[Flow_ID],,0,)</f>
        <v/>
      </c>
      <c r="AI21" s="189" t="inlineStr">
        <is>
          <t>N.A.</t>
        </is>
      </c>
      <c r="AJ21" s="12">
        <f>_xlfn.XLOOKUP(AI21,Tab_Def_Flows[Name(EN)],Tab_Def_Flows[Flow_ID],,0,)</f>
        <v/>
      </c>
      <c r="AK21" s="189" t="inlineStr">
        <is>
          <t>N.A.</t>
        </is>
      </c>
      <c r="AL21" s="13">
        <f>_xlfn.XLOOKUP(AK21,Tab_Def_Flows[Name(EN)],Tab_Def_Flows[Flow_ID],,0,)</f>
        <v/>
      </c>
    </row>
    <row r="22">
      <c r="A22" s="280" t="b">
        <v>0</v>
      </c>
      <c r="B22" s="43" t="inlineStr">
        <is>
          <t>20</t>
        </is>
      </c>
      <c r="C22" s="272">
        <f>LEFT(B22,2)</f>
        <v/>
      </c>
      <c r="D22" s="273" t="n"/>
      <c r="E22" s="273" t="n"/>
      <c r="F22" s="273" t="n"/>
      <c r="G22" s="273" t="n"/>
      <c r="H22" s="280" t="n"/>
      <c r="I22" s="189" t="n"/>
      <c r="J22" s="189" t="n"/>
      <c r="K22" s="189" t="n"/>
      <c r="L22" s="189" t="n"/>
      <c r="M22" s="189" t="n"/>
      <c r="N22" s="189" t="n"/>
      <c r="O22" s="189" t="n"/>
      <c r="P22" s="273" t="n"/>
      <c r="Q22" s="273" t="inlineStr">
        <is>
          <t>N.A.</t>
        </is>
      </c>
      <c r="R22" s="12">
        <f>_xlfn.XLOOKUP(Q22,Tab_Def_Flows[Name(EN)],Tab_Def_Flows[Flow_ID],,0,)</f>
        <v/>
      </c>
      <c r="S22" s="273" t="inlineStr">
        <is>
          <t>N.A.</t>
        </is>
      </c>
      <c r="T22" s="12">
        <f>_xlfn.XLOOKUP(S22,Tab_Def_Flows[Name(EN)],Tab_Def_Flows[Flow_ID],,0,)</f>
        <v/>
      </c>
      <c r="U22" s="273" t="inlineStr">
        <is>
          <t>N.A.</t>
        </is>
      </c>
      <c r="V22" s="12">
        <f>_xlfn.XLOOKUP(U22,Tab_Def_Flows[Name(EN)],Tab_Def_Flows[Flow_ID],,0,)</f>
        <v/>
      </c>
      <c r="W22" s="273" t="inlineStr">
        <is>
          <t>N.A.</t>
        </is>
      </c>
      <c r="X22" s="12">
        <f>_xlfn.XLOOKUP(W22,Tab_Def_Flows[Name(EN)],Tab_Def_Flows[Flow_ID],,0,)</f>
        <v/>
      </c>
      <c r="Y22" s="273" t="inlineStr">
        <is>
          <t>N.A.</t>
        </is>
      </c>
      <c r="Z22" s="13">
        <f>_xlfn.XLOOKUP(Y22,Tab_Def_Flows[Name(EN)],Tab_Def_Flows[Flow_ID],,0,)</f>
        <v/>
      </c>
      <c r="AA22" s="189" t="inlineStr">
        <is>
          <t>N.A.</t>
        </is>
      </c>
      <c r="AB22" s="12">
        <f>_xlfn.XLOOKUP(AA22,Tab_Def_Flows[Name(EN)],Tab_Def_Flows[Flow_ID],,0,)</f>
        <v/>
      </c>
      <c r="AC22" s="189" t="inlineStr">
        <is>
          <t>N.A.</t>
        </is>
      </c>
      <c r="AD22" s="12">
        <f>_xlfn.XLOOKUP(AC22,Tab_Def_Flows[Name(EN)],Tab_Def_Flows[Flow_ID],,0,)</f>
        <v/>
      </c>
      <c r="AE22" s="189" t="inlineStr">
        <is>
          <t>N.A.</t>
        </is>
      </c>
      <c r="AF22" s="12">
        <f>_xlfn.XLOOKUP(AE22,Tab_Def_Flows[Name(EN)],Tab_Def_Flows[Flow_ID],,0,)</f>
        <v/>
      </c>
      <c r="AG22" s="189" t="inlineStr">
        <is>
          <t>N.A.</t>
        </is>
      </c>
      <c r="AH22" s="12">
        <f>_xlfn.XLOOKUP(AG22,Tab_Def_Flows[Name(EN)],Tab_Def_Flows[Flow_ID],,0,)</f>
        <v/>
      </c>
      <c r="AI22" s="189" t="inlineStr">
        <is>
          <t>N.A.</t>
        </is>
      </c>
      <c r="AJ22" s="12">
        <f>_xlfn.XLOOKUP(AI22,Tab_Def_Flows[Name(EN)],Tab_Def_Flows[Flow_ID],,0,)</f>
        <v/>
      </c>
      <c r="AK22" s="189" t="inlineStr">
        <is>
          <t>N.A.</t>
        </is>
      </c>
      <c r="AL22" s="13">
        <f>_xlfn.XLOOKUP(AK22,Tab_Def_Flows[Name(EN)],Tab_Def_Flows[Flow_ID],,0,)</f>
        <v/>
      </c>
    </row>
    <row r="23">
      <c r="A23" s="280" t="b">
        <v>0</v>
      </c>
      <c r="B23" s="43" t="inlineStr">
        <is>
          <t>21</t>
        </is>
      </c>
      <c r="C23" s="272">
        <f>LEFT(B23,2)</f>
        <v/>
      </c>
      <c r="D23" s="273" t="n"/>
      <c r="E23" s="273" t="n"/>
      <c r="F23" s="273" t="n"/>
      <c r="G23" s="273" t="n"/>
      <c r="H23" s="280" t="n"/>
      <c r="I23" s="189" t="n"/>
      <c r="J23" s="189" t="n"/>
      <c r="K23" s="189" t="n"/>
      <c r="L23" s="189" t="n"/>
      <c r="M23" s="189" t="n"/>
      <c r="N23" s="189" t="n"/>
      <c r="O23" s="189" t="n"/>
      <c r="P23" s="273" t="n"/>
      <c r="Q23" s="273" t="inlineStr">
        <is>
          <t>N.A.</t>
        </is>
      </c>
      <c r="R23" s="12">
        <f>_xlfn.XLOOKUP(Q23,Tab_Def_Flows[Name(EN)],Tab_Def_Flows[Flow_ID],,0,)</f>
        <v/>
      </c>
      <c r="S23" s="273" t="inlineStr">
        <is>
          <t>N.A.</t>
        </is>
      </c>
      <c r="T23" s="12">
        <f>_xlfn.XLOOKUP(S23,Tab_Def_Flows[Name(EN)],Tab_Def_Flows[Flow_ID],,0,)</f>
        <v/>
      </c>
      <c r="U23" s="273" t="inlineStr">
        <is>
          <t>N.A.</t>
        </is>
      </c>
      <c r="V23" s="12">
        <f>_xlfn.XLOOKUP(U23,Tab_Def_Flows[Name(EN)],Tab_Def_Flows[Flow_ID],,0,)</f>
        <v/>
      </c>
      <c r="W23" s="273" t="inlineStr">
        <is>
          <t>N.A.</t>
        </is>
      </c>
      <c r="X23" s="12">
        <f>_xlfn.XLOOKUP(W23,Tab_Def_Flows[Name(EN)],Tab_Def_Flows[Flow_ID],,0,)</f>
        <v/>
      </c>
      <c r="Y23" s="273" t="inlineStr">
        <is>
          <t>N.A.</t>
        </is>
      </c>
      <c r="Z23" s="13">
        <f>_xlfn.XLOOKUP(Y23,Tab_Def_Flows[Name(EN)],Tab_Def_Flows[Flow_ID],,0,)</f>
        <v/>
      </c>
      <c r="AA23" s="189" t="inlineStr">
        <is>
          <t>N.A.</t>
        </is>
      </c>
      <c r="AB23" s="12">
        <f>_xlfn.XLOOKUP(AA23,Tab_Def_Flows[Name(EN)],Tab_Def_Flows[Flow_ID],,0,)</f>
        <v/>
      </c>
      <c r="AC23" s="189" t="inlineStr">
        <is>
          <t>N.A.</t>
        </is>
      </c>
      <c r="AD23" s="12">
        <f>_xlfn.XLOOKUP(AC23,Tab_Def_Flows[Name(EN)],Tab_Def_Flows[Flow_ID],,0,)</f>
        <v/>
      </c>
      <c r="AE23" s="189" t="inlineStr">
        <is>
          <t>N.A.</t>
        </is>
      </c>
      <c r="AF23" s="12">
        <f>_xlfn.XLOOKUP(AE23,Tab_Def_Flows[Name(EN)],Tab_Def_Flows[Flow_ID],,0,)</f>
        <v/>
      </c>
      <c r="AG23" s="189" t="inlineStr">
        <is>
          <t>N.A.</t>
        </is>
      </c>
      <c r="AH23" s="12">
        <f>_xlfn.XLOOKUP(AG23,Tab_Def_Flows[Name(EN)],Tab_Def_Flows[Flow_ID],,0,)</f>
        <v/>
      </c>
      <c r="AI23" s="189" t="inlineStr">
        <is>
          <t>N.A.</t>
        </is>
      </c>
      <c r="AJ23" s="12">
        <f>_xlfn.XLOOKUP(AI23,Tab_Def_Flows[Name(EN)],Tab_Def_Flows[Flow_ID],,0,)</f>
        <v/>
      </c>
      <c r="AK23" s="189" t="inlineStr">
        <is>
          <t>N.A.</t>
        </is>
      </c>
      <c r="AL23" s="13">
        <f>_xlfn.XLOOKUP(AK23,Tab_Def_Flows[Name(EN)],Tab_Def_Flows[Flow_ID],,0,)</f>
        <v/>
      </c>
    </row>
    <row r="24">
      <c r="A24" s="280" t="b">
        <v>0</v>
      </c>
      <c r="B24" s="43" t="inlineStr">
        <is>
          <t>22</t>
        </is>
      </c>
      <c r="C24" s="272">
        <f>LEFT(B24,2)</f>
        <v/>
      </c>
      <c r="D24" s="273" t="n"/>
      <c r="E24" s="273" t="n"/>
      <c r="F24" s="273" t="n"/>
      <c r="G24" s="273" t="n"/>
      <c r="H24" s="280" t="n"/>
      <c r="I24" s="189" t="n"/>
      <c r="J24" s="189" t="n"/>
      <c r="K24" s="189" t="n"/>
      <c r="L24" s="189" t="n"/>
      <c r="M24" s="189" t="n"/>
      <c r="N24" s="189" t="n"/>
      <c r="O24" s="189" t="n"/>
      <c r="P24" s="273" t="n"/>
      <c r="Q24" s="273" t="inlineStr">
        <is>
          <t>N.A.</t>
        </is>
      </c>
      <c r="R24" s="12">
        <f>_xlfn.XLOOKUP(Q24,Tab_Def_Flows[Name(EN)],Tab_Def_Flows[Flow_ID],,0,)</f>
        <v/>
      </c>
      <c r="S24" s="273" t="inlineStr">
        <is>
          <t>N.A.</t>
        </is>
      </c>
      <c r="T24" s="12">
        <f>_xlfn.XLOOKUP(S24,Tab_Def_Flows[Name(EN)],Tab_Def_Flows[Flow_ID],,0,)</f>
        <v/>
      </c>
      <c r="U24" s="273" t="inlineStr">
        <is>
          <t>N.A.</t>
        </is>
      </c>
      <c r="V24" s="12">
        <f>_xlfn.XLOOKUP(U24,Tab_Def_Flows[Name(EN)],Tab_Def_Flows[Flow_ID],,0,)</f>
        <v/>
      </c>
      <c r="W24" s="273" t="inlineStr">
        <is>
          <t>N.A.</t>
        </is>
      </c>
      <c r="X24" s="12">
        <f>_xlfn.XLOOKUP(W24,Tab_Def_Flows[Name(EN)],Tab_Def_Flows[Flow_ID],,0,)</f>
        <v/>
      </c>
      <c r="Y24" s="273" t="inlineStr">
        <is>
          <t>N.A.</t>
        </is>
      </c>
      <c r="Z24" s="13">
        <f>_xlfn.XLOOKUP(Y24,Tab_Def_Flows[Name(EN)],Tab_Def_Flows[Flow_ID],,0,)</f>
        <v/>
      </c>
      <c r="AA24" s="189" t="inlineStr">
        <is>
          <t>N.A.</t>
        </is>
      </c>
      <c r="AB24" s="12">
        <f>_xlfn.XLOOKUP(AA24,Tab_Def_Flows[Name(EN)],Tab_Def_Flows[Flow_ID],,0,)</f>
        <v/>
      </c>
      <c r="AC24" s="189" t="inlineStr">
        <is>
          <t>N.A.</t>
        </is>
      </c>
      <c r="AD24" s="12">
        <f>_xlfn.XLOOKUP(AC24,Tab_Def_Flows[Name(EN)],Tab_Def_Flows[Flow_ID],,0,)</f>
        <v/>
      </c>
      <c r="AE24" s="189" t="inlineStr">
        <is>
          <t>N.A.</t>
        </is>
      </c>
      <c r="AF24" s="12">
        <f>_xlfn.XLOOKUP(AE24,Tab_Def_Flows[Name(EN)],Tab_Def_Flows[Flow_ID],,0,)</f>
        <v/>
      </c>
      <c r="AG24" s="189" t="inlineStr">
        <is>
          <t>N.A.</t>
        </is>
      </c>
      <c r="AH24" s="12">
        <f>_xlfn.XLOOKUP(AG24,Tab_Def_Flows[Name(EN)],Tab_Def_Flows[Flow_ID],,0,)</f>
        <v/>
      </c>
      <c r="AI24" s="189" t="inlineStr">
        <is>
          <t>N.A.</t>
        </is>
      </c>
      <c r="AJ24" s="12">
        <f>_xlfn.XLOOKUP(AI24,Tab_Def_Flows[Name(EN)],Tab_Def_Flows[Flow_ID],,0,)</f>
        <v/>
      </c>
      <c r="AK24" s="189" t="inlineStr">
        <is>
          <t>N.A.</t>
        </is>
      </c>
      <c r="AL24" s="13">
        <f>_xlfn.XLOOKUP(AK24,Tab_Def_Flows[Name(EN)],Tab_Def_Flows[Flow_ID],,0,)</f>
        <v/>
      </c>
    </row>
    <row r="25">
      <c r="A25" s="280" t="b">
        <v>0</v>
      </c>
      <c r="B25" s="43" t="inlineStr">
        <is>
          <t>23</t>
        </is>
      </c>
      <c r="C25" s="272">
        <f>LEFT(B25,2)</f>
        <v/>
      </c>
      <c r="D25" s="273" t="n"/>
      <c r="E25" s="273" t="n"/>
      <c r="F25" s="273" t="n"/>
      <c r="G25" s="273" t="n"/>
      <c r="H25" s="280" t="n"/>
      <c r="I25" s="189" t="n"/>
      <c r="J25" s="189" t="n"/>
      <c r="K25" s="189" t="n"/>
      <c r="L25" s="189" t="n"/>
      <c r="M25" s="189" t="n"/>
      <c r="N25" s="189" t="n"/>
      <c r="O25" s="189" t="n"/>
      <c r="P25" s="273" t="n"/>
      <c r="Q25" s="273" t="inlineStr">
        <is>
          <t>N.A.</t>
        </is>
      </c>
      <c r="R25" s="12">
        <f>_xlfn.XLOOKUP(Q25,Tab_Def_Flows[Name(EN)],Tab_Def_Flows[Flow_ID],,0,)</f>
        <v/>
      </c>
      <c r="S25" s="273" t="inlineStr">
        <is>
          <t>N.A.</t>
        </is>
      </c>
      <c r="T25" s="12">
        <f>_xlfn.XLOOKUP(S25,Tab_Def_Flows[Name(EN)],Tab_Def_Flows[Flow_ID],,0,)</f>
        <v/>
      </c>
      <c r="U25" s="273" t="inlineStr">
        <is>
          <t>N.A.</t>
        </is>
      </c>
      <c r="V25" s="12">
        <f>_xlfn.XLOOKUP(U25,Tab_Def_Flows[Name(EN)],Tab_Def_Flows[Flow_ID],,0,)</f>
        <v/>
      </c>
      <c r="W25" s="273" t="inlineStr">
        <is>
          <t>N.A.</t>
        </is>
      </c>
      <c r="X25" s="12">
        <f>_xlfn.XLOOKUP(W25,Tab_Def_Flows[Name(EN)],Tab_Def_Flows[Flow_ID],,0,)</f>
        <v/>
      </c>
      <c r="Y25" s="273" t="inlineStr">
        <is>
          <t>N.A.</t>
        </is>
      </c>
      <c r="Z25" s="13">
        <f>_xlfn.XLOOKUP(Y25,Tab_Def_Flows[Name(EN)],Tab_Def_Flows[Flow_ID],,0,)</f>
        <v/>
      </c>
      <c r="AA25" s="189" t="inlineStr">
        <is>
          <t>N.A.</t>
        </is>
      </c>
      <c r="AB25" s="12">
        <f>_xlfn.XLOOKUP(AA25,Tab_Def_Flows[Name(EN)],Tab_Def_Flows[Flow_ID],,0,)</f>
        <v/>
      </c>
      <c r="AC25" s="189" t="inlineStr">
        <is>
          <t>N.A.</t>
        </is>
      </c>
      <c r="AD25" s="12">
        <f>_xlfn.XLOOKUP(AC25,Tab_Def_Flows[Name(EN)],Tab_Def_Flows[Flow_ID],,0,)</f>
        <v/>
      </c>
      <c r="AE25" s="189" t="inlineStr">
        <is>
          <t>N.A.</t>
        </is>
      </c>
      <c r="AF25" s="12">
        <f>_xlfn.XLOOKUP(AE25,Tab_Def_Flows[Name(EN)],Tab_Def_Flows[Flow_ID],,0,)</f>
        <v/>
      </c>
      <c r="AG25" s="189" t="inlineStr">
        <is>
          <t>N.A.</t>
        </is>
      </c>
      <c r="AH25" s="12">
        <f>_xlfn.XLOOKUP(AG25,Tab_Def_Flows[Name(EN)],Tab_Def_Flows[Flow_ID],,0,)</f>
        <v/>
      </c>
      <c r="AI25" s="189" t="inlineStr">
        <is>
          <t>N.A.</t>
        </is>
      </c>
      <c r="AJ25" s="12">
        <f>_xlfn.XLOOKUP(AI25,Tab_Def_Flows[Name(EN)],Tab_Def_Flows[Flow_ID],,0,)</f>
        <v/>
      </c>
      <c r="AK25" s="189" t="inlineStr">
        <is>
          <t>N.A.</t>
        </is>
      </c>
      <c r="AL25" s="13">
        <f>_xlfn.XLOOKUP(AK25,Tab_Def_Flows[Name(EN)],Tab_Def_Flows[Flow_ID],,0,)</f>
        <v/>
      </c>
    </row>
    <row r="26">
      <c r="A26" s="280" t="b">
        <v>0</v>
      </c>
      <c r="B26" s="43" t="inlineStr">
        <is>
          <t>24</t>
        </is>
      </c>
      <c r="C26" s="272">
        <f>LEFT(B26,2)</f>
        <v/>
      </c>
      <c r="D26" s="273" t="n"/>
      <c r="E26" s="273" t="n"/>
      <c r="F26" s="273" t="n"/>
      <c r="G26" s="273" t="n"/>
      <c r="H26" s="280" t="n"/>
      <c r="I26" s="189" t="n"/>
      <c r="J26" s="189" t="n"/>
      <c r="K26" s="189" t="n"/>
      <c r="L26" s="189" t="n"/>
      <c r="M26" s="189" t="n"/>
      <c r="N26" s="189" t="n"/>
      <c r="O26" s="189" t="n"/>
      <c r="P26" s="273" t="n"/>
      <c r="Q26" s="273" t="inlineStr">
        <is>
          <t>N.A.</t>
        </is>
      </c>
      <c r="R26" s="12">
        <f>_xlfn.XLOOKUP(Q26,Tab_Def_Flows[Name(EN)],Tab_Def_Flows[Flow_ID],,0,)</f>
        <v/>
      </c>
      <c r="S26" s="273" t="inlineStr">
        <is>
          <t>N.A.</t>
        </is>
      </c>
      <c r="T26" s="12">
        <f>_xlfn.XLOOKUP(S26,Tab_Def_Flows[Name(EN)],Tab_Def_Flows[Flow_ID],,0,)</f>
        <v/>
      </c>
      <c r="U26" s="273" t="inlineStr">
        <is>
          <t>N.A.</t>
        </is>
      </c>
      <c r="V26" s="12">
        <f>_xlfn.XLOOKUP(U26,Tab_Def_Flows[Name(EN)],Tab_Def_Flows[Flow_ID],,0,)</f>
        <v/>
      </c>
      <c r="W26" s="273" t="inlineStr">
        <is>
          <t>N.A.</t>
        </is>
      </c>
      <c r="X26" s="12">
        <f>_xlfn.XLOOKUP(W26,Tab_Def_Flows[Name(EN)],Tab_Def_Flows[Flow_ID],,0,)</f>
        <v/>
      </c>
      <c r="Y26" s="273" t="inlineStr">
        <is>
          <t>N.A.</t>
        </is>
      </c>
      <c r="Z26" s="13">
        <f>_xlfn.XLOOKUP(Y26,Tab_Def_Flows[Name(EN)],Tab_Def_Flows[Flow_ID],,0,)</f>
        <v/>
      </c>
      <c r="AA26" s="189" t="inlineStr">
        <is>
          <t>N.A.</t>
        </is>
      </c>
      <c r="AB26" s="12">
        <f>_xlfn.XLOOKUP(AA26,Tab_Def_Flows[Name(EN)],Tab_Def_Flows[Flow_ID],,0,)</f>
        <v/>
      </c>
      <c r="AC26" s="189" t="inlineStr">
        <is>
          <t>N.A.</t>
        </is>
      </c>
      <c r="AD26" s="12">
        <f>_xlfn.XLOOKUP(AC26,Tab_Def_Flows[Name(EN)],Tab_Def_Flows[Flow_ID],,0,)</f>
        <v/>
      </c>
      <c r="AE26" s="189" t="inlineStr">
        <is>
          <t>N.A.</t>
        </is>
      </c>
      <c r="AF26" s="12">
        <f>_xlfn.XLOOKUP(AE26,Tab_Def_Flows[Name(EN)],Tab_Def_Flows[Flow_ID],,0,)</f>
        <v/>
      </c>
      <c r="AG26" s="189" t="inlineStr">
        <is>
          <t>N.A.</t>
        </is>
      </c>
      <c r="AH26" s="12">
        <f>_xlfn.XLOOKUP(AG26,Tab_Def_Flows[Name(EN)],Tab_Def_Flows[Flow_ID],,0,)</f>
        <v/>
      </c>
      <c r="AI26" s="189" t="inlineStr">
        <is>
          <t>N.A.</t>
        </is>
      </c>
      <c r="AJ26" s="12">
        <f>_xlfn.XLOOKUP(AI26,Tab_Def_Flows[Name(EN)],Tab_Def_Flows[Flow_ID],,0,)</f>
        <v/>
      </c>
      <c r="AK26" s="189" t="inlineStr">
        <is>
          <t>N.A.</t>
        </is>
      </c>
      <c r="AL26" s="13">
        <f>_xlfn.XLOOKUP(AK26,Tab_Def_Flows[Name(EN)],Tab_Def_Flows[Flow_ID],,0,)</f>
        <v/>
      </c>
    </row>
    <row r="27">
      <c r="A27" s="280" t="b">
        <v>0</v>
      </c>
      <c r="B27" s="43" t="inlineStr">
        <is>
          <t>25</t>
        </is>
      </c>
      <c r="C27" s="272">
        <f>LEFT(B27,2)</f>
        <v/>
      </c>
      <c r="D27" s="273" t="n"/>
      <c r="E27" s="273" t="n"/>
      <c r="F27" s="273" t="n"/>
      <c r="G27" s="273" t="n"/>
      <c r="H27" s="280" t="n"/>
      <c r="I27" s="189" t="n"/>
      <c r="J27" s="189" t="n"/>
      <c r="K27" s="189" t="n"/>
      <c r="L27" s="189" t="n"/>
      <c r="M27" s="189" t="n"/>
      <c r="N27" s="189" t="n"/>
      <c r="O27" s="189" t="n"/>
      <c r="P27" s="273" t="n"/>
      <c r="Q27" s="273" t="inlineStr">
        <is>
          <t>N.A.</t>
        </is>
      </c>
      <c r="R27" s="12">
        <f>_xlfn.XLOOKUP(Q27,Tab_Def_Flows[Name(EN)],Tab_Def_Flows[Flow_ID],,0,)</f>
        <v/>
      </c>
      <c r="S27" s="273" t="inlineStr">
        <is>
          <t>N.A.</t>
        </is>
      </c>
      <c r="T27" s="12">
        <f>_xlfn.XLOOKUP(S27,Tab_Def_Flows[Name(EN)],Tab_Def_Flows[Flow_ID],,0,)</f>
        <v/>
      </c>
      <c r="U27" s="273" t="inlineStr">
        <is>
          <t>N.A.</t>
        </is>
      </c>
      <c r="V27" s="12">
        <f>_xlfn.XLOOKUP(U27,Tab_Def_Flows[Name(EN)],Tab_Def_Flows[Flow_ID],,0,)</f>
        <v/>
      </c>
      <c r="W27" s="273" t="inlineStr">
        <is>
          <t>N.A.</t>
        </is>
      </c>
      <c r="X27" s="12">
        <f>_xlfn.XLOOKUP(W27,Tab_Def_Flows[Name(EN)],Tab_Def_Flows[Flow_ID],,0,)</f>
        <v/>
      </c>
      <c r="Y27" s="273" t="inlineStr">
        <is>
          <t>N.A.</t>
        </is>
      </c>
      <c r="Z27" s="13">
        <f>_xlfn.XLOOKUP(Y27,Tab_Def_Flows[Name(EN)],Tab_Def_Flows[Flow_ID],,0,)</f>
        <v/>
      </c>
      <c r="AA27" s="189" t="inlineStr">
        <is>
          <t>N.A.</t>
        </is>
      </c>
      <c r="AB27" s="12">
        <f>_xlfn.XLOOKUP(AA27,Tab_Def_Flows[Name(EN)],Tab_Def_Flows[Flow_ID],,0,)</f>
        <v/>
      </c>
      <c r="AC27" s="189" t="inlineStr">
        <is>
          <t>N.A.</t>
        </is>
      </c>
      <c r="AD27" s="12">
        <f>_xlfn.XLOOKUP(AC27,Tab_Def_Flows[Name(EN)],Tab_Def_Flows[Flow_ID],,0,)</f>
        <v/>
      </c>
      <c r="AE27" s="189" t="inlineStr">
        <is>
          <t>N.A.</t>
        </is>
      </c>
      <c r="AF27" s="12">
        <f>_xlfn.XLOOKUP(AE27,Tab_Def_Flows[Name(EN)],Tab_Def_Flows[Flow_ID],,0,)</f>
        <v/>
      </c>
      <c r="AG27" s="189" t="inlineStr">
        <is>
          <t>N.A.</t>
        </is>
      </c>
      <c r="AH27" s="12">
        <f>_xlfn.XLOOKUP(AG27,Tab_Def_Flows[Name(EN)],Tab_Def_Flows[Flow_ID],,0,)</f>
        <v/>
      </c>
      <c r="AI27" s="189" t="inlineStr">
        <is>
          <t>N.A.</t>
        </is>
      </c>
      <c r="AJ27" s="12">
        <f>_xlfn.XLOOKUP(AI27,Tab_Def_Flows[Name(EN)],Tab_Def_Flows[Flow_ID],,0,)</f>
        <v/>
      </c>
      <c r="AK27" s="189" t="inlineStr">
        <is>
          <t>N.A.</t>
        </is>
      </c>
      <c r="AL27" s="13">
        <f>_xlfn.XLOOKUP(AK27,Tab_Def_Flows[Name(EN)],Tab_Def_Flows[Flow_ID],,0,)</f>
        <v/>
      </c>
    </row>
    <row r="28">
      <c r="A28" s="280" t="b">
        <v>0</v>
      </c>
      <c r="B28" s="43" t="inlineStr">
        <is>
          <t>26</t>
        </is>
      </c>
      <c r="C28" s="272">
        <f>LEFT(B28,2)</f>
        <v/>
      </c>
      <c r="D28" s="273" t="n"/>
      <c r="E28" s="273" t="n"/>
      <c r="F28" s="273" t="n"/>
      <c r="G28" s="273" t="n"/>
      <c r="H28" s="280" t="n"/>
      <c r="I28" s="189" t="n"/>
      <c r="J28" s="189" t="n"/>
      <c r="K28" s="189" t="n"/>
      <c r="L28" s="189" t="n"/>
      <c r="M28" s="189" t="n"/>
      <c r="N28" s="189" t="n"/>
      <c r="O28" s="189" t="n"/>
      <c r="P28" s="273" t="n"/>
      <c r="Q28" s="273" t="inlineStr">
        <is>
          <t>N.A.</t>
        </is>
      </c>
      <c r="R28" s="12">
        <f>_xlfn.XLOOKUP(Q28,Tab_Def_Flows[Name(EN)],Tab_Def_Flows[Flow_ID],,0,)</f>
        <v/>
      </c>
      <c r="S28" s="273" t="inlineStr">
        <is>
          <t>N.A.</t>
        </is>
      </c>
      <c r="T28" s="12">
        <f>_xlfn.XLOOKUP(S28,Tab_Def_Flows[Name(EN)],Tab_Def_Flows[Flow_ID],,0,)</f>
        <v/>
      </c>
      <c r="U28" s="273" t="inlineStr">
        <is>
          <t>N.A.</t>
        </is>
      </c>
      <c r="V28" s="12">
        <f>_xlfn.XLOOKUP(U28,Tab_Def_Flows[Name(EN)],Tab_Def_Flows[Flow_ID],,0,)</f>
        <v/>
      </c>
      <c r="W28" s="273" t="inlineStr">
        <is>
          <t>N.A.</t>
        </is>
      </c>
      <c r="X28" s="12">
        <f>_xlfn.XLOOKUP(W28,Tab_Def_Flows[Name(EN)],Tab_Def_Flows[Flow_ID],,0,)</f>
        <v/>
      </c>
      <c r="Y28" s="273" t="inlineStr">
        <is>
          <t>N.A.</t>
        </is>
      </c>
      <c r="Z28" s="13">
        <f>_xlfn.XLOOKUP(Y28,Tab_Def_Flows[Name(EN)],Tab_Def_Flows[Flow_ID],,0,)</f>
        <v/>
      </c>
      <c r="AA28" s="189" t="inlineStr">
        <is>
          <t>N.A.</t>
        </is>
      </c>
      <c r="AB28" s="12">
        <f>_xlfn.XLOOKUP(AA28,Tab_Def_Flows[Name(EN)],Tab_Def_Flows[Flow_ID],,0,)</f>
        <v/>
      </c>
      <c r="AC28" s="189" t="inlineStr">
        <is>
          <t>N.A.</t>
        </is>
      </c>
      <c r="AD28" s="12">
        <f>_xlfn.XLOOKUP(AC28,Tab_Def_Flows[Name(EN)],Tab_Def_Flows[Flow_ID],,0,)</f>
        <v/>
      </c>
      <c r="AE28" s="189" t="inlineStr">
        <is>
          <t>N.A.</t>
        </is>
      </c>
      <c r="AF28" s="12">
        <f>_xlfn.XLOOKUP(AE28,Tab_Def_Flows[Name(EN)],Tab_Def_Flows[Flow_ID],,0,)</f>
        <v/>
      </c>
      <c r="AG28" s="189" t="inlineStr">
        <is>
          <t>N.A.</t>
        </is>
      </c>
      <c r="AH28" s="12">
        <f>_xlfn.XLOOKUP(AG28,Tab_Def_Flows[Name(EN)],Tab_Def_Flows[Flow_ID],,0,)</f>
        <v/>
      </c>
      <c r="AI28" s="189" t="inlineStr">
        <is>
          <t>N.A.</t>
        </is>
      </c>
      <c r="AJ28" s="12">
        <f>_xlfn.XLOOKUP(AI28,Tab_Def_Flows[Name(EN)],Tab_Def_Flows[Flow_ID],,0,)</f>
        <v/>
      </c>
      <c r="AK28" s="189" t="inlineStr">
        <is>
          <t>N.A.</t>
        </is>
      </c>
      <c r="AL28" s="13">
        <f>_xlfn.XLOOKUP(AK28,Tab_Def_Flows[Name(EN)],Tab_Def_Flows[Flow_ID],,0,)</f>
        <v/>
      </c>
    </row>
    <row r="29">
      <c r="A29" s="280" t="b">
        <v>0</v>
      </c>
      <c r="B29" s="43" t="inlineStr">
        <is>
          <t>27</t>
        </is>
      </c>
      <c r="C29" s="272">
        <f>LEFT(B29,2)</f>
        <v/>
      </c>
      <c r="D29" s="273" t="n"/>
      <c r="E29" s="273" t="n"/>
      <c r="F29" s="273" t="n"/>
      <c r="G29" s="273" t="n"/>
      <c r="H29" s="280" t="n"/>
      <c r="I29" s="189" t="n"/>
      <c r="J29" s="189" t="n"/>
      <c r="K29" s="189" t="n"/>
      <c r="L29" s="189" t="n"/>
      <c r="M29" s="189" t="n"/>
      <c r="N29" s="189" t="n"/>
      <c r="O29" s="189" t="n"/>
      <c r="P29" s="273" t="n"/>
      <c r="Q29" s="273" t="inlineStr">
        <is>
          <t>N.A.</t>
        </is>
      </c>
      <c r="R29" s="12">
        <f>_xlfn.XLOOKUP(Q29,Tab_Def_Flows[Name(EN)],Tab_Def_Flows[Flow_ID],,0,)</f>
        <v/>
      </c>
      <c r="S29" s="273" t="inlineStr">
        <is>
          <t>N.A.</t>
        </is>
      </c>
      <c r="T29" s="12">
        <f>_xlfn.XLOOKUP(S29,Tab_Def_Flows[Name(EN)],Tab_Def_Flows[Flow_ID],,0,)</f>
        <v/>
      </c>
      <c r="U29" s="273" t="inlineStr">
        <is>
          <t>N.A.</t>
        </is>
      </c>
      <c r="V29" s="12">
        <f>_xlfn.XLOOKUP(U29,Tab_Def_Flows[Name(EN)],Tab_Def_Flows[Flow_ID],,0,)</f>
        <v/>
      </c>
      <c r="W29" s="273" t="inlineStr">
        <is>
          <t>N.A.</t>
        </is>
      </c>
      <c r="X29" s="12">
        <f>_xlfn.XLOOKUP(W29,Tab_Def_Flows[Name(EN)],Tab_Def_Flows[Flow_ID],,0,)</f>
        <v/>
      </c>
      <c r="Y29" s="273" t="inlineStr">
        <is>
          <t>N.A.</t>
        </is>
      </c>
      <c r="Z29" s="13">
        <f>_xlfn.XLOOKUP(Y29,Tab_Def_Flows[Name(EN)],Tab_Def_Flows[Flow_ID],,0,)</f>
        <v/>
      </c>
      <c r="AA29" s="189" t="inlineStr">
        <is>
          <t>N.A.</t>
        </is>
      </c>
      <c r="AB29" s="12">
        <f>_xlfn.XLOOKUP(AA29,Tab_Def_Flows[Name(EN)],Tab_Def_Flows[Flow_ID],,0,)</f>
        <v/>
      </c>
      <c r="AC29" s="189" t="inlineStr">
        <is>
          <t>N.A.</t>
        </is>
      </c>
      <c r="AD29" s="12">
        <f>_xlfn.XLOOKUP(AC29,Tab_Def_Flows[Name(EN)],Tab_Def_Flows[Flow_ID],,0,)</f>
        <v/>
      </c>
      <c r="AE29" s="189" t="inlineStr">
        <is>
          <t>N.A.</t>
        </is>
      </c>
      <c r="AF29" s="12">
        <f>_xlfn.XLOOKUP(AE29,Tab_Def_Flows[Name(EN)],Tab_Def_Flows[Flow_ID],,0,)</f>
        <v/>
      </c>
      <c r="AG29" s="189" t="inlineStr">
        <is>
          <t>N.A.</t>
        </is>
      </c>
      <c r="AH29" s="12">
        <f>_xlfn.XLOOKUP(AG29,Tab_Def_Flows[Name(EN)],Tab_Def_Flows[Flow_ID],,0,)</f>
        <v/>
      </c>
      <c r="AI29" s="189" t="inlineStr">
        <is>
          <t>N.A.</t>
        </is>
      </c>
      <c r="AJ29" s="12">
        <f>_xlfn.XLOOKUP(AI29,Tab_Def_Flows[Name(EN)],Tab_Def_Flows[Flow_ID],,0,)</f>
        <v/>
      </c>
      <c r="AK29" s="189" t="inlineStr">
        <is>
          <t>N.A.</t>
        </is>
      </c>
      <c r="AL29" s="13">
        <f>_xlfn.XLOOKUP(AK29,Tab_Def_Flows[Name(EN)],Tab_Def_Flows[Flow_ID],,0,)</f>
        <v/>
      </c>
    </row>
    <row r="30">
      <c r="A30" s="280" t="b">
        <v>0</v>
      </c>
      <c r="B30" s="43" t="inlineStr">
        <is>
          <t>28</t>
        </is>
      </c>
      <c r="C30" s="272">
        <f>LEFT(B30,2)</f>
        <v/>
      </c>
      <c r="D30" s="273" t="n"/>
      <c r="E30" s="273" t="n"/>
      <c r="F30" s="273" t="n"/>
      <c r="G30" s="273" t="n"/>
      <c r="H30" s="280" t="n"/>
      <c r="I30" s="189" t="n"/>
      <c r="J30" s="189" t="n"/>
      <c r="K30" s="189" t="n"/>
      <c r="L30" s="189" t="n"/>
      <c r="M30" s="189" t="n"/>
      <c r="N30" s="189" t="n"/>
      <c r="O30" s="189" t="n"/>
      <c r="P30" s="273" t="n"/>
      <c r="Q30" s="273" t="inlineStr">
        <is>
          <t>N.A.</t>
        </is>
      </c>
      <c r="R30" s="12">
        <f>_xlfn.XLOOKUP(Q30,Tab_Def_Flows[Name(EN)],Tab_Def_Flows[Flow_ID],,0,)</f>
        <v/>
      </c>
      <c r="S30" s="273" t="inlineStr">
        <is>
          <t>N.A.</t>
        </is>
      </c>
      <c r="T30" s="12">
        <f>_xlfn.XLOOKUP(S30,Tab_Def_Flows[Name(EN)],Tab_Def_Flows[Flow_ID],,0,)</f>
        <v/>
      </c>
      <c r="U30" s="273" t="inlineStr">
        <is>
          <t>N.A.</t>
        </is>
      </c>
      <c r="V30" s="12">
        <f>_xlfn.XLOOKUP(U30,Tab_Def_Flows[Name(EN)],Tab_Def_Flows[Flow_ID],,0,)</f>
        <v/>
      </c>
      <c r="W30" s="273" t="inlineStr">
        <is>
          <t>N.A.</t>
        </is>
      </c>
      <c r="X30" s="12">
        <f>_xlfn.XLOOKUP(W30,Tab_Def_Flows[Name(EN)],Tab_Def_Flows[Flow_ID],,0,)</f>
        <v/>
      </c>
      <c r="Y30" s="273" t="inlineStr">
        <is>
          <t>N.A.</t>
        </is>
      </c>
      <c r="Z30" s="13">
        <f>_xlfn.XLOOKUP(Y30,Tab_Def_Flows[Name(EN)],Tab_Def_Flows[Flow_ID],,0,)</f>
        <v/>
      </c>
      <c r="AA30" s="189" t="inlineStr">
        <is>
          <t>N.A.</t>
        </is>
      </c>
      <c r="AB30" s="12">
        <f>_xlfn.XLOOKUP(AA30,Tab_Def_Flows[Name(EN)],Tab_Def_Flows[Flow_ID],,0,)</f>
        <v/>
      </c>
      <c r="AC30" s="189" t="inlineStr">
        <is>
          <t>N.A.</t>
        </is>
      </c>
      <c r="AD30" s="12">
        <f>_xlfn.XLOOKUP(AC30,Tab_Def_Flows[Name(EN)],Tab_Def_Flows[Flow_ID],,0,)</f>
        <v/>
      </c>
      <c r="AE30" s="189" t="inlineStr">
        <is>
          <t>N.A.</t>
        </is>
      </c>
      <c r="AF30" s="12">
        <f>_xlfn.XLOOKUP(AE30,Tab_Def_Flows[Name(EN)],Tab_Def_Flows[Flow_ID],,0,)</f>
        <v/>
      </c>
      <c r="AG30" s="189" t="inlineStr">
        <is>
          <t>N.A.</t>
        </is>
      </c>
      <c r="AH30" s="12">
        <f>_xlfn.XLOOKUP(AG30,Tab_Def_Flows[Name(EN)],Tab_Def_Flows[Flow_ID],,0,)</f>
        <v/>
      </c>
      <c r="AI30" s="189" t="inlineStr">
        <is>
          <t>N.A.</t>
        </is>
      </c>
      <c r="AJ30" s="12">
        <f>_xlfn.XLOOKUP(AI30,Tab_Def_Flows[Name(EN)],Tab_Def_Flows[Flow_ID],,0,)</f>
        <v/>
      </c>
      <c r="AK30" s="189" t="inlineStr">
        <is>
          <t>N.A.</t>
        </is>
      </c>
      <c r="AL30" s="13">
        <f>_xlfn.XLOOKUP(AK30,Tab_Def_Flows[Name(EN)],Tab_Def_Flows[Flow_ID],,0,)</f>
        <v/>
      </c>
    </row>
    <row r="31">
      <c r="A31" s="280" t="b">
        <v>0</v>
      </c>
      <c r="B31" s="43" t="inlineStr">
        <is>
          <t>29</t>
        </is>
      </c>
      <c r="C31" s="272">
        <f>LEFT(B31,2)</f>
        <v/>
      </c>
      <c r="D31" s="273" t="n"/>
      <c r="E31" s="273" t="n"/>
      <c r="F31" s="273" t="n"/>
      <c r="G31" s="273" t="n"/>
      <c r="H31" s="280" t="n"/>
      <c r="I31" s="189" t="n"/>
      <c r="J31" s="189" t="n"/>
      <c r="K31" s="189" t="n"/>
      <c r="L31" s="189" t="n"/>
      <c r="M31" s="189" t="n"/>
      <c r="N31" s="189" t="n"/>
      <c r="O31" s="189" t="n"/>
      <c r="P31" s="273" t="n"/>
      <c r="Q31" s="273" t="inlineStr">
        <is>
          <t>N.A.</t>
        </is>
      </c>
      <c r="R31" s="12">
        <f>_xlfn.XLOOKUP(Q31,Tab_Def_Flows[Name(EN)],Tab_Def_Flows[Flow_ID],,0,)</f>
        <v/>
      </c>
      <c r="S31" s="273" t="inlineStr">
        <is>
          <t>N.A.</t>
        </is>
      </c>
      <c r="T31" s="12">
        <f>_xlfn.XLOOKUP(S31,Tab_Def_Flows[Name(EN)],Tab_Def_Flows[Flow_ID],,0,)</f>
        <v/>
      </c>
      <c r="U31" s="273" t="inlineStr">
        <is>
          <t>N.A.</t>
        </is>
      </c>
      <c r="V31" s="12">
        <f>_xlfn.XLOOKUP(U31,Tab_Def_Flows[Name(EN)],Tab_Def_Flows[Flow_ID],,0,)</f>
        <v/>
      </c>
      <c r="W31" s="273" t="inlineStr">
        <is>
          <t>N.A.</t>
        </is>
      </c>
      <c r="X31" s="12">
        <f>_xlfn.XLOOKUP(W31,Tab_Def_Flows[Name(EN)],Tab_Def_Flows[Flow_ID],,0,)</f>
        <v/>
      </c>
      <c r="Y31" s="273" t="inlineStr">
        <is>
          <t>N.A.</t>
        </is>
      </c>
      <c r="Z31" s="13">
        <f>_xlfn.XLOOKUP(Y31,Tab_Def_Flows[Name(EN)],Tab_Def_Flows[Flow_ID],,0,)</f>
        <v/>
      </c>
      <c r="AA31" s="189" t="inlineStr">
        <is>
          <t>N.A.</t>
        </is>
      </c>
      <c r="AB31" s="12">
        <f>_xlfn.XLOOKUP(AA31,Tab_Def_Flows[Name(EN)],Tab_Def_Flows[Flow_ID],,0,)</f>
        <v/>
      </c>
      <c r="AC31" s="189" t="inlineStr">
        <is>
          <t>N.A.</t>
        </is>
      </c>
      <c r="AD31" s="12">
        <f>_xlfn.XLOOKUP(AC31,Tab_Def_Flows[Name(EN)],Tab_Def_Flows[Flow_ID],,0,)</f>
        <v/>
      </c>
      <c r="AE31" s="189" t="inlineStr">
        <is>
          <t>N.A.</t>
        </is>
      </c>
      <c r="AF31" s="12">
        <f>_xlfn.XLOOKUP(AE31,Tab_Def_Flows[Name(EN)],Tab_Def_Flows[Flow_ID],,0,)</f>
        <v/>
      </c>
      <c r="AG31" s="189" t="inlineStr">
        <is>
          <t>N.A.</t>
        </is>
      </c>
      <c r="AH31" s="12">
        <f>_xlfn.XLOOKUP(AG31,Tab_Def_Flows[Name(EN)],Tab_Def_Flows[Flow_ID],,0,)</f>
        <v/>
      </c>
      <c r="AI31" s="189" t="inlineStr">
        <is>
          <t>N.A.</t>
        </is>
      </c>
      <c r="AJ31" s="12">
        <f>_xlfn.XLOOKUP(AI31,Tab_Def_Flows[Name(EN)],Tab_Def_Flows[Flow_ID],,0,)</f>
        <v/>
      </c>
      <c r="AK31" s="189" t="inlineStr">
        <is>
          <t>N.A.</t>
        </is>
      </c>
      <c r="AL31" s="13">
        <f>_xlfn.XLOOKUP(AK31,Tab_Def_Flows[Name(EN)],Tab_Def_Flows[Flow_ID],,0,)</f>
        <v/>
      </c>
    </row>
    <row r="32">
      <c r="A32" s="280" t="b">
        <v>0</v>
      </c>
      <c r="B32" s="43" t="inlineStr">
        <is>
          <t>30</t>
        </is>
      </c>
      <c r="C32" s="272">
        <f>LEFT(B32,2)</f>
        <v/>
      </c>
      <c r="D32" s="273" t="n"/>
      <c r="E32" s="273" t="n"/>
      <c r="F32" s="273" t="n"/>
      <c r="G32" s="273" t="n"/>
      <c r="H32" s="280" t="n"/>
      <c r="I32" s="189" t="n"/>
      <c r="J32" s="189" t="n"/>
      <c r="K32" s="189" t="n"/>
      <c r="L32" s="189" t="n"/>
      <c r="M32" s="189" t="n"/>
      <c r="N32" s="189" t="n"/>
      <c r="O32" s="189" t="n"/>
      <c r="P32" s="273" t="n"/>
      <c r="Q32" s="273" t="inlineStr">
        <is>
          <t>N.A.</t>
        </is>
      </c>
      <c r="R32" s="12">
        <f>_xlfn.XLOOKUP(Q32,Tab_Def_Flows[Name(EN)],Tab_Def_Flows[Flow_ID],,0,)</f>
        <v/>
      </c>
      <c r="S32" s="273" t="inlineStr">
        <is>
          <t>N.A.</t>
        </is>
      </c>
      <c r="T32" s="12">
        <f>_xlfn.XLOOKUP(S32,Tab_Def_Flows[Name(EN)],Tab_Def_Flows[Flow_ID],,0,)</f>
        <v/>
      </c>
      <c r="U32" s="273" t="inlineStr">
        <is>
          <t>N.A.</t>
        </is>
      </c>
      <c r="V32" s="12">
        <f>_xlfn.XLOOKUP(U32,Tab_Def_Flows[Name(EN)],Tab_Def_Flows[Flow_ID],,0,)</f>
        <v/>
      </c>
      <c r="W32" s="273" t="inlineStr">
        <is>
          <t>N.A.</t>
        </is>
      </c>
      <c r="X32" s="12">
        <f>_xlfn.XLOOKUP(W32,Tab_Def_Flows[Name(EN)],Tab_Def_Flows[Flow_ID],,0,)</f>
        <v/>
      </c>
      <c r="Y32" s="273" t="inlineStr">
        <is>
          <t>N.A.</t>
        </is>
      </c>
      <c r="Z32" s="13">
        <f>_xlfn.XLOOKUP(Y32,Tab_Def_Flows[Name(EN)],Tab_Def_Flows[Flow_ID],,0,)</f>
        <v/>
      </c>
      <c r="AA32" s="189" t="inlineStr">
        <is>
          <t>N.A.</t>
        </is>
      </c>
      <c r="AB32" s="12">
        <f>_xlfn.XLOOKUP(AA32,Tab_Def_Flows[Name(EN)],Tab_Def_Flows[Flow_ID],,0,)</f>
        <v/>
      </c>
      <c r="AC32" s="189" t="inlineStr">
        <is>
          <t>N.A.</t>
        </is>
      </c>
      <c r="AD32" s="12">
        <f>_xlfn.XLOOKUP(AC32,Tab_Def_Flows[Name(EN)],Tab_Def_Flows[Flow_ID],,0,)</f>
        <v/>
      </c>
      <c r="AE32" s="189" t="inlineStr">
        <is>
          <t>N.A.</t>
        </is>
      </c>
      <c r="AF32" s="12">
        <f>_xlfn.XLOOKUP(AE32,Tab_Def_Flows[Name(EN)],Tab_Def_Flows[Flow_ID],,0,)</f>
        <v/>
      </c>
      <c r="AG32" s="189" t="inlineStr">
        <is>
          <t>N.A.</t>
        </is>
      </c>
      <c r="AH32" s="12">
        <f>_xlfn.XLOOKUP(AG32,Tab_Def_Flows[Name(EN)],Tab_Def_Flows[Flow_ID],,0,)</f>
        <v/>
      </c>
      <c r="AI32" s="189" t="inlineStr">
        <is>
          <t>N.A.</t>
        </is>
      </c>
      <c r="AJ32" s="12">
        <f>_xlfn.XLOOKUP(AI32,Tab_Def_Flows[Name(EN)],Tab_Def_Flows[Flow_ID],,0,)</f>
        <v/>
      </c>
      <c r="AK32" s="189" t="inlineStr">
        <is>
          <t>N.A.</t>
        </is>
      </c>
      <c r="AL32" s="13">
        <f>_xlfn.XLOOKUP(AK32,Tab_Def_Flows[Name(EN)],Tab_Def_Flows[Flow_ID],,0,)</f>
        <v/>
      </c>
    </row>
    <row r="33">
      <c r="A33" s="280" t="b">
        <v>0</v>
      </c>
      <c r="B33" s="43" t="inlineStr">
        <is>
          <t>31</t>
        </is>
      </c>
      <c r="C33" s="272">
        <f>LEFT(B33,2)</f>
        <v/>
      </c>
      <c r="D33" s="273" t="n"/>
      <c r="E33" s="273" t="n"/>
      <c r="F33" s="273" t="n"/>
      <c r="G33" s="273" t="n"/>
      <c r="H33" s="280" t="n"/>
      <c r="I33" s="189" t="n"/>
      <c r="J33" s="189" t="n"/>
      <c r="K33" s="189" t="n"/>
      <c r="L33" s="189" t="n"/>
      <c r="M33" s="189" t="n"/>
      <c r="N33" s="189" t="n"/>
      <c r="O33" s="189" t="n"/>
      <c r="P33" s="273" t="n"/>
      <c r="Q33" s="273" t="inlineStr">
        <is>
          <t>N.A.</t>
        </is>
      </c>
      <c r="R33" s="12">
        <f>_xlfn.XLOOKUP(Q33,Tab_Def_Flows[Name(EN)],Tab_Def_Flows[Flow_ID],,0,)</f>
        <v/>
      </c>
      <c r="S33" s="273" t="inlineStr">
        <is>
          <t>N.A.</t>
        </is>
      </c>
      <c r="T33" s="12">
        <f>_xlfn.XLOOKUP(S33,Tab_Def_Flows[Name(EN)],Tab_Def_Flows[Flow_ID],,0,)</f>
        <v/>
      </c>
      <c r="U33" s="273" t="inlineStr">
        <is>
          <t>N.A.</t>
        </is>
      </c>
      <c r="V33" s="12">
        <f>_xlfn.XLOOKUP(U33,Tab_Def_Flows[Name(EN)],Tab_Def_Flows[Flow_ID],,0,)</f>
        <v/>
      </c>
      <c r="W33" s="273" t="inlineStr">
        <is>
          <t>N.A.</t>
        </is>
      </c>
      <c r="X33" s="12">
        <f>_xlfn.XLOOKUP(W33,Tab_Def_Flows[Name(EN)],Tab_Def_Flows[Flow_ID],,0,)</f>
        <v/>
      </c>
      <c r="Y33" s="273" t="inlineStr">
        <is>
          <t>N.A.</t>
        </is>
      </c>
      <c r="Z33" s="13">
        <f>_xlfn.XLOOKUP(Y33,Tab_Def_Flows[Name(EN)],Tab_Def_Flows[Flow_ID],,0,)</f>
        <v/>
      </c>
      <c r="AA33" s="189" t="inlineStr">
        <is>
          <t>N.A.</t>
        </is>
      </c>
      <c r="AB33" s="12">
        <f>_xlfn.XLOOKUP(AA33,Tab_Def_Flows[Name(EN)],Tab_Def_Flows[Flow_ID],,0,)</f>
        <v/>
      </c>
      <c r="AC33" s="189" t="inlineStr">
        <is>
          <t>N.A.</t>
        </is>
      </c>
      <c r="AD33" s="12">
        <f>_xlfn.XLOOKUP(AC33,Tab_Def_Flows[Name(EN)],Tab_Def_Flows[Flow_ID],,0,)</f>
        <v/>
      </c>
      <c r="AE33" s="189" t="inlineStr">
        <is>
          <t>N.A.</t>
        </is>
      </c>
      <c r="AF33" s="12">
        <f>_xlfn.XLOOKUP(AE33,Tab_Def_Flows[Name(EN)],Tab_Def_Flows[Flow_ID],,0,)</f>
        <v/>
      </c>
      <c r="AG33" s="189" t="inlineStr">
        <is>
          <t>N.A.</t>
        </is>
      </c>
      <c r="AH33" s="12">
        <f>_xlfn.XLOOKUP(AG33,Tab_Def_Flows[Name(EN)],Tab_Def_Flows[Flow_ID],,0,)</f>
        <v/>
      </c>
      <c r="AI33" s="189" t="inlineStr">
        <is>
          <t>N.A.</t>
        </is>
      </c>
      <c r="AJ33" s="12">
        <f>_xlfn.XLOOKUP(AI33,Tab_Def_Flows[Name(EN)],Tab_Def_Flows[Flow_ID],,0,)</f>
        <v/>
      </c>
      <c r="AK33" s="189" t="inlineStr">
        <is>
          <t>N.A.</t>
        </is>
      </c>
      <c r="AL33" s="13">
        <f>_xlfn.XLOOKUP(AK33,Tab_Def_Flows[Name(EN)],Tab_Def_Flows[Flow_ID],,0,)</f>
        <v/>
      </c>
    </row>
    <row r="34">
      <c r="A34" s="280" t="b">
        <v>0</v>
      </c>
      <c r="B34" s="43" t="inlineStr">
        <is>
          <t>32</t>
        </is>
      </c>
      <c r="C34" s="272">
        <f>LEFT(B34,2)</f>
        <v/>
      </c>
      <c r="D34" s="273" t="n"/>
      <c r="E34" s="273" t="n"/>
      <c r="F34" s="273" t="n"/>
      <c r="G34" s="273" t="n"/>
      <c r="H34" s="280" t="n"/>
      <c r="I34" s="189" t="n"/>
      <c r="J34" s="189" t="n"/>
      <c r="K34" s="189" t="n"/>
      <c r="L34" s="189" t="n"/>
      <c r="M34" s="189" t="n"/>
      <c r="N34" s="189" t="n"/>
      <c r="O34" s="189" t="n"/>
      <c r="P34" s="273" t="n"/>
      <c r="Q34" s="273" t="inlineStr">
        <is>
          <t>N.A.</t>
        </is>
      </c>
      <c r="R34" s="12">
        <f>_xlfn.XLOOKUP(Q34,Tab_Def_Flows[Name(EN)],Tab_Def_Flows[Flow_ID],,0,)</f>
        <v/>
      </c>
      <c r="S34" s="273" t="inlineStr">
        <is>
          <t>N.A.</t>
        </is>
      </c>
      <c r="T34" s="12">
        <f>_xlfn.XLOOKUP(S34,Tab_Def_Flows[Name(EN)],Tab_Def_Flows[Flow_ID],,0,)</f>
        <v/>
      </c>
      <c r="U34" s="273" t="inlineStr">
        <is>
          <t>N.A.</t>
        </is>
      </c>
      <c r="V34" s="12">
        <f>_xlfn.XLOOKUP(U34,Tab_Def_Flows[Name(EN)],Tab_Def_Flows[Flow_ID],,0,)</f>
        <v/>
      </c>
      <c r="W34" s="273" t="inlineStr">
        <is>
          <t>N.A.</t>
        </is>
      </c>
      <c r="X34" s="12">
        <f>_xlfn.XLOOKUP(W34,Tab_Def_Flows[Name(EN)],Tab_Def_Flows[Flow_ID],,0,)</f>
        <v/>
      </c>
      <c r="Y34" s="273" t="inlineStr">
        <is>
          <t>N.A.</t>
        </is>
      </c>
      <c r="Z34" s="13">
        <f>_xlfn.XLOOKUP(Y34,Tab_Def_Flows[Name(EN)],Tab_Def_Flows[Flow_ID],,0,)</f>
        <v/>
      </c>
      <c r="AA34" s="189" t="inlineStr">
        <is>
          <t>N.A.</t>
        </is>
      </c>
      <c r="AB34" s="12">
        <f>_xlfn.XLOOKUP(AA34,Tab_Def_Flows[Name(EN)],Tab_Def_Flows[Flow_ID],,0,)</f>
        <v/>
      </c>
      <c r="AC34" s="189" t="inlineStr">
        <is>
          <t>N.A.</t>
        </is>
      </c>
      <c r="AD34" s="12">
        <f>_xlfn.XLOOKUP(AC34,Tab_Def_Flows[Name(EN)],Tab_Def_Flows[Flow_ID],,0,)</f>
        <v/>
      </c>
      <c r="AE34" s="189" t="inlineStr">
        <is>
          <t>N.A.</t>
        </is>
      </c>
      <c r="AF34" s="12">
        <f>_xlfn.XLOOKUP(AE34,Tab_Def_Flows[Name(EN)],Tab_Def_Flows[Flow_ID],,0,)</f>
        <v/>
      </c>
      <c r="AG34" s="189" t="inlineStr">
        <is>
          <t>N.A.</t>
        </is>
      </c>
      <c r="AH34" s="12">
        <f>_xlfn.XLOOKUP(AG34,Tab_Def_Flows[Name(EN)],Tab_Def_Flows[Flow_ID],,0,)</f>
        <v/>
      </c>
      <c r="AI34" s="189" t="inlineStr">
        <is>
          <t>N.A.</t>
        </is>
      </c>
      <c r="AJ34" s="12">
        <f>_xlfn.XLOOKUP(AI34,Tab_Def_Flows[Name(EN)],Tab_Def_Flows[Flow_ID],,0,)</f>
        <v/>
      </c>
      <c r="AK34" s="189" t="inlineStr">
        <is>
          <t>N.A.</t>
        </is>
      </c>
      <c r="AL34" s="13">
        <f>_xlfn.XLOOKUP(AK34,Tab_Def_Flows[Name(EN)],Tab_Def_Flows[Flow_ID],,0,)</f>
        <v/>
      </c>
    </row>
    <row r="35">
      <c r="A35" s="280" t="b">
        <v>0</v>
      </c>
      <c r="B35" s="43" t="inlineStr">
        <is>
          <t>33</t>
        </is>
      </c>
      <c r="C35" s="272">
        <f>LEFT(B35,2)</f>
        <v/>
      </c>
      <c r="D35" s="273" t="n"/>
      <c r="E35" s="273" t="n"/>
      <c r="F35" s="273" t="n"/>
      <c r="G35" s="273" t="n"/>
      <c r="H35" s="280" t="n"/>
      <c r="I35" s="189" t="n"/>
      <c r="J35" s="189" t="n"/>
      <c r="K35" s="189" t="n"/>
      <c r="L35" s="189" t="n"/>
      <c r="M35" s="189" t="n"/>
      <c r="N35" s="189" t="n"/>
      <c r="O35" s="189" t="n"/>
      <c r="P35" s="273" t="n"/>
      <c r="Q35" s="273" t="inlineStr">
        <is>
          <t>N.A.</t>
        </is>
      </c>
      <c r="R35" s="12">
        <f>_xlfn.XLOOKUP(Q35,Tab_Def_Flows[Name(EN)],Tab_Def_Flows[Flow_ID],,0,)</f>
        <v/>
      </c>
      <c r="S35" s="273" t="inlineStr">
        <is>
          <t>N.A.</t>
        </is>
      </c>
      <c r="T35" s="12">
        <f>_xlfn.XLOOKUP(S35,Tab_Def_Flows[Name(EN)],Tab_Def_Flows[Flow_ID],,0,)</f>
        <v/>
      </c>
      <c r="U35" s="273" t="inlineStr">
        <is>
          <t>N.A.</t>
        </is>
      </c>
      <c r="V35" s="12">
        <f>_xlfn.XLOOKUP(U35,Tab_Def_Flows[Name(EN)],Tab_Def_Flows[Flow_ID],,0,)</f>
        <v/>
      </c>
      <c r="W35" s="273" t="inlineStr">
        <is>
          <t>N.A.</t>
        </is>
      </c>
      <c r="X35" s="12">
        <f>_xlfn.XLOOKUP(W35,Tab_Def_Flows[Name(EN)],Tab_Def_Flows[Flow_ID],,0,)</f>
        <v/>
      </c>
      <c r="Y35" s="273" t="inlineStr">
        <is>
          <t>N.A.</t>
        </is>
      </c>
      <c r="Z35" s="13">
        <f>_xlfn.XLOOKUP(Y35,Tab_Def_Flows[Name(EN)],Tab_Def_Flows[Flow_ID],,0,)</f>
        <v/>
      </c>
      <c r="AA35" s="189" t="inlineStr">
        <is>
          <t>N.A.</t>
        </is>
      </c>
      <c r="AB35" s="12">
        <f>_xlfn.XLOOKUP(AA35,Tab_Def_Flows[Name(EN)],Tab_Def_Flows[Flow_ID],,0,)</f>
        <v/>
      </c>
      <c r="AC35" s="189" t="inlineStr">
        <is>
          <t>N.A.</t>
        </is>
      </c>
      <c r="AD35" s="12">
        <f>_xlfn.XLOOKUP(AC35,Tab_Def_Flows[Name(EN)],Tab_Def_Flows[Flow_ID],,0,)</f>
        <v/>
      </c>
      <c r="AE35" s="189" t="inlineStr">
        <is>
          <t>N.A.</t>
        </is>
      </c>
      <c r="AF35" s="12">
        <f>_xlfn.XLOOKUP(AE35,Tab_Def_Flows[Name(EN)],Tab_Def_Flows[Flow_ID],,0,)</f>
        <v/>
      </c>
      <c r="AG35" s="189" t="inlineStr">
        <is>
          <t>N.A.</t>
        </is>
      </c>
      <c r="AH35" s="12">
        <f>_xlfn.XLOOKUP(AG35,Tab_Def_Flows[Name(EN)],Tab_Def_Flows[Flow_ID],,0,)</f>
        <v/>
      </c>
      <c r="AI35" s="189" t="inlineStr">
        <is>
          <t>N.A.</t>
        </is>
      </c>
      <c r="AJ35" s="12">
        <f>_xlfn.XLOOKUP(AI35,Tab_Def_Flows[Name(EN)],Tab_Def_Flows[Flow_ID],,0,)</f>
        <v/>
      </c>
      <c r="AK35" s="189" t="inlineStr">
        <is>
          <t>N.A.</t>
        </is>
      </c>
      <c r="AL35" s="13">
        <f>_xlfn.XLOOKUP(AK35,Tab_Def_Flows[Name(EN)],Tab_Def_Flows[Flow_ID],,0,)</f>
        <v/>
      </c>
    </row>
    <row r="36">
      <c r="A36" s="280" t="b">
        <v>0</v>
      </c>
      <c r="B36" s="43" t="inlineStr">
        <is>
          <t>34</t>
        </is>
      </c>
      <c r="C36" s="272">
        <f>LEFT(B36,2)</f>
        <v/>
      </c>
      <c r="D36" s="273" t="n"/>
      <c r="E36" s="273" t="n"/>
      <c r="F36" s="273" t="n"/>
      <c r="G36" s="273" t="n"/>
      <c r="H36" s="280" t="n"/>
      <c r="I36" s="189" t="n"/>
      <c r="J36" s="189" t="n"/>
      <c r="K36" s="189" t="n"/>
      <c r="L36" s="189" t="n"/>
      <c r="M36" s="189" t="n"/>
      <c r="N36" s="189" t="n"/>
      <c r="O36" s="189" t="n"/>
      <c r="P36" s="273" t="n"/>
      <c r="Q36" s="273" t="inlineStr">
        <is>
          <t>N.A.</t>
        </is>
      </c>
      <c r="R36" s="12">
        <f>_xlfn.XLOOKUP(Q36,Tab_Def_Flows[Name(EN)],Tab_Def_Flows[Flow_ID],,0,)</f>
        <v/>
      </c>
      <c r="S36" s="273" t="inlineStr">
        <is>
          <t>N.A.</t>
        </is>
      </c>
      <c r="T36" s="12">
        <f>_xlfn.XLOOKUP(S36,Tab_Def_Flows[Name(EN)],Tab_Def_Flows[Flow_ID],,0,)</f>
        <v/>
      </c>
      <c r="U36" s="273" t="inlineStr">
        <is>
          <t>N.A.</t>
        </is>
      </c>
      <c r="V36" s="12">
        <f>_xlfn.XLOOKUP(U36,Tab_Def_Flows[Name(EN)],Tab_Def_Flows[Flow_ID],,0,)</f>
        <v/>
      </c>
      <c r="W36" s="273" t="inlineStr">
        <is>
          <t>N.A.</t>
        </is>
      </c>
      <c r="X36" s="12">
        <f>_xlfn.XLOOKUP(W36,Tab_Def_Flows[Name(EN)],Tab_Def_Flows[Flow_ID],,0,)</f>
        <v/>
      </c>
      <c r="Y36" s="273" t="inlineStr">
        <is>
          <t>N.A.</t>
        </is>
      </c>
      <c r="Z36" s="13">
        <f>_xlfn.XLOOKUP(Y36,Tab_Def_Flows[Name(EN)],Tab_Def_Flows[Flow_ID],,0,)</f>
        <v/>
      </c>
      <c r="AA36" s="189" t="inlineStr">
        <is>
          <t>N.A.</t>
        </is>
      </c>
      <c r="AB36" s="12">
        <f>_xlfn.XLOOKUP(AA36,Tab_Def_Flows[Name(EN)],Tab_Def_Flows[Flow_ID],,0,)</f>
        <v/>
      </c>
      <c r="AC36" s="189" t="inlineStr">
        <is>
          <t>N.A.</t>
        </is>
      </c>
      <c r="AD36" s="12">
        <f>_xlfn.XLOOKUP(AC36,Tab_Def_Flows[Name(EN)],Tab_Def_Flows[Flow_ID],,0,)</f>
        <v/>
      </c>
      <c r="AE36" s="189" t="inlineStr">
        <is>
          <t>N.A.</t>
        </is>
      </c>
      <c r="AF36" s="12">
        <f>_xlfn.XLOOKUP(AE36,Tab_Def_Flows[Name(EN)],Tab_Def_Flows[Flow_ID],,0,)</f>
        <v/>
      </c>
      <c r="AG36" s="189" t="inlineStr">
        <is>
          <t>N.A.</t>
        </is>
      </c>
      <c r="AH36" s="12">
        <f>_xlfn.XLOOKUP(AG36,Tab_Def_Flows[Name(EN)],Tab_Def_Flows[Flow_ID],,0,)</f>
        <v/>
      </c>
      <c r="AI36" s="189" t="inlineStr">
        <is>
          <t>N.A.</t>
        </is>
      </c>
      <c r="AJ36" s="12">
        <f>_xlfn.XLOOKUP(AI36,Tab_Def_Flows[Name(EN)],Tab_Def_Flows[Flow_ID],,0,)</f>
        <v/>
      </c>
      <c r="AK36" s="189" t="inlineStr">
        <is>
          <t>N.A.</t>
        </is>
      </c>
      <c r="AL36" s="13">
        <f>_xlfn.XLOOKUP(AK36,Tab_Def_Flows[Name(EN)],Tab_Def_Flows[Flow_ID],,0,)</f>
        <v/>
      </c>
    </row>
    <row r="37">
      <c r="A37" s="280" t="b">
        <v>0</v>
      </c>
      <c r="B37" s="43" t="inlineStr">
        <is>
          <t>35</t>
        </is>
      </c>
      <c r="C37" s="272">
        <f>LEFT(B37,2)</f>
        <v/>
      </c>
      <c r="D37" s="273" t="n"/>
      <c r="E37" s="273" t="n"/>
      <c r="F37" s="273" t="n"/>
      <c r="G37" s="273" t="n"/>
      <c r="H37" s="280" t="n"/>
      <c r="I37" s="189" t="n"/>
      <c r="J37" s="189" t="n"/>
      <c r="K37" s="189" t="n"/>
      <c r="L37" s="189" t="n"/>
      <c r="M37" s="189" t="n"/>
      <c r="N37" s="189" t="n"/>
      <c r="O37" s="189" t="n"/>
      <c r="P37" s="273" t="n"/>
      <c r="Q37" s="273" t="inlineStr">
        <is>
          <t>N.A.</t>
        </is>
      </c>
      <c r="R37" s="12">
        <f>_xlfn.XLOOKUP(Q37,Tab_Def_Flows[Name(EN)],Tab_Def_Flows[Flow_ID],,0,)</f>
        <v/>
      </c>
      <c r="S37" s="273" t="inlineStr">
        <is>
          <t>N.A.</t>
        </is>
      </c>
      <c r="T37" s="12">
        <f>_xlfn.XLOOKUP(S37,Tab_Def_Flows[Name(EN)],Tab_Def_Flows[Flow_ID],,0,)</f>
        <v/>
      </c>
      <c r="U37" s="273" t="inlineStr">
        <is>
          <t>N.A.</t>
        </is>
      </c>
      <c r="V37" s="12">
        <f>_xlfn.XLOOKUP(U37,Tab_Def_Flows[Name(EN)],Tab_Def_Flows[Flow_ID],,0,)</f>
        <v/>
      </c>
      <c r="W37" s="273" t="inlineStr">
        <is>
          <t>N.A.</t>
        </is>
      </c>
      <c r="X37" s="12">
        <f>_xlfn.XLOOKUP(W37,Tab_Def_Flows[Name(EN)],Tab_Def_Flows[Flow_ID],,0,)</f>
        <v/>
      </c>
      <c r="Y37" s="273" t="inlineStr">
        <is>
          <t>N.A.</t>
        </is>
      </c>
      <c r="Z37" s="13">
        <f>_xlfn.XLOOKUP(Y37,Tab_Def_Flows[Name(EN)],Tab_Def_Flows[Flow_ID],,0,)</f>
        <v/>
      </c>
      <c r="AA37" s="189" t="inlineStr">
        <is>
          <t>N.A.</t>
        </is>
      </c>
      <c r="AB37" s="12">
        <f>_xlfn.XLOOKUP(AA37,Tab_Def_Flows[Name(EN)],Tab_Def_Flows[Flow_ID],,0,)</f>
        <v/>
      </c>
      <c r="AC37" s="189" t="inlineStr">
        <is>
          <t>N.A.</t>
        </is>
      </c>
      <c r="AD37" s="12">
        <f>_xlfn.XLOOKUP(AC37,Tab_Def_Flows[Name(EN)],Tab_Def_Flows[Flow_ID],,0,)</f>
        <v/>
      </c>
      <c r="AE37" s="189" t="inlineStr">
        <is>
          <t>N.A.</t>
        </is>
      </c>
      <c r="AF37" s="12">
        <f>_xlfn.XLOOKUP(AE37,Tab_Def_Flows[Name(EN)],Tab_Def_Flows[Flow_ID],,0,)</f>
        <v/>
      </c>
      <c r="AG37" s="189" t="inlineStr">
        <is>
          <t>N.A.</t>
        </is>
      </c>
      <c r="AH37" s="12">
        <f>_xlfn.XLOOKUP(AG37,Tab_Def_Flows[Name(EN)],Tab_Def_Flows[Flow_ID],,0,)</f>
        <v/>
      </c>
      <c r="AI37" s="189" t="inlineStr">
        <is>
          <t>N.A.</t>
        </is>
      </c>
      <c r="AJ37" s="12">
        <f>_xlfn.XLOOKUP(AI37,Tab_Def_Flows[Name(EN)],Tab_Def_Flows[Flow_ID],,0,)</f>
        <v/>
      </c>
      <c r="AK37" s="189" t="inlineStr">
        <is>
          <t>N.A.</t>
        </is>
      </c>
      <c r="AL37" s="13">
        <f>_xlfn.XLOOKUP(AK37,Tab_Def_Flows[Name(EN)],Tab_Def_Flows[Flow_ID],,0,)</f>
        <v/>
      </c>
    </row>
    <row r="38">
      <c r="A38" s="280" t="b">
        <v>0</v>
      </c>
      <c r="B38" s="43" t="inlineStr">
        <is>
          <t>36</t>
        </is>
      </c>
      <c r="C38" s="272">
        <f>LEFT(B38,2)</f>
        <v/>
      </c>
      <c r="D38" s="273" t="n"/>
      <c r="E38" s="273" t="n"/>
      <c r="F38" s="273" t="n"/>
      <c r="G38" s="273" t="n"/>
      <c r="H38" s="280" t="n"/>
      <c r="I38" s="189" t="n"/>
      <c r="J38" s="189" t="n"/>
      <c r="K38" s="189" t="n"/>
      <c r="L38" s="189" t="n"/>
      <c r="M38" s="189" t="n"/>
      <c r="N38" s="189" t="n"/>
      <c r="O38" s="189" t="n"/>
      <c r="P38" s="273" t="n"/>
      <c r="Q38" s="273" t="inlineStr">
        <is>
          <t>N.A.</t>
        </is>
      </c>
      <c r="R38" s="12">
        <f>_xlfn.XLOOKUP(Q38,Tab_Def_Flows[Name(EN)],Tab_Def_Flows[Flow_ID],,0,)</f>
        <v/>
      </c>
      <c r="S38" s="273" t="inlineStr">
        <is>
          <t>N.A.</t>
        </is>
      </c>
      <c r="T38" s="12">
        <f>_xlfn.XLOOKUP(S38,Tab_Def_Flows[Name(EN)],Tab_Def_Flows[Flow_ID],,0,)</f>
        <v/>
      </c>
      <c r="U38" s="273" t="inlineStr">
        <is>
          <t>N.A.</t>
        </is>
      </c>
      <c r="V38" s="12">
        <f>_xlfn.XLOOKUP(U38,Tab_Def_Flows[Name(EN)],Tab_Def_Flows[Flow_ID],,0,)</f>
        <v/>
      </c>
      <c r="W38" s="273" t="inlineStr">
        <is>
          <t>N.A.</t>
        </is>
      </c>
      <c r="X38" s="12">
        <f>_xlfn.XLOOKUP(W38,Tab_Def_Flows[Name(EN)],Tab_Def_Flows[Flow_ID],,0,)</f>
        <v/>
      </c>
      <c r="Y38" s="273" t="inlineStr">
        <is>
          <t>N.A.</t>
        </is>
      </c>
      <c r="Z38" s="13">
        <f>_xlfn.XLOOKUP(Y38,Tab_Def_Flows[Name(EN)],Tab_Def_Flows[Flow_ID],,0,)</f>
        <v/>
      </c>
      <c r="AA38" s="189" t="inlineStr">
        <is>
          <t>N.A.</t>
        </is>
      </c>
      <c r="AB38" s="12">
        <f>_xlfn.XLOOKUP(AA38,Tab_Def_Flows[Name(EN)],Tab_Def_Flows[Flow_ID],,0,)</f>
        <v/>
      </c>
      <c r="AC38" s="189" t="inlineStr">
        <is>
          <t>N.A.</t>
        </is>
      </c>
      <c r="AD38" s="12">
        <f>_xlfn.XLOOKUP(AC38,Tab_Def_Flows[Name(EN)],Tab_Def_Flows[Flow_ID],,0,)</f>
        <v/>
      </c>
      <c r="AE38" s="189" t="inlineStr">
        <is>
          <t>N.A.</t>
        </is>
      </c>
      <c r="AF38" s="12">
        <f>_xlfn.XLOOKUP(AE38,Tab_Def_Flows[Name(EN)],Tab_Def_Flows[Flow_ID],,0,)</f>
        <v/>
      </c>
      <c r="AG38" s="189" t="inlineStr">
        <is>
          <t>N.A.</t>
        </is>
      </c>
      <c r="AH38" s="12">
        <f>_xlfn.XLOOKUP(AG38,Tab_Def_Flows[Name(EN)],Tab_Def_Flows[Flow_ID],,0,)</f>
        <v/>
      </c>
      <c r="AI38" s="189" t="inlineStr">
        <is>
          <t>N.A.</t>
        </is>
      </c>
      <c r="AJ38" s="12">
        <f>_xlfn.XLOOKUP(AI38,Tab_Def_Flows[Name(EN)],Tab_Def_Flows[Flow_ID],,0,)</f>
        <v/>
      </c>
      <c r="AK38" s="189" t="inlineStr">
        <is>
          <t>N.A.</t>
        </is>
      </c>
      <c r="AL38" s="13">
        <f>_xlfn.XLOOKUP(AK38,Tab_Def_Flows[Name(EN)],Tab_Def_Flows[Flow_ID],,0,)</f>
        <v/>
      </c>
    </row>
    <row r="39">
      <c r="A39" s="280" t="b">
        <v>0</v>
      </c>
      <c r="B39" s="43" t="inlineStr">
        <is>
          <t>37</t>
        </is>
      </c>
      <c r="C39" s="272">
        <f>LEFT(B39,2)</f>
        <v/>
      </c>
      <c r="D39" s="273" t="n"/>
      <c r="E39" s="273" t="n"/>
      <c r="F39" s="273" t="n"/>
      <c r="G39" s="273" t="n"/>
      <c r="H39" s="280" t="n"/>
      <c r="I39" s="189" t="n"/>
      <c r="J39" s="189" t="n"/>
      <c r="K39" s="189" t="n"/>
      <c r="L39" s="189" t="n"/>
      <c r="M39" s="189" t="n"/>
      <c r="N39" s="189" t="n"/>
      <c r="O39" s="189" t="n"/>
      <c r="P39" s="273" t="n"/>
      <c r="Q39" s="273" t="inlineStr">
        <is>
          <t>N.A.</t>
        </is>
      </c>
      <c r="R39" s="12">
        <f>_xlfn.XLOOKUP(Q39,Tab_Def_Flows[Name(EN)],Tab_Def_Flows[Flow_ID],,0,)</f>
        <v/>
      </c>
      <c r="S39" s="273" t="inlineStr">
        <is>
          <t>N.A.</t>
        </is>
      </c>
      <c r="T39" s="12">
        <f>_xlfn.XLOOKUP(S39,Tab_Def_Flows[Name(EN)],Tab_Def_Flows[Flow_ID],,0,)</f>
        <v/>
      </c>
      <c r="U39" s="273" t="inlineStr">
        <is>
          <t>N.A.</t>
        </is>
      </c>
      <c r="V39" s="12">
        <f>_xlfn.XLOOKUP(U39,Tab_Def_Flows[Name(EN)],Tab_Def_Flows[Flow_ID],,0,)</f>
        <v/>
      </c>
      <c r="W39" s="273" t="inlineStr">
        <is>
          <t>N.A.</t>
        </is>
      </c>
      <c r="X39" s="12">
        <f>_xlfn.XLOOKUP(W39,Tab_Def_Flows[Name(EN)],Tab_Def_Flows[Flow_ID],,0,)</f>
        <v/>
      </c>
      <c r="Y39" s="273" t="inlineStr">
        <is>
          <t>N.A.</t>
        </is>
      </c>
      <c r="Z39" s="13">
        <f>_xlfn.XLOOKUP(Y39,Tab_Def_Flows[Name(EN)],Tab_Def_Flows[Flow_ID],,0,)</f>
        <v/>
      </c>
      <c r="AA39" s="189" t="inlineStr">
        <is>
          <t>N.A.</t>
        </is>
      </c>
      <c r="AB39" s="12">
        <f>_xlfn.XLOOKUP(AA39,Tab_Def_Flows[Name(EN)],Tab_Def_Flows[Flow_ID],,0,)</f>
        <v/>
      </c>
      <c r="AC39" s="189" t="inlineStr">
        <is>
          <t>N.A.</t>
        </is>
      </c>
      <c r="AD39" s="12">
        <f>_xlfn.XLOOKUP(AC39,Tab_Def_Flows[Name(EN)],Tab_Def_Flows[Flow_ID],,0,)</f>
        <v/>
      </c>
      <c r="AE39" s="189" t="inlineStr">
        <is>
          <t>N.A.</t>
        </is>
      </c>
      <c r="AF39" s="12">
        <f>_xlfn.XLOOKUP(AE39,Tab_Def_Flows[Name(EN)],Tab_Def_Flows[Flow_ID],,0,)</f>
        <v/>
      </c>
      <c r="AG39" s="189" t="inlineStr">
        <is>
          <t>N.A.</t>
        </is>
      </c>
      <c r="AH39" s="12">
        <f>_xlfn.XLOOKUP(AG39,Tab_Def_Flows[Name(EN)],Tab_Def_Flows[Flow_ID],,0,)</f>
        <v/>
      </c>
      <c r="AI39" s="189" t="inlineStr">
        <is>
          <t>N.A.</t>
        </is>
      </c>
      <c r="AJ39" s="12">
        <f>_xlfn.XLOOKUP(AI39,Tab_Def_Flows[Name(EN)],Tab_Def_Flows[Flow_ID],,0,)</f>
        <v/>
      </c>
      <c r="AK39" s="189" t="inlineStr">
        <is>
          <t>N.A.</t>
        </is>
      </c>
      <c r="AL39" s="13">
        <f>_xlfn.XLOOKUP(AK39,Tab_Def_Flows[Name(EN)],Tab_Def_Flows[Flow_ID],,0,)</f>
        <v/>
      </c>
    </row>
    <row r="40">
      <c r="A40" s="280" t="b">
        <v>0</v>
      </c>
      <c r="B40" s="43" t="inlineStr">
        <is>
          <t>38</t>
        </is>
      </c>
      <c r="C40" s="272">
        <f>LEFT(B40,2)</f>
        <v/>
      </c>
      <c r="D40" s="273" t="n"/>
      <c r="E40" s="273" t="n"/>
      <c r="F40" s="273" t="n"/>
      <c r="G40" s="273" t="n"/>
      <c r="H40" s="280" t="n"/>
      <c r="I40" s="189" t="n"/>
      <c r="J40" s="189" t="n"/>
      <c r="K40" s="189" t="n"/>
      <c r="L40" s="189" t="n"/>
      <c r="M40" s="189" t="n"/>
      <c r="N40" s="189" t="n"/>
      <c r="O40" s="189" t="n"/>
      <c r="P40" s="273" t="n"/>
      <c r="Q40" s="273" t="inlineStr">
        <is>
          <t>N.A.</t>
        </is>
      </c>
      <c r="R40" s="12">
        <f>_xlfn.XLOOKUP(Q40,Tab_Def_Flows[Name(EN)],Tab_Def_Flows[Flow_ID],,0,)</f>
        <v/>
      </c>
      <c r="S40" s="273" t="inlineStr">
        <is>
          <t>N.A.</t>
        </is>
      </c>
      <c r="T40" s="12">
        <f>_xlfn.XLOOKUP(S40,Tab_Def_Flows[Name(EN)],Tab_Def_Flows[Flow_ID],,0,)</f>
        <v/>
      </c>
      <c r="U40" s="273" t="inlineStr">
        <is>
          <t>N.A.</t>
        </is>
      </c>
      <c r="V40" s="12">
        <f>_xlfn.XLOOKUP(U40,Tab_Def_Flows[Name(EN)],Tab_Def_Flows[Flow_ID],,0,)</f>
        <v/>
      </c>
      <c r="W40" s="273" t="inlineStr">
        <is>
          <t>N.A.</t>
        </is>
      </c>
      <c r="X40" s="12">
        <f>_xlfn.XLOOKUP(W40,Tab_Def_Flows[Name(EN)],Tab_Def_Flows[Flow_ID],,0,)</f>
        <v/>
      </c>
      <c r="Y40" s="273" t="inlineStr">
        <is>
          <t>N.A.</t>
        </is>
      </c>
      <c r="Z40" s="13">
        <f>_xlfn.XLOOKUP(Y40,Tab_Def_Flows[Name(EN)],Tab_Def_Flows[Flow_ID],,0,)</f>
        <v/>
      </c>
      <c r="AA40" s="189" t="inlineStr">
        <is>
          <t>N.A.</t>
        </is>
      </c>
      <c r="AB40" s="12">
        <f>_xlfn.XLOOKUP(AA40,Tab_Def_Flows[Name(EN)],Tab_Def_Flows[Flow_ID],,0,)</f>
        <v/>
      </c>
      <c r="AC40" s="189" t="inlineStr">
        <is>
          <t>N.A.</t>
        </is>
      </c>
      <c r="AD40" s="12">
        <f>_xlfn.XLOOKUP(AC40,Tab_Def_Flows[Name(EN)],Tab_Def_Flows[Flow_ID],,0,)</f>
        <v/>
      </c>
      <c r="AE40" s="189" t="inlineStr">
        <is>
          <t>N.A.</t>
        </is>
      </c>
      <c r="AF40" s="12">
        <f>_xlfn.XLOOKUP(AE40,Tab_Def_Flows[Name(EN)],Tab_Def_Flows[Flow_ID],,0,)</f>
        <v/>
      </c>
      <c r="AG40" s="189" t="inlineStr">
        <is>
          <t>N.A.</t>
        </is>
      </c>
      <c r="AH40" s="12">
        <f>_xlfn.XLOOKUP(AG40,Tab_Def_Flows[Name(EN)],Tab_Def_Flows[Flow_ID],,0,)</f>
        <v/>
      </c>
      <c r="AI40" s="189" t="inlineStr">
        <is>
          <t>N.A.</t>
        </is>
      </c>
      <c r="AJ40" s="12">
        <f>_xlfn.XLOOKUP(AI40,Tab_Def_Flows[Name(EN)],Tab_Def_Flows[Flow_ID],,0,)</f>
        <v/>
      </c>
      <c r="AK40" s="189" t="inlineStr">
        <is>
          <t>N.A.</t>
        </is>
      </c>
      <c r="AL40" s="13">
        <f>_xlfn.XLOOKUP(AK40,Tab_Def_Flows[Name(EN)],Tab_Def_Flows[Flow_ID],,0,)</f>
        <v/>
      </c>
    </row>
    <row r="41">
      <c r="A41" s="280" t="b">
        <v>0</v>
      </c>
      <c r="B41" s="43" t="inlineStr">
        <is>
          <t>39</t>
        </is>
      </c>
      <c r="C41" s="272">
        <f>LEFT(B41,2)</f>
        <v/>
      </c>
      <c r="D41" s="273" t="n"/>
      <c r="E41" s="273" t="n"/>
      <c r="F41" s="273" t="n"/>
      <c r="G41" s="273" t="n"/>
      <c r="H41" s="280" t="n"/>
      <c r="I41" s="189" t="n"/>
      <c r="J41" s="189" t="n"/>
      <c r="K41" s="189" t="n"/>
      <c r="L41" s="189" t="n"/>
      <c r="M41" s="189" t="n"/>
      <c r="N41" s="189" t="n"/>
      <c r="O41" s="189" t="n"/>
      <c r="P41" s="273" t="n"/>
      <c r="Q41" s="273" t="inlineStr">
        <is>
          <t>N.A.</t>
        </is>
      </c>
      <c r="R41" s="12">
        <f>_xlfn.XLOOKUP(Q41,Tab_Def_Flows[Name(EN)],Tab_Def_Flows[Flow_ID],,0,)</f>
        <v/>
      </c>
      <c r="S41" s="273" t="inlineStr">
        <is>
          <t>N.A.</t>
        </is>
      </c>
      <c r="T41" s="12">
        <f>_xlfn.XLOOKUP(S41,Tab_Def_Flows[Name(EN)],Tab_Def_Flows[Flow_ID],,0,)</f>
        <v/>
      </c>
      <c r="U41" s="273" t="inlineStr">
        <is>
          <t>N.A.</t>
        </is>
      </c>
      <c r="V41" s="12">
        <f>_xlfn.XLOOKUP(U41,Tab_Def_Flows[Name(EN)],Tab_Def_Flows[Flow_ID],,0,)</f>
        <v/>
      </c>
      <c r="W41" s="273" t="inlineStr">
        <is>
          <t>N.A.</t>
        </is>
      </c>
      <c r="X41" s="12">
        <f>_xlfn.XLOOKUP(W41,Tab_Def_Flows[Name(EN)],Tab_Def_Flows[Flow_ID],,0,)</f>
        <v/>
      </c>
      <c r="Y41" s="273" t="inlineStr">
        <is>
          <t>N.A.</t>
        </is>
      </c>
      <c r="Z41" s="13">
        <f>_xlfn.XLOOKUP(Y41,Tab_Def_Flows[Name(EN)],Tab_Def_Flows[Flow_ID],,0,)</f>
        <v/>
      </c>
      <c r="AA41" s="189" t="inlineStr">
        <is>
          <t>N.A.</t>
        </is>
      </c>
      <c r="AB41" s="12">
        <f>_xlfn.XLOOKUP(AA41,Tab_Def_Flows[Name(EN)],Tab_Def_Flows[Flow_ID],,0,)</f>
        <v/>
      </c>
      <c r="AC41" s="189" t="inlineStr">
        <is>
          <t>N.A.</t>
        </is>
      </c>
      <c r="AD41" s="12">
        <f>_xlfn.XLOOKUP(AC41,Tab_Def_Flows[Name(EN)],Tab_Def_Flows[Flow_ID],,0,)</f>
        <v/>
      </c>
      <c r="AE41" s="189" t="inlineStr">
        <is>
          <t>N.A.</t>
        </is>
      </c>
      <c r="AF41" s="12">
        <f>_xlfn.XLOOKUP(AE41,Tab_Def_Flows[Name(EN)],Tab_Def_Flows[Flow_ID],,0,)</f>
        <v/>
      </c>
      <c r="AG41" s="189" t="inlineStr">
        <is>
          <t>N.A.</t>
        </is>
      </c>
      <c r="AH41" s="12">
        <f>_xlfn.XLOOKUP(AG41,Tab_Def_Flows[Name(EN)],Tab_Def_Flows[Flow_ID],,0,)</f>
        <v/>
      </c>
      <c r="AI41" s="189" t="inlineStr">
        <is>
          <t>N.A.</t>
        </is>
      </c>
      <c r="AJ41" s="12">
        <f>_xlfn.XLOOKUP(AI41,Tab_Def_Flows[Name(EN)],Tab_Def_Flows[Flow_ID],,0,)</f>
        <v/>
      </c>
      <c r="AK41" s="189" t="inlineStr">
        <is>
          <t>N.A.</t>
        </is>
      </c>
      <c r="AL41" s="13">
        <f>_xlfn.XLOOKUP(AK41,Tab_Def_Flows[Name(EN)],Tab_Def_Flows[Flow_ID],,0,)</f>
        <v/>
      </c>
    </row>
    <row r="42">
      <c r="A42" s="280" t="b">
        <v>0</v>
      </c>
      <c r="B42" s="43" t="inlineStr">
        <is>
          <t>40</t>
        </is>
      </c>
      <c r="C42" s="272">
        <f>LEFT(B42,2)</f>
        <v/>
      </c>
      <c r="D42" s="273" t="n"/>
      <c r="E42" s="273" t="n"/>
      <c r="F42" s="273" t="n"/>
      <c r="G42" s="273" t="n"/>
      <c r="H42" s="280" t="n"/>
      <c r="I42" s="189" t="n"/>
      <c r="J42" s="189" t="n"/>
      <c r="K42" s="189" t="n"/>
      <c r="L42" s="189" t="n"/>
      <c r="M42" s="189" t="n"/>
      <c r="N42" s="189" t="n"/>
      <c r="O42" s="189" t="n"/>
      <c r="P42" s="273" t="n"/>
      <c r="Q42" s="273" t="inlineStr">
        <is>
          <t>N.A.</t>
        </is>
      </c>
      <c r="R42" s="12">
        <f>_xlfn.XLOOKUP(Q42,Tab_Def_Flows[Name(EN)],Tab_Def_Flows[Flow_ID],,0,)</f>
        <v/>
      </c>
      <c r="S42" s="273" t="inlineStr">
        <is>
          <t>N.A.</t>
        </is>
      </c>
      <c r="T42" s="12">
        <f>_xlfn.XLOOKUP(S42,Tab_Def_Flows[Name(EN)],Tab_Def_Flows[Flow_ID],,0,)</f>
        <v/>
      </c>
      <c r="U42" s="273" t="inlineStr">
        <is>
          <t>N.A.</t>
        </is>
      </c>
      <c r="V42" s="12">
        <f>_xlfn.XLOOKUP(U42,Tab_Def_Flows[Name(EN)],Tab_Def_Flows[Flow_ID],,0,)</f>
        <v/>
      </c>
      <c r="W42" s="273" t="inlineStr">
        <is>
          <t>N.A.</t>
        </is>
      </c>
      <c r="X42" s="12">
        <f>_xlfn.XLOOKUP(W42,Tab_Def_Flows[Name(EN)],Tab_Def_Flows[Flow_ID],,0,)</f>
        <v/>
      </c>
      <c r="Y42" s="273" t="inlineStr">
        <is>
          <t>N.A.</t>
        </is>
      </c>
      <c r="Z42" s="13">
        <f>_xlfn.XLOOKUP(Y42,Tab_Def_Flows[Name(EN)],Tab_Def_Flows[Flow_ID],,0,)</f>
        <v/>
      </c>
      <c r="AA42" s="189" t="inlineStr">
        <is>
          <t>N.A.</t>
        </is>
      </c>
      <c r="AB42" s="12">
        <f>_xlfn.XLOOKUP(AA42,Tab_Def_Flows[Name(EN)],Tab_Def_Flows[Flow_ID],,0,)</f>
        <v/>
      </c>
      <c r="AC42" s="189" t="inlineStr">
        <is>
          <t>N.A.</t>
        </is>
      </c>
      <c r="AD42" s="12">
        <f>_xlfn.XLOOKUP(AC42,Tab_Def_Flows[Name(EN)],Tab_Def_Flows[Flow_ID],,0,)</f>
        <v/>
      </c>
      <c r="AE42" s="189" t="inlineStr">
        <is>
          <t>N.A.</t>
        </is>
      </c>
      <c r="AF42" s="12">
        <f>_xlfn.XLOOKUP(AE42,Tab_Def_Flows[Name(EN)],Tab_Def_Flows[Flow_ID],,0,)</f>
        <v/>
      </c>
      <c r="AG42" s="189" t="inlineStr">
        <is>
          <t>N.A.</t>
        </is>
      </c>
      <c r="AH42" s="12">
        <f>_xlfn.XLOOKUP(AG42,Tab_Def_Flows[Name(EN)],Tab_Def_Flows[Flow_ID],,0,)</f>
        <v/>
      </c>
      <c r="AI42" s="189" t="inlineStr">
        <is>
          <t>N.A.</t>
        </is>
      </c>
      <c r="AJ42" s="12">
        <f>_xlfn.XLOOKUP(AI42,Tab_Def_Flows[Name(EN)],Tab_Def_Flows[Flow_ID],,0,)</f>
        <v/>
      </c>
      <c r="AK42" s="189" t="inlineStr">
        <is>
          <t>N.A.</t>
        </is>
      </c>
      <c r="AL42" s="13">
        <f>_xlfn.XLOOKUP(AK42,Tab_Def_Flows[Name(EN)],Tab_Def_Flows[Flow_ID],,0,)</f>
        <v/>
      </c>
    </row>
    <row r="43">
      <c r="A43" s="280" t="b">
        <v>0</v>
      </c>
      <c r="B43" s="43" t="inlineStr">
        <is>
          <t>41</t>
        </is>
      </c>
      <c r="C43" s="272">
        <f>LEFT(B43,2)</f>
        <v/>
      </c>
      <c r="D43" s="273" t="n"/>
      <c r="E43" s="273" t="n"/>
      <c r="F43" s="273" t="n"/>
      <c r="G43" s="273" t="n"/>
      <c r="H43" s="280" t="n"/>
      <c r="I43" s="189" t="n"/>
      <c r="J43" s="189" t="n"/>
      <c r="K43" s="189" t="n"/>
      <c r="L43" s="189" t="n"/>
      <c r="M43" s="189" t="n"/>
      <c r="N43" s="189" t="n"/>
      <c r="O43" s="189" t="n"/>
      <c r="P43" s="273" t="n"/>
      <c r="Q43" s="273" t="inlineStr">
        <is>
          <t>N.A.</t>
        </is>
      </c>
      <c r="R43" s="12">
        <f>_xlfn.XLOOKUP(Q43,Tab_Def_Flows[Name(EN)],Tab_Def_Flows[Flow_ID],,0,)</f>
        <v/>
      </c>
      <c r="S43" s="273" t="inlineStr">
        <is>
          <t>N.A.</t>
        </is>
      </c>
      <c r="T43" s="12">
        <f>_xlfn.XLOOKUP(S43,Tab_Def_Flows[Name(EN)],Tab_Def_Flows[Flow_ID],,0,)</f>
        <v/>
      </c>
      <c r="U43" s="273" t="inlineStr">
        <is>
          <t>N.A.</t>
        </is>
      </c>
      <c r="V43" s="12">
        <f>_xlfn.XLOOKUP(U43,Tab_Def_Flows[Name(EN)],Tab_Def_Flows[Flow_ID],,0,)</f>
        <v/>
      </c>
      <c r="W43" s="273" t="inlineStr">
        <is>
          <t>N.A.</t>
        </is>
      </c>
      <c r="X43" s="12">
        <f>_xlfn.XLOOKUP(W43,Tab_Def_Flows[Name(EN)],Tab_Def_Flows[Flow_ID],,0,)</f>
        <v/>
      </c>
      <c r="Y43" s="273" t="inlineStr">
        <is>
          <t>N.A.</t>
        </is>
      </c>
      <c r="Z43" s="13">
        <f>_xlfn.XLOOKUP(Y43,Tab_Def_Flows[Name(EN)],Tab_Def_Flows[Flow_ID],,0,)</f>
        <v/>
      </c>
      <c r="AA43" s="189" t="inlineStr">
        <is>
          <t>N.A.</t>
        </is>
      </c>
      <c r="AB43" s="12">
        <f>_xlfn.XLOOKUP(AA43,Tab_Def_Flows[Name(EN)],Tab_Def_Flows[Flow_ID],,0,)</f>
        <v/>
      </c>
      <c r="AC43" s="189" t="inlineStr">
        <is>
          <t>N.A.</t>
        </is>
      </c>
      <c r="AD43" s="12">
        <f>_xlfn.XLOOKUP(AC43,Tab_Def_Flows[Name(EN)],Tab_Def_Flows[Flow_ID],,0,)</f>
        <v/>
      </c>
      <c r="AE43" s="189" t="inlineStr">
        <is>
          <t>N.A.</t>
        </is>
      </c>
      <c r="AF43" s="12">
        <f>_xlfn.XLOOKUP(AE43,Tab_Def_Flows[Name(EN)],Tab_Def_Flows[Flow_ID],,0,)</f>
        <v/>
      </c>
      <c r="AG43" s="189" t="inlineStr">
        <is>
          <t>N.A.</t>
        </is>
      </c>
      <c r="AH43" s="12">
        <f>_xlfn.XLOOKUP(AG43,Tab_Def_Flows[Name(EN)],Tab_Def_Flows[Flow_ID],,0,)</f>
        <v/>
      </c>
      <c r="AI43" s="189" t="inlineStr">
        <is>
          <t>N.A.</t>
        </is>
      </c>
      <c r="AJ43" s="12">
        <f>_xlfn.XLOOKUP(AI43,Tab_Def_Flows[Name(EN)],Tab_Def_Flows[Flow_ID],,0,)</f>
        <v/>
      </c>
      <c r="AK43" s="189" t="inlineStr">
        <is>
          <t>N.A.</t>
        </is>
      </c>
      <c r="AL43" s="13">
        <f>_xlfn.XLOOKUP(AK43,Tab_Def_Flows[Name(EN)],Tab_Def_Flows[Flow_ID],,0,)</f>
        <v/>
      </c>
    </row>
    <row r="44">
      <c r="A44" s="280" t="b">
        <v>0</v>
      </c>
      <c r="B44" s="43" t="inlineStr">
        <is>
          <t>42</t>
        </is>
      </c>
      <c r="C44" s="272">
        <f>LEFT(B44,2)</f>
        <v/>
      </c>
      <c r="D44" s="273" t="n"/>
      <c r="E44" s="273" t="n"/>
      <c r="F44" s="273" t="n"/>
      <c r="G44" s="273" t="n"/>
      <c r="H44" s="280" t="n"/>
      <c r="I44" s="189" t="n"/>
      <c r="J44" s="189" t="n"/>
      <c r="K44" s="189" t="n"/>
      <c r="L44" s="189" t="n"/>
      <c r="M44" s="189" t="n"/>
      <c r="N44" s="189" t="n"/>
      <c r="O44" s="189" t="n"/>
      <c r="P44" s="273" t="n"/>
      <c r="Q44" s="273" t="inlineStr">
        <is>
          <t>N.A.</t>
        </is>
      </c>
      <c r="R44" s="12">
        <f>_xlfn.XLOOKUP(Q44,Tab_Def_Flows[Name(EN)],Tab_Def_Flows[Flow_ID],,0,)</f>
        <v/>
      </c>
      <c r="S44" s="273" t="inlineStr">
        <is>
          <t>N.A.</t>
        </is>
      </c>
      <c r="T44" s="12">
        <f>_xlfn.XLOOKUP(S44,Tab_Def_Flows[Name(EN)],Tab_Def_Flows[Flow_ID],,0,)</f>
        <v/>
      </c>
      <c r="U44" s="273" t="inlineStr">
        <is>
          <t>N.A.</t>
        </is>
      </c>
      <c r="V44" s="12">
        <f>_xlfn.XLOOKUP(U44,Tab_Def_Flows[Name(EN)],Tab_Def_Flows[Flow_ID],,0,)</f>
        <v/>
      </c>
      <c r="W44" s="273" t="inlineStr">
        <is>
          <t>N.A.</t>
        </is>
      </c>
      <c r="X44" s="12">
        <f>_xlfn.XLOOKUP(W44,Tab_Def_Flows[Name(EN)],Tab_Def_Flows[Flow_ID],,0,)</f>
        <v/>
      </c>
      <c r="Y44" s="273" t="inlineStr">
        <is>
          <t>N.A.</t>
        </is>
      </c>
      <c r="Z44" s="13">
        <f>_xlfn.XLOOKUP(Y44,Tab_Def_Flows[Name(EN)],Tab_Def_Flows[Flow_ID],,0,)</f>
        <v/>
      </c>
      <c r="AA44" s="189" t="inlineStr">
        <is>
          <t>N.A.</t>
        </is>
      </c>
      <c r="AB44" s="12">
        <f>_xlfn.XLOOKUP(AA44,Tab_Def_Flows[Name(EN)],Tab_Def_Flows[Flow_ID],,0,)</f>
        <v/>
      </c>
      <c r="AC44" s="189" t="inlineStr">
        <is>
          <t>N.A.</t>
        </is>
      </c>
      <c r="AD44" s="12">
        <f>_xlfn.XLOOKUP(AC44,Tab_Def_Flows[Name(EN)],Tab_Def_Flows[Flow_ID],,0,)</f>
        <v/>
      </c>
      <c r="AE44" s="189" t="inlineStr">
        <is>
          <t>N.A.</t>
        </is>
      </c>
      <c r="AF44" s="12">
        <f>_xlfn.XLOOKUP(AE44,Tab_Def_Flows[Name(EN)],Tab_Def_Flows[Flow_ID],,0,)</f>
        <v/>
      </c>
      <c r="AG44" s="189" t="inlineStr">
        <is>
          <t>N.A.</t>
        </is>
      </c>
      <c r="AH44" s="12">
        <f>_xlfn.XLOOKUP(AG44,Tab_Def_Flows[Name(EN)],Tab_Def_Flows[Flow_ID],,0,)</f>
        <v/>
      </c>
      <c r="AI44" s="189" t="inlineStr">
        <is>
          <t>N.A.</t>
        </is>
      </c>
      <c r="AJ44" s="12">
        <f>_xlfn.XLOOKUP(AI44,Tab_Def_Flows[Name(EN)],Tab_Def_Flows[Flow_ID],,0,)</f>
        <v/>
      </c>
      <c r="AK44" s="189" t="inlineStr">
        <is>
          <t>N.A.</t>
        </is>
      </c>
      <c r="AL44" s="13">
        <f>_xlfn.XLOOKUP(AK44,Tab_Def_Flows[Name(EN)],Tab_Def_Flows[Flow_ID],,0,)</f>
        <v/>
      </c>
    </row>
    <row r="45">
      <c r="A45" s="280" t="b">
        <v>0</v>
      </c>
      <c r="B45" s="43" t="inlineStr">
        <is>
          <t>43</t>
        </is>
      </c>
      <c r="C45" s="272">
        <f>LEFT(B45,2)</f>
        <v/>
      </c>
      <c r="D45" s="273" t="n"/>
      <c r="E45" s="273" t="n"/>
      <c r="F45" s="273" t="n"/>
      <c r="G45" s="273" t="n"/>
      <c r="H45" s="280" t="n"/>
      <c r="I45" s="189" t="n"/>
      <c r="J45" s="189" t="n"/>
      <c r="K45" s="189" t="n"/>
      <c r="L45" s="189" t="n"/>
      <c r="M45" s="189" t="n"/>
      <c r="N45" s="189" t="n"/>
      <c r="O45" s="189" t="n"/>
      <c r="P45" s="273" t="n"/>
      <c r="Q45" s="273" t="inlineStr">
        <is>
          <t>N.A.</t>
        </is>
      </c>
      <c r="R45" s="12">
        <f>_xlfn.XLOOKUP(Q45,Tab_Def_Flows[Name(EN)],Tab_Def_Flows[Flow_ID],,0,)</f>
        <v/>
      </c>
      <c r="S45" s="273" t="inlineStr">
        <is>
          <t>N.A.</t>
        </is>
      </c>
      <c r="T45" s="12">
        <f>_xlfn.XLOOKUP(S45,Tab_Def_Flows[Name(EN)],Tab_Def_Flows[Flow_ID],,0,)</f>
        <v/>
      </c>
      <c r="U45" s="273" t="inlineStr">
        <is>
          <t>N.A.</t>
        </is>
      </c>
      <c r="V45" s="12">
        <f>_xlfn.XLOOKUP(U45,Tab_Def_Flows[Name(EN)],Tab_Def_Flows[Flow_ID],,0,)</f>
        <v/>
      </c>
      <c r="W45" s="273" t="inlineStr">
        <is>
          <t>N.A.</t>
        </is>
      </c>
      <c r="X45" s="12">
        <f>_xlfn.XLOOKUP(W45,Tab_Def_Flows[Name(EN)],Tab_Def_Flows[Flow_ID],,0,)</f>
        <v/>
      </c>
      <c r="Y45" s="273" t="inlineStr">
        <is>
          <t>N.A.</t>
        </is>
      </c>
      <c r="Z45" s="13">
        <f>_xlfn.XLOOKUP(Y45,Tab_Def_Flows[Name(EN)],Tab_Def_Flows[Flow_ID],,0,)</f>
        <v/>
      </c>
      <c r="AA45" s="189" t="inlineStr">
        <is>
          <t>N.A.</t>
        </is>
      </c>
      <c r="AB45" s="12">
        <f>_xlfn.XLOOKUP(AA45,Tab_Def_Flows[Name(EN)],Tab_Def_Flows[Flow_ID],,0,)</f>
        <v/>
      </c>
      <c r="AC45" s="189" t="inlineStr">
        <is>
          <t>N.A.</t>
        </is>
      </c>
      <c r="AD45" s="12">
        <f>_xlfn.XLOOKUP(AC45,Tab_Def_Flows[Name(EN)],Tab_Def_Flows[Flow_ID],,0,)</f>
        <v/>
      </c>
      <c r="AE45" s="189" t="inlineStr">
        <is>
          <t>N.A.</t>
        </is>
      </c>
      <c r="AF45" s="12">
        <f>_xlfn.XLOOKUP(AE45,Tab_Def_Flows[Name(EN)],Tab_Def_Flows[Flow_ID],,0,)</f>
        <v/>
      </c>
      <c r="AG45" s="189" t="inlineStr">
        <is>
          <t>N.A.</t>
        </is>
      </c>
      <c r="AH45" s="12">
        <f>_xlfn.XLOOKUP(AG45,Tab_Def_Flows[Name(EN)],Tab_Def_Flows[Flow_ID],,0,)</f>
        <v/>
      </c>
      <c r="AI45" s="189" t="inlineStr">
        <is>
          <t>N.A.</t>
        </is>
      </c>
      <c r="AJ45" s="12">
        <f>_xlfn.XLOOKUP(AI45,Tab_Def_Flows[Name(EN)],Tab_Def_Flows[Flow_ID],,0,)</f>
        <v/>
      </c>
      <c r="AK45" s="189" t="inlineStr">
        <is>
          <t>N.A.</t>
        </is>
      </c>
      <c r="AL45" s="13">
        <f>_xlfn.XLOOKUP(AK45,Tab_Def_Flows[Name(EN)],Tab_Def_Flows[Flow_ID],,0,)</f>
        <v/>
      </c>
    </row>
    <row r="46">
      <c r="A46" s="280" t="b">
        <v>0</v>
      </c>
      <c r="B46" s="43" t="inlineStr">
        <is>
          <t>44</t>
        </is>
      </c>
      <c r="C46" s="272">
        <f>LEFT(B46,2)</f>
        <v/>
      </c>
      <c r="D46" s="273" t="n"/>
      <c r="E46" s="273" t="n"/>
      <c r="F46" s="273" t="n"/>
      <c r="G46" s="273" t="n"/>
      <c r="H46" s="280" t="n"/>
      <c r="I46" s="189" t="n"/>
      <c r="J46" s="189" t="n"/>
      <c r="K46" s="189" t="n"/>
      <c r="L46" s="189" t="n"/>
      <c r="M46" s="189" t="n"/>
      <c r="N46" s="189" t="n"/>
      <c r="O46" s="189" t="n"/>
      <c r="P46" s="273" t="n"/>
      <c r="Q46" s="273" t="inlineStr">
        <is>
          <t>N.A.</t>
        </is>
      </c>
      <c r="R46" s="12">
        <f>_xlfn.XLOOKUP(Q46,Tab_Def_Flows[Name(EN)],Tab_Def_Flows[Flow_ID],,0,)</f>
        <v/>
      </c>
      <c r="S46" s="273" t="inlineStr">
        <is>
          <t>N.A.</t>
        </is>
      </c>
      <c r="T46" s="12">
        <f>_xlfn.XLOOKUP(S46,Tab_Def_Flows[Name(EN)],Tab_Def_Flows[Flow_ID],,0,)</f>
        <v/>
      </c>
      <c r="U46" s="273" t="inlineStr">
        <is>
          <t>N.A.</t>
        </is>
      </c>
      <c r="V46" s="12">
        <f>_xlfn.XLOOKUP(U46,Tab_Def_Flows[Name(EN)],Tab_Def_Flows[Flow_ID],,0,)</f>
        <v/>
      </c>
      <c r="W46" s="273" t="inlineStr">
        <is>
          <t>N.A.</t>
        </is>
      </c>
      <c r="X46" s="12">
        <f>_xlfn.XLOOKUP(W46,Tab_Def_Flows[Name(EN)],Tab_Def_Flows[Flow_ID],,0,)</f>
        <v/>
      </c>
      <c r="Y46" s="273" t="inlineStr">
        <is>
          <t>N.A.</t>
        </is>
      </c>
      <c r="Z46" s="13">
        <f>_xlfn.XLOOKUP(Y46,Tab_Def_Flows[Name(EN)],Tab_Def_Flows[Flow_ID],,0,)</f>
        <v/>
      </c>
      <c r="AA46" s="189" t="inlineStr">
        <is>
          <t>N.A.</t>
        </is>
      </c>
      <c r="AB46" s="12">
        <f>_xlfn.XLOOKUP(AA46,Tab_Def_Flows[Name(EN)],Tab_Def_Flows[Flow_ID],,0,)</f>
        <v/>
      </c>
      <c r="AC46" s="189" t="inlineStr">
        <is>
          <t>N.A.</t>
        </is>
      </c>
      <c r="AD46" s="12">
        <f>_xlfn.XLOOKUP(AC46,Tab_Def_Flows[Name(EN)],Tab_Def_Flows[Flow_ID],,0,)</f>
        <v/>
      </c>
      <c r="AE46" s="189" t="inlineStr">
        <is>
          <t>N.A.</t>
        </is>
      </c>
      <c r="AF46" s="12">
        <f>_xlfn.XLOOKUP(AE46,Tab_Def_Flows[Name(EN)],Tab_Def_Flows[Flow_ID],,0,)</f>
        <v/>
      </c>
      <c r="AG46" s="189" t="inlineStr">
        <is>
          <t>N.A.</t>
        </is>
      </c>
      <c r="AH46" s="12">
        <f>_xlfn.XLOOKUP(AG46,Tab_Def_Flows[Name(EN)],Tab_Def_Flows[Flow_ID],,0,)</f>
        <v/>
      </c>
      <c r="AI46" s="189" t="inlineStr">
        <is>
          <t>N.A.</t>
        </is>
      </c>
      <c r="AJ46" s="12">
        <f>_xlfn.XLOOKUP(AI46,Tab_Def_Flows[Name(EN)],Tab_Def_Flows[Flow_ID],,0,)</f>
        <v/>
      </c>
      <c r="AK46" s="189" t="inlineStr">
        <is>
          <t>N.A.</t>
        </is>
      </c>
      <c r="AL46" s="13">
        <f>_xlfn.XLOOKUP(AK46,Tab_Def_Flows[Name(EN)],Tab_Def_Flows[Flow_ID],,0,)</f>
        <v/>
      </c>
    </row>
    <row r="47">
      <c r="A47" s="280" t="b">
        <v>0</v>
      </c>
      <c r="B47" s="43" t="inlineStr">
        <is>
          <t>45</t>
        </is>
      </c>
      <c r="C47" s="272">
        <f>LEFT(B47,2)</f>
        <v/>
      </c>
      <c r="D47" s="273" t="n"/>
      <c r="E47" s="273" t="n"/>
      <c r="F47" s="273" t="n"/>
      <c r="G47" s="273" t="n"/>
      <c r="H47" s="280" t="n"/>
      <c r="I47" s="189" t="n"/>
      <c r="J47" s="189" t="n"/>
      <c r="K47" s="189" t="n"/>
      <c r="L47" s="189" t="n"/>
      <c r="M47" s="189" t="n"/>
      <c r="N47" s="189" t="n"/>
      <c r="O47" s="189" t="n"/>
      <c r="P47" s="273" t="n"/>
      <c r="Q47" s="273" t="inlineStr">
        <is>
          <t>N.A.</t>
        </is>
      </c>
      <c r="R47" s="12">
        <f>_xlfn.XLOOKUP(Q47,Tab_Def_Flows[Name(EN)],Tab_Def_Flows[Flow_ID],,0,)</f>
        <v/>
      </c>
      <c r="S47" s="273" t="inlineStr">
        <is>
          <t>N.A.</t>
        </is>
      </c>
      <c r="T47" s="12">
        <f>_xlfn.XLOOKUP(S47,Tab_Def_Flows[Name(EN)],Tab_Def_Flows[Flow_ID],,0,)</f>
        <v/>
      </c>
      <c r="U47" s="273" t="inlineStr">
        <is>
          <t>N.A.</t>
        </is>
      </c>
      <c r="V47" s="12">
        <f>_xlfn.XLOOKUP(U47,Tab_Def_Flows[Name(EN)],Tab_Def_Flows[Flow_ID],,0,)</f>
        <v/>
      </c>
      <c r="W47" s="273" t="inlineStr">
        <is>
          <t>N.A.</t>
        </is>
      </c>
      <c r="X47" s="12">
        <f>_xlfn.XLOOKUP(W47,Tab_Def_Flows[Name(EN)],Tab_Def_Flows[Flow_ID],,0,)</f>
        <v/>
      </c>
      <c r="Y47" s="273" t="inlineStr">
        <is>
          <t>N.A.</t>
        </is>
      </c>
      <c r="Z47" s="13">
        <f>_xlfn.XLOOKUP(Y47,Tab_Def_Flows[Name(EN)],Tab_Def_Flows[Flow_ID],,0,)</f>
        <v/>
      </c>
      <c r="AA47" s="189" t="inlineStr">
        <is>
          <t>N.A.</t>
        </is>
      </c>
      <c r="AB47" s="12">
        <f>_xlfn.XLOOKUP(AA47,Tab_Def_Flows[Name(EN)],Tab_Def_Flows[Flow_ID],,0,)</f>
        <v/>
      </c>
      <c r="AC47" s="189" t="inlineStr">
        <is>
          <t>N.A.</t>
        </is>
      </c>
      <c r="AD47" s="12">
        <f>_xlfn.XLOOKUP(AC47,Tab_Def_Flows[Name(EN)],Tab_Def_Flows[Flow_ID],,0,)</f>
        <v/>
      </c>
      <c r="AE47" s="189" t="inlineStr">
        <is>
          <t>N.A.</t>
        </is>
      </c>
      <c r="AF47" s="12">
        <f>_xlfn.XLOOKUP(AE47,Tab_Def_Flows[Name(EN)],Tab_Def_Flows[Flow_ID],,0,)</f>
        <v/>
      </c>
      <c r="AG47" s="189" t="inlineStr">
        <is>
          <t>N.A.</t>
        </is>
      </c>
      <c r="AH47" s="12">
        <f>_xlfn.XLOOKUP(AG47,Tab_Def_Flows[Name(EN)],Tab_Def_Flows[Flow_ID],,0,)</f>
        <v/>
      </c>
      <c r="AI47" s="189" t="inlineStr">
        <is>
          <t>N.A.</t>
        </is>
      </c>
      <c r="AJ47" s="12">
        <f>_xlfn.XLOOKUP(AI47,Tab_Def_Flows[Name(EN)],Tab_Def_Flows[Flow_ID],,0,)</f>
        <v/>
      </c>
      <c r="AK47" s="189" t="inlineStr">
        <is>
          <t>N.A.</t>
        </is>
      </c>
      <c r="AL47" s="13">
        <f>_xlfn.XLOOKUP(AK47,Tab_Def_Flows[Name(EN)],Tab_Def_Flows[Flow_ID],,0,)</f>
        <v/>
      </c>
    </row>
    <row r="48">
      <c r="A48" s="280" t="b">
        <v>0</v>
      </c>
      <c r="B48" s="43" t="inlineStr">
        <is>
          <t>46</t>
        </is>
      </c>
      <c r="C48" s="272">
        <f>LEFT(B48,2)</f>
        <v/>
      </c>
      <c r="D48" s="273" t="n"/>
      <c r="E48" s="273" t="n"/>
      <c r="F48" s="273" t="n"/>
      <c r="G48" s="273" t="n"/>
      <c r="H48" s="280" t="n"/>
      <c r="I48" s="189" t="n"/>
      <c r="J48" s="189" t="n"/>
      <c r="K48" s="189" t="n"/>
      <c r="L48" s="189" t="n"/>
      <c r="M48" s="189" t="n"/>
      <c r="N48" s="189" t="n"/>
      <c r="O48" s="189" t="n"/>
      <c r="P48" s="273" t="n"/>
      <c r="Q48" s="273" t="inlineStr">
        <is>
          <t>N.A.</t>
        </is>
      </c>
      <c r="R48" s="12">
        <f>_xlfn.XLOOKUP(Q48,Tab_Def_Flows[Name(EN)],Tab_Def_Flows[Flow_ID],,0,)</f>
        <v/>
      </c>
      <c r="S48" s="273" t="inlineStr">
        <is>
          <t>N.A.</t>
        </is>
      </c>
      <c r="T48" s="12">
        <f>_xlfn.XLOOKUP(S48,Tab_Def_Flows[Name(EN)],Tab_Def_Flows[Flow_ID],,0,)</f>
        <v/>
      </c>
      <c r="U48" s="273" t="inlineStr">
        <is>
          <t>N.A.</t>
        </is>
      </c>
      <c r="V48" s="12">
        <f>_xlfn.XLOOKUP(U48,Tab_Def_Flows[Name(EN)],Tab_Def_Flows[Flow_ID],,0,)</f>
        <v/>
      </c>
      <c r="W48" s="273" t="inlineStr">
        <is>
          <t>N.A.</t>
        </is>
      </c>
      <c r="X48" s="12">
        <f>_xlfn.XLOOKUP(W48,Tab_Def_Flows[Name(EN)],Tab_Def_Flows[Flow_ID],,0,)</f>
        <v/>
      </c>
      <c r="Y48" s="273" t="inlineStr">
        <is>
          <t>N.A.</t>
        </is>
      </c>
      <c r="Z48" s="13">
        <f>_xlfn.XLOOKUP(Y48,Tab_Def_Flows[Name(EN)],Tab_Def_Flows[Flow_ID],,0,)</f>
        <v/>
      </c>
      <c r="AA48" s="189" t="inlineStr">
        <is>
          <t>N.A.</t>
        </is>
      </c>
      <c r="AB48" s="12">
        <f>_xlfn.XLOOKUP(AA48,Tab_Def_Flows[Name(EN)],Tab_Def_Flows[Flow_ID],,0,)</f>
        <v/>
      </c>
      <c r="AC48" s="189" t="inlineStr">
        <is>
          <t>N.A.</t>
        </is>
      </c>
      <c r="AD48" s="12">
        <f>_xlfn.XLOOKUP(AC48,Tab_Def_Flows[Name(EN)],Tab_Def_Flows[Flow_ID],,0,)</f>
        <v/>
      </c>
      <c r="AE48" s="189" t="inlineStr">
        <is>
          <t>N.A.</t>
        </is>
      </c>
      <c r="AF48" s="12">
        <f>_xlfn.XLOOKUP(AE48,Tab_Def_Flows[Name(EN)],Tab_Def_Flows[Flow_ID],,0,)</f>
        <v/>
      </c>
      <c r="AG48" s="189" t="inlineStr">
        <is>
          <t>N.A.</t>
        </is>
      </c>
      <c r="AH48" s="12">
        <f>_xlfn.XLOOKUP(AG48,Tab_Def_Flows[Name(EN)],Tab_Def_Flows[Flow_ID],,0,)</f>
        <v/>
      </c>
      <c r="AI48" s="189" t="inlineStr">
        <is>
          <t>N.A.</t>
        </is>
      </c>
      <c r="AJ48" s="12">
        <f>_xlfn.XLOOKUP(AI48,Tab_Def_Flows[Name(EN)],Tab_Def_Flows[Flow_ID],,0,)</f>
        <v/>
      </c>
      <c r="AK48" s="189" t="inlineStr">
        <is>
          <t>N.A.</t>
        </is>
      </c>
      <c r="AL48" s="13">
        <f>_xlfn.XLOOKUP(AK48,Tab_Def_Flows[Name(EN)],Tab_Def_Flows[Flow_ID],,0,)</f>
        <v/>
      </c>
    </row>
    <row r="49">
      <c r="A49" s="280" t="b">
        <v>0</v>
      </c>
      <c r="B49" s="43" t="inlineStr">
        <is>
          <t>47</t>
        </is>
      </c>
      <c r="C49" s="272">
        <f>LEFT(B49,2)</f>
        <v/>
      </c>
      <c r="D49" s="273" t="n"/>
      <c r="E49" s="273" t="n"/>
      <c r="F49" s="273" t="n"/>
      <c r="G49" s="273" t="n"/>
      <c r="H49" s="280" t="n"/>
      <c r="I49" s="189" t="n"/>
      <c r="J49" s="189" t="n"/>
      <c r="K49" s="189" t="n"/>
      <c r="L49" s="189" t="n"/>
      <c r="M49" s="189" t="n"/>
      <c r="N49" s="189" t="n"/>
      <c r="O49" s="189" t="n"/>
      <c r="P49" s="273" t="n"/>
      <c r="Q49" s="273" t="inlineStr">
        <is>
          <t>N.A.</t>
        </is>
      </c>
      <c r="R49" s="12">
        <f>_xlfn.XLOOKUP(Q49,Tab_Def_Flows[Name(EN)],Tab_Def_Flows[Flow_ID],,0,)</f>
        <v/>
      </c>
      <c r="S49" s="273" t="inlineStr">
        <is>
          <t>N.A.</t>
        </is>
      </c>
      <c r="T49" s="12">
        <f>_xlfn.XLOOKUP(S49,Tab_Def_Flows[Name(EN)],Tab_Def_Flows[Flow_ID],,0,)</f>
        <v/>
      </c>
      <c r="U49" s="273" t="inlineStr">
        <is>
          <t>N.A.</t>
        </is>
      </c>
      <c r="V49" s="12">
        <f>_xlfn.XLOOKUP(U49,Tab_Def_Flows[Name(EN)],Tab_Def_Flows[Flow_ID],,0,)</f>
        <v/>
      </c>
      <c r="W49" s="273" t="inlineStr">
        <is>
          <t>N.A.</t>
        </is>
      </c>
      <c r="X49" s="12">
        <f>_xlfn.XLOOKUP(W49,Tab_Def_Flows[Name(EN)],Tab_Def_Flows[Flow_ID],,0,)</f>
        <v/>
      </c>
      <c r="Y49" s="273" t="inlineStr">
        <is>
          <t>N.A.</t>
        </is>
      </c>
      <c r="Z49" s="13">
        <f>_xlfn.XLOOKUP(Y49,Tab_Def_Flows[Name(EN)],Tab_Def_Flows[Flow_ID],,0,)</f>
        <v/>
      </c>
      <c r="AA49" s="189" t="inlineStr">
        <is>
          <t>N.A.</t>
        </is>
      </c>
      <c r="AB49" s="12">
        <f>_xlfn.XLOOKUP(AA49,Tab_Def_Flows[Name(EN)],Tab_Def_Flows[Flow_ID],,0,)</f>
        <v/>
      </c>
      <c r="AC49" s="189" t="inlineStr">
        <is>
          <t>N.A.</t>
        </is>
      </c>
      <c r="AD49" s="12">
        <f>_xlfn.XLOOKUP(AC49,Tab_Def_Flows[Name(EN)],Tab_Def_Flows[Flow_ID],,0,)</f>
        <v/>
      </c>
      <c r="AE49" s="189" t="inlineStr">
        <is>
          <t>N.A.</t>
        </is>
      </c>
      <c r="AF49" s="12">
        <f>_xlfn.XLOOKUP(AE49,Tab_Def_Flows[Name(EN)],Tab_Def_Flows[Flow_ID],,0,)</f>
        <v/>
      </c>
      <c r="AG49" s="189" t="inlineStr">
        <is>
          <t>N.A.</t>
        </is>
      </c>
      <c r="AH49" s="12">
        <f>_xlfn.XLOOKUP(AG49,Tab_Def_Flows[Name(EN)],Tab_Def_Flows[Flow_ID],,0,)</f>
        <v/>
      </c>
      <c r="AI49" s="189" t="inlineStr">
        <is>
          <t>N.A.</t>
        </is>
      </c>
      <c r="AJ49" s="12">
        <f>_xlfn.XLOOKUP(AI49,Tab_Def_Flows[Name(EN)],Tab_Def_Flows[Flow_ID],,0,)</f>
        <v/>
      </c>
      <c r="AK49" s="189" t="inlineStr">
        <is>
          <t>N.A.</t>
        </is>
      </c>
      <c r="AL49" s="13">
        <f>_xlfn.XLOOKUP(AK49,Tab_Def_Flows[Name(EN)],Tab_Def_Flows[Flow_ID],,0,)</f>
        <v/>
      </c>
    </row>
    <row r="50">
      <c r="A50" s="280" t="b">
        <v>0</v>
      </c>
      <c r="B50" s="43" t="inlineStr">
        <is>
          <t>48</t>
        </is>
      </c>
      <c r="C50" s="272">
        <f>LEFT(B50,2)</f>
        <v/>
      </c>
      <c r="D50" s="273" t="n"/>
      <c r="E50" s="273" t="n"/>
      <c r="F50" s="273" t="n"/>
      <c r="G50" s="273" t="n"/>
      <c r="H50" s="280" t="n"/>
      <c r="I50" s="189" t="n"/>
      <c r="J50" s="189" t="n"/>
      <c r="K50" s="189" t="n"/>
      <c r="L50" s="189" t="n"/>
      <c r="M50" s="189" t="n"/>
      <c r="N50" s="189" t="n"/>
      <c r="O50" s="189" t="n"/>
      <c r="P50" s="273" t="n"/>
      <c r="Q50" s="273" t="inlineStr">
        <is>
          <t>N.A.</t>
        </is>
      </c>
      <c r="R50" s="12">
        <f>_xlfn.XLOOKUP(Q50,Tab_Def_Flows[Name(EN)],Tab_Def_Flows[Flow_ID],,0,)</f>
        <v/>
      </c>
      <c r="S50" s="273" t="inlineStr">
        <is>
          <t>N.A.</t>
        </is>
      </c>
      <c r="T50" s="12">
        <f>_xlfn.XLOOKUP(S50,Tab_Def_Flows[Name(EN)],Tab_Def_Flows[Flow_ID],,0,)</f>
        <v/>
      </c>
      <c r="U50" s="273" t="inlineStr">
        <is>
          <t>N.A.</t>
        </is>
      </c>
      <c r="V50" s="12">
        <f>_xlfn.XLOOKUP(U50,Tab_Def_Flows[Name(EN)],Tab_Def_Flows[Flow_ID],,0,)</f>
        <v/>
      </c>
      <c r="W50" s="273" t="inlineStr">
        <is>
          <t>N.A.</t>
        </is>
      </c>
      <c r="X50" s="12">
        <f>_xlfn.XLOOKUP(W50,Tab_Def_Flows[Name(EN)],Tab_Def_Flows[Flow_ID],,0,)</f>
        <v/>
      </c>
      <c r="Y50" s="273" t="inlineStr">
        <is>
          <t>N.A.</t>
        </is>
      </c>
      <c r="Z50" s="13">
        <f>_xlfn.XLOOKUP(Y50,Tab_Def_Flows[Name(EN)],Tab_Def_Flows[Flow_ID],,0,)</f>
        <v/>
      </c>
      <c r="AA50" s="189" t="inlineStr">
        <is>
          <t>N.A.</t>
        </is>
      </c>
      <c r="AB50" s="12">
        <f>_xlfn.XLOOKUP(AA50,Tab_Def_Flows[Name(EN)],Tab_Def_Flows[Flow_ID],,0,)</f>
        <v/>
      </c>
      <c r="AC50" s="189" t="inlineStr">
        <is>
          <t>N.A.</t>
        </is>
      </c>
      <c r="AD50" s="12">
        <f>_xlfn.XLOOKUP(AC50,Tab_Def_Flows[Name(EN)],Tab_Def_Flows[Flow_ID],,0,)</f>
        <v/>
      </c>
      <c r="AE50" s="189" t="inlineStr">
        <is>
          <t>N.A.</t>
        </is>
      </c>
      <c r="AF50" s="12">
        <f>_xlfn.XLOOKUP(AE50,Tab_Def_Flows[Name(EN)],Tab_Def_Flows[Flow_ID],,0,)</f>
        <v/>
      </c>
      <c r="AG50" s="189" t="inlineStr">
        <is>
          <t>N.A.</t>
        </is>
      </c>
      <c r="AH50" s="12">
        <f>_xlfn.XLOOKUP(AG50,Tab_Def_Flows[Name(EN)],Tab_Def_Flows[Flow_ID],,0,)</f>
        <v/>
      </c>
      <c r="AI50" s="189" t="inlineStr">
        <is>
          <t>N.A.</t>
        </is>
      </c>
      <c r="AJ50" s="12">
        <f>_xlfn.XLOOKUP(AI50,Tab_Def_Flows[Name(EN)],Tab_Def_Flows[Flow_ID],,0,)</f>
        <v/>
      </c>
      <c r="AK50" s="189" t="inlineStr">
        <is>
          <t>N.A.</t>
        </is>
      </c>
      <c r="AL50" s="13">
        <f>_xlfn.XLOOKUP(AK50,Tab_Def_Flows[Name(EN)],Tab_Def_Flows[Flow_ID],,0,)</f>
        <v/>
      </c>
    </row>
    <row r="51">
      <c r="A51" s="280" t="b">
        <v>0</v>
      </c>
      <c r="B51" s="43" t="inlineStr">
        <is>
          <t>49</t>
        </is>
      </c>
      <c r="C51" s="272">
        <f>LEFT(B51,2)</f>
        <v/>
      </c>
      <c r="D51" s="273" t="n"/>
      <c r="E51" s="273" t="n"/>
      <c r="F51" s="273" t="n"/>
      <c r="G51" s="273" t="n"/>
      <c r="H51" s="280" t="n"/>
      <c r="I51" s="189" t="n"/>
      <c r="J51" s="189" t="n"/>
      <c r="K51" s="189" t="n"/>
      <c r="L51" s="189" t="n"/>
      <c r="M51" s="189" t="n"/>
      <c r="N51" s="189" t="n"/>
      <c r="O51" s="189" t="n"/>
      <c r="P51" s="273" t="n"/>
      <c r="Q51" s="273" t="inlineStr">
        <is>
          <t>N.A.</t>
        </is>
      </c>
      <c r="R51" s="12">
        <f>_xlfn.XLOOKUP(Q51,Tab_Def_Flows[Name(EN)],Tab_Def_Flows[Flow_ID],,0,)</f>
        <v/>
      </c>
      <c r="S51" s="273" t="inlineStr">
        <is>
          <t>N.A.</t>
        </is>
      </c>
      <c r="T51" s="12">
        <f>_xlfn.XLOOKUP(S51,Tab_Def_Flows[Name(EN)],Tab_Def_Flows[Flow_ID],,0,)</f>
        <v/>
      </c>
      <c r="U51" s="273" t="inlineStr">
        <is>
          <t>N.A.</t>
        </is>
      </c>
      <c r="V51" s="12">
        <f>_xlfn.XLOOKUP(U51,Tab_Def_Flows[Name(EN)],Tab_Def_Flows[Flow_ID],,0,)</f>
        <v/>
      </c>
      <c r="W51" s="273" t="inlineStr">
        <is>
          <t>N.A.</t>
        </is>
      </c>
      <c r="X51" s="12">
        <f>_xlfn.XLOOKUP(W51,Tab_Def_Flows[Name(EN)],Tab_Def_Flows[Flow_ID],,0,)</f>
        <v/>
      </c>
      <c r="Y51" s="273" t="inlineStr">
        <is>
          <t>N.A.</t>
        </is>
      </c>
      <c r="Z51" s="13">
        <f>_xlfn.XLOOKUP(Y51,Tab_Def_Flows[Name(EN)],Tab_Def_Flows[Flow_ID],,0,)</f>
        <v/>
      </c>
      <c r="AA51" s="189" t="inlineStr">
        <is>
          <t>N.A.</t>
        </is>
      </c>
      <c r="AB51" s="12">
        <f>_xlfn.XLOOKUP(AA51,Tab_Def_Flows[Name(EN)],Tab_Def_Flows[Flow_ID],,0,)</f>
        <v/>
      </c>
      <c r="AC51" s="189" t="inlineStr">
        <is>
          <t>N.A.</t>
        </is>
      </c>
      <c r="AD51" s="12">
        <f>_xlfn.XLOOKUP(AC51,Tab_Def_Flows[Name(EN)],Tab_Def_Flows[Flow_ID],,0,)</f>
        <v/>
      </c>
      <c r="AE51" s="189" t="inlineStr">
        <is>
          <t>N.A.</t>
        </is>
      </c>
      <c r="AF51" s="12">
        <f>_xlfn.XLOOKUP(AE51,Tab_Def_Flows[Name(EN)],Tab_Def_Flows[Flow_ID],,0,)</f>
        <v/>
      </c>
      <c r="AG51" s="189" t="inlineStr">
        <is>
          <t>N.A.</t>
        </is>
      </c>
      <c r="AH51" s="12">
        <f>_xlfn.XLOOKUP(AG51,Tab_Def_Flows[Name(EN)],Tab_Def_Flows[Flow_ID],,0,)</f>
        <v/>
      </c>
      <c r="AI51" s="189" t="inlineStr">
        <is>
          <t>N.A.</t>
        </is>
      </c>
      <c r="AJ51" s="12">
        <f>_xlfn.XLOOKUP(AI51,Tab_Def_Flows[Name(EN)],Tab_Def_Flows[Flow_ID],,0,)</f>
        <v/>
      </c>
      <c r="AK51" s="189" t="inlineStr">
        <is>
          <t>N.A.</t>
        </is>
      </c>
      <c r="AL51" s="13">
        <f>_xlfn.XLOOKUP(AK51,Tab_Def_Flows[Name(EN)],Tab_Def_Flows[Flow_ID],,0,)</f>
        <v/>
      </c>
    </row>
    <row r="52">
      <c r="A52" s="280" t="b">
        <v>0</v>
      </c>
      <c r="B52" s="43" t="inlineStr">
        <is>
          <t>50</t>
        </is>
      </c>
      <c r="C52" s="272">
        <f>LEFT(B52,2)</f>
        <v/>
      </c>
      <c r="D52" s="273" t="n"/>
      <c r="E52" s="273" t="n"/>
      <c r="F52" s="273" t="n"/>
      <c r="G52" s="273" t="n"/>
      <c r="H52" s="280" t="n"/>
      <c r="I52" s="189" t="n"/>
      <c r="J52" s="189" t="n"/>
      <c r="K52" s="189" t="n"/>
      <c r="L52" s="189" t="n"/>
      <c r="M52" s="189" t="n"/>
      <c r="N52" s="189" t="n"/>
      <c r="O52" s="189" t="n"/>
      <c r="P52" s="273" t="n"/>
      <c r="Q52" s="273" t="n"/>
      <c r="R52" s="272">
        <f>_xlfn.XLOOKUP(Q52,Tab_Def_Flows[Name(EN)],Tab_Def_Flows[Flow_ID],,0,)</f>
        <v/>
      </c>
      <c r="S52" s="273" t="n"/>
      <c r="T52" s="272">
        <f>_xlfn.XLOOKUP(S52,Tab_Def_Flows[Name(EN)],Tab_Def_Flows[Flow_ID],,0,)</f>
        <v/>
      </c>
      <c r="U52" s="273" t="n"/>
      <c r="V52" s="272">
        <f>_xlfn.XLOOKUP(U52,Tab_Def_Flows[Name(EN)],Tab_Def_Flows[Flow_ID],,0,)</f>
        <v/>
      </c>
      <c r="W52" s="273" t="n"/>
      <c r="X52" s="272">
        <f>_xlfn.XLOOKUP(W52,Tab_Def_Flows[Name(EN)],Tab_Def_Flows[Flow_ID],,0,)</f>
        <v/>
      </c>
      <c r="Y52" s="273" t="n"/>
      <c r="Z52" s="20">
        <f>_xlfn.XLOOKUP(Y52,Tab_Def_Flows[Name(EN)],Tab_Def_Flows[Flow_ID],,0,)</f>
        <v/>
      </c>
      <c r="AA52" s="189" t="n"/>
      <c r="AB52" s="272">
        <f>_xlfn.XLOOKUP(AA52,Tab_Def_Flows[Name(EN)],Tab_Def_Flows[Flow_ID],,0,)</f>
        <v/>
      </c>
      <c r="AC52" s="189" t="n"/>
      <c r="AD52" s="272">
        <f>_xlfn.XLOOKUP(AC52,Tab_Def_Flows[Name(EN)],Tab_Def_Flows[Flow_ID],,0,)</f>
        <v/>
      </c>
      <c r="AE52" s="189" t="inlineStr">
        <is>
          <t>N.A.</t>
        </is>
      </c>
      <c r="AF52" s="272">
        <f>_xlfn.XLOOKUP(AE52,Tab_Def_Flows[Name(EN)],Tab_Def_Flows[Flow_ID],,0,)</f>
        <v/>
      </c>
      <c r="AG52" s="189" t="n"/>
      <c r="AH52" s="272">
        <f>_xlfn.XLOOKUP(AG52,Tab_Def_Flows[Name(EN)],Tab_Def_Flows[Flow_ID],,0,)</f>
        <v/>
      </c>
      <c r="AI52" s="189" t="n"/>
      <c r="AJ52" s="272">
        <f>_xlfn.XLOOKUP(AI52,Tab_Def_Flows[Name(EN)],Tab_Def_Flows[Flow_ID],,0,)</f>
        <v/>
      </c>
      <c r="AK52" s="189" t="n"/>
      <c r="AL52" s="13">
        <f>_xlfn.XLOOKUP(AK52,Tab_Def_Flows[Name(EN)],Tab_Def_Flows[Flow_ID],,0,)</f>
        <v/>
      </c>
    </row>
    <row r="53">
      <c r="A53" s="280" t="b">
        <v>0</v>
      </c>
      <c r="B53" s="43" t="inlineStr">
        <is>
          <t>51</t>
        </is>
      </c>
      <c r="C53" s="272">
        <f>LEFT(B53,2)</f>
        <v/>
      </c>
      <c r="D53" s="273" t="n"/>
      <c r="E53" s="273" t="n"/>
      <c r="F53" s="273" t="n"/>
      <c r="G53" s="273" t="n"/>
      <c r="H53" s="280" t="n"/>
      <c r="I53" s="189" t="n"/>
      <c r="J53" s="189" t="n"/>
      <c r="K53" s="189" t="n"/>
      <c r="L53" s="189" t="n"/>
      <c r="M53" s="189" t="n"/>
      <c r="N53" s="189" t="n"/>
      <c r="O53" s="189" t="n"/>
      <c r="P53" s="273" t="n"/>
      <c r="Q53" s="273" t="n"/>
      <c r="R53" s="272">
        <f>_xlfn.XLOOKUP(Q53,Tab_Def_Flows[Name(EN)],Tab_Def_Flows[Flow_ID],,0,)</f>
        <v/>
      </c>
      <c r="S53" s="273" t="n"/>
      <c r="T53" s="272">
        <f>_xlfn.XLOOKUP(S53,Tab_Def_Flows[Name(EN)],Tab_Def_Flows[Flow_ID],,0,)</f>
        <v/>
      </c>
      <c r="U53" s="273" t="n"/>
      <c r="V53" s="272">
        <f>_xlfn.XLOOKUP(U53,Tab_Def_Flows[Name(EN)],Tab_Def_Flows[Flow_ID],,0,)</f>
        <v/>
      </c>
      <c r="W53" s="273" t="n"/>
      <c r="X53" s="272">
        <f>_xlfn.XLOOKUP(W53,Tab_Def_Flows[Name(EN)],Tab_Def_Flows[Flow_ID],,0,)</f>
        <v/>
      </c>
      <c r="Y53" s="273" t="n"/>
      <c r="Z53" s="21">
        <f>_xlfn.XLOOKUP(Y53,Tab_Def_Flows[Name(EN)],Tab_Def_Flows[Flow_ID],,0,)</f>
        <v/>
      </c>
      <c r="AA53" s="189" t="n"/>
      <c r="AB53" s="272">
        <f>_xlfn.XLOOKUP(AA53,Tab_Def_Flows[Name(EN)],Tab_Def_Flows[Flow_ID],,0,)</f>
        <v/>
      </c>
      <c r="AC53" s="189" t="n"/>
      <c r="AD53" s="272">
        <f>_xlfn.XLOOKUP(AC53,Tab_Def_Flows[Name(EN)],Tab_Def_Flows[Flow_ID],,0,)</f>
        <v/>
      </c>
      <c r="AE53" s="189" t="inlineStr">
        <is>
          <t>N.A.</t>
        </is>
      </c>
      <c r="AF53" s="272">
        <f>_xlfn.XLOOKUP(AE53,Tab_Def_Flows[Name(EN)],Tab_Def_Flows[Flow_ID],,0,)</f>
        <v/>
      </c>
      <c r="AG53" s="189" t="n"/>
      <c r="AH53" s="272">
        <f>_xlfn.XLOOKUP(AG53,Tab_Def_Flows[Name(EN)],Tab_Def_Flows[Flow_ID],,0,)</f>
        <v/>
      </c>
      <c r="AI53" s="189" t="n"/>
      <c r="AJ53" s="272">
        <f>_xlfn.XLOOKUP(AI53,Tab_Def_Flows[Name(EN)],Tab_Def_Flows[Flow_ID],,0,)</f>
        <v/>
      </c>
      <c r="AK53" s="189" t="n"/>
      <c r="AL53" s="13">
        <f>_xlfn.XLOOKUP(AK53,Tab_Def_Flows[Name(EN)],Tab_Def_Flows[Flow_ID],,0,)</f>
        <v/>
      </c>
    </row>
    <row r="54">
      <c r="A54" s="280" t="b">
        <v>0</v>
      </c>
      <c r="B54" s="43" t="inlineStr">
        <is>
          <t>52</t>
        </is>
      </c>
      <c r="C54" s="272">
        <f>LEFT(B54,2)</f>
        <v/>
      </c>
      <c r="D54" s="273" t="n"/>
      <c r="E54" s="273" t="n"/>
      <c r="F54" s="273" t="n"/>
      <c r="G54" s="273" t="n"/>
      <c r="H54" s="280" t="n"/>
      <c r="I54" s="189" t="n"/>
      <c r="J54" s="189" t="n"/>
      <c r="K54" s="189" t="n"/>
      <c r="L54" s="189" t="n"/>
      <c r="M54" s="189" t="n"/>
      <c r="N54" s="189" t="n"/>
      <c r="O54" s="189" t="n"/>
      <c r="P54" s="186" t="n"/>
      <c r="Q54" s="273" t="inlineStr">
        <is>
          <t>N.A.</t>
        </is>
      </c>
      <c r="R54" s="12">
        <f>_xlfn.XLOOKUP(Q54,Tab_Def_Flows[Name(EN)],Tab_Def_Flows[Flow_ID],,0,)</f>
        <v/>
      </c>
      <c r="S54" s="273" t="inlineStr">
        <is>
          <t>N.A.</t>
        </is>
      </c>
      <c r="T54" s="12">
        <f>_xlfn.XLOOKUP(S54,Tab_Def_Flows[Name(EN)],Tab_Def_Flows[Flow_ID],,0,)</f>
        <v/>
      </c>
      <c r="U54" s="273" t="inlineStr">
        <is>
          <t>N.A.</t>
        </is>
      </c>
      <c r="V54" s="12">
        <f>_xlfn.XLOOKUP(U54,Tab_Def_Flows[Name(EN)],Tab_Def_Flows[Flow_ID],,0,)</f>
        <v/>
      </c>
      <c r="W54" s="273" t="inlineStr">
        <is>
          <t>N.A.</t>
        </is>
      </c>
      <c r="X54" s="12">
        <f>_xlfn.XLOOKUP(W54,Tab_Def_Flows[Name(EN)],Tab_Def_Flows[Flow_ID],,0,)</f>
        <v/>
      </c>
      <c r="Y54" s="273" t="inlineStr">
        <is>
          <t>N.A.</t>
        </is>
      </c>
      <c r="Z54" s="13">
        <f>_xlfn.XLOOKUP(Y54,Tab_Def_Flows[Name(EN)],Tab_Def_Flows[Flow_ID],,0,)</f>
        <v/>
      </c>
      <c r="AA54" s="189" t="inlineStr">
        <is>
          <t>N.A.</t>
        </is>
      </c>
      <c r="AB54" s="12">
        <f>_xlfn.XLOOKUP(AA54,Tab_Def_Flows[Name(EN)],Tab_Def_Flows[Flow_ID],,0,)</f>
        <v/>
      </c>
      <c r="AC54" s="189" t="inlineStr">
        <is>
          <t>N.A.</t>
        </is>
      </c>
      <c r="AD54" s="12">
        <f>_xlfn.XLOOKUP(AC54,Tab_Def_Flows[Name(EN)],Tab_Def_Flows[Flow_ID],,0,)</f>
        <v/>
      </c>
      <c r="AE54" s="189" t="inlineStr">
        <is>
          <t>N.A.</t>
        </is>
      </c>
      <c r="AF54" s="12">
        <f>_xlfn.XLOOKUP(AE54,Tab_Def_Flows[Name(EN)],Tab_Def_Flows[Flow_ID],,0,)</f>
        <v/>
      </c>
      <c r="AG54" s="189" t="inlineStr">
        <is>
          <t>N.A.</t>
        </is>
      </c>
      <c r="AH54" s="12">
        <f>_xlfn.XLOOKUP(AG54,Tab_Def_Flows[Name(EN)],Tab_Def_Flows[Flow_ID],,0,)</f>
        <v/>
      </c>
      <c r="AI54" s="189" t="inlineStr">
        <is>
          <t>N.A.</t>
        </is>
      </c>
      <c r="AJ54" s="12">
        <f>_xlfn.XLOOKUP(AI54,Tab_Def_Flows[Name(EN)],Tab_Def_Flows[Flow_ID],,0,)</f>
        <v/>
      </c>
      <c r="AK54" s="189" t="inlineStr">
        <is>
          <t>N.A.</t>
        </is>
      </c>
      <c r="AL54" s="13">
        <f>_xlfn.XLOOKUP(AK54,Tab_Def_Flows[Name(EN)],Tab_Def_Flows[Flow_ID],,0,)</f>
        <v/>
      </c>
    </row>
  </sheetData>
  <dataValidations count="1">
    <dataValidation sqref="P1:P1048576" showDropDown="0" showInputMessage="1" showErrorMessage="1" allowBlank="1" type="whole">
      <formula1>0</formula1>
      <formula2>1000</formula2>
    </dataValidation>
  </dataValidations>
  <pageMargins left="0.7" right="0.7" top="0.787401575" bottom="0.787401575" header="0.3" footer="0.3"/>
  <pageSetup orientation="portrait"/>
  <tableParts count="1">
    <tablePart xmlns:r="http://schemas.openxmlformats.org/officeDocument/2006/relationships" r:id="rId1"/>
  </tableParts>
</worksheet>
</file>

<file path=xl/worksheets/sheet8.xml><?xml version="1.0" encoding="utf-8"?>
<worksheet xmlns="http://schemas.openxmlformats.org/spreadsheetml/2006/main">
  <sheetPr>
    <tabColor theme="9" tint="0.7999816888943144"/>
    <outlinePr summaryBelow="1" summaryRight="1"/>
    <pageSetUpPr/>
  </sheetPr>
  <dimension ref="A1:AC59"/>
  <sheetViews>
    <sheetView zoomScale="115" zoomScaleNormal="115" workbookViewId="0">
      <pane xSplit="4" topLeftCell="J1" activePane="topRight" state="frozen"/>
      <selection pane="topRight" activeCell="A1" sqref="A1:D59"/>
    </sheetView>
  </sheetViews>
  <sheetFormatPr baseColWidth="8" defaultColWidth="10.85546875" defaultRowHeight="15"/>
  <cols>
    <col width="7.140625" customWidth="1" min="2" max="2"/>
    <col width="12.7109375" customWidth="1" style="46" min="3" max="3"/>
    <col width="26.42578125" customWidth="1" min="4" max="4"/>
    <col width="15.5703125" customWidth="1" min="5" max="5"/>
    <col width="7.28515625" customWidth="1" min="6" max="6"/>
    <col width="10.5703125" customWidth="1" min="7" max="7"/>
    <col width="8.7109375" customWidth="1" min="8" max="8"/>
    <col width="14.28515625" customWidth="1" min="9" max="9"/>
    <col width="8.42578125" customWidth="1" min="10" max="10"/>
    <col width="9.5703125" customWidth="1" min="11" max="11"/>
    <col width="16.140625" customWidth="1" min="12" max="12"/>
    <col width="22.85546875" customWidth="1" style="5" min="13" max="13"/>
    <col width="17" customWidth="1" min="14" max="14"/>
    <col width="13.85546875" customWidth="1" min="15" max="15"/>
    <col width="10.85546875" customWidth="1" style="6" min="16" max="16"/>
  </cols>
  <sheetData>
    <row r="1">
      <c r="A1" s="295" t="inlineStr">
        <is>
          <t>Complete?</t>
        </is>
      </c>
      <c r="B1" s="295" t="inlineStr">
        <is>
          <t>ID</t>
        </is>
      </c>
      <c r="C1" s="295" t="inlineStr">
        <is>
          <t>Process_ID</t>
        </is>
      </c>
      <c r="D1" s="295" t="inlineStr">
        <is>
          <t>Name(EN)</t>
        </is>
      </c>
      <c r="E1" s="295" t="inlineStr">
        <is>
          <t>Process_Type</t>
        </is>
      </c>
      <c r="F1" s="295" t="inlineStr">
        <is>
          <t>TC?</t>
        </is>
      </c>
      <c r="G1" s="295" t="inlineStr">
        <is>
          <t>Dyn_TC?</t>
        </is>
      </c>
      <c r="H1" s="295" t="inlineStr">
        <is>
          <t>Stock?</t>
        </is>
      </c>
      <c r="I1" s="295" t="inlineStr">
        <is>
          <t>Initial_Stock?</t>
        </is>
      </c>
      <c r="J1" s="295" t="inlineStr">
        <is>
          <t>DSM?</t>
        </is>
      </c>
      <c r="K1" s="295" t="inlineStr">
        <is>
          <t>FOMP?</t>
        </is>
      </c>
      <c r="L1" s="295" t="inlineStr">
        <is>
          <t>Nr. Outflows?</t>
        </is>
      </c>
      <c r="M1" s="295" t="inlineStr">
        <is>
          <t>Output_Flow</t>
        </is>
      </c>
      <c r="N1" s="295" t="inlineStr">
        <is>
          <t>Flow_ID</t>
        </is>
      </c>
      <c r="O1" s="295" t="inlineStr">
        <is>
          <t>TC_ID</t>
        </is>
      </c>
      <c r="P1" s="295" t="inlineStr">
        <is>
          <t>TC_Value</t>
        </is>
      </c>
      <c r="Q1" s="295" t="inlineStr">
        <is>
          <t>Titel</t>
        </is>
      </c>
      <c r="R1" s="295" t="inlineStr">
        <is>
          <t>Year publication</t>
        </is>
      </c>
      <c r="S1" s="295" t="inlineStr">
        <is>
          <t>Author</t>
        </is>
      </c>
      <c r="T1" s="295" t="inlineStr">
        <is>
          <t>Type of the Study</t>
        </is>
      </c>
      <c r="U1" s="295" t="inlineStr">
        <is>
          <t>URL</t>
        </is>
      </c>
    </row>
    <row r="2">
      <c r="A2" s="280" t="b">
        <v>0</v>
      </c>
      <c r="B2" s="272">
        <f>ROW()-1</f>
        <v/>
      </c>
      <c r="C2" s="286">
        <f>_xlfn.XLOOKUP($D2,Tab_Def_Processes[Name(EN)],Tab_Def_Processes[ID],,0,)</f>
        <v/>
      </c>
      <c r="D2" s="189" t="inlineStr">
        <is>
          <t>Cultivation</t>
        </is>
      </c>
      <c r="E2" s="272">
        <f>_xlfn.XLOOKUP($D2,Tab_Def_Processes[Name(EN)],Tab_Def_Processes[Process_Type],,0,)</f>
        <v/>
      </c>
      <c r="F2" s="272">
        <f>_xlfn.XLOOKUP($D2,Tab_Def_Processes[Name(EN)],Tab_Def_Processes[TC?],,0,)</f>
        <v/>
      </c>
      <c r="G2" s="272">
        <f>_xlfn.XLOOKUP($D2,Tab_Def_Processes[Name(EN)],Tab_Def_Processes[Dyn_TC?],,0,)</f>
        <v/>
      </c>
      <c r="H2" s="272">
        <f>_xlfn.XLOOKUP($D2,Tab_Def_Processes[Name(EN)],Tab_Def_Processes[Stock?],,0,)</f>
        <v/>
      </c>
      <c r="I2" s="272">
        <f>_xlfn.XLOOKUP($D2,Tab_Def_Processes[Name(EN)],Tab_Def_Processes[Initial_Stock?],,0,)</f>
        <v/>
      </c>
      <c r="J2" s="272">
        <f>_xlfn.XLOOKUP($D2,Tab_Def_Processes[Name(EN)],Tab_Def_Processes[DSM?],,0,)</f>
        <v/>
      </c>
      <c r="K2" s="272">
        <f>_xlfn.XLOOKUP($D2,Tab_Def_Processes[Name(EN)],Tab_Def_Processes[FOMP?],,0,)</f>
        <v/>
      </c>
      <c r="L2" s="272">
        <f>_xlfn.XLOOKUP($D2,Tab_Def_Processes[Name(EN)],Tab_Def_Processes[Nr. Outflows],,0,)</f>
        <v/>
      </c>
      <c r="M2" s="189" t="inlineStr">
        <is>
          <t>Wheat Plant</t>
        </is>
      </c>
      <c r="N2" s="175">
        <f>_xlfn.XLOOKUP($M2,Tab_Def_Flows[Name(EN)],Tab_Def_Flows[Flow_ID],,0,)</f>
        <v/>
      </c>
      <c r="O2" s="42">
        <f>"TC"&amp;"_"&amp;RIGHT(N2,5)</f>
        <v/>
      </c>
      <c r="P2" s="192" t="n">
        <v>1</v>
      </c>
      <c r="Q2" s="280" t="n"/>
      <c r="R2" s="280" t="n"/>
      <c r="S2" s="280" t="n"/>
      <c r="T2" s="280" t="n"/>
      <c r="U2" s="280" t="n"/>
    </row>
    <row r="3">
      <c r="A3" s="280" t="b">
        <v>0</v>
      </c>
      <c r="B3" s="272">
        <f>ROW()-1</f>
        <v/>
      </c>
      <c r="C3" s="286">
        <f>_xlfn.XLOOKUP($D3,Tab_Def_Processes[Name(EN)],Tab_Def_Processes[ID],,0,)</f>
        <v/>
      </c>
      <c r="D3" s="189" t="inlineStr">
        <is>
          <t>Harvest</t>
        </is>
      </c>
      <c r="E3" s="272">
        <f>_xlfn.XLOOKUP($D3,Tab_Def_Processes[Name(EN)],Tab_Def_Processes[Process_Type],,0,)</f>
        <v/>
      </c>
      <c r="F3" s="272">
        <f>_xlfn.XLOOKUP($D3,Tab_Def_Processes[Name(EN)],Tab_Def_Processes[TC?],,0,)</f>
        <v/>
      </c>
      <c r="G3" s="272">
        <f>_xlfn.XLOOKUP($D3,Tab_Def_Processes[Name(EN)],Tab_Def_Processes[Dyn_TC?],,0,)</f>
        <v/>
      </c>
      <c r="H3" s="272">
        <f>_xlfn.XLOOKUP($D3,Tab_Def_Processes[Name(EN)],Tab_Def_Processes[Stock?],,0,)</f>
        <v/>
      </c>
      <c r="I3" s="272">
        <f>_xlfn.XLOOKUP($D3,Tab_Def_Processes[Name(EN)],Tab_Def_Processes[Initial_Stock?],,0,)</f>
        <v/>
      </c>
      <c r="J3" s="272">
        <f>_xlfn.XLOOKUP($D3,Tab_Def_Processes[Name(EN)],Tab_Def_Processes[DSM?],,0,)</f>
        <v/>
      </c>
      <c r="K3" s="272">
        <f>_xlfn.XLOOKUP($D3,Tab_Def_Processes[Name(EN)],Tab_Def_Processes[FOMP?],,0,)</f>
        <v/>
      </c>
      <c r="L3" s="272">
        <f>_xlfn.XLOOKUP($D3,Tab_Def_Processes[Name(EN)],Tab_Def_Processes[Nr. Outflows],,0,)</f>
        <v/>
      </c>
      <c r="M3" s="189" t="inlineStr">
        <is>
          <t>Straw</t>
        </is>
      </c>
      <c r="N3" s="175">
        <f>_xlfn.XLOOKUP($M3,Tab_Def_Flows[Name(EN)],Tab_Def_Flows[Flow_ID],,0,)</f>
        <v/>
      </c>
      <c r="O3" s="42">
        <f>"TC"&amp;"_"&amp;RIGHT(N3,5)</f>
        <v/>
      </c>
      <c r="P3" s="192" t="n">
        <v>0.526</v>
      </c>
      <c r="Q3" s="280" t="n"/>
      <c r="R3" s="280" t="n"/>
      <c r="S3" s="280" t="n"/>
      <c r="T3" s="280" t="n"/>
      <c r="U3" s="280" t="n"/>
    </row>
    <row r="4">
      <c r="A4" s="280" t="b">
        <v>0</v>
      </c>
      <c r="B4" s="272">
        <f>ROW()-1</f>
        <v/>
      </c>
      <c r="C4" s="286">
        <f>_xlfn.XLOOKUP($D4,Tab_Def_Processes[Name(EN)],Tab_Def_Processes[ID],,0,)</f>
        <v/>
      </c>
      <c r="D4" s="189" t="inlineStr">
        <is>
          <t>Harvest</t>
        </is>
      </c>
      <c r="E4" s="272">
        <f>_xlfn.XLOOKUP($D4,Tab_Def_Processes[Name(EN)],Tab_Def_Processes[Process_Type],,0,)</f>
        <v/>
      </c>
      <c r="F4" s="272">
        <f>_xlfn.XLOOKUP($D4,Tab_Def_Processes[Name(EN)],Tab_Def_Processes[TC?],,0,)</f>
        <v/>
      </c>
      <c r="G4" s="272">
        <f>_xlfn.XLOOKUP($D4,Tab_Def_Processes[Name(EN)],Tab_Def_Processes[Dyn_TC?],,0,)</f>
        <v/>
      </c>
      <c r="H4" s="272">
        <f>_xlfn.XLOOKUP($D4,Tab_Def_Processes[Name(EN)],Tab_Def_Processes[Stock?],,0,)</f>
        <v/>
      </c>
      <c r="I4" s="272">
        <f>_xlfn.XLOOKUP($D4,Tab_Def_Processes[Name(EN)],Tab_Def_Processes[Initial_Stock?],,0,)</f>
        <v/>
      </c>
      <c r="J4" s="272">
        <f>_xlfn.XLOOKUP($D4,Tab_Def_Processes[Name(EN)],Tab_Def_Processes[DSM?],,0,)</f>
        <v/>
      </c>
      <c r="K4" s="272">
        <f>_xlfn.XLOOKUP($D4,Tab_Def_Processes[Name(EN)],Tab_Def_Processes[FOMP?],,0,)</f>
        <v/>
      </c>
      <c r="L4" s="272">
        <f>_xlfn.XLOOKUP($D4,Tab_Def_Processes[Name(EN)],Tab_Def_Processes[Nr. Outflows],,0,)</f>
        <v/>
      </c>
      <c r="M4" s="189" t="inlineStr">
        <is>
          <t>Grain</t>
        </is>
      </c>
      <c r="N4" s="175">
        <f>_xlfn.XLOOKUP($M4,Tab_Def_Flows[Name(EN)],Tab_Def_Flows[Flow_ID],,0,)</f>
        <v/>
      </c>
      <c r="O4" s="42">
        <f>"TC"&amp;"_"&amp;RIGHT(N4,5)</f>
        <v/>
      </c>
      <c r="P4" s="192" t="n">
        <v>0.474</v>
      </c>
      <c r="Q4" s="280" t="n"/>
      <c r="R4" s="280" t="n"/>
      <c r="S4" s="280" t="n"/>
      <c r="T4" s="280" t="n"/>
      <c r="U4" s="280" t="n"/>
    </row>
    <row r="5">
      <c r="A5" s="280" t="b">
        <v>0</v>
      </c>
      <c r="B5" s="272">
        <f>ROW()-1</f>
        <v/>
      </c>
      <c r="C5" s="286">
        <f>_xlfn.XLOOKUP($D5,Tab_Def_Processes[Name(EN)],Tab_Def_Processes[ID],,0,)</f>
        <v/>
      </c>
      <c r="D5" s="189" t="inlineStr">
        <is>
          <t>Straw C&amp;D</t>
        </is>
      </c>
      <c r="E5" s="272">
        <f>_xlfn.XLOOKUP($D5,Tab_Def_Processes[Name(EN)],Tab_Def_Processes[Process_Type],,0,)</f>
        <v/>
      </c>
      <c r="F5" s="272">
        <f>_xlfn.XLOOKUP($D5,Tab_Def_Processes[Name(EN)],Tab_Def_Processes[TC?],,0,)</f>
        <v/>
      </c>
      <c r="G5" s="272">
        <f>_xlfn.XLOOKUP($D5,Tab_Def_Processes[Name(EN)],Tab_Def_Processes[Dyn_TC?],,0,)</f>
        <v/>
      </c>
      <c r="H5" s="272">
        <f>_xlfn.XLOOKUP($D5,Tab_Def_Processes[Name(EN)],Tab_Def_Processes[Stock?],,0,)</f>
        <v/>
      </c>
      <c r="I5" s="272">
        <f>_xlfn.XLOOKUP($D5,Tab_Def_Processes[Name(EN)],Tab_Def_Processes[Initial_Stock?],,0,)</f>
        <v/>
      </c>
      <c r="J5" s="272">
        <f>_xlfn.XLOOKUP($D5,Tab_Def_Processes[Name(EN)],Tab_Def_Processes[DSM?],,0,)</f>
        <v/>
      </c>
      <c r="K5" s="272">
        <f>_xlfn.XLOOKUP($D5,Tab_Def_Processes[Name(EN)],Tab_Def_Processes[FOMP?],,0,)</f>
        <v/>
      </c>
      <c r="L5" s="272">
        <f>_xlfn.XLOOKUP($D5,Tab_Def_Processes[Name(EN)],Tab_Def_Processes[Nr. Outflows],,0,)</f>
        <v/>
      </c>
      <c r="M5" s="189" t="inlineStr">
        <is>
          <t>Straw_incorperation</t>
        </is>
      </c>
      <c r="N5" s="175">
        <f>_xlfn.XLOOKUP($M5,Tab_Def_Flows[Name(EN)],Tab_Def_Flows[Flow_ID],,0,)</f>
        <v/>
      </c>
      <c r="O5" s="42">
        <f>"TC"&amp;"_"&amp;RIGHT(N5,5)</f>
        <v/>
      </c>
      <c r="P5" s="192" t="n">
        <v>0.64</v>
      </c>
      <c r="Q5" s="280" t="n"/>
      <c r="R5" s="280" t="n"/>
      <c r="S5" s="280" t="n"/>
      <c r="T5" s="280" t="n"/>
      <c r="U5" s="280" t="n"/>
    </row>
    <row r="6">
      <c r="A6" s="280" t="b">
        <v>0</v>
      </c>
      <c r="B6" s="272">
        <f>ROW()-1</f>
        <v/>
      </c>
      <c r="C6" s="286">
        <f>_xlfn.XLOOKUP($D6,Tab_Def_Processes[Name(EN)],Tab_Def_Processes[ID],,0,)</f>
        <v/>
      </c>
      <c r="D6" s="189" t="inlineStr">
        <is>
          <t>Straw C&amp;D</t>
        </is>
      </c>
      <c r="E6" s="272">
        <f>_xlfn.XLOOKUP($D6,Tab_Def_Processes[Name(EN)],Tab_Def_Processes[Process_Type],,0,)</f>
        <v/>
      </c>
      <c r="F6" s="272">
        <f>_xlfn.XLOOKUP($D6,Tab_Def_Processes[Name(EN)],Tab_Def_Processes[TC?],,0,)</f>
        <v/>
      </c>
      <c r="G6" s="272">
        <f>_xlfn.XLOOKUP($D6,Tab_Def_Processes[Name(EN)],Tab_Def_Processes[Dyn_TC?],,0,)</f>
        <v/>
      </c>
      <c r="H6" s="272">
        <f>_xlfn.XLOOKUP($D6,Tab_Def_Processes[Name(EN)],Tab_Def_Processes[Stock?],,0,)</f>
        <v/>
      </c>
      <c r="I6" s="272">
        <f>_xlfn.XLOOKUP($D6,Tab_Def_Processes[Name(EN)],Tab_Def_Processes[Initial_Stock?],,0,)</f>
        <v/>
      </c>
      <c r="J6" s="272">
        <f>_xlfn.XLOOKUP($D6,Tab_Def_Processes[Name(EN)],Tab_Def_Processes[DSM?],,0,)</f>
        <v/>
      </c>
      <c r="K6" s="272">
        <f>_xlfn.XLOOKUP($D6,Tab_Def_Processes[Name(EN)],Tab_Def_Processes[FOMP?],,0,)</f>
        <v/>
      </c>
      <c r="L6" s="272">
        <f>_xlfn.XLOOKUP($D6,Tab_Def_Processes[Name(EN)],Tab_Def_Processes[Nr. Outflows],,0,)</f>
        <v/>
      </c>
      <c r="M6" s="189" t="inlineStr">
        <is>
          <t>Straw_animal_bedding</t>
        </is>
      </c>
      <c r="N6" s="175">
        <f>_xlfn.XLOOKUP($M6,Tab_Def_Flows[Name(EN)],Tab_Def_Flows[Flow_ID],,0,)</f>
        <v/>
      </c>
      <c r="O6" s="42">
        <f>"TC"&amp;"_"&amp;RIGHT(N6,5)</f>
        <v/>
      </c>
      <c r="P6" s="192" t="n">
        <v>0.26</v>
      </c>
      <c r="Q6" s="280" t="n"/>
      <c r="R6" s="280" t="n"/>
      <c r="S6" s="280" t="n"/>
      <c r="T6" s="280" t="n"/>
      <c r="U6" s="280" t="n"/>
    </row>
    <row r="7">
      <c r="A7" s="280" t="b">
        <v>0</v>
      </c>
      <c r="B7" s="272">
        <f>ROW()-1</f>
        <v/>
      </c>
      <c r="C7" s="286">
        <f>_xlfn.XLOOKUP($D7,Tab_Def_Processes[Name(EN)],Tab_Def_Processes[ID],,0,)</f>
        <v/>
      </c>
      <c r="D7" s="189" t="inlineStr">
        <is>
          <t>Straw C&amp;D</t>
        </is>
      </c>
      <c r="E7" s="272">
        <f>_xlfn.XLOOKUP($D7,Tab_Def_Processes[Name(EN)],Tab_Def_Processes[Process_Type],,0,)</f>
        <v/>
      </c>
      <c r="F7" s="272">
        <f>_xlfn.XLOOKUP($D7,Tab_Def_Processes[Name(EN)],Tab_Def_Processes[TC?],,0,)</f>
        <v/>
      </c>
      <c r="G7" s="272">
        <f>_xlfn.XLOOKUP($D7,Tab_Def_Processes[Name(EN)],Tab_Def_Processes[Dyn_TC?],,0,)</f>
        <v/>
      </c>
      <c r="H7" s="272">
        <f>_xlfn.XLOOKUP($D7,Tab_Def_Processes[Name(EN)],Tab_Def_Processes[Stock?],,0,)</f>
        <v/>
      </c>
      <c r="I7" s="296">
        <f>_xlfn.XLOOKUP($D7,Tab_Def_Processes[Name(EN)],Tab_Def_Processes[Initial_Stock?],,0,)</f>
        <v/>
      </c>
      <c r="J7" s="272">
        <f>_xlfn.XLOOKUP($D7,Tab_Def_Processes[Name(EN)],Tab_Def_Processes[DSM?],,0,)</f>
        <v/>
      </c>
      <c r="K7" s="272">
        <f>_xlfn.XLOOKUP($D7,Tab_Def_Processes[Name(EN)],Tab_Def_Processes[FOMP?],,0,)</f>
        <v/>
      </c>
      <c r="L7" s="272">
        <f>_xlfn.XLOOKUP($D7,Tab_Def_Processes[Name(EN)],Tab_Def_Processes[Nr. Outflows],,0,)</f>
        <v/>
      </c>
      <c r="M7" s="189" t="inlineStr">
        <is>
          <t>Straw_Compost</t>
        </is>
      </c>
      <c r="N7" s="175">
        <f>_xlfn.XLOOKUP($M7,Tab_Def_Flows[Name(EN)],Tab_Def_Flows[Flow_ID],,0,)</f>
        <v/>
      </c>
      <c r="O7" s="42">
        <f>"TC"&amp;"_"&amp;RIGHT(N7,5)</f>
        <v/>
      </c>
      <c r="P7" s="192" t="n">
        <v>0.1</v>
      </c>
      <c r="Q7" s="280" t="n"/>
      <c r="R7" s="280" t="n"/>
      <c r="S7" s="280" t="n"/>
      <c r="T7" s="280" t="n"/>
      <c r="U7" s="280" t="n"/>
    </row>
    <row r="8">
      <c r="A8" s="280" t="b">
        <v>0</v>
      </c>
      <c r="B8" s="272">
        <f>ROW()-1</f>
        <v/>
      </c>
      <c r="C8" s="286">
        <f>_xlfn.XLOOKUP($D8,Tab_Def_Processes[Name(EN)],Tab_Def_Processes[ID],,0,)</f>
        <v/>
      </c>
      <c r="D8" s="189" t="inlineStr">
        <is>
          <t>Grain Processing &amp; Consumption</t>
        </is>
      </c>
      <c r="E8" s="272">
        <f>_xlfn.XLOOKUP($D8,Tab_Def_Processes[Name(EN)],Tab_Def_Processes[Process_Type],,0,)</f>
        <v/>
      </c>
      <c r="F8" s="272">
        <f>_xlfn.XLOOKUP($D8,Tab_Def_Processes[Name(EN)],Tab_Def_Processes[TC?],,0,)</f>
        <v/>
      </c>
      <c r="G8" s="272">
        <f>_xlfn.XLOOKUP($D8,Tab_Def_Processes[Name(EN)],Tab_Def_Processes[Dyn_TC?],,0,)</f>
        <v/>
      </c>
      <c r="H8" s="272">
        <f>_xlfn.XLOOKUP($D8,Tab_Def_Processes[Name(EN)],Tab_Def_Processes[Stock?],,0,)</f>
        <v/>
      </c>
      <c r="I8" s="272">
        <f>_xlfn.XLOOKUP($D8,Tab_Def_Processes[Name(EN)],Tab_Def_Processes[Initial_Stock?],,0,)</f>
        <v/>
      </c>
      <c r="J8" s="272">
        <f>_xlfn.XLOOKUP($D8,Tab_Def_Processes[Name(EN)],Tab_Def_Processes[DSM?],,0,)</f>
        <v/>
      </c>
      <c r="K8" s="272">
        <f>_xlfn.XLOOKUP($D8,Tab_Def_Processes[Name(EN)],Tab_Def_Processes[FOMP?],,0,)</f>
        <v/>
      </c>
      <c r="L8" s="272">
        <f>_xlfn.XLOOKUP($D8,Tab_Def_Processes[Name(EN)],Tab_Def_Processes[Nr. Outflows],,0,)</f>
        <v/>
      </c>
      <c r="M8" s="189" t="inlineStr">
        <is>
          <t>Food_Emissions_C</t>
        </is>
      </c>
      <c r="N8" s="175">
        <f>_xlfn.XLOOKUP($M8,Tab_Def_Flows[Name(EN)],Tab_Def_Flows[Flow_ID],,0,)</f>
        <v/>
      </c>
      <c r="O8" s="42">
        <f>"TC"&amp;"_"&amp;RIGHT(N8,5)</f>
        <v/>
      </c>
      <c r="P8" s="192" t="n">
        <v>0.4128</v>
      </c>
      <c r="Q8" s="280" t="n"/>
      <c r="R8" s="280" t="n"/>
      <c r="S8" s="280" t="n"/>
      <c r="T8" s="280" t="n"/>
      <c r="U8" s="280" t="n"/>
    </row>
    <row r="9">
      <c r="A9" s="280" t="b">
        <v>0</v>
      </c>
      <c r="B9" s="272">
        <f>ROW()-1</f>
        <v/>
      </c>
      <c r="C9" s="286">
        <f>_xlfn.XLOOKUP($D9,Tab_Def_Processes[Name(EN)],Tab_Def_Processes[ID],,0,)</f>
        <v/>
      </c>
      <c r="D9" s="189" t="inlineStr">
        <is>
          <t>Grain Processing &amp; Consumption</t>
        </is>
      </c>
      <c r="E9" s="272">
        <f>_xlfn.XLOOKUP($D9,Tab_Def_Processes[Name(EN)],Tab_Def_Processes[Process_Type],,0,)</f>
        <v/>
      </c>
      <c r="F9" s="272">
        <f>_xlfn.XLOOKUP($D9,Tab_Def_Processes[Name(EN)],Tab_Def_Processes[TC?],,0,)</f>
        <v/>
      </c>
      <c r="G9" s="272">
        <f>_xlfn.XLOOKUP($D9,Tab_Def_Processes[Name(EN)],Tab_Def_Processes[Dyn_TC?],,0,)</f>
        <v/>
      </c>
      <c r="H9" s="272">
        <f>_xlfn.XLOOKUP($D9,Tab_Def_Processes[Name(EN)],Tab_Def_Processes[Stock?],,0,)</f>
        <v/>
      </c>
      <c r="I9" s="272">
        <f>_xlfn.XLOOKUP($D9,Tab_Def_Processes[Name(EN)],Tab_Def_Processes[Initial_Stock?],,0,)</f>
        <v/>
      </c>
      <c r="J9" s="272">
        <f>_xlfn.XLOOKUP($D9,Tab_Def_Processes[Name(EN)],Tab_Def_Processes[DSM?],,0,)</f>
        <v/>
      </c>
      <c r="K9" s="272">
        <f>_xlfn.XLOOKUP($D9,Tab_Def_Processes[Name(EN)],Tab_Def_Processes[FOMP?],,0,)</f>
        <v/>
      </c>
      <c r="L9" s="272">
        <f>_xlfn.XLOOKUP($D9,Tab_Def_Processes[Name(EN)],Tab_Def_Processes[Nr. Outflows],,0,)</f>
        <v/>
      </c>
      <c r="M9" s="189" t="inlineStr">
        <is>
          <t>Food_Emissions_E</t>
        </is>
      </c>
      <c r="N9" s="175">
        <f>_xlfn.XLOOKUP($M9,Tab_Def_Flows[Name(EN)],Tab_Def_Flows[Flow_ID],,0,)</f>
        <v/>
      </c>
      <c r="O9" s="42">
        <f>"TC"&amp;"_"&amp;RIGHT(N9,5)</f>
        <v/>
      </c>
      <c r="P9" s="192" t="n">
        <v>0.5871999999999999</v>
      </c>
      <c r="Q9" s="280" t="n"/>
      <c r="R9" s="280" t="n"/>
      <c r="S9" s="280" t="n"/>
      <c r="T9" s="280" t="n"/>
      <c r="U9" s="280" t="n"/>
    </row>
    <row r="10">
      <c r="A10" s="280" t="b">
        <v>0</v>
      </c>
      <c r="B10" s="272">
        <f>ROW()-1</f>
        <v/>
      </c>
      <c r="C10" s="286">
        <f>_xlfn.XLOOKUP($D10,Tab_Def_Processes[Name(EN)],Tab_Def_Processes[ID],,0,)</f>
        <v/>
      </c>
      <c r="D10" s="189" t="inlineStr">
        <is>
          <t>Animal bedding</t>
        </is>
      </c>
      <c r="E10" s="272">
        <f>_xlfn.XLOOKUP($D10,Tab_Def_Processes[Name(EN)],Tab_Def_Processes[Process_Type],,0,)</f>
        <v/>
      </c>
      <c r="F10" s="272">
        <f>_xlfn.XLOOKUP($D10,Tab_Def_Processes[Name(EN)],Tab_Def_Processes[TC?],,0,)</f>
        <v/>
      </c>
      <c r="G10" s="272">
        <f>_xlfn.XLOOKUP($D10,Tab_Def_Processes[Name(EN)],Tab_Def_Processes[Dyn_TC?],,0,)</f>
        <v/>
      </c>
      <c r="H10" s="272">
        <f>_xlfn.XLOOKUP($D10,Tab_Def_Processes[Name(EN)],Tab_Def_Processes[Stock?],,0,)</f>
        <v/>
      </c>
      <c r="I10" s="272">
        <f>_xlfn.XLOOKUP($D10,Tab_Def_Processes[Name(EN)],Tab_Def_Processes[Initial_Stock?],,0,)</f>
        <v/>
      </c>
      <c r="J10" s="272">
        <f>_xlfn.XLOOKUP($D10,Tab_Def_Processes[Name(EN)],Tab_Def_Processes[DSM?],,0,)</f>
        <v/>
      </c>
      <c r="K10" s="272">
        <f>_xlfn.XLOOKUP($D10,Tab_Def_Processes[Name(EN)],Tab_Def_Processes[FOMP?],,0,)</f>
        <v/>
      </c>
      <c r="L10" s="272">
        <f>_xlfn.XLOOKUP($D10,Tab_Def_Processes[Name(EN)],Tab_Def_Processes[Nr. Outflows],,0,)</f>
        <v/>
      </c>
      <c r="M10" s="189" t="inlineStr">
        <is>
          <t>Animal bedding_Emissions_C</t>
        </is>
      </c>
      <c r="N10" s="175">
        <f>_xlfn.XLOOKUP($M10,Tab_Def_Flows[Name(EN)],Tab_Def_Flows[Flow_ID],,0,)</f>
        <v/>
      </c>
      <c r="O10" s="42">
        <f>"TC"&amp;"_"&amp;RIGHT(N10,5)</f>
        <v/>
      </c>
      <c r="P10" s="192" t="n">
        <v>0.4128</v>
      </c>
      <c r="Q10" s="280" t="n"/>
      <c r="R10" s="280" t="n"/>
      <c r="S10" s="280" t="n"/>
      <c r="T10" s="280" t="n"/>
      <c r="U10" s="280" t="n"/>
      <c r="AC10" s="34" t="n">
        <v>0.4128</v>
      </c>
    </row>
    <row r="11">
      <c r="A11" s="280" t="b">
        <v>0</v>
      </c>
      <c r="B11" s="272">
        <f>ROW()-1</f>
        <v/>
      </c>
      <c r="C11" s="286">
        <f>_xlfn.XLOOKUP($D11,Tab_Def_Processes[Name(EN)],Tab_Def_Processes[ID],,0,)</f>
        <v/>
      </c>
      <c r="D11" s="189" t="inlineStr">
        <is>
          <t>Animal bedding</t>
        </is>
      </c>
      <c r="E11" s="272">
        <f>_xlfn.XLOOKUP($D11,Tab_Def_Processes[Name(EN)],Tab_Def_Processes[Process_Type],,0,)</f>
        <v/>
      </c>
      <c r="F11" s="272">
        <f>_xlfn.XLOOKUP($D11,Tab_Def_Processes[Name(EN)],Tab_Def_Processes[TC?],,0,)</f>
        <v/>
      </c>
      <c r="G11" s="272">
        <f>_xlfn.XLOOKUP($D11,Tab_Def_Processes[Name(EN)],Tab_Def_Processes[Dyn_TC?],,0,)</f>
        <v/>
      </c>
      <c r="H11" s="272">
        <f>_xlfn.XLOOKUP($D11,Tab_Def_Processes[Name(EN)],Tab_Def_Processes[Stock?],,0,)</f>
        <v/>
      </c>
      <c r="I11" s="272">
        <f>_xlfn.XLOOKUP($D11,Tab_Def_Processes[Name(EN)],Tab_Def_Processes[Initial_Stock?],,0,)</f>
        <v/>
      </c>
      <c r="J11" s="272">
        <f>_xlfn.XLOOKUP($D11,Tab_Def_Processes[Name(EN)],Tab_Def_Processes[DSM?],,0,)</f>
        <v/>
      </c>
      <c r="K11" s="272">
        <f>_xlfn.XLOOKUP($D11,Tab_Def_Processes[Name(EN)],Tab_Def_Processes[FOMP?],,0,)</f>
        <v/>
      </c>
      <c r="L11" s="272">
        <f>_xlfn.XLOOKUP($D11,Tab_Def_Processes[Name(EN)],Tab_Def_Processes[Nr. Outflows],,0,)</f>
        <v/>
      </c>
      <c r="M11" s="189" t="inlineStr">
        <is>
          <t>Animal bedding_Emissions_E</t>
        </is>
      </c>
      <c r="N11" s="175">
        <f>_xlfn.XLOOKUP($M11,Tab_Def_Flows[Name(EN)],Tab_Def_Flows[Flow_ID],,0,)</f>
        <v/>
      </c>
      <c r="O11" s="42">
        <f>"TC"&amp;"_"&amp;RIGHT(N11,5)</f>
        <v/>
      </c>
      <c r="P11" s="192" t="n">
        <v>0.5872000000000001</v>
      </c>
      <c r="Q11" s="280" t="n"/>
      <c r="R11" s="280" t="n"/>
      <c r="S11" s="280" t="n"/>
      <c r="T11" s="280" t="n"/>
      <c r="U11" s="280" t="n"/>
      <c r="AC11" s="201">
        <f>1-AC10</f>
        <v/>
      </c>
    </row>
    <row r="12">
      <c r="A12" s="280" t="b">
        <v>0</v>
      </c>
      <c r="B12" s="272">
        <f>ROW()-1</f>
        <v/>
      </c>
      <c r="C12" s="286">
        <f>_xlfn.XLOOKUP($D12,Tab_Def_Processes[Name(EN)],Tab_Def_Processes[ID],,0,)</f>
        <v/>
      </c>
      <c r="D12" s="189" t="inlineStr">
        <is>
          <t>Direct Incorporation</t>
        </is>
      </c>
      <c r="E12" s="272">
        <f>_xlfn.XLOOKUP($D12,Tab_Def_Processes[Name(EN)],Tab_Def_Processes[Process_Type],,0,)</f>
        <v/>
      </c>
      <c r="F12" s="272">
        <f>_xlfn.XLOOKUP($D12,Tab_Def_Processes[Name(EN)],Tab_Def_Processes[TC?],,0,)</f>
        <v/>
      </c>
      <c r="G12" s="272">
        <f>_xlfn.XLOOKUP($D12,Tab_Def_Processes[Name(EN)],Tab_Def_Processes[Dyn_TC?],,0,)</f>
        <v/>
      </c>
      <c r="H12" s="272">
        <f>_xlfn.XLOOKUP($D12,Tab_Def_Processes[Name(EN)],Tab_Def_Processes[Stock?],,0,)</f>
        <v/>
      </c>
      <c r="I12" s="272">
        <f>_xlfn.XLOOKUP($D12,Tab_Def_Processes[Name(EN)],Tab_Def_Processes[Initial_Stock?],,0,)</f>
        <v/>
      </c>
      <c r="J12" s="272">
        <f>_xlfn.XLOOKUP($D12,Tab_Def_Processes[Name(EN)],Tab_Def_Processes[DSM?],,0,)</f>
        <v/>
      </c>
      <c r="K12" s="272">
        <f>_xlfn.XLOOKUP($D12,Tab_Def_Processes[Name(EN)],Tab_Def_Processes[FOMP?],,0,)</f>
        <v/>
      </c>
      <c r="L12" s="272">
        <f>_xlfn.XLOOKUP($D12,Tab_Def_Processes[Name(EN)],Tab_Def_Processes[Nr. Outflows],,0,)</f>
        <v/>
      </c>
      <c r="M12" s="189" t="inlineStr">
        <is>
          <t>Straw_lithosphere</t>
        </is>
      </c>
      <c r="N12" s="175">
        <f>_xlfn.XLOOKUP($M12,Tab_Def_Flows[Name(EN)],Tab_Def_Flows[Flow_ID],,0,)</f>
        <v/>
      </c>
      <c r="O12" s="42">
        <f>"TC"&amp;"_"&amp;RIGHT(N12,5)</f>
        <v/>
      </c>
      <c r="P12" s="192" t="n">
        <v>1</v>
      </c>
      <c r="Q12" s="280" t="n"/>
      <c r="R12" s="280" t="n"/>
      <c r="S12" s="280" t="n"/>
      <c r="T12" s="280" t="n"/>
      <c r="U12" s="280" t="n"/>
    </row>
    <row r="13">
      <c r="A13" s="280" t="b">
        <v>0</v>
      </c>
      <c r="B13" s="272">
        <f>ROW()-1</f>
        <v/>
      </c>
      <c r="C13" s="286">
        <f>_xlfn.XLOOKUP($D13,Tab_Def_Processes[Name(EN)],Tab_Def_Processes[ID],,0,)</f>
        <v/>
      </c>
      <c r="D13" s="189" t="inlineStr">
        <is>
          <t>Lithosphere (DI)</t>
        </is>
      </c>
      <c r="E13" s="272">
        <f>_xlfn.XLOOKUP($D13,Tab_Def_Processes[Name(EN)],Tab_Def_Processes[Process_Type],,0,)</f>
        <v/>
      </c>
      <c r="F13" s="272">
        <f>_xlfn.XLOOKUP($D13,Tab_Def_Processes[Name(EN)],Tab_Def_Processes[TC?],,0,)</f>
        <v/>
      </c>
      <c r="G13" s="272">
        <f>_xlfn.XLOOKUP($D13,Tab_Def_Processes[Name(EN)],Tab_Def_Processes[Dyn_TC?],,0,)</f>
        <v/>
      </c>
      <c r="H13" s="272">
        <f>_xlfn.XLOOKUP($D13,Tab_Def_Processes[Name(EN)],Tab_Def_Processes[Stock?],,0,)</f>
        <v/>
      </c>
      <c r="I13" s="272">
        <f>_xlfn.XLOOKUP($D13,Tab_Def_Processes[Name(EN)],Tab_Def_Processes[Initial_Stock?],,0,)</f>
        <v/>
      </c>
      <c r="J13" s="272">
        <f>_xlfn.XLOOKUP($D13,Tab_Def_Processes[Name(EN)],Tab_Def_Processes[DSM?],,0,)</f>
        <v/>
      </c>
      <c r="K13" s="272">
        <f>_xlfn.XLOOKUP($D13,Tab_Def_Processes[Name(EN)],Tab_Def_Processes[FOMP?],,0,)</f>
        <v/>
      </c>
      <c r="L13" s="272">
        <f>_xlfn.XLOOKUP($D13,Tab_Def_Processes[Name(EN)],Tab_Def_Processes[Nr. Outflows],,0,)</f>
        <v/>
      </c>
      <c r="M13" s="189" t="inlineStr">
        <is>
          <t>Lithosphere(DI)_Emissions_C</t>
        </is>
      </c>
      <c r="N13" s="175">
        <f>_xlfn.XLOOKUP($M13,Tab_Def_Flows[Name(EN)],Tab_Def_Flows[Flow_ID],,0,)</f>
        <v/>
      </c>
      <c r="O13" s="42">
        <f>"TC"&amp;"_"&amp;RIGHT(N13,5)</f>
        <v/>
      </c>
      <c r="P13" s="192" t="n">
        <v>0.4128</v>
      </c>
      <c r="Q13" s="280" t="n"/>
      <c r="R13" s="280" t="n"/>
      <c r="S13" s="280" t="n"/>
      <c r="T13" s="280" t="n"/>
      <c r="U13" s="280" t="n"/>
    </row>
    <row r="14">
      <c r="A14" s="280" t="b">
        <v>0</v>
      </c>
      <c r="B14" s="272">
        <f>ROW()-1</f>
        <v/>
      </c>
      <c r="C14" s="286">
        <f>_xlfn.XLOOKUP($D14,Tab_Def_Processes[Name(EN)],Tab_Def_Processes[ID],,0,)</f>
        <v/>
      </c>
      <c r="D14" s="189" t="inlineStr">
        <is>
          <t>Lithosphere (DI)</t>
        </is>
      </c>
      <c r="E14" s="272">
        <f>_xlfn.XLOOKUP($D14,Tab_Def_Processes[Name(EN)],Tab_Def_Processes[Process_Type],,0,)</f>
        <v/>
      </c>
      <c r="F14" s="272">
        <f>_xlfn.XLOOKUP($D14,Tab_Def_Processes[Name(EN)],Tab_Def_Processes[TC?],,0,)</f>
        <v/>
      </c>
      <c r="G14" s="272">
        <f>_xlfn.XLOOKUP($D14,Tab_Def_Processes[Name(EN)],Tab_Def_Processes[Dyn_TC?],,0,)</f>
        <v/>
      </c>
      <c r="H14" s="272">
        <f>_xlfn.XLOOKUP($D14,Tab_Def_Processes[Name(EN)],Tab_Def_Processes[Stock?],,0,)</f>
        <v/>
      </c>
      <c r="I14" s="272">
        <f>_xlfn.XLOOKUP($D14,Tab_Def_Processes[Name(EN)],Tab_Def_Processes[Initial_Stock?],,0,)</f>
        <v/>
      </c>
      <c r="J14" s="272">
        <f>_xlfn.XLOOKUP($D14,Tab_Def_Processes[Name(EN)],Tab_Def_Processes[DSM?],,0,)</f>
        <v/>
      </c>
      <c r="K14" s="272">
        <f>_xlfn.XLOOKUP($D14,Tab_Def_Processes[Name(EN)],Tab_Def_Processes[FOMP?],,0,)</f>
        <v/>
      </c>
      <c r="L14" s="272">
        <f>_xlfn.XLOOKUP($D14,Tab_Def_Processes[Name(EN)],Tab_Def_Processes[Nr. Outflows],,0,)</f>
        <v/>
      </c>
      <c r="M14" s="189" t="inlineStr">
        <is>
          <t>Lithosphere(DI)_Emissions_E</t>
        </is>
      </c>
      <c r="N14" s="175">
        <f>_xlfn.XLOOKUP($M14,Tab_Def_Flows[Name(EN)],Tab_Def_Flows[Flow_ID],,0,)</f>
        <v/>
      </c>
      <c r="O14" s="42">
        <f>"TC"&amp;"_"&amp;RIGHT(N14,5)</f>
        <v/>
      </c>
      <c r="P14" s="192" t="n">
        <v>0.5871999999999999</v>
      </c>
      <c r="Q14" s="280" t="n"/>
      <c r="R14" s="280" t="n"/>
      <c r="S14" s="280" t="n"/>
      <c r="T14" s="280" t="n"/>
      <c r="U14" s="280" t="n"/>
    </row>
    <row r="15">
      <c r="A15" s="280" t="b">
        <v>0</v>
      </c>
      <c r="B15" s="272">
        <f>ROW()-1</f>
        <v/>
      </c>
      <c r="C15" s="286">
        <f>_xlfn.XLOOKUP($D15,Tab_Def_Processes[Name(EN)],Tab_Def_Processes[ID],,0,)</f>
        <v/>
      </c>
      <c r="D15" s="189" t="inlineStr">
        <is>
          <t>Compostation &amp; Incorporation</t>
        </is>
      </c>
      <c r="E15" s="272">
        <f>_xlfn.XLOOKUP($D15,Tab_Def_Processes[Name(EN)],Tab_Def_Processes[Process_Type],,0,)</f>
        <v/>
      </c>
      <c r="F15" s="272">
        <f>_xlfn.XLOOKUP($D15,Tab_Def_Processes[Name(EN)],Tab_Def_Processes[TC?],,0,)</f>
        <v/>
      </c>
      <c r="G15" s="272">
        <f>_xlfn.XLOOKUP($D15,Tab_Def_Processes[Name(EN)],Tab_Def_Processes[Dyn_TC?],,0,)</f>
        <v/>
      </c>
      <c r="H15" s="272">
        <f>_xlfn.XLOOKUP($D15,Tab_Def_Processes[Name(EN)],Tab_Def_Processes[Stock?],,0,)</f>
        <v/>
      </c>
      <c r="I15" s="272">
        <f>_xlfn.XLOOKUP($D15,Tab_Def_Processes[Name(EN)],Tab_Def_Processes[Initial_Stock?],,0,)</f>
        <v/>
      </c>
      <c r="J15" s="272">
        <f>_xlfn.XLOOKUP($D15,Tab_Def_Processes[Name(EN)],Tab_Def_Processes[DSM?],,0,)</f>
        <v/>
      </c>
      <c r="K15" s="272">
        <f>_xlfn.XLOOKUP($D15,Tab_Def_Processes[Name(EN)],Tab_Def_Processes[FOMP?],,0,)</f>
        <v/>
      </c>
      <c r="L15" s="272">
        <f>_xlfn.XLOOKUP($D15,Tab_Def_Processes[Name(EN)],Tab_Def_Processes[Nr. Outflows],,0,)</f>
        <v/>
      </c>
      <c r="M15" s="189" t="inlineStr">
        <is>
          <t>Compost_Emissions_C</t>
        </is>
      </c>
      <c r="N15" s="175">
        <f>_xlfn.XLOOKUP($M15,Tab_Def_Flows[Name(EN)],Tab_Def_Flows[Flow_ID],,0,)</f>
        <v/>
      </c>
      <c r="O15" s="42">
        <f>"TC"&amp;"_"&amp;RIGHT(N15,5)</f>
        <v/>
      </c>
      <c r="P15" s="192" t="n">
        <v>0.25</v>
      </c>
      <c r="Q15" s="280" t="n"/>
      <c r="R15" s="280" t="n"/>
      <c r="S15" s="280" t="n"/>
      <c r="T15" s="280" t="n"/>
      <c r="U15" s="280" t="n"/>
    </row>
    <row r="16">
      <c r="A16" s="280" t="b">
        <v>0</v>
      </c>
      <c r="B16" s="272">
        <f>ROW()-1</f>
        <v/>
      </c>
      <c r="C16" s="286">
        <f>_xlfn.XLOOKUP($D16,Tab_Def_Processes[Name(EN)],Tab_Def_Processes[ID],,0,)</f>
        <v/>
      </c>
      <c r="D16" s="189" t="inlineStr">
        <is>
          <t>Compostation &amp; Incorporation</t>
        </is>
      </c>
      <c r="E16" s="272">
        <f>_xlfn.XLOOKUP($D16,Tab_Def_Processes[Name(EN)],Tab_Def_Processes[Process_Type],,0,)</f>
        <v/>
      </c>
      <c r="F16" s="272">
        <f>_xlfn.XLOOKUP($D16,Tab_Def_Processes[Name(EN)],Tab_Def_Processes[TC?],,0,)</f>
        <v/>
      </c>
      <c r="G16" s="272">
        <f>_xlfn.XLOOKUP($D16,Tab_Def_Processes[Name(EN)],Tab_Def_Processes[Dyn_TC?],,0,)</f>
        <v/>
      </c>
      <c r="H16" s="272">
        <f>_xlfn.XLOOKUP($D16,Tab_Def_Processes[Name(EN)],Tab_Def_Processes[Stock?],,0,)</f>
        <v/>
      </c>
      <c r="I16" s="272">
        <f>_xlfn.XLOOKUP($D16,Tab_Def_Processes[Name(EN)],Tab_Def_Processes[Initial_Stock?],,0,)</f>
        <v/>
      </c>
      <c r="J16" s="272">
        <f>_xlfn.XLOOKUP($D16,Tab_Def_Processes[Name(EN)],Tab_Def_Processes[DSM?],,0,)</f>
        <v/>
      </c>
      <c r="K16" s="272">
        <f>_xlfn.XLOOKUP($D16,Tab_Def_Processes[Name(EN)],Tab_Def_Processes[FOMP?],,0,)</f>
        <v/>
      </c>
      <c r="L16" s="272">
        <f>_xlfn.XLOOKUP($D16,Tab_Def_Processes[Name(EN)],Tab_Def_Processes[Nr. Outflows],,0,)</f>
        <v/>
      </c>
      <c r="M16" s="189" t="inlineStr">
        <is>
          <t>Compost_Emissions_E</t>
        </is>
      </c>
      <c r="N16" s="175">
        <f>_xlfn.XLOOKUP($M16,Tab_Def_Flows[Name(EN)],Tab_Def_Flows[Flow_ID],,0,)</f>
        <v/>
      </c>
      <c r="O16" s="42">
        <f>"TC"&amp;"_"&amp;RIGHT(N16,5)</f>
        <v/>
      </c>
      <c r="P16" s="192" t="n">
        <v>0.5</v>
      </c>
      <c r="Q16" s="280" t="n"/>
      <c r="R16" s="280" t="n"/>
      <c r="S16" s="280" t="n"/>
      <c r="T16" s="280" t="n"/>
      <c r="U16" s="280" t="n"/>
    </row>
    <row r="17">
      <c r="A17" s="280" t="b">
        <v>0</v>
      </c>
      <c r="B17" s="272">
        <f>ROW()-1</f>
        <v/>
      </c>
      <c r="C17" s="286">
        <f>_xlfn.XLOOKUP($D17,Tab_Def_Processes[Name(EN)],Tab_Def_Processes[ID],,0,)</f>
        <v/>
      </c>
      <c r="D17" s="189" t="inlineStr">
        <is>
          <t>Compostation &amp; Incorporation</t>
        </is>
      </c>
      <c r="E17" s="272">
        <f>_xlfn.XLOOKUP($D17,Tab_Def_Processes[Name(EN)],Tab_Def_Processes[Process_Type],,0,)</f>
        <v/>
      </c>
      <c r="F17" s="272">
        <f>_xlfn.XLOOKUP($D17,Tab_Def_Processes[Name(EN)],Tab_Def_Processes[TC?],,0,)</f>
        <v/>
      </c>
      <c r="G17" s="272">
        <f>_xlfn.XLOOKUP($D17,Tab_Def_Processes[Name(EN)],Tab_Def_Processes[Dyn_TC?],,0,)</f>
        <v/>
      </c>
      <c r="H17" s="272">
        <f>_xlfn.XLOOKUP($D17,Tab_Def_Processes[Name(EN)],Tab_Def_Processes[Stock?],,0,)</f>
        <v/>
      </c>
      <c r="I17" s="272">
        <f>_xlfn.XLOOKUP($D17,Tab_Def_Processes[Name(EN)],Tab_Def_Processes[Initial_Stock?],,0,)</f>
        <v/>
      </c>
      <c r="J17" s="272">
        <f>_xlfn.XLOOKUP($D17,Tab_Def_Processes[Name(EN)],Tab_Def_Processes[DSM?],,0,)</f>
        <v/>
      </c>
      <c r="K17" s="272">
        <f>_xlfn.XLOOKUP($D17,Tab_Def_Processes[Name(EN)],Tab_Def_Processes[FOMP?],,0,)</f>
        <v/>
      </c>
      <c r="L17" s="272">
        <f>_xlfn.XLOOKUP($D17,Tab_Def_Processes[Name(EN)],Tab_Def_Processes[Nr. Outflows],,0,)</f>
        <v/>
      </c>
      <c r="M17" s="189" t="inlineStr">
        <is>
          <t>Compost_lithosphere</t>
        </is>
      </c>
      <c r="N17" s="175">
        <f>_xlfn.XLOOKUP($M17,Tab_Def_Flows[Name(EN)],Tab_Def_Flows[Flow_ID],,0,)</f>
        <v/>
      </c>
      <c r="O17" s="42">
        <f>"TC"&amp;"_"&amp;RIGHT(N17,5)</f>
        <v/>
      </c>
      <c r="P17" s="192" t="n">
        <v>0.25</v>
      </c>
      <c r="Q17" s="280" t="n"/>
      <c r="R17" s="280" t="n"/>
      <c r="S17" s="280" t="n"/>
      <c r="T17" s="280" t="n"/>
      <c r="U17" s="280" t="n"/>
    </row>
    <row r="18">
      <c r="A18" s="280" t="b">
        <v>0</v>
      </c>
      <c r="B18" s="272">
        <f>ROW()-1</f>
        <v/>
      </c>
      <c r="C18" s="286">
        <f>_xlfn.XLOOKUP($D18,Tab_Def_Processes[Name(EN)],Tab_Def_Processes[ID],,0,)</f>
        <v/>
      </c>
      <c r="D18" s="189" t="inlineStr">
        <is>
          <t>Lithosphere (C&amp;I)</t>
        </is>
      </c>
      <c r="E18" s="272">
        <f>_xlfn.XLOOKUP($D18,Tab_Def_Processes[Name(EN)],Tab_Def_Processes[Process_Type],,0,)</f>
        <v/>
      </c>
      <c r="F18" s="272">
        <f>_xlfn.XLOOKUP($D18,Tab_Def_Processes[Name(EN)],Tab_Def_Processes[TC?],,0,)</f>
        <v/>
      </c>
      <c r="G18" s="272">
        <f>_xlfn.XLOOKUP($D18,Tab_Def_Processes[Name(EN)],Tab_Def_Processes[Dyn_TC?],,0,)</f>
        <v/>
      </c>
      <c r="H18" s="272">
        <f>_xlfn.XLOOKUP($D18,Tab_Def_Processes[Name(EN)],Tab_Def_Processes[Stock?],,0,)</f>
        <v/>
      </c>
      <c r="I18" s="272">
        <f>_xlfn.XLOOKUP($D18,Tab_Def_Processes[Name(EN)],Tab_Def_Processes[Initial_Stock?],,0,)</f>
        <v/>
      </c>
      <c r="J18" s="272">
        <f>_xlfn.XLOOKUP($D18,Tab_Def_Processes[Name(EN)],Tab_Def_Processes[DSM?],,0,)</f>
        <v/>
      </c>
      <c r="K18" s="272">
        <f>_xlfn.XLOOKUP($D18,Tab_Def_Processes[Name(EN)],Tab_Def_Processes[FOMP?],,0,)</f>
        <v/>
      </c>
      <c r="L18" s="272">
        <f>_xlfn.XLOOKUP($D18,Tab_Def_Processes[Name(EN)],Tab_Def_Processes[Nr. Outflows],,0,)</f>
        <v/>
      </c>
      <c r="M18" s="189" t="inlineStr">
        <is>
          <t>Lithosphere(CI)_Emissions_C</t>
        </is>
      </c>
      <c r="N18" s="175">
        <f>_xlfn.XLOOKUP($M18,Tab_Def_Flows[Name(EN)],Tab_Def_Flows[Flow_ID],,0,)</f>
        <v/>
      </c>
      <c r="O18" s="42">
        <f>"TC"&amp;"_"&amp;RIGHT(N18,5)</f>
        <v/>
      </c>
      <c r="P18" s="192" t="n">
        <v>0.25</v>
      </c>
      <c r="Q18" s="280" t="n"/>
      <c r="R18" s="280" t="n"/>
      <c r="S18" s="280" t="n"/>
      <c r="T18" s="280" t="n"/>
      <c r="U18" s="280" t="n"/>
    </row>
    <row r="19">
      <c r="A19" s="280" t="b">
        <v>0</v>
      </c>
      <c r="B19" s="272">
        <f>ROW()-1</f>
        <v/>
      </c>
      <c r="C19" s="286">
        <f>_xlfn.XLOOKUP($D19,Tab_Def_Processes[Name(EN)],Tab_Def_Processes[ID],,0,)</f>
        <v/>
      </c>
      <c r="D19" s="189" t="inlineStr">
        <is>
          <t>Lithosphere (C&amp;I)</t>
        </is>
      </c>
      <c r="E19" s="272">
        <f>_xlfn.XLOOKUP($D19,Tab_Def_Processes[Name(EN)],Tab_Def_Processes[Process_Type],,0,)</f>
        <v/>
      </c>
      <c r="F19" s="272">
        <f>_xlfn.XLOOKUP($D19,Tab_Def_Processes[Name(EN)],Tab_Def_Processes[TC?],,0,)</f>
        <v/>
      </c>
      <c r="G19" s="272">
        <f>_xlfn.XLOOKUP($D19,Tab_Def_Processes[Name(EN)],Tab_Def_Processes[Dyn_TC?],,0,)</f>
        <v/>
      </c>
      <c r="H19" s="272">
        <f>_xlfn.XLOOKUP($D19,Tab_Def_Processes[Name(EN)],Tab_Def_Processes[Stock?],,0,)</f>
        <v/>
      </c>
      <c r="I19" s="272">
        <f>_xlfn.XLOOKUP($D19,Tab_Def_Processes[Name(EN)],Tab_Def_Processes[Initial_Stock?],,0,)</f>
        <v/>
      </c>
      <c r="J19" s="272">
        <f>_xlfn.XLOOKUP($D19,Tab_Def_Processes[Name(EN)],Tab_Def_Processes[DSM?],,0,)</f>
        <v/>
      </c>
      <c r="K19" s="272">
        <f>_xlfn.XLOOKUP($D19,Tab_Def_Processes[Name(EN)],Tab_Def_Processes[FOMP?],,0,)</f>
        <v/>
      </c>
      <c r="L19" s="272">
        <f>_xlfn.XLOOKUP($D19,Tab_Def_Processes[Name(EN)],Tab_Def_Processes[Nr. Outflows],,0,)</f>
        <v/>
      </c>
      <c r="M19" s="189" t="inlineStr">
        <is>
          <t>Lithosphere(CI)_Emissions_E</t>
        </is>
      </c>
      <c r="N19" s="175">
        <f>_xlfn.XLOOKUP($M19,Tab_Def_Flows[Name(EN)],Tab_Def_Flows[Flow_ID],,0,)</f>
        <v/>
      </c>
      <c r="O19" s="42">
        <f>"TC"&amp;"_"&amp;RIGHT(N19,5)</f>
        <v/>
      </c>
      <c r="P19" s="192" t="n">
        <v>0.75</v>
      </c>
      <c r="Q19" s="280" t="n"/>
      <c r="R19" s="280" t="n"/>
      <c r="S19" s="280" t="n"/>
      <c r="T19" s="280" t="n"/>
      <c r="U19" s="280" t="n"/>
    </row>
    <row r="20">
      <c r="A20" s="280" t="b">
        <v>0</v>
      </c>
      <c r="B20" s="272">
        <f>ROW()-1</f>
        <v/>
      </c>
      <c r="C20" s="286">
        <f>_xlfn.XLOOKUP($D20,Tab_Def_Processes[Name(EN)],Tab_Def_Processes[ID],,0,)</f>
        <v/>
      </c>
      <c r="D20" s="189" t="inlineStr">
        <is>
          <t>N.A.</t>
        </is>
      </c>
      <c r="E20" s="272">
        <f>_xlfn.XLOOKUP($D20,Tab_Def_Processes[Name(EN)],Tab_Def_Processes[Process_Type],,0,)</f>
        <v/>
      </c>
      <c r="F20" s="272">
        <f>_xlfn.XLOOKUP($D20,Tab_Def_Processes[Name(EN)],Tab_Def_Processes[TC?],,0,)</f>
        <v/>
      </c>
      <c r="G20" s="272">
        <f>_xlfn.XLOOKUP($D20,Tab_Def_Processes[Name(EN)],Tab_Def_Processes[Dyn_TC?],,0,)</f>
        <v/>
      </c>
      <c r="H20" s="272">
        <f>_xlfn.XLOOKUP($D20,Tab_Def_Processes[Name(EN)],Tab_Def_Processes[Stock?],,0,)</f>
        <v/>
      </c>
      <c r="I20" s="272">
        <f>_xlfn.XLOOKUP($D20,Tab_Def_Processes[Name(EN)],Tab_Def_Processes[Initial_Stock?],,0,)</f>
        <v/>
      </c>
      <c r="J20" s="272">
        <f>_xlfn.XLOOKUP($D20,Tab_Def_Processes[Name(EN)],Tab_Def_Processes[DSM?],,0,)</f>
        <v/>
      </c>
      <c r="K20" s="272">
        <f>_xlfn.XLOOKUP($D20,Tab_Def_Processes[Name(EN)],Tab_Def_Processes[FOMP?],,0,)</f>
        <v/>
      </c>
      <c r="L20" s="272">
        <f>_xlfn.XLOOKUP($D20,Tab_Def_Processes[Name(EN)],Tab_Def_Processes[Nr. Outflows],,0,)</f>
        <v/>
      </c>
      <c r="M20" s="189" t="n"/>
      <c r="N20" s="175">
        <f>_xlfn.XLOOKUP($M20,Tab_Def_Flows[Name(EN)],Tab_Def_Flows[Flow_ID],,0,)</f>
        <v/>
      </c>
      <c r="O20" s="42">
        <f>"TC"&amp;"_"&amp;RIGHT(N20,5)</f>
        <v/>
      </c>
      <c r="P20" s="192" t="n"/>
      <c r="Q20" s="280" t="n"/>
      <c r="R20" s="280" t="n"/>
      <c r="S20" s="280" t="n"/>
      <c r="T20" s="280" t="n"/>
      <c r="U20" s="280" t="n"/>
    </row>
    <row r="21">
      <c r="A21" s="280" t="b">
        <v>0</v>
      </c>
      <c r="B21" s="272">
        <f>ROW()-1</f>
        <v/>
      </c>
      <c r="C21" s="286">
        <f>_xlfn.XLOOKUP($D21,Tab_Def_Processes[Name(EN)],Tab_Def_Processes[ID],,0,)</f>
        <v/>
      </c>
      <c r="D21" s="189" t="inlineStr">
        <is>
          <t>N.A.</t>
        </is>
      </c>
      <c r="E21" s="272">
        <f>_xlfn.XLOOKUP($D21,Tab_Def_Processes[Name(EN)],Tab_Def_Processes[Process_Type],,0,)</f>
        <v/>
      </c>
      <c r="F21" s="272">
        <f>_xlfn.XLOOKUP($D21,Tab_Def_Processes[Name(EN)],Tab_Def_Processes[TC?],,0,)</f>
        <v/>
      </c>
      <c r="G21" s="272">
        <f>_xlfn.XLOOKUP($D21,Tab_Def_Processes[Name(EN)],Tab_Def_Processes[Dyn_TC?],,0,)</f>
        <v/>
      </c>
      <c r="H21" s="272">
        <f>_xlfn.XLOOKUP($D21,Tab_Def_Processes[Name(EN)],Tab_Def_Processes[Stock?],,0,)</f>
        <v/>
      </c>
      <c r="I21" s="272">
        <f>_xlfn.XLOOKUP($D21,Tab_Def_Processes[Name(EN)],Tab_Def_Processes[Initial_Stock?],,0,)</f>
        <v/>
      </c>
      <c r="J21" s="272">
        <f>_xlfn.XLOOKUP($D21,Tab_Def_Processes[Name(EN)],Tab_Def_Processes[DSM?],,0,)</f>
        <v/>
      </c>
      <c r="K21" s="272">
        <f>_xlfn.XLOOKUP($D21,Tab_Def_Processes[Name(EN)],Tab_Def_Processes[FOMP?],,0,)</f>
        <v/>
      </c>
      <c r="L21" s="272">
        <f>_xlfn.XLOOKUP($D21,Tab_Def_Processes[Name(EN)],Tab_Def_Processes[Nr. Outflows],,0,)</f>
        <v/>
      </c>
      <c r="M21" s="189" t="n"/>
      <c r="N21" s="175">
        <f>_xlfn.XLOOKUP($M21,Tab_Def_Flows[Name(EN)],Tab_Def_Flows[Flow_ID],,0,)</f>
        <v/>
      </c>
      <c r="O21" s="42">
        <f>"TC"&amp;"_"&amp;RIGHT(N21,5)</f>
        <v/>
      </c>
      <c r="P21" s="192" t="n"/>
      <c r="Q21" s="280" t="n"/>
      <c r="R21" s="280" t="n"/>
      <c r="S21" s="280" t="n"/>
      <c r="T21" s="280" t="n"/>
      <c r="U21" s="280" t="n"/>
    </row>
    <row r="22">
      <c r="A22" s="280" t="b">
        <v>0</v>
      </c>
      <c r="B22" s="272">
        <f>ROW()-1</f>
        <v/>
      </c>
      <c r="C22" s="286">
        <f>_xlfn.XLOOKUP($D22,Tab_Def_Processes[Name(EN)],Tab_Def_Processes[ID],,0,)</f>
        <v/>
      </c>
      <c r="D22" s="189" t="inlineStr">
        <is>
          <t>N.A.</t>
        </is>
      </c>
      <c r="E22" s="272">
        <f>_xlfn.XLOOKUP($D22,Tab_Def_Processes[Name(EN)],Tab_Def_Processes[Process_Type],,0,)</f>
        <v/>
      </c>
      <c r="F22" s="272">
        <f>_xlfn.XLOOKUP($D22,Tab_Def_Processes[Name(EN)],Tab_Def_Processes[TC?],,0,)</f>
        <v/>
      </c>
      <c r="G22" s="272">
        <f>_xlfn.XLOOKUP($D22,Tab_Def_Processes[Name(EN)],Tab_Def_Processes[Dyn_TC?],,0,)</f>
        <v/>
      </c>
      <c r="H22" s="272">
        <f>_xlfn.XLOOKUP($D22,Tab_Def_Processes[Name(EN)],Tab_Def_Processes[Stock?],,0,)</f>
        <v/>
      </c>
      <c r="I22" s="272">
        <f>_xlfn.XLOOKUP($D22,Tab_Def_Processes[Name(EN)],Tab_Def_Processes[Initial_Stock?],,0,)</f>
        <v/>
      </c>
      <c r="J22" s="272">
        <f>_xlfn.XLOOKUP($D22,Tab_Def_Processes[Name(EN)],Tab_Def_Processes[DSM?],,0,)</f>
        <v/>
      </c>
      <c r="K22" s="272">
        <f>_xlfn.XLOOKUP($D22,Tab_Def_Processes[Name(EN)],Tab_Def_Processes[FOMP?],,0,)</f>
        <v/>
      </c>
      <c r="L22" s="272">
        <f>_xlfn.XLOOKUP($D22,Tab_Def_Processes[Name(EN)],Tab_Def_Processes[Nr. Outflows],,0,)</f>
        <v/>
      </c>
      <c r="M22" s="189" t="n"/>
      <c r="N22" s="175">
        <f>_xlfn.XLOOKUP($M22,Tab_Def_Flows[Name(EN)],Tab_Def_Flows[Flow_ID],,0,)</f>
        <v/>
      </c>
      <c r="O22" s="42">
        <f>"TC"&amp;"_"&amp;RIGHT(N22,5)</f>
        <v/>
      </c>
      <c r="P22" s="192" t="n"/>
      <c r="Q22" s="280" t="n"/>
      <c r="R22" s="280" t="n"/>
      <c r="S22" s="280" t="n"/>
      <c r="T22" s="280" t="n"/>
      <c r="U22" s="280" t="n"/>
    </row>
    <row r="23">
      <c r="A23" s="280" t="b">
        <v>0</v>
      </c>
      <c r="B23" s="272">
        <f>ROW()-1</f>
        <v/>
      </c>
      <c r="C23" s="286">
        <f>_xlfn.XLOOKUP($D23,Tab_Def_Processes[Name(EN)],Tab_Def_Processes[ID],,0,)</f>
        <v/>
      </c>
      <c r="D23" s="189" t="inlineStr">
        <is>
          <t>N.A.</t>
        </is>
      </c>
      <c r="E23" s="272">
        <f>_xlfn.XLOOKUP($D23,Tab_Def_Processes[Name(EN)],Tab_Def_Processes[Process_Type],,0,)</f>
        <v/>
      </c>
      <c r="F23" s="272">
        <f>_xlfn.XLOOKUP($D23,Tab_Def_Processes[Name(EN)],Tab_Def_Processes[TC?],,0,)</f>
        <v/>
      </c>
      <c r="G23" s="272">
        <f>_xlfn.XLOOKUP($D23,Tab_Def_Processes[Name(EN)],Tab_Def_Processes[Dyn_TC?],,0,)</f>
        <v/>
      </c>
      <c r="H23" s="272">
        <f>_xlfn.XLOOKUP($D23,Tab_Def_Processes[Name(EN)],Tab_Def_Processes[Stock?],,0,)</f>
        <v/>
      </c>
      <c r="I23" s="272">
        <f>_xlfn.XLOOKUP($D23,Tab_Def_Processes[Name(EN)],Tab_Def_Processes[Initial_Stock?],,0,)</f>
        <v/>
      </c>
      <c r="J23" s="272">
        <f>_xlfn.XLOOKUP($D23,Tab_Def_Processes[Name(EN)],Tab_Def_Processes[DSM?],,0,)</f>
        <v/>
      </c>
      <c r="K23" s="272">
        <f>_xlfn.XLOOKUP($D23,Tab_Def_Processes[Name(EN)],Tab_Def_Processes[FOMP?],,0,)</f>
        <v/>
      </c>
      <c r="L23" s="272">
        <f>_xlfn.XLOOKUP($D23,Tab_Def_Processes[Name(EN)],Tab_Def_Processes[Nr. Outflows],,0,)</f>
        <v/>
      </c>
      <c r="M23" s="189" t="n"/>
      <c r="N23" s="175">
        <f>_xlfn.XLOOKUP($M23,Tab_Def_Flows[Name(EN)],Tab_Def_Flows[Flow_ID],,0,)</f>
        <v/>
      </c>
      <c r="O23" s="42">
        <f>"TC"&amp;"_"&amp;RIGHT(N23,5)</f>
        <v/>
      </c>
      <c r="P23" s="192" t="n"/>
      <c r="Q23" s="280" t="n"/>
      <c r="R23" s="280" t="n"/>
      <c r="S23" s="280" t="n"/>
      <c r="T23" s="280" t="n"/>
      <c r="U23" s="280" t="n"/>
    </row>
    <row r="24">
      <c r="A24" s="280" t="b">
        <v>0</v>
      </c>
      <c r="B24" s="272">
        <f>ROW()-1</f>
        <v/>
      </c>
      <c r="C24" s="286">
        <f>_xlfn.XLOOKUP($D24,Tab_Def_Processes[Name(EN)],Tab_Def_Processes[ID],,0,)</f>
        <v/>
      </c>
      <c r="D24" s="189" t="inlineStr">
        <is>
          <t>N.A.</t>
        </is>
      </c>
      <c r="E24" s="272">
        <f>_xlfn.XLOOKUP($D24,Tab_Def_Processes[Name(EN)],Tab_Def_Processes[Process_Type],,0,)</f>
        <v/>
      </c>
      <c r="F24" s="272">
        <f>_xlfn.XLOOKUP($D24,Tab_Def_Processes[Name(EN)],Tab_Def_Processes[TC?],,0,)</f>
        <v/>
      </c>
      <c r="G24" s="272">
        <f>_xlfn.XLOOKUP($D24,Tab_Def_Processes[Name(EN)],Tab_Def_Processes[Dyn_TC?],,0,)</f>
        <v/>
      </c>
      <c r="H24" s="272">
        <f>_xlfn.XLOOKUP($D24,Tab_Def_Processes[Name(EN)],Tab_Def_Processes[Stock?],,0,)</f>
        <v/>
      </c>
      <c r="I24" s="272">
        <f>_xlfn.XLOOKUP($D24,Tab_Def_Processes[Name(EN)],Tab_Def_Processes[Initial_Stock?],,0,)</f>
        <v/>
      </c>
      <c r="J24" s="272">
        <f>_xlfn.XLOOKUP($D24,Tab_Def_Processes[Name(EN)],Tab_Def_Processes[DSM?],,0,)</f>
        <v/>
      </c>
      <c r="K24" s="272">
        <f>_xlfn.XLOOKUP($D24,Tab_Def_Processes[Name(EN)],Tab_Def_Processes[FOMP?],,0,)</f>
        <v/>
      </c>
      <c r="L24" s="272">
        <f>_xlfn.XLOOKUP($D24,Tab_Def_Processes[Name(EN)],Tab_Def_Processes[Nr. Outflows],,0,)</f>
        <v/>
      </c>
      <c r="M24" s="189" t="n"/>
      <c r="N24" s="175">
        <f>_xlfn.XLOOKUP($M24,Tab_Def_Flows[Name(EN)],Tab_Def_Flows[Flow_ID],,0,)</f>
        <v/>
      </c>
      <c r="O24" s="42">
        <f>"TC"&amp;"_"&amp;RIGHT(N24,5)</f>
        <v/>
      </c>
      <c r="P24" s="192" t="n"/>
      <c r="Q24" s="280" t="n"/>
      <c r="R24" s="280" t="n"/>
      <c r="S24" s="280" t="n"/>
      <c r="T24" s="280" t="n"/>
      <c r="U24" s="280" t="n"/>
    </row>
    <row r="25">
      <c r="A25" s="280" t="b">
        <v>0</v>
      </c>
      <c r="B25" s="272">
        <f>ROW()-1</f>
        <v/>
      </c>
      <c r="C25" s="286">
        <f>_xlfn.XLOOKUP($D25,Tab_Def_Processes[Name(EN)],Tab_Def_Processes[ID],,0,)</f>
        <v/>
      </c>
      <c r="D25" s="189" t="inlineStr">
        <is>
          <t>N.A.</t>
        </is>
      </c>
      <c r="E25" s="272">
        <f>_xlfn.XLOOKUP($D25,Tab_Def_Processes[Name(EN)],Tab_Def_Processes[Process_Type],,0,)</f>
        <v/>
      </c>
      <c r="F25" s="272">
        <f>_xlfn.XLOOKUP($D25,Tab_Def_Processes[Name(EN)],Tab_Def_Processes[TC?],,0,)</f>
        <v/>
      </c>
      <c r="G25" s="272">
        <f>_xlfn.XLOOKUP($D25,Tab_Def_Processes[Name(EN)],Tab_Def_Processes[Dyn_TC?],,0,)</f>
        <v/>
      </c>
      <c r="H25" s="272">
        <f>_xlfn.XLOOKUP($D25,Tab_Def_Processes[Name(EN)],Tab_Def_Processes[Stock?],,0,)</f>
        <v/>
      </c>
      <c r="I25" s="272">
        <f>_xlfn.XLOOKUP($D25,Tab_Def_Processes[Name(EN)],Tab_Def_Processes[Initial_Stock?],,0,)</f>
        <v/>
      </c>
      <c r="J25" s="272">
        <f>_xlfn.XLOOKUP($D25,Tab_Def_Processes[Name(EN)],Tab_Def_Processes[DSM?],,0,)</f>
        <v/>
      </c>
      <c r="K25" s="272">
        <f>_xlfn.XLOOKUP($D25,Tab_Def_Processes[Name(EN)],Tab_Def_Processes[FOMP?],,0,)</f>
        <v/>
      </c>
      <c r="L25" s="272">
        <f>_xlfn.XLOOKUP($D25,Tab_Def_Processes[Name(EN)],Tab_Def_Processes[Nr. Outflows],,0,)</f>
        <v/>
      </c>
      <c r="M25" s="189" t="n"/>
      <c r="N25" s="175">
        <f>_xlfn.XLOOKUP($M25,Tab_Def_Flows[Name(EN)],Tab_Def_Flows[Flow_ID],,0,)</f>
        <v/>
      </c>
      <c r="O25" s="42">
        <f>"TC"&amp;"_"&amp;RIGHT(N25,5)</f>
        <v/>
      </c>
      <c r="P25" s="192" t="n"/>
      <c r="Q25" s="280" t="n"/>
      <c r="R25" s="280" t="n"/>
      <c r="S25" s="280" t="n"/>
      <c r="T25" s="280" t="n"/>
      <c r="U25" s="280" t="n"/>
    </row>
    <row r="26">
      <c r="A26" s="280" t="b">
        <v>0</v>
      </c>
      <c r="B26" s="272">
        <f>ROW()-1</f>
        <v/>
      </c>
      <c r="C26" s="286">
        <f>_xlfn.XLOOKUP($D26,Tab_Def_Processes[Name(EN)],Tab_Def_Processes[ID],,0,)</f>
        <v/>
      </c>
      <c r="D26" s="189" t="inlineStr">
        <is>
          <t>N.A.</t>
        </is>
      </c>
      <c r="E26" s="272">
        <f>_xlfn.XLOOKUP($D26,Tab_Def_Processes[Name(EN)],Tab_Def_Processes[Process_Type],,0,)</f>
        <v/>
      </c>
      <c r="F26" s="272">
        <f>_xlfn.XLOOKUP($D26,Tab_Def_Processes[Name(EN)],Tab_Def_Processes[TC?],,0,)</f>
        <v/>
      </c>
      <c r="G26" s="272">
        <f>_xlfn.XLOOKUP($D26,Tab_Def_Processes[Name(EN)],Tab_Def_Processes[Dyn_TC?],,0,)</f>
        <v/>
      </c>
      <c r="H26" s="272">
        <f>_xlfn.XLOOKUP($D26,Tab_Def_Processes[Name(EN)],Tab_Def_Processes[Stock?],,0,)</f>
        <v/>
      </c>
      <c r="I26" s="272">
        <f>_xlfn.XLOOKUP($D26,Tab_Def_Processes[Name(EN)],Tab_Def_Processes[Initial_Stock?],,0,)</f>
        <v/>
      </c>
      <c r="J26" s="272">
        <f>_xlfn.XLOOKUP($D26,Tab_Def_Processes[Name(EN)],Tab_Def_Processes[DSM?],,0,)</f>
        <v/>
      </c>
      <c r="K26" s="272">
        <f>_xlfn.XLOOKUP($D26,Tab_Def_Processes[Name(EN)],Tab_Def_Processes[FOMP?],,0,)</f>
        <v/>
      </c>
      <c r="L26" s="272">
        <f>_xlfn.XLOOKUP($D26,Tab_Def_Processes[Name(EN)],Tab_Def_Processes[Nr. Outflows],,0,)</f>
        <v/>
      </c>
      <c r="M26" s="189" t="n"/>
      <c r="N26" s="175">
        <f>_xlfn.XLOOKUP($M26,Tab_Def_Flows[Name(EN)],Tab_Def_Flows[Flow_ID],,0,)</f>
        <v/>
      </c>
      <c r="O26" s="42">
        <f>"TC"&amp;"_"&amp;RIGHT(N26,5)</f>
        <v/>
      </c>
      <c r="P26" s="192" t="n"/>
      <c r="Q26" s="280" t="n"/>
      <c r="R26" s="280" t="n"/>
      <c r="S26" s="280" t="n"/>
      <c r="T26" s="280" t="n"/>
      <c r="U26" s="280" t="n"/>
    </row>
    <row r="27">
      <c r="A27" s="280" t="b">
        <v>0</v>
      </c>
      <c r="B27" s="272">
        <f>ROW()-1</f>
        <v/>
      </c>
      <c r="C27" s="286">
        <f>_xlfn.XLOOKUP($D27,Tab_Def_Processes[Name(EN)],Tab_Def_Processes[ID],,0,)</f>
        <v/>
      </c>
      <c r="D27" s="189" t="inlineStr">
        <is>
          <t>N.A.</t>
        </is>
      </c>
      <c r="E27" s="272">
        <f>_xlfn.XLOOKUP($D27,Tab_Def_Processes[Name(EN)],Tab_Def_Processes[Process_Type],,0,)</f>
        <v/>
      </c>
      <c r="F27" s="272">
        <f>_xlfn.XLOOKUP($D27,Tab_Def_Processes[Name(EN)],Tab_Def_Processes[TC?],,0,)</f>
        <v/>
      </c>
      <c r="G27" s="272">
        <f>_xlfn.XLOOKUP($D27,Tab_Def_Processes[Name(EN)],Tab_Def_Processes[Dyn_TC?],,0,)</f>
        <v/>
      </c>
      <c r="H27" s="272">
        <f>_xlfn.XLOOKUP($D27,Tab_Def_Processes[Name(EN)],Tab_Def_Processes[Stock?],,0,)</f>
        <v/>
      </c>
      <c r="I27" s="272">
        <f>_xlfn.XLOOKUP($D27,Tab_Def_Processes[Name(EN)],Tab_Def_Processes[Initial_Stock?],,0,)</f>
        <v/>
      </c>
      <c r="J27" s="272">
        <f>_xlfn.XLOOKUP($D27,Tab_Def_Processes[Name(EN)],Tab_Def_Processes[DSM?],,0,)</f>
        <v/>
      </c>
      <c r="K27" s="272">
        <f>_xlfn.XLOOKUP($D27,Tab_Def_Processes[Name(EN)],Tab_Def_Processes[FOMP?],,0,)</f>
        <v/>
      </c>
      <c r="L27" s="272">
        <f>_xlfn.XLOOKUP($D27,Tab_Def_Processes[Name(EN)],Tab_Def_Processes[Nr. Outflows],,0,)</f>
        <v/>
      </c>
      <c r="M27" s="189" t="n"/>
      <c r="N27" s="175">
        <f>_xlfn.XLOOKUP($M27,Tab_Def_Flows[Name(EN)],Tab_Def_Flows[Flow_ID],,0,)</f>
        <v/>
      </c>
      <c r="O27" s="42">
        <f>"TC"&amp;"_"&amp;RIGHT(N27,5)</f>
        <v/>
      </c>
      <c r="P27" s="192" t="n"/>
      <c r="Q27" s="280" t="n"/>
      <c r="R27" s="280" t="n"/>
      <c r="S27" s="280" t="n"/>
      <c r="T27" s="280" t="n"/>
      <c r="U27" s="280" t="n"/>
    </row>
    <row r="28">
      <c r="A28" s="280" t="b">
        <v>0</v>
      </c>
      <c r="B28" s="272">
        <f>ROW()-1</f>
        <v/>
      </c>
      <c r="C28" s="286">
        <f>_xlfn.XLOOKUP($D28,Tab_Def_Processes[Name(EN)],Tab_Def_Processes[ID],,0,)</f>
        <v/>
      </c>
      <c r="D28" s="189" t="inlineStr">
        <is>
          <t>N.A.</t>
        </is>
      </c>
      <c r="E28" s="272">
        <f>_xlfn.XLOOKUP($D28,Tab_Def_Processes[Name(EN)],Tab_Def_Processes[Process_Type],,0,)</f>
        <v/>
      </c>
      <c r="F28" s="272">
        <f>_xlfn.XLOOKUP($D28,Tab_Def_Processes[Name(EN)],Tab_Def_Processes[TC?],,0,)</f>
        <v/>
      </c>
      <c r="G28" s="272">
        <f>_xlfn.XLOOKUP($D28,Tab_Def_Processes[Name(EN)],Tab_Def_Processes[Dyn_TC?],,0,)</f>
        <v/>
      </c>
      <c r="H28" s="272">
        <f>_xlfn.XLOOKUP($D28,Tab_Def_Processes[Name(EN)],Tab_Def_Processes[Stock?],,0,)</f>
        <v/>
      </c>
      <c r="I28" s="272">
        <f>_xlfn.XLOOKUP($D28,Tab_Def_Processes[Name(EN)],Tab_Def_Processes[Initial_Stock?],,0,)</f>
        <v/>
      </c>
      <c r="J28" s="272">
        <f>_xlfn.XLOOKUP($D28,Tab_Def_Processes[Name(EN)],Tab_Def_Processes[DSM?],,0,)</f>
        <v/>
      </c>
      <c r="K28" s="272">
        <f>_xlfn.XLOOKUP($D28,Tab_Def_Processes[Name(EN)],Tab_Def_Processes[FOMP?],,0,)</f>
        <v/>
      </c>
      <c r="L28" s="272">
        <f>_xlfn.XLOOKUP($D28,Tab_Def_Processes[Name(EN)],Tab_Def_Processes[Nr. Outflows],,0,)</f>
        <v/>
      </c>
      <c r="M28" s="189" t="n"/>
      <c r="N28" s="175">
        <f>_xlfn.XLOOKUP($M28,Tab_Def_Flows[Name(EN)],Tab_Def_Flows[Flow_ID],,0,)</f>
        <v/>
      </c>
      <c r="O28" s="42">
        <f>"TC"&amp;"_"&amp;RIGHT(N28,5)</f>
        <v/>
      </c>
      <c r="P28" s="192" t="n"/>
      <c r="Q28" s="280" t="n"/>
      <c r="R28" s="280" t="n"/>
      <c r="S28" s="280" t="n"/>
      <c r="T28" s="280" t="n"/>
      <c r="U28" s="280" t="n"/>
    </row>
    <row r="29">
      <c r="A29" s="280" t="b">
        <v>0</v>
      </c>
      <c r="B29" s="272">
        <f>ROW()-1</f>
        <v/>
      </c>
      <c r="C29" s="286">
        <f>_xlfn.XLOOKUP($D29,Tab_Def_Processes[Name(EN)],Tab_Def_Processes[ID],,0,)</f>
        <v/>
      </c>
      <c r="D29" s="189" t="inlineStr">
        <is>
          <t>N.A.</t>
        </is>
      </c>
      <c r="E29" s="272">
        <f>_xlfn.XLOOKUP($D29,Tab_Def_Processes[Name(EN)],Tab_Def_Processes[Process_Type],,0,)</f>
        <v/>
      </c>
      <c r="F29" s="272">
        <f>_xlfn.XLOOKUP($D29,Tab_Def_Processes[Name(EN)],Tab_Def_Processes[TC?],,0,)</f>
        <v/>
      </c>
      <c r="G29" s="272">
        <f>_xlfn.XLOOKUP($D29,Tab_Def_Processes[Name(EN)],Tab_Def_Processes[Dyn_TC?],,0,)</f>
        <v/>
      </c>
      <c r="H29" s="272">
        <f>_xlfn.XLOOKUP($D29,Tab_Def_Processes[Name(EN)],Tab_Def_Processes[Stock?],,0,)</f>
        <v/>
      </c>
      <c r="I29" s="272">
        <f>_xlfn.XLOOKUP($D29,Tab_Def_Processes[Name(EN)],Tab_Def_Processes[Initial_Stock?],,0,)</f>
        <v/>
      </c>
      <c r="J29" s="272">
        <f>_xlfn.XLOOKUP($D29,Tab_Def_Processes[Name(EN)],Tab_Def_Processes[DSM?],,0,)</f>
        <v/>
      </c>
      <c r="K29" s="272">
        <f>_xlfn.XLOOKUP($D29,Tab_Def_Processes[Name(EN)],Tab_Def_Processes[FOMP?],,0,)</f>
        <v/>
      </c>
      <c r="L29" s="272">
        <f>_xlfn.XLOOKUP($D29,Tab_Def_Processes[Name(EN)],Tab_Def_Processes[Nr. Outflows],,0,)</f>
        <v/>
      </c>
      <c r="M29" s="189" t="n"/>
      <c r="N29" s="175">
        <f>_xlfn.XLOOKUP($M29,Tab_Def_Flows[Name(EN)],Tab_Def_Flows[Flow_ID],,0,)</f>
        <v/>
      </c>
      <c r="O29" s="42">
        <f>"TC"&amp;"_"&amp;RIGHT(N29,5)</f>
        <v/>
      </c>
      <c r="P29" s="192" t="n"/>
      <c r="Q29" s="280" t="n"/>
      <c r="R29" s="280" t="n"/>
      <c r="S29" s="280" t="n"/>
      <c r="T29" s="280" t="n"/>
      <c r="U29" s="280" t="n"/>
    </row>
    <row r="30">
      <c r="A30" s="280" t="b">
        <v>0</v>
      </c>
      <c r="B30" s="272">
        <f>ROW()-1</f>
        <v/>
      </c>
      <c r="C30" s="286">
        <f>_xlfn.XLOOKUP($D30,Tab_Def_Processes[Name(EN)],Tab_Def_Processes[ID],,0,)</f>
        <v/>
      </c>
      <c r="D30" s="189" t="inlineStr">
        <is>
          <t>N.A.</t>
        </is>
      </c>
      <c r="E30" s="272">
        <f>_xlfn.XLOOKUP($D30,Tab_Def_Processes[Name(EN)],Tab_Def_Processes[Process_Type],,0,)</f>
        <v/>
      </c>
      <c r="F30" s="272">
        <f>_xlfn.XLOOKUP($D30,Tab_Def_Processes[Name(EN)],Tab_Def_Processes[TC?],,0,)</f>
        <v/>
      </c>
      <c r="G30" s="272">
        <f>_xlfn.XLOOKUP($D30,Tab_Def_Processes[Name(EN)],Tab_Def_Processes[Dyn_TC?],,0,)</f>
        <v/>
      </c>
      <c r="H30" s="272">
        <f>_xlfn.XLOOKUP($D30,Tab_Def_Processes[Name(EN)],Tab_Def_Processes[Stock?],,0,)</f>
        <v/>
      </c>
      <c r="I30" s="272">
        <f>_xlfn.XLOOKUP($D30,Tab_Def_Processes[Name(EN)],Tab_Def_Processes[Initial_Stock?],,0,)</f>
        <v/>
      </c>
      <c r="J30" s="272">
        <f>_xlfn.XLOOKUP($D30,Tab_Def_Processes[Name(EN)],Tab_Def_Processes[DSM?],,0,)</f>
        <v/>
      </c>
      <c r="K30" s="272">
        <f>_xlfn.XLOOKUP($D30,Tab_Def_Processes[Name(EN)],Tab_Def_Processes[FOMP?],,0,)</f>
        <v/>
      </c>
      <c r="L30" s="272">
        <f>_xlfn.XLOOKUP($D30,Tab_Def_Processes[Name(EN)],Tab_Def_Processes[Nr. Outflows],,0,)</f>
        <v/>
      </c>
      <c r="M30" s="189" t="n"/>
      <c r="N30" s="175">
        <f>_xlfn.XLOOKUP($M30,Tab_Def_Flows[Name(EN)],Tab_Def_Flows[Flow_ID],,0,)</f>
        <v/>
      </c>
      <c r="O30" s="42">
        <f>"TC"&amp;"_"&amp;RIGHT(N30,5)</f>
        <v/>
      </c>
      <c r="P30" s="192" t="n"/>
      <c r="Q30" s="280" t="n"/>
      <c r="R30" s="280" t="n"/>
      <c r="S30" s="280" t="n"/>
      <c r="T30" s="280" t="n"/>
      <c r="U30" s="280" t="n"/>
    </row>
    <row r="31">
      <c r="A31" s="280" t="b">
        <v>0</v>
      </c>
      <c r="B31" s="272">
        <f>ROW()-1</f>
        <v/>
      </c>
      <c r="C31" s="286">
        <f>_xlfn.XLOOKUP($D31,Tab_Def_Processes[Name(EN)],Tab_Def_Processes[ID],,0,)</f>
        <v/>
      </c>
      <c r="D31" s="189" t="inlineStr">
        <is>
          <t>N.A.</t>
        </is>
      </c>
      <c r="E31" s="272">
        <f>_xlfn.XLOOKUP($D31,Tab_Def_Processes[Name(EN)],Tab_Def_Processes[Process_Type],,0,)</f>
        <v/>
      </c>
      <c r="F31" s="272">
        <f>_xlfn.XLOOKUP($D31,Tab_Def_Processes[Name(EN)],Tab_Def_Processes[TC?],,0,)</f>
        <v/>
      </c>
      <c r="G31" s="272">
        <f>_xlfn.XLOOKUP($D31,Tab_Def_Processes[Name(EN)],Tab_Def_Processes[Dyn_TC?],,0,)</f>
        <v/>
      </c>
      <c r="H31" s="272">
        <f>_xlfn.XLOOKUP($D31,Tab_Def_Processes[Name(EN)],Tab_Def_Processes[Stock?],,0,)</f>
        <v/>
      </c>
      <c r="I31" s="272">
        <f>_xlfn.XLOOKUP($D31,Tab_Def_Processes[Name(EN)],Tab_Def_Processes[Initial_Stock?],,0,)</f>
        <v/>
      </c>
      <c r="J31" s="272">
        <f>_xlfn.XLOOKUP($D31,Tab_Def_Processes[Name(EN)],Tab_Def_Processes[DSM?],,0,)</f>
        <v/>
      </c>
      <c r="K31" s="272">
        <f>_xlfn.XLOOKUP($D31,Tab_Def_Processes[Name(EN)],Tab_Def_Processes[FOMP?],,0,)</f>
        <v/>
      </c>
      <c r="L31" s="272">
        <f>_xlfn.XLOOKUP($D31,Tab_Def_Processes[Name(EN)],Tab_Def_Processes[Nr. Outflows],,0,)</f>
        <v/>
      </c>
      <c r="M31" s="189" t="n"/>
      <c r="N31" s="175">
        <f>_xlfn.XLOOKUP($M31,Tab_Def_Flows[Name(EN)],Tab_Def_Flows[Flow_ID],,0,)</f>
        <v/>
      </c>
      <c r="O31" s="42">
        <f>"TC"&amp;"_"&amp;RIGHT(N31,5)</f>
        <v/>
      </c>
      <c r="P31" s="192" t="n"/>
      <c r="Q31" s="280" t="n"/>
      <c r="R31" s="280" t="n"/>
      <c r="S31" s="280" t="n"/>
      <c r="T31" s="280" t="n"/>
      <c r="U31" s="280" t="n"/>
    </row>
    <row r="32">
      <c r="A32" s="280" t="b">
        <v>0</v>
      </c>
      <c r="B32" s="272">
        <f>ROW()-1</f>
        <v/>
      </c>
      <c r="C32" s="286">
        <f>_xlfn.XLOOKUP($D32,Tab_Def_Processes[Name(EN)],Tab_Def_Processes[ID],,0,)</f>
        <v/>
      </c>
      <c r="D32" s="189" t="inlineStr">
        <is>
          <t>N.A.</t>
        </is>
      </c>
      <c r="E32" s="272">
        <f>_xlfn.XLOOKUP($D32,Tab_Def_Processes[Name(EN)],Tab_Def_Processes[Process_Type],,0,)</f>
        <v/>
      </c>
      <c r="F32" s="272">
        <f>_xlfn.XLOOKUP($D32,Tab_Def_Processes[Name(EN)],Tab_Def_Processes[TC?],,0,)</f>
        <v/>
      </c>
      <c r="G32" s="272">
        <f>_xlfn.XLOOKUP($D32,Tab_Def_Processes[Name(EN)],Tab_Def_Processes[Dyn_TC?],,0,)</f>
        <v/>
      </c>
      <c r="H32" s="272">
        <f>_xlfn.XLOOKUP($D32,Tab_Def_Processes[Name(EN)],Tab_Def_Processes[Stock?],,0,)</f>
        <v/>
      </c>
      <c r="I32" s="272">
        <f>_xlfn.XLOOKUP($D32,Tab_Def_Processes[Name(EN)],Tab_Def_Processes[Initial_Stock?],,0,)</f>
        <v/>
      </c>
      <c r="J32" s="272">
        <f>_xlfn.XLOOKUP($D32,Tab_Def_Processes[Name(EN)],Tab_Def_Processes[DSM?],,0,)</f>
        <v/>
      </c>
      <c r="K32" s="272">
        <f>_xlfn.XLOOKUP($D32,Tab_Def_Processes[Name(EN)],Tab_Def_Processes[FOMP?],,0,)</f>
        <v/>
      </c>
      <c r="L32" s="272">
        <f>_xlfn.XLOOKUP($D32,Tab_Def_Processes[Name(EN)],Tab_Def_Processes[Nr. Outflows],,0,)</f>
        <v/>
      </c>
      <c r="M32" s="189" t="n"/>
      <c r="N32" s="175">
        <f>_xlfn.XLOOKUP($M32,Tab_Def_Flows[Name(EN)],Tab_Def_Flows[Flow_ID],,0,)</f>
        <v/>
      </c>
      <c r="O32" s="42">
        <f>"TC"&amp;"_"&amp;RIGHT(N32,5)</f>
        <v/>
      </c>
      <c r="P32" s="192" t="n"/>
      <c r="Q32" s="280" t="n"/>
      <c r="R32" s="280" t="n"/>
      <c r="S32" s="280" t="n"/>
      <c r="T32" s="280" t="n"/>
      <c r="U32" s="280" t="n"/>
    </row>
    <row r="33">
      <c r="A33" s="280" t="b">
        <v>0</v>
      </c>
      <c r="B33" s="272">
        <f>ROW()-1</f>
        <v/>
      </c>
      <c r="C33" s="286">
        <f>_xlfn.XLOOKUP($D33,Tab_Def_Processes[Name(EN)],Tab_Def_Processes[ID],,0,)</f>
        <v/>
      </c>
      <c r="D33" s="189" t="inlineStr">
        <is>
          <t>N.A.</t>
        </is>
      </c>
      <c r="E33" s="272">
        <f>_xlfn.XLOOKUP($D33,Tab_Def_Processes[Name(EN)],Tab_Def_Processes[Process_Type],,0,)</f>
        <v/>
      </c>
      <c r="F33" s="272">
        <f>_xlfn.XLOOKUP($D33,Tab_Def_Processes[Name(EN)],Tab_Def_Processes[TC?],,0,)</f>
        <v/>
      </c>
      <c r="G33" s="272">
        <f>_xlfn.XLOOKUP($D33,Tab_Def_Processes[Name(EN)],Tab_Def_Processes[Dyn_TC?],,0,)</f>
        <v/>
      </c>
      <c r="H33" s="272">
        <f>_xlfn.XLOOKUP($D33,Tab_Def_Processes[Name(EN)],Tab_Def_Processes[Stock?],,0,)</f>
        <v/>
      </c>
      <c r="I33" s="272">
        <f>_xlfn.XLOOKUP($D33,Tab_Def_Processes[Name(EN)],Tab_Def_Processes[Initial_Stock?],,0,)</f>
        <v/>
      </c>
      <c r="J33" s="272">
        <f>_xlfn.XLOOKUP($D33,Tab_Def_Processes[Name(EN)],Tab_Def_Processes[DSM?],,0,)</f>
        <v/>
      </c>
      <c r="K33" s="272">
        <f>_xlfn.XLOOKUP($D33,Tab_Def_Processes[Name(EN)],Tab_Def_Processes[FOMP?],,0,)</f>
        <v/>
      </c>
      <c r="L33" s="272">
        <f>_xlfn.XLOOKUP($D33,Tab_Def_Processes[Name(EN)],Tab_Def_Processes[Nr. Outflows],,0,)</f>
        <v/>
      </c>
      <c r="M33" s="189" t="n"/>
      <c r="N33" s="175">
        <f>_xlfn.XLOOKUP($M33,Tab_Def_Flows[Name(EN)],Tab_Def_Flows[Flow_ID],,0,)</f>
        <v/>
      </c>
      <c r="O33" s="42">
        <f>"TC"&amp;"_"&amp;RIGHT(N33,5)</f>
        <v/>
      </c>
      <c r="P33" s="192" t="n"/>
      <c r="Q33" s="280" t="n"/>
      <c r="R33" s="280" t="n"/>
      <c r="S33" s="280" t="n"/>
      <c r="T33" s="280" t="n"/>
      <c r="U33" s="280" t="n"/>
    </row>
    <row r="34">
      <c r="A34" s="280" t="b">
        <v>0</v>
      </c>
      <c r="B34" s="272">
        <f>ROW()-1</f>
        <v/>
      </c>
      <c r="C34" s="286">
        <f>_xlfn.XLOOKUP($D34,Tab_Def_Processes[Name(EN)],Tab_Def_Processes[ID],,0,)</f>
        <v/>
      </c>
      <c r="D34" s="189" t="inlineStr">
        <is>
          <t>N.A.</t>
        </is>
      </c>
      <c r="E34" s="272">
        <f>_xlfn.XLOOKUP($D34,Tab_Def_Processes[Name(EN)],Tab_Def_Processes[Process_Type],,0,)</f>
        <v/>
      </c>
      <c r="F34" s="272">
        <f>_xlfn.XLOOKUP($D34,Tab_Def_Processes[Name(EN)],Tab_Def_Processes[TC?],,0,)</f>
        <v/>
      </c>
      <c r="G34" s="272">
        <f>_xlfn.XLOOKUP($D34,Tab_Def_Processes[Name(EN)],Tab_Def_Processes[Dyn_TC?],,0,)</f>
        <v/>
      </c>
      <c r="H34" s="272">
        <f>_xlfn.XLOOKUP($D34,Tab_Def_Processes[Name(EN)],Tab_Def_Processes[Stock?],,0,)</f>
        <v/>
      </c>
      <c r="I34" s="272">
        <f>_xlfn.XLOOKUP($D34,Tab_Def_Processes[Name(EN)],Tab_Def_Processes[Initial_Stock?],,0,)</f>
        <v/>
      </c>
      <c r="J34" s="272">
        <f>_xlfn.XLOOKUP($D34,Tab_Def_Processes[Name(EN)],Tab_Def_Processes[DSM?],,0,)</f>
        <v/>
      </c>
      <c r="K34" s="272">
        <f>_xlfn.XLOOKUP($D34,Tab_Def_Processes[Name(EN)],Tab_Def_Processes[FOMP?],,0,)</f>
        <v/>
      </c>
      <c r="L34" s="272">
        <f>_xlfn.XLOOKUP($D34,Tab_Def_Processes[Name(EN)],Tab_Def_Processes[Nr. Outflows],,0,)</f>
        <v/>
      </c>
      <c r="M34" s="189" t="n"/>
      <c r="N34" s="175">
        <f>_xlfn.XLOOKUP($M34,Tab_Def_Flows[Name(EN)],Tab_Def_Flows[Flow_ID],,0,)</f>
        <v/>
      </c>
      <c r="O34" s="42">
        <f>"TC"&amp;"_"&amp;RIGHT(N34,5)</f>
        <v/>
      </c>
      <c r="P34" s="192" t="n"/>
      <c r="Q34" s="280" t="n"/>
      <c r="R34" s="280" t="n"/>
      <c r="S34" s="280" t="n"/>
      <c r="T34" s="280" t="n"/>
      <c r="U34" s="280" t="n"/>
    </row>
    <row r="35">
      <c r="A35" s="280" t="b">
        <v>0</v>
      </c>
      <c r="B35" s="272">
        <f>ROW()-1</f>
        <v/>
      </c>
      <c r="C35" s="286">
        <f>_xlfn.XLOOKUP($D35,Tab_Def_Processes[Name(EN)],Tab_Def_Processes[ID],,0,)</f>
        <v/>
      </c>
      <c r="D35" s="189" t="inlineStr">
        <is>
          <t>N.A.</t>
        </is>
      </c>
      <c r="E35" s="272">
        <f>_xlfn.XLOOKUP($D35,Tab_Def_Processes[Name(EN)],Tab_Def_Processes[Process_Type],,0,)</f>
        <v/>
      </c>
      <c r="F35" s="272">
        <f>_xlfn.XLOOKUP($D35,Tab_Def_Processes[Name(EN)],Tab_Def_Processes[TC?],,0,)</f>
        <v/>
      </c>
      <c r="G35" s="272">
        <f>_xlfn.XLOOKUP($D35,Tab_Def_Processes[Name(EN)],Tab_Def_Processes[Dyn_TC?],,0,)</f>
        <v/>
      </c>
      <c r="H35" s="272">
        <f>_xlfn.XLOOKUP($D35,Tab_Def_Processes[Name(EN)],Tab_Def_Processes[Stock?],,0,)</f>
        <v/>
      </c>
      <c r="I35" s="272">
        <f>_xlfn.XLOOKUP($D35,Tab_Def_Processes[Name(EN)],Tab_Def_Processes[Initial_Stock?],,0,)</f>
        <v/>
      </c>
      <c r="J35" s="272">
        <f>_xlfn.XLOOKUP($D35,Tab_Def_Processes[Name(EN)],Tab_Def_Processes[DSM?],,0,)</f>
        <v/>
      </c>
      <c r="K35" s="272">
        <f>_xlfn.XLOOKUP($D35,Tab_Def_Processes[Name(EN)],Tab_Def_Processes[FOMP?],,0,)</f>
        <v/>
      </c>
      <c r="L35" s="272">
        <f>_xlfn.XLOOKUP($D35,Tab_Def_Processes[Name(EN)],Tab_Def_Processes[Nr. Outflows],,0,)</f>
        <v/>
      </c>
      <c r="M35" s="189" t="n"/>
      <c r="N35" s="175">
        <f>_xlfn.XLOOKUP($M35,Tab_Def_Flows[Name(EN)],Tab_Def_Flows[Flow_ID],,0,)</f>
        <v/>
      </c>
      <c r="O35" s="42">
        <f>"TC"&amp;"_"&amp;RIGHT(N35,5)</f>
        <v/>
      </c>
      <c r="P35" s="192" t="n"/>
      <c r="Q35" s="280" t="n"/>
      <c r="R35" s="280" t="n"/>
      <c r="S35" s="280" t="n"/>
      <c r="T35" s="280" t="n"/>
      <c r="U35" s="280" t="n"/>
    </row>
    <row r="36">
      <c r="A36" s="280" t="b">
        <v>0</v>
      </c>
      <c r="B36" s="272">
        <f>ROW()-1</f>
        <v/>
      </c>
      <c r="C36" s="286">
        <f>_xlfn.XLOOKUP($D36,Tab_Def_Processes[Name(EN)],Tab_Def_Processes[ID],,0,)</f>
        <v/>
      </c>
      <c r="D36" s="189" t="inlineStr">
        <is>
          <t>N.A.</t>
        </is>
      </c>
      <c r="E36" s="272">
        <f>_xlfn.XLOOKUP($D36,Tab_Def_Processes[Name(EN)],Tab_Def_Processes[Process_Type],,0,)</f>
        <v/>
      </c>
      <c r="F36" s="272">
        <f>_xlfn.XLOOKUP($D36,Tab_Def_Processes[Name(EN)],Tab_Def_Processes[TC?],,0,)</f>
        <v/>
      </c>
      <c r="G36" s="272">
        <f>_xlfn.XLOOKUP($D36,Tab_Def_Processes[Name(EN)],Tab_Def_Processes[Dyn_TC?],,0,)</f>
        <v/>
      </c>
      <c r="H36" s="272">
        <f>_xlfn.XLOOKUP($D36,Tab_Def_Processes[Name(EN)],Tab_Def_Processes[Stock?],,0,)</f>
        <v/>
      </c>
      <c r="I36" s="272">
        <f>_xlfn.XLOOKUP($D36,Tab_Def_Processes[Name(EN)],Tab_Def_Processes[Initial_Stock?],,0,)</f>
        <v/>
      </c>
      <c r="J36" s="272">
        <f>_xlfn.XLOOKUP($D36,Tab_Def_Processes[Name(EN)],Tab_Def_Processes[DSM?],,0,)</f>
        <v/>
      </c>
      <c r="K36" s="272">
        <f>_xlfn.XLOOKUP($D36,Tab_Def_Processes[Name(EN)],Tab_Def_Processes[FOMP?],,0,)</f>
        <v/>
      </c>
      <c r="L36" s="272">
        <f>_xlfn.XLOOKUP($D36,Tab_Def_Processes[Name(EN)],Tab_Def_Processes[Nr. Outflows],,0,)</f>
        <v/>
      </c>
      <c r="M36" s="189" t="n"/>
      <c r="N36" s="175">
        <f>_xlfn.XLOOKUP($M36,Tab_Def_Flows[Name(EN)],Tab_Def_Flows[Flow_ID],,0,)</f>
        <v/>
      </c>
      <c r="O36" s="42">
        <f>"TC"&amp;"_"&amp;RIGHT(N36,5)</f>
        <v/>
      </c>
      <c r="P36" s="192" t="n"/>
      <c r="Q36" s="280" t="n"/>
      <c r="R36" s="280" t="n"/>
      <c r="S36" s="280" t="n"/>
      <c r="T36" s="280" t="n"/>
      <c r="U36" s="280" t="n"/>
    </row>
    <row r="37">
      <c r="A37" s="280" t="b">
        <v>0</v>
      </c>
      <c r="B37" s="272">
        <f>ROW()-1</f>
        <v/>
      </c>
      <c r="C37" s="286">
        <f>_xlfn.XLOOKUP($D37,Tab_Def_Processes[Name(EN)],Tab_Def_Processes[ID],,0,)</f>
        <v/>
      </c>
      <c r="D37" s="189" t="inlineStr">
        <is>
          <t>N.A.</t>
        </is>
      </c>
      <c r="E37" s="272">
        <f>_xlfn.XLOOKUP($D37,Tab_Def_Processes[Name(EN)],Tab_Def_Processes[Process_Type],,0,)</f>
        <v/>
      </c>
      <c r="F37" s="272">
        <f>_xlfn.XLOOKUP($D37,Tab_Def_Processes[Name(EN)],Tab_Def_Processes[TC?],,0,)</f>
        <v/>
      </c>
      <c r="G37" s="272">
        <f>_xlfn.XLOOKUP($D37,Tab_Def_Processes[Name(EN)],Tab_Def_Processes[Dyn_TC?],,0,)</f>
        <v/>
      </c>
      <c r="H37" s="272">
        <f>_xlfn.XLOOKUP($D37,Tab_Def_Processes[Name(EN)],Tab_Def_Processes[Stock?],,0,)</f>
        <v/>
      </c>
      <c r="I37" s="272">
        <f>_xlfn.XLOOKUP($D37,Tab_Def_Processes[Name(EN)],Tab_Def_Processes[Initial_Stock?],,0,)</f>
        <v/>
      </c>
      <c r="J37" s="272">
        <f>_xlfn.XLOOKUP($D37,Tab_Def_Processes[Name(EN)],Tab_Def_Processes[DSM?],,0,)</f>
        <v/>
      </c>
      <c r="K37" s="272">
        <f>_xlfn.XLOOKUP($D37,Tab_Def_Processes[Name(EN)],Tab_Def_Processes[FOMP?],,0,)</f>
        <v/>
      </c>
      <c r="L37" s="272">
        <f>_xlfn.XLOOKUP($D37,Tab_Def_Processes[Name(EN)],Tab_Def_Processes[Nr. Outflows],,0,)</f>
        <v/>
      </c>
      <c r="M37" s="189" t="n"/>
      <c r="N37" s="175">
        <f>_xlfn.XLOOKUP($M37,Tab_Def_Flows[Name(EN)],Tab_Def_Flows[Flow_ID],,0,)</f>
        <v/>
      </c>
      <c r="O37" s="42">
        <f>"TC"&amp;"_"&amp;RIGHT(N37,5)</f>
        <v/>
      </c>
      <c r="P37" s="192" t="n"/>
      <c r="Q37" s="280" t="n"/>
      <c r="R37" s="280" t="n"/>
      <c r="S37" s="280" t="n"/>
      <c r="T37" s="280" t="n"/>
      <c r="U37" s="280" t="n"/>
    </row>
    <row r="38">
      <c r="A38" s="280" t="b">
        <v>0</v>
      </c>
      <c r="B38" s="272">
        <f>ROW()-1</f>
        <v/>
      </c>
      <c r="C38" s="286">
        <f>_xlfn.XLOOKUP($D38,Tab_Def_Processes[Name(EN)],Tab_Def_Processes[ID],,0,)</f>
        <v/>
      </c>
      <c r="D38" s="189" t="inlineStr">
        <is>
          <t>N.A.</t>
        </is>
      </c>
      <c r="E38" s="272">
        <f>_xlfn.XLOOKUP($D38,Tab_Def_Processes[Name(EN)],Tab_Def_Processes[Process_Type],,0,)</f>
        <v/>
      </c>
      <c r="F38" s="272">
        <f>_xlfn.XLOOKUP($D38,Tab_Def_Processes[Name(EN)],Tab_Def_Processes[TC?],,0,)</f>
        <v/>
      </c>
      <c r="G38" s="272">
        <f>_xlfn.XLOOKUP($D38,Tab_Def_Processes[Name(EN)],Tab_Def_Processes[Dyn_TC?],,0,)</f>
        <v/>
      </c>
      <c r="H38" s="272">
        <f>_xlfn.XLOOKUP($D38,Tab_Def_Processes[Name(EN)],Tab_Def_Processes[Stock?],,0,)</f>
        <v/>
      </c>
      <c r="I38" s="272">
        <f>_xlfn.XLOOKUP($D38,Tab_Def_Processes[Name(EN)],Tab_Def_Processes[Initial_Stock?],,0,)</f>
        <v/>
      </c>
      <c r="J38" s="272">
        <f>_xlfn.XLOOKUP($D38,Tab_Def_Processes[Name(EN)],Tab_Def_Processes[DSM?],,0,)</f>
        <v/>
      </c>
      <c r="K38" s="272">
        <f>_xlfn.XLOOKUP($D38,Tab_Def_Processes[Name(EN)],Tab_Def_Processes[FOMP?],,0,)</f>
        <v/>
      </c>
      <c r="L38" s="272">
        <f>_xlfn.XLOOKUP($D38,Tab_Def_Processes[Name(EN)],Tab_Def_Processes[Nr. Outflows],,0,)</f>
        <v/>
      </c>
      <c r="M38" s="189" t="n"/>
      <c r="N38" s="175">
        <f>_xlfn.XLOOKUP($M38,Tab_Def_Flows[Name(EN)],Tab_Def_Flows[Flow_ID],,0,)</f>
        <v/>
      </c>
      <c r="O38" s="42">
        <f>"TC"&amp;"_"&amp;RIGHT(N38,5)</f>
        <v/>
      </c>
      <c r="P38" s="192" t="n"/>
      <c r="Q38" s="280" t="n"/>
      <c r="R38" s="280" t="n"/>
      <c r="S38" s="280" t="n"/>
      <c r="T38" s="280" t="n"/>
      <c r="U38" s="280" t="n"/>
    </row>
    <row r="39">
      <c r="A39" s="280" t="b">
        <v>0</v>
      </c>
      <c r="B39" s="272">
        <f>ROW()-1</f>
        <v/>
      </c>
      <c r="C39" s="286">
        <f>_xlfn.XLOOKUP($D39,Tab_Def_Processes[Name(EN)],Tab_Def_Processes[ID],,0,)</f>
        <v/>
      </c>
      <c r="D39" s="189" t="inlineStr">
        <is>
          <t>N.A.</t>
        </is>
      </c>
      <c r="E39" s="272">
        <f>_xlfn.XLOOKUP($D39,Tab_Def_Processes[Name(EN)],Tab_Def_Processes[Process_Type],,0,)</f>
        <v/>
      </c>
      <c r="F39" s="272">
        <f>_xlfn.XLOOKUP($D39,Tab_Def_Processes[Name(EN)],Tab_Def_Processes[TC?],,0,)</f>
        <v/>
      </c>
      <c r="G39" s="272">
        <f>_xlfn.XLOOKUP($D39,Tab_Def_Processes[Name(EN)],Tab_Def_Processes[Dyn_TC?],,0,)</f>
        <v/>
      </c>
      <c r="H39" s="272">
        <f>_xlfn.XLOOKUP($D39,Tab_Def_Processes[Name(EN)],Tab_Def_Processes[Stock?],,0,)</f>
        <v/>
      </c>
      <c r="I39" s="272">
        <f>_xlfn.XLOOKUP($D39,Tab_Def_Processes[Name(EN)],Tab_Def_Processes[Initial_Stock?],,0,)</f>
        <v/>
      </c>
      <c r="J39" s="272">
        <f>_xlfn.XLOOKUP($D39,Tab_Def_Processes[Name(EN)],Tab_Def_Processes[DSM?],,0,)</f>
        <v/>
      </c>
      <c r="K39" s="272">
        <f>_xlfn.XLOOKUP($D39,Tab_Def_Processes[Name(EN)],Tab_Def_Processes[FOMP?],,0,)</f>
        <v/>
      </c>
      <c r="L39" s="272">
        <f>_xlfn.XLOOKUP($D39,Tab_Def_Processes[Name(EN)],Tab_Def_Processes[Nr. Outflows],,0,)</f>
        <v/>
      </c>
      <c r="M39" s="189" t="n"/>
      <c r="N39" s="175">
        <f>_xlfn.XLOOKUP($M39,Tab_Def_Flows[Name(EN)],Tab_Def_Flows[Flow_ID],,0,)</f>
        <v/>
      </c>
      <c r="O39" s="42">
        <f>"TC"&amp;"_"&amp;RIGHT(N39,5)</f>
        <v/>
      </c>
      <c r="P39" s="192" t="n"/>
      <c r="Q39" s="280" t="n"/>
      <c r="R39" s="280" t="n"/>
      <c r="S39" s="280" t="n"/>
      <c r="T39" s="280" t="n"/>
      <c r="U39" s="280" t="n"/>
    </row>
    <row r="40">
      <c r="A40" s="280" t="b">
        <v>0</v>
      </c>
      <c r="B40" s="272">
        <f>ROW()-1</f>
        <v/>
      </c>
      <c r="C40" s="286">
        <f>_xlfn.XLOOKUP($D40,Tab_Def_Processes[Name(EN)],Tab_Def_Processes[ID],,0,)</f>
        <v/>
      </c>
      <c r="D40" s="189" t="inlineStr">
        <is>
          <t>N.A.</t>
        </is>
      </c>
      <c r="E40" s="272">
        <f>_xlfn.XLOOKUP($D40,Tab_Def_Processes[Name(EN)],Tab_Def_Processes[Process_Type],,0,)</f>
        <v/>
      </c>
      <c r="F40" s="272">
        <f>_xlfn.XLOOKUP($D40,Tab_Def_Processes[Name(EN)],Tab_Def_Processes[TC?],,0,)</f>
        <v/>
      </c>
      <c r="G40" s="272">
        <f>_xlfn.XLOOKUP($D40,Tab_Def_Processes[Name(EN)],Tab_Def_Processes[Dyn_TC?],,0,)</f>
        <v/>
      </c>
      <c r="H40" s="272">
        <f>_xlfn.XLOOKUP($D40,Tab_Def_Processes[Name(EN)],Tab_Def_Processes[Stock?],,0,)</f>
        <v/>
      </c>
      <c r="I40" s="272">
        <f>_xlfn.XLOOKUP($D40,Tab_Def_Processes[Name(EN)],Tab_Def_Processes[Initial_Stock?],,0,)</f>
        <v/>
      </c>
      <c r="J40" s="272">
        <f>_xlfn.XLOOKUP($D40,Tab_Def_Processes[Name(EN)],Tab_Def_Processes[DSM?],,0,)</f>
        <v/>
      </c>
      <c r="K40" s="272">
        <f>_xlfn.XLOOKUP($D40,Tab_Def_Processes[Name(EN)],Tab_Def_Processes[FOMP?],,0,)</f>
        <v/>
      </c>
      <c r="L40" s="272">
        <f>_xlfn.XLOOKUP($D40,Tab_Def_Processes[Name(EN)],Tab_Def_Processes[Nr. Outflows],,0,)</f>
        <v/>
      </c>
      <c r="M40" s="189" t="n"/>
      <c r="N40" s="175">
        <f>_xlfn.XLOOKUP($M40,Tab_Def_Flows[Name(EN)],Tab_Def_Flows[Flow_ID],,0,)</f>
        <v/>
      </c>
      <c r="O40" s="42">
        <f>"TC"&amp;"_"&amp;RIGHT(N40,5)</f>
        <v/>
      </c>
      <c r="P40" s="192" t="n"/>
      <c r="Q40" s="280" t="n"/>
      <c r="R40" s="280" t="n"/>
      <c r="S40" s="280" t="n"/>
      <c r="T40" s="280" t="n"/>
      <c r="U40" s="280" t="n"/>
    </row>
    <row r="41">
      <c r="A41" s="280" t="b">
        <v>0</v>
      </c>
      <c r="B41" s="272">
        <f>ROW()-1</f>
        <v/>
      </c>
      <c r="C41" s="286">
        <f>_xlfn.XLOOKUP($D41,Tab_Def_Processes[Name(EN)],Tab_Def_Processes[ID],,0,)</f>
        <v/>
      </c>
      <c r="D41" s="189" t="inlineStr">
        <is>
          <t>N.A.</t>
        </is>
      </c>
      <c r="E41" s="272">
        <f>_xlfn.XLOOKUP($D41,Tab_Def_Processes[Name(EN)],Tab_Def_Processes[Process_Type],,0,)</f>
        <v/>
      </c>
      <c r="F41" s="272">
        <f>_xlfn.XLOOKUP($D41,Tab_Def_Processes[Name(EN)],Tab_Def_Processes[TC?],,0,)</f>
        <v/>
      </c>
      <c r="G41" s="272">
        <f>_xlfn.XLOOKUP($D41,Tab_Def_Processes[Name(EN)],Tab_Def_Processes[Dyn_TC?],,0,)</f>
        <v/>
      </c>
      <c r="H41" s="272">
        <f>_xlfn.XLOOKUP($D41,Tab_Def_Processes[Name(EN)],Tab_Def_Processes[Stock?],,0,)</f>
        <v/>
      </c>
      <c r="I41" s="272">
        <f>_xlfn.XLOOKUP($D41,Tab_Def_Processes[Name(EN)],Tab_Def_Processes[Initial_Stock?],,0,)</f>
        <v/>
      </c>
      <c r="J41" s="272">
        <f>_xlfn.XLOOKUP($D41,Tab_Def_Processes[Name(EN)],Tab_Def_Processes[DSM?],,0,)</f>
        <v/>
      </c>
      <c r="K41" s="272">
        <f>_xlfn.XLOOKUP($D41,Tab_Def_Processes[Name(EN)],Tab_Def_Processes[FOMP?],,0,)</f>
        <v/>
      </c>
      <c r="L41" s="272">
        <f>_xlfn.XLOOKUP($D41,Tab_Def_Processes[Name(EN)],Tab_Def_Processes[Nr. Outflows],,0,)</f>
        <v/>
      </c>
      <c r="M41" s="189" t="n"/>
      <c r="N41" s="175">
        <f>_xlfn.XLOOKUP($M41,Tab_Def_Flows[Name(EN)],Tab_Def_Flows[Flow_ID],,0,)</f>
        <v/>
      </c>
      <c r="O41" s="42">
        <f>"TC"&amp;"_"&amp;RIGHT(N41,5)</f>
        <v/>
      </c>
      <c r="P41" s="192" t="n"/>
      <c r="Q41" s="280" t="n"/>
      <c r="R41" s="280" t="n"/>
      <c r="S41" s="280" t="n"/>
      <c r="T41" s="280" t="n"/>
      <c r="U41" s="280" t="n"/>
    </row>
    <row r="42">
      <c r="A42" s="280" t="b">
        <v>0</v>
      </c>
      <c r="B42" s="272">
        <f>ROW()-1</f>
        <v/>
      </c>
      <c r="C42" s="286">
        <f>_xlfn.XLOOKUP($D42,Tab_Def_Processes[Name(EN)],Tab_Def_Processes[ID],,0,)</f>
        <v/>
      </c>
      <c r="D42" s="189" t="inlineStr">
        <is>
          <t>N.A.</t>
        </is>
      </c>
      <c r="E42" s="272">
        <f>_xlfn.XLOOKUP($D42,Tab_Def_Processes[Name(EN)],Tab_Def_Processes[Process_Type],,0,)</f>
        <v/>
      </c>
      <c r="F42" s="272">
        <f>_xlfn.XLOOKUP($D42,Tab_Def_Processes[Name(EN)],Tab_Def_Processes[TC?],,0,)</f>
        <v/>
      </c>
      <c r="G42" s="272">
        <f>_xlfn.XLOOKUP($D42,Tab_Def_Processes[Name(EN)],Tab_Def_Processes[Dyn_TC?],,0,)</f>
        <v/>
      </c>
      <c r="H42" s="272">
        <f>_xlfn.XLOOKUP($D42,Tab_Def_Processes[Name(EN)],Tab_Def_Processes[Stock?],,0,)</f>
        <v/>
      </c>
      <c r="I42" s="272">
        <f>_xlfn.XLOOKUP($D42,Tab_Def_Processes[Name(EN)],Tab_Def_Processes[Initial_Stock?],,0,)</f>
        <v/>
      </c>
      <c r="J42" s="272">
        <f>_xlfn.XLOOKUP($D42,Tab_Def_Processes[Name(EN)],Tab_Def_Processes[DSM?],,0,)</f>
        <v/>
      </c>
      <c r="K42" s="272">
        <f>_xlfn.XLOOKUP($D42,Tab_Def_Processes[Name(EN)],Tab_Def_Processes[FOMP?],,0,)</f>
        <v/>
      </c>
      <c r="L42" s="272">
        <f>_xlfn.XLOOKUP($D42,Tab_Def_Processes[Name(EN)],Tab_Def_Processes[Nr. Outflows],,0,)</f>
        <v/>
      </c>
      <c r="M42" s="189" t="n"/>
      <c r="N42" s="175">
        <f>_xlfn.XLOOKUP($M42,Tab_Def_Flows[Name(EN)],Tab_Def_Flows[Flow_ID],,0,)</f>
        <v/>
      </c>
      <c r="O42" s="42">
        <f>"TC"&amp;"_"&amp;RIGHT(N42,5)</f>
        <v/>
      </c>
      <c r="P42" s="192" t="n"/>
      <c r="Q42" s="280" t="n"/>
      <c r="R42" s="280" t="n"/>
      <c r="S42" s="280" t="n"/>
      <c r="T42" s="280" t="n"/>
      <c r="U42" s="280" t="n"/>
    </row>
    <row r="43">
      <c r="A43" s="280" t="b">
        <v>0</v>
      </c>
      <c r="B43" s="272">
        <f>ROW()-1</f>
        <v/>
      </c>
      <c r="C43" s="286">
        <f>_xlfn.XLOOKUP($D43,Tab_Def_Processes[Name(EN)],Tab_Def_Processes[ID],,0,)</f>
        <v/>
      </c>
      <c r="D43" s="189" t="inlineStr">
        <is>
          <t>N.A.</t>
        </is>
      </c>
      <c r="E43" s="272">
        <f>_xlfn.XLOOKUP($D43,Tab_Def_Processes[Name(EN)],Tab_Def_Processes[Process_Type],,0,)</f>
        <v/>
      </c>
      <c r="F43" s="272">
        <f>_xlfn.XLOOKUP($D43,Tab_Def_Processes[Name(EN)],Tab_Def_Processes[TC?],,0,)</f>
        <v/>
      </c>
      <c r="G43" s="272">
        <f>_xlfn.XLOOKUP($D43,Tab_Def_Processes[Name(EN)],Tab_Def_Processes[Dyn_TC?],,0,)</f>
        <v/>
      </c>
      <c r="H43" s="272">
        <f>_xlfn.XLOOKUP($D43,Tab_Def_Processes[Name(EN)],Tab_Def_Processes[Stock?],,0,)</f>
        <v/>
      </c>
      <c r="I43" s="272">
        <f>_xlfn.XLOOKUP($D43,Tab_Def_Processes[Name(EN)],Tab_Def_Processes[Initial_Stock?],,0,)</f>
        <v/>
      </c>
      <c r="J43" s="272">
        <f>_xlfn.XLOOKUP($D43,Tab_Def_Processes[Name(EN)],Tab_Def_Processes[DSM?],,0,)</f>
        <v/>
      </c>
      <c r="K43" s="272">
        <f>_xlfn.XLOOKUP($D43,Tab_Def_Processes[Name(EN)],Tab_Def_Processes[FOMP?],,0,)</f>
        <v/>
      </c>
      <c r="L43" s="272">
        <f>_xlfn.XLOOKUP($D43,Tab_Def_Processes[Name(EN)],Tab_Def_Processes[Nr. Outflows],,0,)</f>
        <v/>
      </c>
      <c r="M43" s="189" t="n"/>
      <c r="N43" s="175">
        <f>_xlfn.XLOOKUP($M43,Tab_Def_Flows[Name(EN)],Tab_Def_Flows[Flow_ID],,0,)</f>
        <v/>
      </c>
      <c r="O43" s="42">
        <f>"TC"&amp;"_"&amp;RIGHT(N43,5)</f>
        <v/>
      </c>
      <c r="P43" s="192" t="n"/>
      <c r="Q43" s="280" t="n"/>
      <c r="R43" s="280" t="n"/>
      <c r="S43" s="280" t="n"/>
      <c r="T43" s="280" t="n"/>
      <c r="U43" s="280" t="n"/>
    </row>
    <row r="44">
      <c r="A44" s="280" t="b">
        <v>0</v>
      </c>
      <c r="B44" s="272">
        <f>ROW()-1</f>
        <v/>
      </c>
      <c r="C44" s="286">
        <f>_xlfn.XLOOKUP($D44,Tab_Def_Processes[Name(EN)],Tab_Def_Processes[ID],,0,)</f>
        <v/>
      </c>
      <c r="D44" s="189" t="inlineStr">
        <is>
          <t>N.A.</t>
        </is>
      </c>
      <c r="E44" s="272">
        <f>_xlfn.XLOOKUP($D44,Tab_Def_Processes[Name(EN)],Tab_Def_Processes[Process_Type],,0,)</f>
        <v/>
      </c>
      <c r="F44" s="272">
        <f>_xlfn.XLOOKUP($D44,Tab_Def_Processes[Name(EN)],Tab_Def_Processes[TC?],,0,)</f>
        <v/>
      </c>
      <c r="G44" s="272">
        <f>_xlfn.XLOOKUP($D44,Tab_Def_Processes[Name(EN)],Tab_Def_Processes[Dyn_TC?],,0,)</f>
        <v/>
      </c>
      <c r="H44" s="272">
        <f>_xlfn.XLOOKUP($D44,Tab_Def_Processes[Name(EN)],Tab_Def_Processes[Stock?],,0,)</f>
        <v/>
      </c>
      <c r="I44" s="272">
        <f>_xlfn.XLOOKUP($D44,Tab_Def_Processes[Name(EN)],Tab_Def_Processes[Initial_Stock?],,0,)</f>
        <v/>
      </c>
      <c r="J44" s="272">
        <f>_xlfn.XLOOKUP($D44,Tab_Def_Processes[Name(EN)],Tab_Def_Processes[DSM?],,0,)</f>
        <v/>
      </c>
      <c r="K44" s="272">
        <f>_xlfn.XLOOKUP($D44,Tab_Def_Processes[Name(EN)],Tab_Def_Processes[FOMP?],,0,)</f>
        <v/>
      </c>
      <c r="L44" s="272">
        <f>_xlfn.XLOOKUP($D44,Tab_Def_Processes[Name(EN)],Tab_Def_Processes[Nr. Outflows],,0,)</f>
        <v/>
      </c>
      <c r="M44" s="189" t="n"/>
      <c r="N44" s="175">
        <f>_xlfn.XLOOKUP($M44,Tab_Def_Flows[Name(EN)],Tab_Def_Flows[Flow_ID],,0,)</f>
        <v/>
      </c>
      <c r="O44" s="42">
        <f>"TC"&amp;"_"&amp;RIGHT(N44,5)</f>
        <v/>
      </c>
      <c r="P44" s="192" t="n"/>
      <c r="Q44" s="280" t="n"/>
      <c r="R44" s="280" t="n"/>
      <c r="S44" s="280" t="n"/>
      <c r="T44" s="280" t="n"/>
      <c r="U44" s="280" t="n"/>
    </row>
    <row r="45">
      <c r="A45" s="280" t="b">
        <v>0</v>
      </c>
      <c r="B45" s="272">
        <f>ROW()-1</f>
        <v/>
      </c>
      <c r="C45" s="286">
        <f>_xlfn.XLOOKUP($D45,Tab_Def_Processes[Name(EN)],Tab_Def_Processes[ID],,0,)</f>
        <v/>
      </c>
      <c r="D45" s="189" t="inlineStr">
        <is>
          <t>N.A.</t>
        </is>
      </c>
      <c r="E45" s="272">
        <f>_xlfn.XLOOKUP($D45,Tab_Def_Processes[Name(EN)],Tab_Def_Processes[Process_Type],,0,)</f>
        <v/>
      </c>
      <c r="F45" s="272">
        <f>_xlfn.XLOOKUP($D45,Tab_Def_Processes[Name(EN)],Tab_Def_Processes[TC?],,0,)</f>
        <v/>
      </c>
      <c r="G45" s="272">
        <f>_xlfn.XLOOKUP($D45,Tab_Def_Processes[Name(EN)],Tab_Def_Processes[Dyn_TC?],,0,)</f>
        <v/>
      </c>
      <c r="H45" s="272">
        <f>_xlfn.XLOOKUP($D45,Tab_Def_Processes[Name(EN)],Tab_Def_Processes[Stock?],,0,)</f>
        <v/>
      </c>
      <c r="I45" s="272">
        <f>_xlfn.XLOOKUP($D45,Tab_Def_Processes[Name(EN)],Tab_Def_Processes[Initial_Stock?],,0,)</f>
        <v/>
      </c>
      <c r="J45" s="272">
        <f>_xlfn.XLOOKUP($D45,Tab_Def_Processes[Name(EN)],Tab_Def_Processes[DSM?],,0,)</f>
        <v/>
      </c>
      <c r="K45" s="272">
        <f>_xlfn.XLOOKUP($D45,Tab_Def_Processes[Name(EN)],Tab_Def_Processes[FOMP?],,0,)</f>
        <v/>
      </c>
      <c r="L45" s="272">
        <f>_xlfn.XLOOKUP($D45,Tab_Def_Processes[Name(EN)],Tab_Def_Processes[Nr. Outflows],,0,)</f>
        <v/>
      </c>
      <c r="M45" s="189" t="n"/>
      <c r="N45" s="175">
        <f>_xlfn.XLOOKUP($M45,Tab_Def_Flows[Name(EN)],Tab_Def_Flows[Flow_ID],,0,)</f>
        <v/>
      </c>
      <c r="O45" s="42">
        <f>"TC"&amp;"_"&amp;RIGHT(N45,5)</f>
        <v/>
      </c>
      <c r="P45" s="192" t="n"/>
      <c r="Q45" s="280" t="n"/>
      <c r="R45" s="280" t="n"/>
      <c r="S45" s="280" t="n"/>
      <c r="T45" s="280" t="n"/>
      <c r="U45" s="280" t="n"/>
    </row>
    <row r="46">
      <c r="A46" s="280" t="b">
        <v>0</v>
      </c>
      <c r="B46" s="272">
        <f>ROW()-1</f>
        <v/>
      </c>
      <c r="C46" s="286">
        <f>_xlfn.XLOOKUP($D46,Tab_Def_Processes[Name(EN)],Tab_Def_Processes[ID],,0,)</f>
        <v/>
      </c>
      <c r="D46" s="189" t="inlineStr">
        <is>
          <t>N.A.</t>
        </is>
      </c>
      <c r="E46" s="272">
        <f>_xlfn.XLOOKUP($D46,Tab_Def_Processes[Name(EN)],Tab_Def_Processes[Process_Type],,0,)</f>
        <v/>
      </c>
      <c r="F46" s="272">
        <f>_xlfn.XLOOKUP($D46,Tab_Def_Processes[Name(EN)],Tab_Def_Processes[TC?],,0,)</f>
        <v/>
      </c>
      <c r="G46" s="272">
        <f>_xlfn.XLOOKUP($D46,Tab_Def_Processes[Name(EN)],Tab_Def_Processes[Dyn_TC?],,0,)</f>
        <v/>
      </c>
      <c r="H46" s="272">
        <f>_xlfn.XLOOKUP($D46,Tab_Def_Processes[Name(EN)],Tab_Def_Processes[Stock?],,0,)</f>
        <v/>
      </c>
      <c r="I46" s="272">
        <f>_xlfn.XLOOKUP($D46,Tab_Def_Processes[Name(EN)],Tab_Def_Processes[Initial_Stock?],,0,)</f>
        <v/>
      </c>
      <c r="J46" s="272">
        <f>_xlfn.XLOOKUP($D46,Tab_Def_Processes[Name(EN)],Tab_Def_Processes[DSM?],,0,)</f>
        <v/>
      </c>
      <c r="K46" s="272">
        <f>_xlfn.XLOOKUP($D46,Tab_Def_Processes[Name(EN)],Tab_Def_Processes[FOMP?],,0,)</f>
        <v/>
      </c>
      <c r="L46" s="272">
        <f>_xlfn.XLOOKUP($D46,Tab_Def_Processes[Name(EN)],Tab_Def_Processes[Nr. Outflows],,0,)</f>
        <v/>
      </c>
      <c r="M46" s="189" t="n"/>
      <c r="N46" s="175">
        <f>_xlfn.XLOOKUP($M46,Tab_Def_Flows[Name(EN)],Tab_Def_Flows[Flow_ID],,0,)</f>
        <v/>
      </c>
      <c r="O46" s="42">
        <f>"TC"&amp;"_"&amp;RIGHT(N46,5)</f>
        <v/>
      </c>
      <c r="P46" s="192" t="n"/>
      <c r="Q46" s="280" t="n"/>
      <c r="R46" s="280" t="n"/>
      <c r="S46" s="280" t="n"/>
      <c r="T46" s="280" t="n"/>
      <c r="U46" s="280" t="n"/>
    </row>
    <row r="47">
      <c r="A47" s="280" t="b">
        <v>0</v>
      </c>
      <c r="B47" s="272">
        <f>ROW()-1</f>
        <v/>
      </c>
      <c r="C47" s="286">
        <f>_xlfn.XLOOKUP($D47,Tab_Def_Processes[Name(EN)],Tab_Def_Processes[ID],,0,)</f>
        <v/>
      </c>
      <c r="D47" s="189" t="inlineStr">
        <is>
          <t>N.A.</t>
        </is>
      </c>
      <c r="E47" s="272">
        <f>_xlfn.XLOOKUP($D47,Tab_Def_Processes[Name(EN)],Tab_Def_Processes[Process_Type],,0,)</f>
        <v/>
      </c>
      <c r="F47" s="272">
        <f>_xlfn.XLOOKUP($D47,Tab_Def_Processes[Name(EN)],Tab_Def_Processes[TC?],,0,)</f>
        <v/>
      </c>
      <c r="G47" s="272">
        <f>_xlfn.XLOOKUP($D47,Tab_Def_Processes[Name(EN)],Tab_Def_Processes[Dyn_TC?],,0,)</f>
        <v/>
      </c>
      <c r="H47" s="272">
        <f>_xlfn.XLOOKUP($D47,Tab_Def_Processes[Name(EN)],Tab_Def_Processes[Stock?],,0,)</f>
        <v/>
      </c>
      <c r="I47" s="272">
        <f>_xlfn.XLOOKUP($D47,Tab_Def_Processes[Name(EN)],Tab_Def_Processes[Initial_Stock?],,0,)</f>
        <v/>
      </c>
      <c r="J47" s="272">
        <f>_xlfn.XLOOKUP($D47,Tab_Def_Processes[Name(EN)],Tab_Def_Processes[DSM?],,0,)</f>
        <v/>
      </c>
      <c r="K47" s="272">
        <f>_xlfn.XLOOKUP($D47,Tab_Def_Processes[Name(EN)],Tab_Def_Processes[FOMP?],,0,)</f>
        <v/>
      </c>
      <c r="L47" s="272">
        <f>_xlfn.XLOOKUP($D47,Tab_Def_Processes[Name(EN)],Tab_Def_Processes[Nr. Outflows],,0,)</f>
        <v/>
      </c>
      <c r="M47" s="189" t="n"/>
      <c r="N47" s="175">
        <f>_xlfn.XLOOKUP($M47,Tab_Def_Flows[Name(EN)],Tab_Def_Flows[Flow_ID],,0,)</f>
        <v/>
      </c>
      <c r="O47" s="42">
        <f>"TC"&amp;"_"&amp;RIGHT(N47,5)</f>
        <v/>
      </c>
      <c r="P47" s="192" t="n"/>
      <c r="Q47" s="280" t="n"/>
      <c r="R47" s="280" t="n"/>
      <c r="S47" s="280" t="n"/>
      <c r="T47" s="280" t="n"/>
      <c r="U47" s="280" t="n"/>
    </row>
    <row r="48">
      <c r="A48" s="280" t="b">
        <v>0</v>
      </c>
      <c r="B48" s="272">
        <f>ROW()-1</f>
        <v/>
      </c>
      <c r="C48" s="286">
        <f>_xlfn.XLOOKUP($D48,Tab_Def_Processes[Name(EN)],Tab_Def_Processes[ID],,0,)</f>
        <v/>
      </c>
      <c r="D48" s="189" t="n"/>
      <c r="E48" s="272">
        <f>_xlfn.XLOOKUP($D48,Tab_Def_Processes[Name(EN)],Tab_Def_Processes[Process_Type],,0,)</f>
        <v/>
      </c>
      <c r="F48" s="272">
        <f>_xlfn.XLOOKUP($D48,Tab_Def_Processes[Name(EN)],Tab_Def_Processes[TC?],,0,)</f>
        <v/>
      </c>
      <c r="G48" s="272">
        <f>_xlfn.XLOOKUP($D48,Tab_Def_Processes[Name(EN)],Tab_Def_Processes[Dyn_TC?],,0,)</f>
        <v/>
      </c>
      <c r="H48" s="272">
        <f>_xlfn.XLOOKUP($D48,Tab_Def_Processes[Name(EN)],Tab_Def_Processes[Stock?],,0,)</f>
        <v/>
      </c>
      <c r="I48" s="272">
        <f>_xlfn.XLOOKUP($D48,Tab_Def_Processes[Name(EN)],Tab_Def_Processes[Initial_Stock?],,0,)</f>
        <v/>
      </c>
      <c r="J48" s="272">
        <f>_xlfn.XLOOKUP($D48,Tab_Def_Processes[Name(EN)],Tab_Def_Processes[DSM?],,0,)</f>
        <v/>
      </c>
      <c r="K48" s="272">
        <f>_xlfn.XLOOKUP($D48,Tab_Def_Processes[Name(EN)],Tab_Def_Processes[FOMP?],,0,)</f>
        <v/>
      </c>
      <c r="L48" s="272">
        <f>_xlfn.XLOOKUP($D48,Tab_Def_Processes[Name(EN)],Tab_Def_Processes[Nr. Outflows],,0,)</f>
        <v/>
      </c>
      <c r="M48" s="189" t="n"/>
      <c r="N48" s="175">
        <f>_xlfn.XLOOKUP($M48,Tab_Def_Flows[Name(EN)],Tab_Def_Flows[Flow_ID],,0,)</f>
        <v/>
      </c>
      <c r="O48" s="42">
        <f>"TC"&amp;"_"&amp;RIGHT(N48,5)</f>
        <v/>
      </c>
      <c r="P48" s="192" t="n"/>
      <c r="Q48" s="280" t="n"/>
      <c r="R48" s="280" t="n"/>
      <c r="S48" s="280" t="n"/>
      <c r="T48" s="280" t="n"/>
      <c r="U48" s="280" t="n"/>
    </row>
    <row r="49">
      <c r="A49" s="280" t="b">
        <v>0</v>
      </c>
      <c r="B49" s="272">
        <f>ROW()-1</f>
        <v/>
      </c>
      <c r="C49" s="286">
        <f>_xlfn.XLOOKUP($D49,Tab_Def_Processes[Name(EN)],Tab_Def_Processes[ID],,0,)</f>
        <v/>
      </c>
      <c r="D49" s="189" t="n"/>
      <c r="E49" s="272">
        <f>_xlfn.XLOOKUP($D49,Tab_Def_Processes[Name(EN)],Tab_Def_Processes[Process_Type],,0,)</f>
        <v/>
      </c>
      <c r="F49" s="272">
        <f>_xlfn.XLOOKUP($D49,Tab_Def_Processes[Name(EN)],Tab_Def_Processes[TC?],,0,)</f>
        <v/>
      </c>
      <c r="G49" s="272">
        <f>_xlfn.XLOOKUP($D49,Tab_Def_Processes[Name(EN)],Tab_Def_Processes[Dyn_TC?],,0,)</f>
        <v/>
      </c>
      <c r="H49" s="272">
        <f>_xlfn.XLOOKUP($D49,Tab_Def_Processes[Name(EN)],Tab_Def_Processes[Stock?],,0,)</f>
        <v/>
      </c>
      <c r="I49" s="272">
        <f>_xlfn.XLOOKUP($D49,Tab_Def_Processes[Name(EN)],Tab_Def_Processes[Initial_Stock?],,0,)</f>
        <v/>
      </c>
      <c r="J49" s="272">
        <f>_xlfn.XLOOKUP($D49,Tab_Def_Processes[Name(EN)],Tab_Def_Processes[DSM?],,0,)</f>
        <v/>
      </c>
      <c r="K49" s="272">
        <f>_xlfn.XLOOKUP($D49,Tab_Def_Processes[Name(EN)],Tab_Def_Processes[FOMP?],,0,)</f>
        <v/>
      </c>
      <c r="L49" s="272">
        <f>_xlfn.XLOOKUP($D49,Tab_Def_Processes[Name(EN)],Tab_Def_Processes[Nr. Outflows],,0,)</f>
        <v/>
      </c>
      <c r="M49" s="189" t="n"/>
      <c r="N49" s="175">
        <f>_xlfn.XLOOKUP($M49,Tab_Def_Flows[Name(EN)],Tab_Def_Flows[Flow_ID],,0,)</f>
        <v/>
      </c>
      <c r="O49" s="42">
        <f>"TC"&amp;"_"&amp;RIGHT(N49,5)</f>
        <v/>
      </c>
      <c r="P49" s="192" t="n"/>
      <c r="Q49" s="280" t="n"/>
      <c r="R49" s="280" t="n"/>
      <c r="S49" s="280" t="n"/>
      <c r="T49" s="280" t="n"/>
      <c r="U49" s="280" t="n"/>
    </row>
    <row r="50">
      <c r="A50" s="280" t="b">
        <v>0</v>
      </c>
      <c r="B50" s="272">
        <f>ROW()-1</f>
        <v/>
      </c>
      <c r="C50" s="286">
        <f>_xlfn.XLOOKUP($D50,Tab_Def_Processes[Name(EN)],Tab_Def_Processes[ID],,0,)</f>
        <v/>
      </c>
      <c r="D50" s="189" t="n"/>
      <c r="E50" s="272">
        <f>_xlfn.XLOOKUP($D50,Tab_Def_Processes[Name(EN)],Tab_Def_Processes[Process_Type],,0,)</f>
        <v/>
      </c>
      <c r="F50" s="272">
        <f>_xlfn.XLOOKUP($D50,Tab_Def_Processes[Name(EN)],Tab_Def_Processes[TC?],,0,)</f>
        <v/>
      </c>
      <c r="G50" s="272">
        <f>_xlfn.XLOOKUP($D50,Tab_Def_Processes[Name(EN)],Tab_Def_Processes[Dyn_TC?],,0,)</f>
        <v/>
      </c>
      <c r="H50" s="272">
        <f>_xlfn.XLOOKUP($D50,Tab_Def_Processes[Name(EN)],Tab_Def_Processes[Stock?],,0,)</f>
        <v/>
      </c>
      <c r="I50" s="272">
        <f>_xlfn.XLOOKUP($D50,Tab_Def_Processes[Name(EN)],Tab_Def_Processes[Initial_Stock?],,0,)</f>
        <v/>
      </c>
      <c r="J50" s="272">
        <f>_xlfn.XLOOKUP($D50,Tab_Def_Processes[Name(EN)],Tab_Def_Processes[DSM?],,0,)</f>
        <v/>
      </c>
      <c r="K50" s="272">
        <f>_xlfn.XLOOKUP($D50,Tab_Def_Processes[Name(EN)],Tab_Def_Processes[FOMP?],,0,)</f>
        <v/>
      </c>
      <c r="L50" s="272">
        <f>_xlfn.XLOOKUP($D50,Tab_Def_Processes[Name(EN)],Tab_Def_Processes[Nr. Outflows],,0,)</f>
        <v/>
      </c>
      <c r="M50" s="189" t="n"/>
      <c r="N50" s="175">
        <f>_xlfn.XLOOKUP($M50,Tab_Def_Flows[Name(EN)],Tab_Def_Flows[Flow_ID],,0,)</f>
        <v/>
      </c>
      <c r="O50" s="42">
        <f>"TC"&amp;"_"&amp;RIGHT(N50,5)</f>
        <v/>
      </c>
      <c r="P50" s="192" t="n"/>
      <c r="Q50" s="280" t="n"/>
      <c r="R50" s="280" t="n"/>
      <c r="S50" s="280" t="n"/>
      <c r="T50" s="280" t="n"/>
      <c r="U50" s="280" t="n"/>
    </row>
    <row r="51">
      <c r="A51" s="280" t="b">
        <v>0</v>
      </c>
      <c r="B51" s="272">
        <f>ROW()-1</f>
        <v/>
      </c>
      <c r="C51" s="286">
        <f>_xlfn.XLOOKUP($D51,Tab_Def_Processes[Name(EN)],Tab_Def_Processes[ID],,0,)</f>
        <v/>
      </c>
      <c r="D51" s="189" t="n"/>
      <c r="E51" s="272">
        <f>_xlfn.XLOOKUP($D51,Tab_Def_Processes[Name(EN)],Tab_Def_Processes[Process_Type],,0,)</f>
        <v/>
      </c>
      <c r="F51" s="272">
        <f>_xlfn.XLOOKUP($D51,Tab_Def_Processes[Name(EN)],Tab_Def_Processes[TC?],,0,)</f>
        <v/>
      </c>
      <c r="G51" s="272">
        <f>_xlfn.XLOOKUP($D51,Tab_Def_Processes[Name(EN)],Tab_Def_Processes[Dyn_TC?],,0,)</f>
        <v/>
      </c>
      <c r="H51" s="272">
        <f>_xlfn.XLOOKUP($D51,Tab_Def_Processes[Name(EN)],Tab_Def_Processes[Stock?],,0,)</f>
        <v/>
      </c>
      <c r="I51" s="272">
        <f>_xlfn.XLOOKUP($D51,Tab_Def_Processes[Name(EN)],Tab_Def_Processes[Initial_Stock?],,0,)</f>
        <v/>
      </c>
      <c r="J51" s="272">
        <f>_xlfn.XLOOKUP($D51,Tab_Def_Processes[Name(EN)],Tab_Def_Processes[DSM?],,0,)</f>
        <v/>
      </c>
      <c r="K51" s="272">
        <f>_xlfn.XLOOKUP($D51,Tab_Def_Processes[Name(EN)],Tab_Def_Processes[FOMP?],,0,)</f>
        <v/>
      </c>
      <c r="L51" s="272">
        <f>_xlfn.XLOOKUP($D51,Tab_Def_Processes[Name(EN)],Tab_Def_Processes[Nr. Outflows],,0,)</f>
        <v/>
      </c>
      <c r="M51" s="189" t="n"/>
      <c r="N51" s="175">
        <f>_xlfn.XLOOKUP($M51,Tab_Def_Flows[Name(EN)],Tab_Def_Flows[Flow_ID],,0,)</f>
        <v/>
      </c>
      <c r="O51" s="42">
        <f>"TC"&amp;"_"&amp;RIGHT(N51,5)</f>
        <v/>
      </c>
      <c r="P51" s="192" t="n"/>
      <c r="Q51" s="280" t="n"/>
      <c r="R51" s="280" t="n"/>
      <c r="S51" s="280" t="n"/>
      <c r="T51" s="280" t="n"/>
      <c r="U51" s="280" t="n"/>
    </row>
    <row r="52">
      <c r="A52" s="280" t="b">
        <v>0</v>
      </c>
      <c r="B52" s="272">
        <f>ROW()-1</f>
        <v/>
      </c>
      <c r="C52" s="286">
        <f>_xlfn.XLOOKUP($D52,Tab_Def_Processes[Name(EN)],Tab_Def_Processes[ID],,0,)</f>
        <v/>
      </c>
      <c r="D52" s="189" t="n"/>
      <c r="E52" s="272">
        <f>_xlfn.XLOOKUP($D52,Tab_Def_Processes[Name(EN)],Tab_Def_Processes[Process_Type],,0,)</f>
        <v/>
      </c>
      <c r="F52" s="272">
        <f>_xlfn.XLOOKUP($D52,Tab_Def_Processes[Name(EN)],Tab_Def_Processes[TC?],,0,)</f>
        <v/>
      </c>
      <c r="G52" s="272">
        <f>_xlfn.XLOOKUP($D52,Tab_Def_Processes[Name(EN)],Tab_Def_Processes[Dyn_TC?],,0,)</f>
        <v/>
      </c>
      <c r="H52" s="272">
        <f>_xlfn.XLOOKUP($D52,Tab_Def_Processes[Name(EN)],Tab_Def_Processes[Stock?],,0,)</f>
        <v/>
      </c>
      <c r="I52" s="272">
        <f>_xlfn.XLOOKUP($D52,Tab_Def_Processes[Name(EN)],Tab_Def_Processes[Initial_Stock?],,0,)</f>
        <v/>
      </c>
      <c r="J52" s="272">
        <f>_xlfn.XLOOKUP($D52,Tab_Def_Processes[Name(EN)],Tab_Def_Processes[DSM?],,0,)</f>
        <v/>
      </c>
      <c r="K52" s="272">
        <f>_xlfn.XLOOKUP($D52,Tab_Def_Processes[Name(EN)],Tab_Def_Processes[FOMP?],,0,)</f>
        <v/>
      </c>
      <c r="L52" s="272">
        <f>_xlfn.XLOOKUP($D52,Tab_Def_Processes[Name(EN)],Tab_Def_Processes[Nr. Outflows],,0,)</f>
        <v/>
      </c>
      <c r="M52" s="189" t="n"/>
      <c r="N52" s="175">
        <f>_xlfn.XLOOKUP($M52,Tab_Def_Flows[Name(EN)],Tab_Def_Flows[Flow_ID],,0,)</f>
        <v/>
      </c>
      <c r="O52" s="42">
        <f>"TC"&amp;"_"&amp;RIGHT(N52,5)</f>
        <v/>
      </c>
      <c r="P52" s="192" t="n"/>
      <c r="Q52" s="280" t="n"/>
      <c r="R52" s="280" t="n"/>
      <c r="S52" s="280" t="n"/>
      <c r="T52" s="280" t="n"/>
      <c r="U52" s="280" t="n"/>
    </row>
    <row r="53">
      <c r="A53" s="280" t="b">
        <v>0</v>
      </c>
      <c r="B53" s="272">
        <f>ROW()-1</f>
        <v/>
      </c>
      <c r="C53" s="286">
        <f>_xlfn.XLOOKUP($D53,Tab_Def_Processes[Name(EN)],Tab_Def_Processes[ID],,0,)</f>
        <v/>
      </c>
      <c r="D53" s="189" t="n"/>
      <c r="E53" s="272">
        <f>_xlfn.XLOOKUP($D53,Tab_Def_Processes[Name(EN)],Tab_Def_Processes[Process_Type],,0,)</f>
        <v/>
      </c>
      <c r="F53" s="272">
        <f>_xlfn.XLOOKUP($D53,Tab_Def_Processes[Name(EN)],Tab_Def_Processes[TC?],,0,)</f>
        <v/>
      </c>
      <c r="G53" s="272">
        <f>_xlfn.XLOOKUP($D53,Tab_Def_Processes[Name(EN)],Tab_Def_Processes[Dyn_TC?],,0,)</f>
        <v/>
      </c>
      <c r="H53" s="272">
        <f>_xlfn.XLOOKUP($D53,Tab_Def_Processes[Name(EN)],Tab_Def_Processes[Stock?],,0,)</f>
        <v/>
      </c>
      <c r="I53" s="272">
        <f>_xlfn.XLOOKUP($D53,Tab_Def_Processes[Name(EN)],Tab_Def_Processes[Initial_Stock?],,0,)</f>
        <v/>
      </c>
      <c r="J53" s="272">
        <f>_xlfn.XLOOKUP($D53,Tab_Def_Processes[Name(EN)],Tab_Def_Processes[DSM?],,0,)</f>
        <v/>
      </c>
      <c r="K53" s="272">
        <f>_xlfn.XLOOKUP($D53,Tab_Def_Processes[Name(EN)],Tab_Def_Processes[FOMP?],,0,)</f>
        <v/>
      </c>
      <c r="L53" s="272">
        <f>_xlfn.XLOOKUP($D53,Tab_Def_Processes[Name(EN)],Tab_Def_Processes[Nr. Outflows],,0,)</f>
        <v/>
      </c>
      <c r="M53" s="189" t="n"/>
      <c r="N53" s="175">
        <f>_xlfn.XLOOKUP($M53,Tab_Def_Flows[Name(EN)],Tab_Def_Flows[Flow_ID],,0,)</f>
        <v/>
      </c>
      <c r="O53" s="42">
        <f>"TC"&amp;"_"&amp;RIGHT(N53,5)</f>
        <v/>
      </c>
      <c r="P53" s="192" t="n"/>
      <c r="Q53" s="280" t="n"/>
      <c r="R53" s="280" t="n"/>
      <c r="S53" s="280" t="n"/>
      <c r="T53" s="280" t="n"/>
      <c r="U53" s="280" t="n"/>
    </row>
    <row r="54">
      <c r="A54" s="280" t="b">
        <v>0</v>
      </c>
      <c r="B54" s="272">
        <f>ROW()-1</f>
        <v/>
      </c>
      <c r="C54" s="286">
        <f>_xlfn.XLOOKUP($D54,Tab_Def_Processes[Name(EN)],Tab_Def_Processes[ID],,0,)</f>
        <v/>
      </c>
      <c r="D54" s="189" t="n"/>
      <c r="E54" s="272">
        <f>_xlfn.XLOOKUP($D54,Tab_Def_Processes[Name(EN)],Tab_Def_Processes[Process_Type],,0,)</f>
        <v/>
      </c>
      <c r="F54" s="272">
        <f>_xlfn.XLOOKUP($D54,Tab_Def_Processes[Name(EN)],Tab_Def_Processes[TC?],,0,)</f>
        <v/>
      </c>
      <c r="G54" s="272">
        <f>_xlfn.XLOOKUP($D54,Tab_Def_Processes[Name(EN)],Tab_Def_Processes[Dyn_TC?],,0,)</f>
        <v/>
      </c>
      <c r="H54" s="272">
        <f>_xlfn.XLOOKUP($D54,Tab_Def_Processes[Name(EN)],Tab_Def_Processes[Stock?],,0,)</f>
        <v/>
      </c>
      <c r="I54" s="272">
        <f>_xlfn.XLOOKUP($D54,Tab_Def_Processes[Name(EN)],Tab_Def_Processes[Initial_Stock?],,0,)</f>
        <v/>
      </c>
      <c r="J54" s="272">
        <f>_xlfn.XLOOKUP($D54,Tab_Def_Processes[Name(EN)],Tab_Def_Processes[DSM?],,0,)</f>
        <v/>
      </c>
      <c r="K54" s="272">
        <f>_xlfn.XLOOKUP($D54,Tab_Def_Processes[Name(EN)],Tab_Def_Processes[FOMP?],,0,)</f>
        <v/>
      </c>
      <c r="L54" s="272">
        <f>_xlfn.XLOOKUP($D54,Tab_Def_Processes[Name(EN)],Tab_Def_Processes[Nr. Outflows],,0,)</f>
        <v/>
      </c>
      <c r="M54" s="189" t="n"/>
      <c r="N54" s="175">
        <f>_xlfn.XLOOKUP($M54,Tab_Def_Flows[Name(EN)],Tab_Def_Flows[Flow_ID],,0,)</f>
        <v/>
      </c>
      <c r="O54" s="42">
        <f>"TC"&amp;"_"&amp;RIGHT(N54,5)</f>
        <v/>
      </c>
      <c r="P54" s="192" t="n"/>
      <c r="Q54" s="280" t="n"/>
      <c r="R54" s="280" t="n"/>
      <c r="S54" s="280" t="n"/>
      <c r="T54" s="280" t="n"/>
      <c r="U54" s="280" t="n"/>
    </row>
    <row r="55">
      <c r="A55" s="280" t="b">
        <v>0</v>
      </c>
      <c r="B55" s="272">
        <f>ROW()-1</f>
        <v/>
      </c>
      <c r="C55" s="286">
        <f>_xlfn.XLOOKUP($D55,Tab_Def_Processes[Name(EN)],Tab_Def_Processes[ID],,0,)</f>
        <v/>
      </c>
      <c r="D55" s="189" t="n"/>
      <c r="E55" s="272">
        <f>_xlfn.XLOOKUP($D55,Tab_Def_Processes[Name(EN)],Tab_Def_Processes[Process_Type],,0,)</f>
        <v/>
      </c>
      <c r="F55" s="272">
        <f>_xlfn.XLOOKUP($D55,Tab_Def_Processes[Name(EN)],Tab_Def_Processes[TC?],,0,)</f>
        <v/>
      </c>
      <c r="G55" s="272">
        <f>_xlfn.XLOOKUP($D55,Tab_Def_Processes[Name(EN)],Tab_Def_Processes[Dyn_TC?],,0,)</f>
        <v/>
      </c>
      <c r="H55" s="272">
        <f>_xlfn.XLOOKUP($D55,Tab_Def_Processes[Name(EN)],Tab_Def_Processes[Stock?],,0,)</f>
        <v/>
      </c>
      <c r="I55" s="272">
        <f>_xlfn.XLOOKUP($D55,Tab_Def_Processes[Name(EN)],Tab_Def_Processes[Initial_Stock?],,0,)</f>
        <v/>
      </c>
      <c r="J55" s="272">
        <f>_xlfn.XLOOKUP($D55,Tab_Def_Processes[Name(EN)],Tab_Def_Processes[DSM?],,0,)</f>
        <v/>
      </c>
      <c r="K55" s="272">
        <f>_xlfn.XLOOKUP($D55,Tab_Def_Processes[Name(EN)],Tab_Def_Processes[FOMP?],,0,)</f>
        <v/>
      </c>
      <c r="L55" s="272">
        <f>_xlfn.XLOOKUP($D55,Tab_Def_Processes[Name(EN)],Tab_Def_Processes[Nr. Outflows],,0,)</f>
        <v/>
      </c>
      <c r="M55" s="189" t="n"/>
      <c r="N55" s="175">
        <f>_xlfn.XLOOKUP($M55,Tab_Def_Flows[Name(EN)],Tab_Def_Flows[Flow_ID],,0,)</f>
        <v/>
      </c>
      <c r="O55" s="42">
        <f>"TC"&amp;"_"&amp;RIGHT(N55,5)</f>
        <v/>
      </c>
      <c r="P55" s="192" t="n"/>
      <c r="Q55" s="280" t="n"/>
      <c r="R55" s="280" t="n"/>
      <c r="S55" s="280" t="n"/>
      <c r="T55" s="280" t="n"/>
      <c r="U55" s="280" t="n"/>
    </row>
    <row r="56">
      <c r="A56" s="280" t="b">
        <v>0</v>
      </c>
      <c r="B56" s="272">
        <f>ROW()-1</f>
        <v/>
      </c>
      <c r="C56" s="286">
        <f>_xlfn.XLOOKUP($D56,Tab_Def_Processes[Name(EN)],Tab_Def_Processes[ID],,0,)</f>
        <v/>
      </c>
      <c r="D56" s="189" t="n"/>
      <c r="E56" s="272">
        <f>_xlfn.XLOOKUP($D56,Tab_Def_Processes[Name(EN)],Tab_Def_Processes[Process_Type],,0,)</f>
        <v/>
      </c>
      <c r="F56" s="272">
        <f>_xlfn.XLOOKUP($D56,Tab_Def_Processes[Name(EN)],Tab_Def_Processes[TC?],,0,)</f>
        <v/>
      </c>
      <c r="G56" s="272">
        <f>_xlfn.XLOOKUP($D56,Tab_Def_Processes[Name(EN)],Tab_Def_Processes[Dyn_TC?],,0,)</f>
        <v/>
      </c>
      <c r="H56" s="272">
        <f>_xlfn.XLOOKUP($D56,Tab_Def_Processes[Name(EN)],Tab_Def_Processes[Stock?],,0,)</f>
        <v/>
      </c>
      <c r="I56" s="272">
        <f>_xlfn.XLOOKUP($D56,Tab_Def_Processes[Name(EN)],Tab_Def_Processes[Initial_Stock?],,0,)</f>
        <v/>
      </c>
      <c r="J56" s="272">
        <f>_xlfn.XLOOKUP($D56,Tab_Def_Processes[Name(EN)],Tab_Def_Processes[DSM?],,0,)</f>
        <v/>
      </c>
      <c r="K56" s="272">
        <f>_xlfn.XLOOKUP($D56,Tab_Def_Processes[Name(EN)],Tab_Def_Processes[FOMP?],,0,)</f>
        <v/>
      </c>
      <c r="L56" s="272">
        <f>_xlfn.XLOOKUP($D56,Tab_Def_Processes[Name(EN)],Tab_Def_Processes[Nr. Outflows],,0,)</f>
        <v/>
      </c>
      <c r="M56" s="189" t="n"/>
      <c r="N56" s="175">
        <f>_xlfn.XLOOKUP($M56,Tab_Def_Flows[Name(EN)],Tab_Def_Flows[Flow_ID],,0,)</f>
        <v/>
      </c>
      <c r="O56" s="42">
        <f>"TC"&amp;"_"&amp;RIGHT(N56,5)</f>
        <v/>
      </c>
      <c r="P56" s="192" t="n"/>
      <c r="Q56" s="280" t="n"/>
      <c r="R56" s="280" t="n"/>
      <c r="S56" s="280" t="n"/>
      <c r="T56" s="280" t="n"/>
      <c r="U56" s="280" t="n"/>
    </row>
    <row r="57">
      <c r="A57" s="280" t="b">
        <v>0</v>
      </c>
      <c r="B57" s="272">
        <f>ROW()-1</f>
        <v/>
      </c>
      <c r="C57" s="286">
        <f>_xlfn.XLOOKUP($D57,Tab_Def_Processes[Name(EN)],Tab_Def_Processes[ID],,0,)</f>
        <v/>
      </c>
      <c r="D57" s="189" t="n"/>
      <c r="E57" s="272">
        <f>_xlfn.XLOOKUP($D57,Tab_Def_Processes[Name(EN)],Tab_Def_Processes[Process_Type],,0,)</f>
        <v/>
      </c>
      <c r="F57" s="272">
        <f>_xlfn.XLOOKUP($D57,Tab_Def_Processes[Name(EN)],Tab_Def_Processes[TC?],,0,)</f>
        <v/>
      </c>
      <c r="G57" s="272">
        <f>_xlfn.XLOOKUP($D57,Tab_Def_Processes[Name(EN)],Tab_Def_Processes[Dyn_TC?],,0,)</f>
        <v/>
      </c>
      <c r="H57" s="272">
        <f>_xlfn.XLOOKUP($D57,Tab_Def_Processes[Name(EN)],Tab_Def_Processes[Stock?],,0,)</f>
        <v/>
      </c>
      <c r="I57" s="272">
        <f>_xlfn.XLOOKUP($D57,Tab_Def_Processes[Name(EN)],Tab_Def_Processes[Initial_Stock?],,0,)</f>
        <v/>
      </c>
      <c r="J57" s="272">
        <f>_xlfn.XLOOKUP($D57,Tab_Def_Processes[Name(EN)],Tab_Def_Processes[DSM?],,0,)</f>
        <v/>
      </c>
      <c r="K57" s="272">
        <f>_xlfn.XLOOKUP($D57,Tab_Def_Processes[Name(EN)],Tab_Def_Processes[FOMP?],,0,)</f>
        <v/>
      </c>
      <c r="L57" s="272">
        <f>_xlfn.XLOOKUP($D57,Tab_Def_Processes[Name(EN)],Tab_Def_Processes[Nr. Outflows],,0,)</f>
        <v/>
      </c>
      <c r="M57" s="189" t="n"/>
      <c r="N57" s="175">
        <f>_xlfn.XLOOKUP($M57,Tab_Def_Flows[Name(EN)],Tab_Def_Flows[Flow_ID],,0,)</f>
        <v/>
      </c>
      <c r="O57" s="42">
        <f>"TC"&amp;"_"&amp;RIGHT(N57,5)</f>
        <v/>
      </c>
      <c r="P57" s="192" t="n"/>
      <c r="Q57" s="280" t="n"/>
      <c r="R57" s="280" t="n"/>
      <c r="S57" s="280" t="n"/>
      <c r="T57" s="280" t="n"/>
      <c r="U57" s="280" t="n"/>
    </row>
    <row r="58">
      <c r="A58" s="280" t="b">
        <v>0</v>
      </c>
      <c r="B58" s="272">
        <f>ROW()-1</f>
        <v/>
      </c>
      <c r="C58" s="286">
        <f>_xlfn.XLOOKUP($D58,Tab_Def_Processes[Name(EN)],Tab_Def_Processes[ID],,0,)</f>
        <v/>
      </c>
      <c r="D58" s="189" t="n"/>
      <c r="E58" s="272">
        <f>_xlfn.XLOOKUP($D58,Tab_Def_Processes[Name(EN)],Tab_Def_Processes[Process_Type],,0,)</f>
        <v/>
      </c>
      <c r="F58" s="272">
        <f>_xlfn.XLOOKUP($D58,Tab_Def_Processes[Name(EN)],Tab_Def_Processes[TC?],,0,)</f>
        <v/>
      </c>
      <c r="G58" s="272">
        <f>_xlfn.XLOOKUP($D58,Tab_Def_Processes[Name(EN)],Tab_Def_Processes[Dyn_TC?],,0,)</f>
        <v/>
      </c>
      <c r="H58" s="272">
        <f>_xlfn.XLOOKUP($D58,Tab_Def_Processes[Name(EN)],Tab_Def_Processes[Stock?],,0,)</f>
        <v/>
      </c>
      <c r="I58" s="272">
        <f>_xlfn.XLOOKUP($D58,Tab_Def_Processes[Name(EN)],Tab_Def_Processes[Initial_Stock?],,0,)</f>
        <v/>
      </c>
      <c r="J58" s="272">
        <f>_xlfn.XLOOKUP($D58,Tab_Def_Processes[Name(EN)],Tab_Def_Processes[DSM?],,0,)</f>
        <v/>
      </c>
      <c r="K58" s="272">
        <f>_xlfn.XLOOKUP($D58,Tab_Def_Processes[Name(EN)],Tab_Def_Processes[FOMP?],,0,)</f>
        <v/>
      </c>
      <c r="L58" s="272">
        <f>_xlfn.XLOOKUP($D58,Tab_Def_Processes[Name(EN)],Tab_Def_Processes[Nr. Outflows],,0,)</f>
        <v/>
      </c>
      <c r="M58" s="189" t="n"/>
      <c r="N58" s="175">
        <f>_xlfn.XLOOKUP($M58,Tab_Def_Flows[Name(EN)],Tab_Def_Flows[Flow_ID],,0,)</f>
        <v/>
      </c>
      <c r="O58" s="42">
        <f>"TC"&amp;"_"&amp;RIGHT(N58,5)</f>
        <v/>
      </c>
      <c r="P58" s="192" t="n"/>
      <c r="Q58" s="280" t="n"/>
      <c r="R58" s="280" t="n"/>
      <c r="S58" s="280" t="n"/>
      <c r="T58" s="280" t="n"/>
      <c r="U58" s="280" t="n"/>
    </row>
    <row r="59">
      <c r="A59" s="280" t="b">
        <v>0</v>
      </c>
      <c r="B59" s="272">
        <f>ROW()-1</f>
        <v/>
      </c>
      <c r="C59" s="286">
        <f>_xlfn.XLOOKUP($D59,Tab_Def_Processes[Name(EN)],Tab_Def_Processes[ID],,0,)</f>
        <v/>
      </c>
      <c r="D59" s="189" t="n"/>
      <c r="E59" s="272">
        <f>_xlfn.XLOOKUP($D59,Tab_Def_Processes[Name(EN)],Tab_Def_Processes[Process_Type],,0,)</f>
        <v/>
      </c>
      <c r="F59" s="272">
        <f>_xlfn.XLOOKUP($D59,Tab_Def_Processes[Name(EN)],Tab_Def_Processes[TC?],,0,)</f>
        <v/>
      </c>
      <c r="G59" s="272">
        <f>_xlfn.XLOOKUP($D59,Tab_Def_Processes[Name(EN)],Tab_Def_Processes[Dyn_TC?],,0,)</f>
        <v/>
      </c>
      <c r="H59" s="272">
        <f>_xlfn.XLOOKUP($D59,Tab_Def_Processes[Name(EN)],Tab_Def_Processes[Stock?],,0,)</f>
        <v/>
      </c>
      <c r="I59" s="272">
        <f>_xlfn.XLOOKUP($D59,Tab_Def_Processes[Name(EN)],Tab_Def_Processes[Initial_Stock?],,0,)</f>
        <v/>
      </c>
      <c r="J59" s="272">
        <f>_xlfn.XLOOKUP($D59,Tab_Def_Processes[Name(EN)],Tab_Def_Processes[DSM?],,0,)</f>
        <v/>
      </c>
      <c r="K59" s="272">
        <f>_xlfn.XLOOKUP($D59,Tab_Def_Processes[Name(EN)],Tab_Def_Processes[FOMP?],,0,)</f>
        <v/>
      </c>
      <c r="L59" s="272">
        <f>_xlfn.XLOOKUP($D59,Tab_Def_Processes[Name(EN)],Tab_Def_Processes[Nr. Outflows],,0,)</f>
        <v/>
      </c>
      <c r="M59" s="189" t="n"/>
      <c r="N59" s="175">
        <f>_xlfn.XLOOKUP($M59,Tab_Def_Flows[Name(EN)],Tab_Def_Flows[Flow_ID],,0,)</f>
        <v/>
      </c>
      <c r="O59" s="42">
        <f>"TC"&amp;"_"&amp;RIGHT(N59,5)</f>
        <v/>
      </c>
      <c r="P59" s="192" t="n"/>
      <c r="Q59" s="280" t="n"/>
      <c r="R59" s="280" t="n"/>
      <c r="S59" s="280" t="n"/>
      <c r="T59" s="280" t="n"/>
      <c r="U59" s="280" t="n"/>
    </row>
  </sheetData>
  <pageMargins left="0.7" right="0.7" top="0.787401575" bottom="0.787401575" header="0.3" footer="0.3"/>
  <tableParts count="1">
    <tablePart xmlns:r="http://schemas.openxmlformats.org/officeDocument/2006/relationships" r:id="rId1"/>
  </tableParts>
</worksheet>
</file>

<file path=xl/worksheets/sheet9.xml><?xml version="1.0" encoding="utf-8"?>
<worksheet xmlns="http://schemas.openxmlformats.org/spreadsheetml/2006/main">
  <sheetPr codeName="Sheet14">
    <tabColor theme="9" tint="0.7999816888943144"/>
    <outlinePr summaryBelow="1" summaryRight="1"/>
    <pageSetUpPr/>
  </sheetPr>
  <dimension ref="A1:U63"/>
  <sheetViews>
    <sheetView zoomScaleNormal="100" workbookViewId="0">
      <selection activeCell="A2" sqref="A2"/>
    </sheetView>
  </sheetViews>
  <sheetFormatPr baseColWidth="8" defaultColWidth="10.85546875" defaultRowHeight="15"/>
  <cols>
    <col width="23.7109375" customWidth="1" min="2" max="2"/>
    <col width="20.42578125" customWidth="1" min="3" max="3"/>
    <col width="20.7109375" customWidth="1" min="4" max="4"/>
    <col width="18.42578125" customWidth="1" min="5" max="5"/>
    <col width="21.42578125" customWidth="1" min="6" max="6"/>
    <col width="15.5703125" customWidth="1" min="7" max="7"/>
    <col width="25.85546875" customWidth="1" min="9" max="9"/>
    <col width="22.7109375" customWidth="1" min="10" max="10"/>
    <col width="27.5703125" customWidth="1" min="11" max="11"/>
    <col width="17.140625" customWidth="1" min="13" max="13"/>
    <col width="17.7109375" customWidth="1" min="14" max="14"/>
    <col width="22.85546875" customWidth="1" min="15" max="15"/>
    <col width="25.42578125" customWidth="1" min="16" max="16"/>
    <col width="22.28515625" customWidth="1" min="17" max="19"/>
    <col width="24.42578125" customWidth="1" min="20" max="20"/>
    <col width="30.85546875" customWidth="1" min="21" max="21"/>
  </cols>
  <sheetData>
    <row r="1">
      <c r="A1" s="295" t="inlineStr">
        <is>
          <t>Complete?</t>
        </is>
      </c>
      <c r="B1" s="295" t="inlineStr">
        <is>
          <t>ID</t>
        </is>
      </c>
      <c r="C1" s="295" t="inlineStr">
        <is>
          <t>Stock_ID</t>
        </is>
      </c>
      <c r="D1" s="295" t="inlineStr">
        <is>
          <t>Process_ID</t>
        </is>
      </c>
      <c r="E1" s="295" t="inlineStr">
        <is>
          <t>Name(EN)</t>
        </is>
      </c>
      <c r="F1" s="295" t="inlineStr">
        <is>
          <t>Process_Type</t>
        </is>
      </c>
      <c r="G1" s="295" t="inlineStr">
        <is>
          <t>TC?</t>
        </is>
      </c>
      <c r="H1" s="295" t="inlineStr">
        <is>
          <t>Dyn_TC?</t>
        </is>
      </c>
      <c r="I1" s="295" t="inlineStr">
        <is>
          <t>Stock?</t>
        </is>
      </c>
      <c r="J1" s="295" t="inlineStr">
        <is>
          <t>Initial_Stock?</t>
        </is>
      </c>
      <c r="K1" s="295" t="inlineStr">
        <is>
          <t>Initial_Stock_material</t>
        </is>
      </c>
      <c r="L1" s="295" t="inlineStr">
        <is>
          <t>UoM</t>
        </is>
      </c>
      <c r="M1" s="295" t="inlineStr">
        <is>
          <t>Initial_Stock_WC[%]</t>
        </is>
      </c>
      <c r="N1" s="295" t="inlineStr">
        <is>
          <t>Initial_Stock_DM[%]</t>
        </is>
      </c>
      <c r="O1" s="295" t="inlineStr">
        <is>
          <t>Initial_Stock_CC[%]</t>
        </is>
      </c>
      <c r="P1" s="295" t="inlineStr">
        <is>
          <t>Destination_Process_Name</t>
        </is>
      </c>
      <c r="Q1" s="295" t="inlineStr">
        <is>
          <t>Destination_Process</t>
        </is>
      </c>
      <c r="R1" s="295" t="inlineStr">
        <is>
          <t>Destination_Flow</t>
        </is>
      </c>
      <c r="S1" s="295" t="inlineStr">
        <is>
          <t>Flow_ID</t>
        </is>
      </c>
      <c r="T1" s="295" t="inlineStr">
        <is>
          <t>Stock_Outflow_TC</t>
        </is>
      </c>
      <c r="U1" s="295" t="inlineStr">
        <is>
          <t>Annual_Consumption_Rate</t>
        </is>
      </c>
    </row>
    <row r="2">
      <c r="A2" s="280" t="b">
        <v>0</v>
      </c>
      <c r="B2" s="272">
        <f>ROW()-1</f>
        <v/>
      </c>
      <c r="C2" s="272">
        <f>"S"&amp;"_"&amp;LEFT(D2,2)</f>
        <v/>
      </c>
      <c r="D2" s="272">
        <f>_xlfn.XLOOKUP($E2,Tab_Def_Processes[Name(EN)],Tab_Def_Processes[Process_ID],,0,)</f>
        <v/>
      </c>
      <c r="E2" s="273" t="inlineStr">
        <is>
          <t>N.A.</t>
        </is>
      </c>
      <c r="F2" s="272">
        <f>_xlfn.XLOOKUP($E2,Tab_Def_Processes[Name(EN)],Tab_Def_Processes[Process_Type],,0,)</f>
        <v/>
      </c>
      <c r="G2" s="272">
        <f>_xlfn.XLOOKUP($E2,Tab_Def_Processes[Name(EN)],Tab_Def_Processes[TC?],,0,)</f>
        <v/>
      </c>
      <c r="H2" s="272">
        <f>_xlfn.XLOOKUP($E2,Tab_Def_Processes[Name(EN)],Tab_Def_Processes[Dyn_TC?],,0,)</f>
        <v/>
      </c>
      <c r="I2" s="272">
        <f>_xlfn.XLOOKUP($E2,Tab_Def_Processes[Name(EN)],Tab_Def_Processes[Stock?],,0,)</f>
        <v/>
      </c>
      <c r="J2" s="272">
        <f>_xlfn.XLOOKUP($E2,Tab_Def_Processes[Name(EN)],Tab_Def_Processes[Initial_Stock?],,0,)</f>
        <v/>
      </c>
      <c r="K2" s="187" t="n"/>
      <c r="L2" s="273" t="n"/>
      <c r="M2" s="33" t="n"/>
      <c r="N2" s="33" t="n"/>
      <c r="O2" s="33" t="n"/>
      <c r="P2" s="181" t="n"/>
      <c r="Q2" s="272">
        <f>_xlfn.XLOOKUP($P2,Tab_Def_Processes[Name(EN)],Tab_Def_Processes[Process_ID],,0,)</f>
        <v/>
      </c>
      <c r="R2" s="273" t="inlineStr">
        <is>
          <t>Animal bedding_Emissions_C</t>
        </is>
      </c>
      <c r="S2" s="272">
        <f>_xlfn.XLOOKUP(R2,Tab_Def_Flows[Name(EN)],Tab_Def_Flows[Flow_ID],,0,)</f>
        <v/>
      </c>
      <c r="T2" s="273">
        <f>"STC_"&amp;Tab_Process_Stock[[#This Row],[Process_ID]]&amp;"_"&amp;Tab_Process_Stock[[#This Row],[Destination_Process]]</f>
        <v/>
      </c>
      <c r="U2" s="198" t="n">
        <v>0.1</v>
      </c>
    </row>
    <row r="3">
      <c r="A3" s="280" t="b">
        <v>0</v>
      </c>
      <c r="B3" s="272">
        <f>ROW()-1</f>
        <v/>
      </c>
      <c r="C3" s="272">
        <f>"S"&amp;"_"&amp;LEFT(D3,2)</f>
        <v/>
      </c>
      <c r="D3" s="272">
        <f>_xlfn.XLOOKUP($E3,Tab_Def_Processes[Name(EN)],Tab_Def_Processes[Process_ID],,0,)</f>
        <v/>
      </c>
      <c r="E3" s="273" t="inlineStr">
        <is>
          <t>N.A.</t>
        </is>
      </c>
      <c r="F3" s="272">
        <f>_xlfn.XLOOKUP($E3,Tab_Def_Processes[Name(EN)],Tab_Def_Processes[Process_Type],,0,)</f>
        <v/>
      </c>
      <c r="G3" s="272">
        <f>_xlfn.XLOOKUP($E3,Tab_Def_Processes[Name(EN)],Tab_Def_Processes[TC?],,0,)</f>
        <v/>
      </c>
      <c r="H3" s="272">
        <f>_xlfn.XLOOKUP($E3,Tab_Def_Processes[Name(EN)],Tab_Def_Processes[Dyn_TC?],,0,)</f>
        <v/>
      </c>
      <c r="I3" s="272">
        <f>_xlfn.XLOOKUP($E3,Tab_Def_Processes[Name(EN)],Tab_Def_Processes[Stock?],,0,)</f>
        <v/>
      </c>
      <c r="J3" s="272">
        <f>_xlfn.XLOOKUP($E3,Tab_Def_Processes[Name(EN)],Tab_Def_Processes[Initial_Stock?],,0,)</f>
        <v/>
      </c>
      <c r="K3" s="187" t="n"/>
      <c r="L3" s="273" t="n"/>
      <c r="M3" s="33" t="n"/>
      <c r="N3" s="33" t="n"/>
      <c r="O3" s="33" t="n"/>
      <c r="P3" s="181" t="n"/>
      <c r="Q3" s="272" t="n"/>
      <c r="R3" s="273" t="n"/>
      <c r="S3" s="272" t="n"/>
      <c r="T3" s="273" t="n"/>
      <c r="U3" s="198" t="n"/>
    </row>
    <row r="4">
      <c r="A4" s="280" t="b">
        <v>0</v>
      </c>
      <c r="B4" s="272">
        <f>ROW()-1</f>
        <v/>
      </c>
      <c r="C4" s="272">
        <f>"S"&amp;"_"&amp;LEFT(D4,2)</f>
        <v/>
      </c>
      <c r="D4" s="272">
        <f>_xlfn.XLOOKUP($E4,Tab_Def_Processes[Name(EN)],Tab_Def_Processes[Process_ID],,0,)</f>
        <v/>
      </c>
      <c r="E4" s="273" t="inlineStr">
        <is>
          <t>N.A.</t>
        </is>
      </c>
      <c r="F4" s="272">
        <f>_xlfn.XLOOKUP($E4,Tab_Def_Processes[Name(EN)],Tab_Def_Processes[Process_Type],,0,)</f>
        <v/>
      </c>
      <c r="G4" s="272">
        <f>_xlfn.XLOOKUP($E4,Tab_Def_Processes[Name(EN)],Tab_Def_Processes[TC?],,0,)</f>
        <v/>
      </c>
      <c r="H4" s="272">
        <f>_xlfn.XLOOKUP($E4,Tab_Def_Processes[Name(EN)],Tab_Def_Processes[Dyn_TC?],,0,)</f>
        <v/>
      </c>
      <c r="I4" s="272">
        <f>_xlfn.XLOOKUP($E4,Tab_Def_Processes[Name(EN)],Tab_Def_Processes[Stock?],,0,)</f>
        <v/>
      </c>
      <c r="J4" s="272">
        <f>_xlfn.XLOOKUP($E4,Tab_Def_Processes[Name(EN)],Tab_Def_Processes[Initial_Stock?],,0,)</f>
        <v/>
      </c>
      <c r="K4" s="187" t="n"/>
      <c r="L4" s="273" t="n"/>
      <c r="M4" s="33" t="n"/>
      <c r="N4" s="33" t="n"/>
      <c r="O4" s="33" t="n"/>
      <c r="P4" s="181" t="n"/>
      <c r="Q4" s="272" t="n"/>
      <c r="R4" s="273" t="n"/>
      <c r="S4" s="272" t="n"/>
      <c r="T4" s="273" t="n"/>
      <c r="U4" s="198" t="n"/>
    </row>
    <row r="5">
      <c r="A5" s="280" t="b">
        <v>0</v>
      </c>
      <c r="B5" s="272">
        <f>ROW()-1</f>
        <v/>
      </c>
      <c r="C5" s="272">
        <f>"S"&amp;"_"&amp;LEFT(D5,2)</f>
        <v/>
      </c>
      <c r="D5" s="272">
        <f>_xlfn.XLOOKUP($E5,Tab_Def_Processes[Name(EN)],Tab_Def_Processes[Process_ID],,0,)</f>
        <v/>
      </c>
      <c r="E5" s="273" t="inlineStr">
        <is>
          <t>N.A.</t>
        </is>
      </c>
      <c r="F5" s="272">
        <f>_xlfn.XLOOKUP($E5,Tab_Def_Processes[Name(EN)],Tab_Def_Processes[Process_Type],,0,)</f>
        <v/>
      </c>
      <c r="G5" s="272">
        <f>_xlfn.XLOOKUP($E5,Tab_Def_Processes[Name(EN)],Tab_Def_Processes[TC?],,0,)</f>
        <v/>
      </c>
      <c r="H5" s="272">
        <f>_xlfn.XLOOKUP($E5,Tab_Def_Processes[Name(EN)],Tab_Def_Processes[Dyn_TC?],,0,)</f>
        <v/>
      </c>
      <c r="I5" s="272">
        <f>_xlfn.XLOOKUP($E5,Tab_Def_Processes[Name(EN)],Tab_Def_Processes[Stock?],,0,)</f>
        <v/>
      </c>
      <c r="J5" s="272">
        <f>_xlfn.XLOOKUP($E5,Tab_Def_Processes[Name(EN)],Tab_Def_Processes[Initial_Stock?],,0,)</f>
        <v/>
      </c>
      <c r="K5" s="188" t="n"/>
      <c r="L5" s="273" t="n"/>
      <c r="M5" s="33" t="n"/>
      <c r="N5" s="33" t="n"/>
      <c r="O5" s="33" t="n"/>
      <c r="P5" s="181" t="n"/>
      <c r="Q5" s="272" t="n"/>
      <c r="R5" s="273" t="n"/>
      <c r="S5" s="272" t="n"/>
      <c r="T5" s="273" t="n"/>
      <c r="U5" s="198" t="n"/>
    </row>
    <row r="6">
      <c r="A6" s="280" t="b">
        <v>0</v>
      </c>
      <c r="B6" s="272">
        <f>ROW()-1</f>
        <v/>
      </c>
      <c r="C6" s="272">
        <f>"S"&amp;"_"&amp;LEFT(D6,2)</f>
        <v/>
      </c>
      <c r="D6" s="272">
        <f>_xlfn.XLOOKUP($E6,Tab_Def_Processes[Name(EN)],Tab_Def_Processes[Process_ID],,0,)</f>
        <v/>
      </c>
      <c r="E6" s="273" t="inlineStr">
        <is>
          <t>N.A.</t>
        </is>
      </c>
      <c r="F6" s="272">
        <f>_xlfn.XLOOKUP($E6,Tab_Def_Processes[Name(EN)],Tab_Def_Processes[Process_Type],,0,)</f>
        <v/>
      </c>
      <c r="G6" s="272">
        <f>_xlfn.XLOOKUP($E6,Tab_Def_Processes[Name(EN)],Tab_Def_Processes[TC?],,0,)</f>
        <v/>
      </c>
      <c r="H6" s="272">
        <f>_xlfn.XLOOKUP($E6,Tab_Def_Processes[Name(EN)],Tab_Def_Processes[Dyn_TC?],,0,)</f>
        <v/>
      </c>
      <c r="I6" s="272">
        <f>_xlfn.XLOOKUP($E6,Tab_Def_Processes[Name(EN)],Tab_Def_Processes[Stock?],,0,)</f>
        <v/>
      </c>
      <c r="J6" s="272">
        <f>_xlfn.XLOOKUP($E6,Tab_Def_Processes[Name(EN)],Tab_Def_Processes[Initial_Stock?],,0,)</f>
        <v/>
      </c>
      <c r="K6" s="187" t="n"/>
      <c r="L6" s="273" t="n"/>
      <c r="M6" s="273" t="n"/>
      <c r="N6" s="273" t="n"/>
      <c r="O6" s="273" t="n"/>
      <c r="P6" s="273" t="n"/>
      <c r="Q6" s="272" t="n"/>
      <c r="R6" s="273" t="n"/>
      <c r="S6" s="272" t="n"/>
      <c r="T6" s="273" t="n"/>
      <c r="U6" s="198" t="n"/>
    </row>
    <row r="7">
      <c r="A7" s="280" t="b">
        <v>0</v>
      </c>
      <c r="B7" s="272">
        <f>ROW()-1</f>
        <v/>
      </c>
      <c r="C7" s="272">
        <f>"S"&amp;"_"&amp;LEFT(D7,2)</f>
        <v/>
      </c>
      <c r="D7" s="272">
        <f>_xlfn.XLOOKUP($E7,Tab_Def_Processes[Name(EN)],Tab_Def_Processes[Process_ID],,0,)</f>
        <v/>
      </c>
      <c r="E7" s="273" t="inlineStr">
        <is>
          <t>N.A.</t>
        </is>
      </c>
      <c r="F7" s="272">
        <f>_xlfn.XLOOKUP($E7,Tab_Def_Processes[Name(EN)],Tab_Def_Processes[Process_Type],,0,)</f>
        <v/>
      </c>
      <c r="G7" s="272">
        <f>_xlfn.XLOOKUP($E7,Tab_Def_Processes[Name(EN)],Tab_Def_Processes[TC?],,0,)</f>
        <v/>
      </c>
      <c r="H7" s="272">
        <f>_xlfn.XLOOKUP($E7,Tab_Def_Processes[Name(EN)],Tab_Def_Processes[Dyn_TC?],,0,)</f>
        <v/>
      </c>
      <c r="I7" s="272">
        <f>_xlfn.XLOOKUP($E7,Tab_Def_Processes[Name(EN)],Tab_Def_Processes[Stock?],,0,)</f>
        <v/>
      </c>
      <c r="J7" s="272">
        <f>_xlfn.XLOOKUP($E7,Tab_Def_Processes[Name(EN)],Tab_Def_Processes[Initial_Stock?],,0,)</f>
        <v/>
      </c>
      <c r="K7" s="187" t="n"/>
      <c r="L7" s="273" t="n"/>
      <c r="M7" s="273" t="n"/>
      <c r="N7" s="273" t="n"/>
      <c r="O7" s="273" t="n"/>
      <c r="P7" s="273" t="n"/>
      <c r="Q7" s="272" t="n"/>
      <c r="R7" s="273" t="n"/>
      <c r="S7" s="272" t="n"/>
      <c r="T7" s="273" t="n"/>
      <c r="U7" s="198" t="n"/>
    </row>
    <row r="8">
      <c r="A8" s="280" t="b">
        <v>0</v>
      </c>
      <c r="B8" s="272">
        <f>ROW()-1</f>
        <v/>
      </c>
      <c r="C8" s="272">
        <f>"S"&amp;"_"&amp;LEFT(D8,2)</f>
        <v/>
      </c>
      <c r="D8" s="272">
        <f>_xlfn.XLOOKUP($E8,Tab_Def_Processes[Name(EN)],Tab_Def_Processes[Process_ID],,0,)</f>
        <v/>
      </c>
      <c r="E8" s="273" t="inlineStr">
        <is>
          <t>N.A.</t>
        </is>
      </c>
      <c r="F8" s="272">
        <f>_xlfn.XLOOKUP($E8,Tab_Def_Processes[Name(EN)],Tab_Def_Processes[Process_Type],,0,)</f>
        <v/>
      </c>
      <c r="G8" s="272">
        <f>_xlfn.XLOOKUP($E8,Tab_Def_Processes[Name(EN)],Tab_Def_Processes[TC?],,0,)</f>
        <v/>
      </c>
      <c r="H8" s="272">
        <f>_xlfn.XLOOKUP($E8,Tab_Def_Processes[Name(EN)],Tab_Def_Processes[Dyn_TC?],,0,)</f>
        <v/>
      </c>
      <c r="I8" s="272">
        <f>_xlfn.XLOOKUP($E8,Tab_Def_Processes[Name(EN)],Tab_Def_Processes[Stock?],,0,)</f>
        <v/>
      </c>
      <c r="J8" s="272">
        <f>_xlfn.XLOOKUP($E8,Tab_Def_Processes[Name(EN)],Tab_Def_Processes[Initial_Stock?],,0,)</f>
        <v/>
      </c>
      <c r="K8" s="187" t="n"/>
      <c r="L8" s="273" t="n"/>
      <c r="M8" s="273" t="n"/>
      <c r="N8" s="273" t="n"/>
      <c r="O8" s="273" t="n"/>
      <c r="P8" s="273" t="n"/>
      <c r="Q8" s="272" t="n"/>
      <c r="R8" s="273" t="n"/>
      <c r="S8" s="272" t="n"/>
      <c r="T8" s="273" t="n"/>
      <c r="U8" s="198" t="n"/>
    </row>
    <row r="9">
      <c r="A9" s="280" t="b">
        <v>0</v>
      </c>
      <c r="B9" s="272">
        <f>ROW()-1</f>
        <v/>
      </c>
      <c r="C9" s="272">
        <f>"S"&amp;"_"&amp;LEFT(D9,2)</f>
        <v/>
      </c>
      <c r="D9" s="272">
        <f>_xlfn.XLOOKUP($E9,Tab_Def_Processes[Name(EN)],Tab_Def_Processes[Process_ID],,0,)</f>
        <v/>
      </c>
      <c r="E9" s="273" t="inlineStr">
        <is>
          <t>N.A.</t>
        </is>
      </c>
      <c r="F9" s="272">
        <f>_xlfn.XLOOKUP($E9,Tab_Def_Processes[Name(EN)],Tab_Def_Processes[Process_Type],,0,)</f>
        <v/>
      </c>
      <c r="G9" s="272">
        <f>_xlfn.XLOOKUP($E9,Tab_Def_Processes[Name(EN)],Tab_Def_Processes[TC?],,0,)</f>
        <v/>
      </c>
      <c r="H9" s="272">
        <f>_xlfn.XLOOKUP($E9,Tab_Def_Processes[Name(EN)],Tab_Def_Processes[Dyn_TC?],,0,)</f>
        <v/>
      </c>
      <c r="I9" s="272">
        <f>_xlfn.XLOOKUP($E9,Tab_Def_Processes[Name(EN)],Tab_Def_Processes[Stock?],,0,)</f>
        <v/>
      </c>
      <c r="J9" s="272">
        <f>_xlfn.XLOOKUP($E9,Tab_Def_Processes[Name(EN)],Tab_Def_Processes[Initial_Stock?],,0,)</f>
        <v/>
      </c>
      <c r="K9" s="187" t="n"/>
      <c r="L9" s="273" t="n"/>
      <c r="M9" s="273" t="n"/>
      <c r="N9" s="273" t="n"/>
      <c r="O9" s="273" t="n"/>
      <c r="P9" s="273" t="n"/>
      <c r="Q9" s="272" t="n"/>
      <c r="R9" s="273" t="n"/>
      <c r="S9" s="272" t="n"/>
      <c r="T9" s="273" t="n"/>
      <c r="U9" s="198" t="n"/>
    </row>
    <row r="10">
      <c r="A10" s="280" t="b">
        <v>0</v>
      </c>
      <c r="B10" s="272">
        <f>ROW()-1</f>
        <v/>
      </c>
      <c r="C10" s="272">
        <f>"S"&amp;"_"&amp;LEFT(D10,2)</f>
        <v/>
      </c>
      <c r="D10" s="272">
        <f>_xlfn.XLOOKUP($E10,Tab_Def_Processes[Name(EN)],Tab_Def_Processes[Process_ID],,0,)</f>
        <v/>
      </c>
      <c r="E10" s="273" t="inlineStr">
        <is>
          <t>N.A.</t>
        </is>
      </c>
      <c r="F10" s="272">
        <f>_xlfn.XLOOKUP($E10,Tab_Def_Processes[Name(EN)],Tab_Def_Processes[Process_Type],,0,)</f>
        <v/>
      </c>
      <c r="G10" s="272">
        <f>_xlfn.XLOOKUP($E10,Tab_Def_Processes[Name(EN)],Tab_Def_Processes[TC?],,0,)</f>
        <v/>
      </c>
      <c r="H10" s="272">
        <f>_xlfn.XLOOKUP($E10,Tab_Def_Processes[Name(EN)],Tab_Def_Processes[Dyn_TC?],,0,)</f>
        <v/>
      </c>
      <c r="I10" s="272">
        <f>_xlfn.XLOOKUP($E10,Tab_Def_Processes[Name(EN)],Tab_Def_Processes[Stock?],,0,)</f>
        <v/>
      </c>
      <c r="J10" s="272">
        <f>_xlfn.XLOOKUP($E10,Tab_Def_Processes[Name(EN)],Tab_Def_Processes[Initial_Stock?],,0,)</f>
        <v/>
      </c>
      <c r="K10" s="187" t="n"/>
      <c r="L10" s="273" t="n"/>
      <c r="M10" s="273" t="n"/>
      <c r="N10" s="273" t="n"/>
      <c r="O10" s="273" t="n"/>
      <c r="P10" s="273" t="n"/>
      <c r="Q10" s="272" t="n"/>
      <c r="R10" s="273" t="n"/>
      <c r="S10" s="272" t="n"/>
      <c r="T10" s="273" t="n"/>
      <c r="U10" s="198" t="n"/>
    </row>
    <row r="11">
      <c r="A11" s="280" t="b">
        <v>0</v>
      </c>
      <c r="B11" s="272">
        <f>ROW()-1</f>
        <v/>
      </c>
      <c r="C11" s="272">
        <f>"S"&amp;"_"&amp;LEFT(D11,2)</f>
        <v/>
      </c>
      <c r="D11" s="272">
        <f>_xlfn.XLOOKUP($E11,Tab_Def_Processes[Name(EN)],Tab_Def_Processes[Process_ID],,0,)</f>
        <v/>
      </c>
      <c r="E11" s="273" t="inlineStr">
        <is>
          <t>N.A.</t>
        </is>
      </c>
      <c r="F11" s="272">
        <f>_xlfn.XLOOKUP($E11,Tab_Def_Processes[Name(EN)],Tab_Def_Processes[Process_Type],,0,)</f>
        <v/>
      </c>
      <c r="G11" s="272">
        <f>_xlfn.XLOOKUP($E11,Tab_Def_Processes[Name(EN)],Tab_Def_Processes[TC?],,0,)</f>
        <v/>
      </c>
      <c r="H11" s="272">
        <f>_xlfn.XLOOKUP($E11,Tab_Def_Processes[Name(EN)],Tab_Def_Processes[Dyn_TC?],,0,)</f>
        <v/>
      </c>
      <c r="I11" s="272">
        <f>_xlfn.XLOOKUP($E11,Tab_Def_Processes[Name(EN)],Tab_Def_Processes[Stock?],,0,)</f>
        <v/>
      </c>
      <c r="J11" s="272">
        <f>_xlfn.XLOOKUP($E11,Tab_Def_Processes[Name(EN)],Tab_Def_Processes[Initial_Stock?],,0,)</f>
        <v/>
      </c>
      <c r="K11" s="187" t="n"/>
      <c r="L11" s="273" t="n"/>
      <c r="M11" s="273" t="n"/>
      <c r="N11" s="273" t="n"/>
      <c r="O11" s="273" t="n"/>
      <c r="P11" s="273" t="n"/>
      <c r="Q11" s="272" t="n"/>
      <c r="R11" s="273" t="n"/>
      <c r="S11" s="272" t="n"/>
      <c r="T11" s="273" t="n"/>
      <c r="U11" s="198" t="n"/>
    </row>
    <row r="12">
      <c r="A12" s="280" t="b">
        <v>0</v>
      </c>
      <c r="B12" s="272">
        <f>ROW()-1</f>
        <v/>
      </c>
      <c r="C12" s="272">
        <f>"S"&amp;"_"&amp;LEFT(D12,2)</f>
        <v/>
      </c>
      <c r="D12" s="272">
        <f>_xlfn.XLOOKUP($E12,Tab_Def_Processes[Name(EN)],Tab_Def_Processes[Process_ID],,0,)</f>
        <v/>
      </c>
      <c r="E12" s="273" t="inlineStr">
        <is>
          <t>N.A.</t>
        </is>
      </c>
      <c r="F12" s="272">
        <f>_xlfn.XLOOKUP($E12,Tab_Def_Processes[Name(EN)],Tab_Def_Processes[Process_Type],,0,)</f>
        <v/>
      </c>
      <c r="G12" s="272">
        <f>_xlfn.XLOOKUP($E12,Tab_Def_Processes[Name(EN)],Tab_Def_Processes[TC?],,0,)</f>
        <v/>
      </c>
      <c r="H12" s="272">
        <f>_xlfn.XLOOKUP($E12,Tab_Def_Processes[Name(EN)],Tab_Def_Processes[Dyn_TC?],,0,)</f>
        <v/>
      </c>
      <c r="I12" s="272">
        <f>_xlfn.XLOOKUP($E12,Tab_Def_Processes[Name(EN)],Tab_Def_Processes[Stock?],,0,)</f>
        <v/>
      </c>
      <c r="J12" s="272">
        <f>_xlfn.XLOOKUP($E12,Tab_Def_Processes[Name(EN)],Tab_Def_Processes[Initial_Stock?],,0,)</f>
        <v/>
      </c>
      <c r="K12" s="187" t="n"/>
      <c r="L12" s="273" t="n"/>
      <c r="M12" s="273" t="n"/>
      <c r="N12" s="273" t="n"/>
      <c r="O12" s="273" t="n"/>
      <c r="P12" s="273" t="n"/>
      <c r="Q12" s="272" t="n"/>
      <c r="R12" s="273" t="n"/>
      <c r="S12" s="272" t="n"/>
      <c r="T12" s="273" t="n"/>
      <c r="U12" s="198" t="n"/>
    </row>
    <row r="13">
      <c r="A13" s="280" t="b">
        <v>0</v>
      </c>
      <c r="B13" s="272">
        <f>ROW()-1</f>
        <v/>
      </c>
      <c r="C13" s="272">
        <f>"S"&amp;"_"&amp;LEFT(D13,2)</f>
        <v/>
      </c>
      <c r="D13" s="272">
        <f>_xlfn.XLOOKUP($E13,Tab_Def_Processes[Name(EN)],Tab_Def_Processes[Process_ID],,0,)</f>
        <v/>
      </c>
      <c r="E13" s="273" t="inlineStr">
        <is>
          <t>N.A.</t>
        </is>
      </c>
      <c r="F13" s="272">
        <f>_xlfn.XLOOKUP($E13,Tab_Def_Processes[Name(EN)],Tab_Def_Processes[Process_Type],,0,)</f>
        <v/>
      </c>
      <c r="G13" s="272">
        <f>_xlfn.XLOOKUP($E13,Tab_Def_Processes[Name(EN)],Tab_Def_Processes[TC?],,0,)</f>
        <v/>
      </c>
      <c r="H13" s="272">
        <f>_xlfn.XLOOKUP($E13,Tab_Def_Processes[Name(EN)],Tab_Def_Processes[Dyn_TC?],,0,)</f>
        <v/>
      </c>
      <c r="I13" s="272">
        <f>_xlfn.XLOOKUP($E13,Tab_Def_Processes[Name(EN)],Tab_Def_Processes[Stock?],,0,)</f>
        <v/>
      </c>
      <c r="J13" s="272">
        <f>_xlfn.XLOOKUP($E13,Tab_Def_Processes[Name(EN)],Tab_Def_Processes[Initial_Stock?],,0,)</f>
        <v/>
      </c>
      <c r="K13" s="187" t="n"/>
      <c r="L13" s="273" t="n"/>
      <c r="M13" s="273" t="n"/>
      <c r="N13" s="273" t="n"/>
      <c r="O13" s="273" t="n"/>
      <c r="P13" s="273" t="n"/>
      <c r="Q13" s="272" t="n"/>
      <c r="R13" s="273" t="n"/>
      <c r="S13" s="272" t="n"/>
      <c r="T13" s="273" t="n"/>
      <c r="U13" s="198" t="n"/>
    </row>
    <row r="14">
      <c r="A14" s="280" t="b">
        <v>0</v>
      </c>
      <c r="B14" s="272">
        <f>ROW()-1</f>
        <v/>
      </c>
      <c r="C14" s="272">
        <f>"S"&amp;"_"&amp;LEFT(D14,2)</f>
        <v/>
      </c>
      <c r="D14" s="272">
        <f>_xlfn.XLOOKUP($E14,Tab_Def_Processes[Name(EN)],Tab_Def_Processes[Process_ID],,0,)</f>
        <v/>
      </c>
      <c r="E14" s="273" t="inlineStr">
        <is>
          <t>N.A.</t>
        </is>
      </c>
      <c r="F14" s="272">
        <f>_xlfn.XLOOKUP($E14,Tab_Def_Processes[Name(EN)],Tab_Def_Processes[Process_Type],,0,)</f>
        <v/>
      </c>
      <c r="G14" s="272">
        <f>_xlfn.XLOOKUP($E14,Tab_Def_Processes[Name(EN)],Tab_Def_Processes[TC?],,0,)</f>
        <v/>
      </c>
      <c r="H14" s="272">
        <f>_xlfn.XLOOKUP($E14,Tab_Def_Processes[Name(EN)],Tab_Def_Processes[Dyn_TC?],,0,)</f>
        <v/>
      </c>
      <c r="I14" s="272">
        <f>_xlfn.XLOOKUP($E14,Tab_Def_Processes[Name(EN)],Tab_Def_Processes[Stock?],,0,)</f>
        <v/>
      </c>
      <c r="J14" s="272">
        <f>_xlfn.XLOOKUP($E14,Tab_Def_Processes[Name(EN)],Tab_Def_Processes[Initial_Stock?],,0,)</f>
        <v/>
      </c>
      <c r="K14" s="187" t="n"/>
      <c r="L14" s="273" t="n"/>
      <c r="M14" s="273" t="n"/>
      <c r="N14" s="273" t="n"/>
      <c r="O14" s="273" t="n"/>
      <c r="P14" s="273" t="n"/>
      <c r="Q14" s="272" t="n"/>
      <c r="R14" s="273" t="n"/>
      <c r="S14" s="272" t="n"/>
      <c r="T14" s="273" t="n"/>
      <c r="U14" s="198" t="n"/>
    </row>
    <row r="15">
      <c r="A15" s="280" t="b">
        <v>0</v>
      </c>
      <c r="B15" s="272">
        <f>ROW()-1</f>
        <v/>
      </c>
      <c r="C15" s="272">
        <f>"S"&amp;"_"&amp;LEFT(D15,2)</f>
        <v/>
      </c>
      <c r="D15" s="272">
        <f>_xlfn.XLOOKUP($E15,Tab_Def_Processes[Name(EN)],Tab_Def_Processes[Process_ID],,0,)</f>
        <v/>
      </c>
      <c r="E15" s="273" t="inlineStr">
        <is>
          <t>N.A.</t>
        </is>
      </c>
      <c r="F15" s="272">
        <f>_xlfn.XLOOKUP($E15,Tab_Def_Processes[Name(EN)],Tab_Def_Processes[Process_Type],,0,)</f>
        <v/>
      </c>
      <c r="G15" s="272">
        <f>_xlfn.XLOOKUP($E15,Tab_Def_Processes[Name(EN)],Tab_Def_Processes[TC?],,0,)</f>
        <v/>
      </c>
      <c r="H15" s="272">
        <f>_xlfn.XLOOKUP($E15,Tab_Def_Processes[Name(EN)],Tab_Def_Processes[Dyn_TC?],,0,)</f>
        <v/>
      </c>
      <c r="I15" s="272">
        <f>_xlfn.XLOOKUP($E15,Tab_Def_Processes[Name(EN)],Tab_Def_Processes[Stock?],,0,)</f>
        <v/>
      </c>
      <c r="J15" s="272">
        <f>_xlfn.XLOOKUP($E15,Tab_Def_Processes[Name(EN)],Tab_Def_Processes[Initial_Stock?],,0,)</f>
        <v/>
      </c>
      <c r="K15" s="187" t="n"/>
      <c r="L15" s="273" t="n"/>
      <c r="M15" s="273" t="n"/>
      <c r="N15" s="273" t="n"/>
      <c r="O15" s="273" t="n"/>
      <c r="P15" s="273" t="n"/>
      <c r="Q15" s="272" t="n"/>
      <c r="R15" s="273" t="n"/>
      <c r="S15" s="272" t="n"/>
      <c r="T15" s="273" t="n"/>
      <c r="U15" s="198" t="n"/>
    </row>
    <row r="16">
      <c r="A16" s="280" t="b">
        <v>0</v>
      </c>
      <c r="B16" s="272">
        <f>ROW()-1</f>
        <v/>
      </c>
      <c r="C16" s="272">
        <f>"S"&amp;"_"&amp;LEFT(D16,2)</f>
        <v/>
      </c>
      <c r="D16" s="272">
        <f>_xlfn.XLOOKUP($E16,Tab_Def_Processes[Name(EN)],Tab_Def_Processes[Process_ID],,0,)</f>
        <v/>
      </c>
      <c r="E16" s="273" t="inlineStr">
        <is>
          <t>N.A.</t>
        </is>
      </c>
      <c r="F16" s="272">
        <f>_xlfn.XLOOKUP($E16,Tab_Def_Processes[Name(EN)],Tab_Def_Processes[Process_Type],,0,)</f>
        <v/>
      </c>
      <c r="G16" s="272">
        <f>_xlfn.XLOOKUP($E16,Tab_Def_Processes[Name(EN)],Tab_Def_Processes[TC?],,0,)</f>
        <v/>
      </c>
      <c r="H16" s="272">
        <f>_xlfn.XLOOKUP($E16,Tab_Def_Processes[Name(EN)],Tab_Def_Processes[Dyn_TC?],,0,)</f>
        <v/>
      </c>
      <c r="I16" s="272">
        <f>_xlfn.XLOOKUP($E16,Tab_Def_Processes[Name(EN)],Tab_Def_Processes[Stock?],,0,)</f>
        <v/>
      </c>
      <c r="J16" s="272">
        <f>_xlfn.XLOOKUP($E16,Tab_Def_Processes[Name(EN)],Tab_Def_Processes[Initial_Stock?],,0,)</f>
        <v/>
      </c>
      <c r="K16" s="187" t="n"/>
      <c r="L16" s="273" t="n"/>
      <c r="M16" s="273" t="n"/>
      <c r="N16" s="273" t="n"/>
      <c r="O16" s="273" t="n"/>
      <c r="P16" s="273" t="n"/>
      <c r="Q16" s="272" t="n"/>
      <c r="R16" s="273" t="n"/>
      <c r="S16" s="272" t="n"/>
      <c r="T16" s="273" t="n"/>
      <c r="U16" s="198" t="n"/>
    </row>
    <row r="17">
      <c r="A17" s="280" t="b">
        <v>0</v>
      </c>
      <c r="B17" s="272">
        <f>ROW()-1</f>
        <v/>
      </c>
      <c r="C17" s="272">
        <f>"S"&amp;"_"&amp;LEFT(D17,2)</f>
        <v/>
      </c>
      <c r="D17" s="272">
        <f>_xlfn.XLOOKUP($E17,Tab_Def_Processes[Name(EN)],Tab_Def_Processes[Process_ID],,0,)</f>
        <v/>
      </c>
      <c r="E17" s="273" t="inlineStr">
        <is>
          <t>N.A.</t>
        </is>
      </c>
      <c r="F17" s="272">
        <f>_xlfn.XLOOKUP($E17,Tab_Def_Processes[Name(EN)],Tab_Def_Processes[Process_Type],,0,)</f>
        <v/>
      </c>
      <c r="G17" s="272">
        <f>_xlfn.XLOOKUP($E17,Tab_Def_Processes[Name(EN)],Tab_Def_Processes[TC?],,0,)</f>
        <v/>
      </c>
      <c r="H17" s="272">
        <f>_xlfn.XLOOKUP($E17,Tab_Def_Processes[Name(EN)],Tab_Def_Processes[Dyn_TC?],,0,)</f>
        <v/>
      </c>
      <c r="I17" s="272">
        <f>_xlfn.XLOOKUP($E17,Tab_Def_Processes[Name(EN)],Tab_Def_Processes[Stock?],,0,)</f>
        <v/>
      </c>
      <c r="J17" s="272">
        <f>_xlfn.XLOOKUP($E17,Tab_Def_Processes[Name(EN)],Tab_Def_Processes[Initial_Stock?],,0,)</f>
        <v/>
      </c>
      <c r="K17" s="187" t="n"/>
      <c r="L17" s="273" t="n"/>
      <c r="M17" s="273" t="n"/>
      <c r="N17" s="273" t="n"/>
      <c r="O17" s="273" t="n"/>
      <c r="P17" s="273" t="n"/>
      <c r="Q17" s="272" t="n"/>
      <c r="R17" s="273" t="n"/>
      <c r="S17" s="272" t="n"/>
      <c r="T17" s="273" t="n"/>
      <c r="U17" s="198" t="n"/>
    </row>
    <row r="18">
      <c r="A18" s="280" t="b">
        <v>0</v>
      </c>
      <c r="B18" s="272">
        <f>ROW()-1</f>
        <v/>
      </c>
      <c r="C18" s="272">
        <f>"S"&amp;"_"&amp;LEFT(D18,2)</f>
        <v/>
      </c>
      <c r="D18" s="272">
        <f>_xlfn.XLOOKUP($E18,Tab_Def_Processes[Name(EN)],Tab_Def_Processes[Process_ID],,0,)</f>
        <v/>
      </c>
      <c r="E18" s="273" t="inlineStr">
        <is>
          <t>N.A.</t>
        </is>
      </c>
      <c r="F18" s="272">
        <f>_xlfn.XLOOKUP($E18,Tab_Def_Processes[Name(EN)],Tab_Def_Processes[Process_Type],,0,)</f>
        <v/>
      </c>
      <c r="G18" s="272">
        <f>_xlfn.XLOOKUP($E18,Tab_Def_Processes[Name(EN)],Tab_Def_Processes[TC?],,0,)</f>
        <v/>
      </c>
      <c r="H18" s="272">
        <f>_xlfn.XLOOKUP($E18,Tab_Def_Processes[Name(EN)],Tab_Def_Processes[Dyn_TC?],,0,)</f>
        <v/>
      </c>
      <c r="I18" s="272">
        <f>_xlfn.XLOOKUP($E18,Tab_Def_Processes[Name(EN)],Tab_Def_Processes[Stock?],,0,)</f>
        <v/>
      </c>
      <c r="J18" s="272">
        <f>_xlfn.XLOOKUP($E18,Tab_Def_Processes[Name(EN)],Tab_Def_Processes[Initial_Stock?],,0,)</f>
        <v/>
      </c>
      <c r="K18" s="187" t="n"/>
      <c r="L18" s="273" t="n"/>
      <c r="M18" s="273" t="n"/>
      <c r="N18" s="273" t="n"/>
      <c r="O18" s="273" t="n"/>
      <c r="P18" s="273" t="n"/>
      <c r="Q18" s="272" t="n"/>
      <c r="R18" s="273" t="n"/>
      <c r="S18" s="272" t="n"/>
      <c r="T18" s="273" t="n"/>
      <c r="U18" s="198" t="n"/>
    </row>
    <row r="19">
      <c r="A19" s="280" t="b">
        <v>0</v>
      </c>
      <c r="B19" s="272">
        <f>ROW()-1</f>
        <v/>
      </c>
      <c r="C19" s="272">
        <f>"S"&amp;"_"&amp;LEFT(D19,2)</f>
        <v/>
      </c>
      <c r="D19" s="272">
        <f>_xlfn.XLOOKUP($E19,Tab_Def_Processes[Name(EN)],Tab_Def_Processes[Process_ID],,0,)</f>
        <v/>
      </c>
      <c r="E19" s="273" t="inlineStr">
        <is>
          <t>N.A.</t>
        </is>
      </c>
      <c r="F19" s="272">
        <f>_xlfn.XLOOKUP($E19,Tab_Def_Processes[Name(EN)],Tab_Def_Processes[Process_Type],,0,)</f>
        <v/>
      </c>
      <c r="G19" s="272">
        <f>_xlfn.XLOOKUP($E19,Tab_Def_Processes[Name(EN)],Tab_Def_Processes[TC?],,0,)</f>
        <v/>
      </c>
      <c r="H19" s="272">
        <f>_xlfn.XLOOKUP($E19,Tab_Def_Processes[Name(EN)],Tab_Def_Processes[Dyn_TC?],,0,)</f>
        <v/>
      </c>
      <c r="I19" s="272">
        <f>_xlfn.XLOOKUP($E19,Tab_Def_Processes[Name(EN)],Tab_Def_Processes[Stock?],,0,)</f>
        <v/>
      </c>
      <c r="J19" s="272">
        <f>_xlfn.XLOOKUP($E19,Tab_Def_Processes[Name(EN)],Tab_Def_Processes[Initial_Stock?],,0,)</f>
        <v/>
      </c>
      <c r="K19" s="187" t="n"/>
      <c r="L19" s="273" t="n"/>
      <c r="M19" s="273" t="n"/>
      <c r="N19" s="273" t="n"/>
      <c r="O19" s="273" t="n"/>
      <c r="P19" s="273" t="n"/>
      <c r="Q19" s="272" t="n"/>
      <c r="R19" s="273" t="n"/>
      <c r="S19" s="272" t="n"/>
      <c r="T19" s="273" t="n"/>
      <c r="U19" s="198" t="n"/>
    </row>
    <row r="20">
      <c r="A20" s="280" t="b">
        <v>0</v>
      </c>
      <c r="B20" s="272">
        <f>ROW()-1</f>
        <v/>
      </c>
      <c r="C20" s="272">
        <f>"S"&amp;"_"&amp;LEFT(D20,2)</f>
        <v/>
      </c>
      <c r="D20" s="272">
        <f>_xlfn.XLOOKUP($E20,Tab_Def_Processes[Name(EN)],Tab_Def_Processes[Process_ID],,0,)</f>
        <v/>
      </c>
      <c r="E20" s="273" t="inlineStr">
        <is>
          <t>N.A.</t>
        </is>
      </c>
      <c r="F20" s="272">
        <f>_xlfn.XLOOKUP($E20,Tab_Def_Processes[Name(EN)],Tab_Def_Processes[Process_Type],,0,)</f>
        <v/>
      </c>
      <c r="G20" s="272">
        <f>_xlfn.XLOOKUP($E20,Tab_Def_Processes[Name(EN)],Tab_Def_Processes[TC?],,0,)</f>
        <v/>
      </c>
      <c r="H20" s="272">
        <f>_xlfn.XLOOKUP($E20,Tab_Def_Processes[Name(EN)],Tab_Def_Processes[Dyn_TC?],,0,)</f>
        <v/>
      </c>
      <c r="I20" s="272">
        <f>_xlfn.XLOOKUP($E20,Tab_Def_Processes[Name(EN)],Tab_Def_Processes[Stock?],,0,)</f>
        <v/>
      </c>
      <c r="J20" s="272">
        <f>_xlfn.XLOOKUP($E20,Tab_Def_Processes[Name(EN)],Tab_Def_Processes[Initial_Stock?],,0,)</f>
        <v/>
      </c>
      <c r="K20" s="187" t="n"/>
      <c r="L20" s="273" t="n"/>
      <c r="M20" s="273" t="n"/>
      <c r="N20" s="273" t="n"/>
      <c r="O20" s="273" t="n"/>
      <c r="P20" s="273" t="n"/>
      <c r="Q20" s="272" t="n"/>
      <c r="R20" s="273" t="n"/>
      <c r="S20" s="272" t="n"/>
      <c r="T20" s="273" t="n"/>
      <c r="U20" s="198" t="n"/>
    </row>
    <row r="21">
      <c r="A21" s="280" t="b">
        <v>0</v>
      </c>
      <c r="B21" s="272">
        <f>ROW()-1</f>
        <v/>
      </c>
      <c r="C21" s="272">
        <f>"S"&amp;"_"&amp;LEFT(D21,2)</f>
        <v/>
      </c>
      <c r="D21" s="272">
        <f>_xlfn.XLOOKUP($E21,Tab_Def_Processes[Name(EN)],Tab_Def_Processes[Process_ID],,0,)</f>
        <v/>
      </c>
      <c r="E21" s="273" t="inlineStr">
        <is>
          <t>N.A.</t>
        </is>
      </c>
      <c r="F21" s="272">
        <f>_xlfn.XLOOKUP($E21,Tab_Def_Processes[Name(EN)],Tab_Def_Processes[Process_Type],,0,)</f>
        <v/>
      </c>
      <c r="G21" s="272">
        <f>_xlfn.XLOOKUP($E21,Tab_Def_Processes[Name(EN)],Tab_Def_Processes[TC?],,0,)</f>
        <v/>
      </c>
      <c r="H21" s="272">
        <f>_xlfn.XLOOKUP($E21,Tab_Def_Processes[Name(EN)],Tab_Def_Processes[Dyn_TC?],,0,)</f>
        <v/>
      </c>
      <c r="I21" s="272">
        <f>_xlfn.XLOOKUP($E21,Tab_Def_Processes[Name(EN)],Tab_Def_Processes[Stock?],,0,)</f>
        <v/>
      </c>
      <c r="J21" s="272">
        <f>_xlfn.XLOOKUP($E21,Tab_Def_Processes[Name(EN)],Tab_Def_Processes[Initial_Stock?],,0,)</f>
        <v/>
      </c>
      <c r="K21" s="187" t="n"/>
      <c r="L21" s="273" t="n"/>
      <c r="M21" s="273" t="n"/>
      <c r="N21" s="273" t="n"/>
      <c r="O21" s="273" t="n"/>
      <c r="P21" s="273" t="n"/>
      <c r="Q21" s="272" t="n"/>
      <c r="R21" s="273" t="n"/>
      <c r="S21" s="272" t="n"/>
      <c r="T21" s="273" t="n"/>
      <c r="U21" s="198" t="n"/>
    </row>
    <row r="22">
      <c r="A22" s="280" t="b">
        <v>0</v>
      </c>
      <c r="B22" s="272">
        <f>ROW()-1</f>
        <v/>
      </c>
      <c r="C22" s="272">
        <f>"S"&amp;"_"&amp;LEFT(D22,2)</f>
        <v/>
      </c>
      <c r="D22" s="272">
        <f>_xlfn.XLOOKUP($E22,Tab_Def_Processes[Name(EN)],Tab_Def_Processes[Process_ID],,0,)</f>
        <v/>
      </c>
      <c r="E22" s="273" t="inlineStr">
        <is>
          <t>N.A.</t>
        </is>
      </c>
      <c r="F22" s="272">
        <f>_xlfn.XLOOKUP($E22,Tab_Def_Processes[Name(EN)],Tab_Def_Processes[Process_Type],,0,)</f>
        <v/>
      </c>
      <c r="G22" s="272">
        <f>_xlfn.XLOOKUP($E22,Tab_Def_Processes[Name(EN)],Tab_Def_Processes[TC?],,0,)</f>
        <v/>
      </c>
      <c r="H22" s="272">
        <f>_xlfn.XLOOKUP($E22,Tab_Def_Processes[Name(EN)],Tab_Def_Processes[Dyn_TC?],,0,)</f>
        <v/>
      </c>
      <c r="I22" s="272">
        <f>_xlfn.XLOOKUP($E22,Tab_Def_Processes[Name(EN)],Tab_Def_Processes[Stock?],,0,)</f>
        <v/>
      </c>
      <c r="J22" s="272">
        <f>_xlfn.XLOOKUP($E22,Tab_Def_Processes[Name(EN)],Tab_Def_Processes[Initial_Stock?],,0,)</f>
        <v/>
      </c>
      <c r="K22" s="187" t="n"/>
      <c r="L22" s="273" t="n"/>
      <c r="M22" s="273" t="n"/>
      <c r="N22" s="273" t="n"/>
      <c r="O22" s="273" t="n"/>
      <c r="P22" s="273" t="n"/>
      <c r="Q22" s="272" t="n"/>
      <c r="R22" s="273" t="n"/>
      <c r="S22" s="272" t="n"/>
      <c r="T22" s="273" t="n"/>
      <c r="U22" s="198" t="n"/>
    </row>
    <row r="23">
      <c r="A23" s="280" t="b">
        <v>0</v>
      </c>
      <c r="B23" s="272">
        <f>ROW()-1</f>
        <v/>
      </c>
      <c r="C23" s="272">
        <f>"S"&amp;"_"&amp;LEFT(D23,2)</f>
        <v/>
      </c>
      <c r="D23" s="272">
        <f>_xlfn.XLOOKUP($E23,Tab_Def_Processes[Name(EN)],Tab_Def_Processes[Process_ID],,0,)</f>
        <v/>
      </c>
      <c r="E23" s="273" t="inlineStr">
        <is>
          <t>N.A.</t>
        </is>
      </c>
      <c r="F23" s="272">
        <f>_xlfn.XLOOKUP($E23,Tab_Def_Processes[Name(EN)],Tab_Def_Processes[Process_Type],,0,)</f>
        <v/>
      </c>
      <c r="G23" s="272">
        <f>_xlfn.XLOOKUP($E23,Tab_Def_Processes[Name(EN)],Tab_Def_Processes[TC?],,0,)</f>
        <v/>
      </c>
      <c r="H23" s="272">
        <f>_xlfn.XLOOKUP($E23,Tab_Def_Processes[Name(EN)],Tab_Def_Processes[Dyn_TC?],,0,)</f>
        <v/>
      </c>
      <c r="I23" s="272">
        <f>_xlfn.XLOOKUP($E23,Tab_Def_Processes[Name(EN)],Tab_Def_Processes[Stock?],,0,)</f>
        <v/>
      </c>
      <c r="J23" s="272">
        <f>_xlfn.XLOOKUP($E23,Tab_Def_Processes[Name(EN)],Tab_Def_Processes[Initial_Stock?],,0,)</f>
        <v/>
      </c>
      <c r="K23" s="187" t="n"/>
      <c r="L23" s="273" t="n"/>
      <c r="M23" s="273" t="n"/>
      <c r="N23" s="273" t="n"/>
      <c r="O23" s="273" t="n"/>
      <c r="P23" s="273" t="n"/>
      <c r="Q23" s="272" t="n"/>
      <c r="R23" s="273" t="n"/>
      <c r="S23" s="272" t="n"/>
      <c r="T23" s="273" t="n"/>
      <c r="U23" s="198" t="n"/>
    </row>
    <row r="24">
      <c r="A24" s="280" t="b">
        <v>0</v>
      </c>
      <c r="B24" s="272">
        <f>ROW()-1</f>
        <v/>
      </c>
      <c r="C24" s="272">
        <f>"S"&amp;"_"&amp;LEFT(D24,2)</f>
        <v/>
      </c>
      <c r="D24" s="272">
        <f>_xlfn.XLOOKUP($E24,Tab_Def_Processes[Name(EN)],Tab_Def_Processes[Process_ID],,0,)</f>
        <v/>
      </c>
      <c r="E24" s="273" t="inlineStr">
        <is>
          <t>N.A.</t>
        </is>
      </c>
      <c r="F24" s="272">
        <f>_xlfn.XLOOKUP($E24,Tab_Def_Processes[Name(EN)],Tab_Def_Processes[Process_Type],,0,)</f>
        <v/>
      </c>
      <c r="G24" s="272">
        <f>_xlfn.XLOOKUP($E24,Tab_Def_Processes[Name(EN)],Tab_Def_Processes[TC?],,0,)</f>
        <v/>
      </c>
      <c r="H24" s="272">
        <f>_xlfn.XLOOKUP($E24,Tab_Def_Processes[Name(EN)],Tab_Def_Processes[Dyn_TC?],,0,)</f>
        <v/>
      </c>
      <c r="I24" s="272">
        <f>_xlfn.XLOOKUP($E24,Tab_Def_Processes[Name(EN)],Tab_Def_Processes[Stock?],,0,)</f>
        <v/>
      </c>
      <c r="J24" s="272">
        <f>_xlfn.XLOOKUP($E24,Tab_Def_Processes[Name(EN)],Tab_Def_Processes[Initial_Stock?],,0,)</f>
        <v/>
      </c>
      <c r="K24" s="187" t="n"/>
      <c r="L24" s="273" t="n"/>
      <c r="M24" s="273" t="n"/>
      <c r="N24" s="273" t="n"/>
      <c r="O24" s="273" t="n"/>
      <c r="P24" s="273" t="n"/>
      <c r="Q24" s="272" t="n"/>
      <c r="R24" s="273" t="n"/>
      <c r="S24" s="272" t="n"/>
      <c r="T24" s="273" t="n"/>
      <c r="U24" s="198" t="n"/>
    </row>
    <row r="25">
      <c r="A25" s="280" t="b">
        <v>0</v>
      </c>
      <c r="B25" s="272">
        <f>ROW()-1</f>
        <v/>
      </c>
      <c r="C25" s="272">
        <f>"S"&amp;"_"&amp;LEFT(D25,2)</f>
        <v/>
      </c>
      <c r="D25" s="272">
        <f>_xlfn.XLOOKUP($E25,Tab_Def_Processes[Name(EN)],Tab_Def_Processes[Process_ID],,0,)</f>
        <v/>
      </c>
      <c r="E25" s="273" t="inlineStr">
        <is>
          <t>N.A.</t>
        </is>
      </c>
      <c r="F25" s="272">
        <f>_xlfn.XLOOKUP($E25,Tab_Def_Processes[Name(EN)],Tab_Def_Processes[Process_Type],,0,)</f>
        <v/>
      </c>
      <c r="G25" s="272">
        <f>_xlfn.XLOOKUP($E25,Tab_Def_Processes[Name(EN)],Tab_Def_Processes[TC?],,0,)</f>
        <v/>
      </c>
      <c r="H25" s="272">
        <f>_xlfn.XLOOKUP($E25,Tab_Def_Processes[Name(EN)],Tab_Def_Processes[Dyn_TC?],,0,)</f>
        <v/>
      </c>
      <c r="I25" s="272">
        <f>_xlfn.XLOOKUP($E25,Tab_Def_Processes[Name(EN)],Tab_Def_Processes[Stock?],,0,)</f>
        <v/>
      </c>
      <c r="J25" s="272">
        <f>_xlfn.XLOOKUP($E25,Tab_Def_Processes[Name(EN)],Tab_Def_Processes[Initial_Stock?],,0,)</f>
        <v/>
      </c>
      <c r="K25" s="187" t="n"/>
      <c r="L25" s="273" t="n"/>
      <c r="M25" s="273" t="n"/>
      <c r="N25" s="273" t="n"/>
      <c r="O25" s="273" t="n"/>
      <c r="P25" s="273" t="n"/>
      <c r="Q25" s="272" t="n"/>
      <c r="R25" s="273" t="n"/>
      <c r="S25" s="272" t="n"/>
      <c r="T25" s="273" t="n"/>
      <c r="U25" s="198" t="n"/>
    </row>
    <row r="26">
      <c r="A26" s="280" t="b">
        <v>0</v>
      </c>
      <c r="B26" s="272">
        <f>ROW()-1</f>
        <v/>
      </c>
      <c r="C26" s="272">
        <f>"S"&amp;"_"&amp;LEFT(D26,2)</f>
        <v/>
      </c>
      <c r="D26" s="272">
        <f>_xlfn.XLOOKUP($E26,Tab_Def_Processes[Name(EN)],Tab_Def_Processes[Process_ID],,0,)</f>
        <v/>
      </c>
      <c r="E26" s="273" t="inlineStr">
        <is>
          <t>N.A.</t>
        </is>
      </c>
      <c r="F26" s="272">
        <f>_xlfn.XLOOKUP($E26,Tab_Def_Processes[Name(EN)],Tab_Def_Processes[Process_Type],,0,)</f>
        <v/>
      </c>
      <c r="G26" s="272">
        <f>_xlfn.XLOOKUP($E26,Tab_Def_Processes[Name(EN)],Tab_Def_Processes[TC?],,0,)</f>
        <v/>
      </c>
      <c r="H26" s="272">
        <f>_xlfn.XLOOKUP($E26,Tab_Def_Processes[Name(EN)],Tab_Def_Processes[Dyn_TC?],,0,)</f>
        <v/>
      </c>
      <c r="I26" s="272">
        <f>_xlfn.XLOOKUP($E26,Tab_Def_Processes[Name(EN)],Tab_Def_Processes[Stock?],,0,)</f>
        <v/>
      </c>
      <c r="J26" s="272">
        <f>_xlfn.XLOOKUP($E26,Tab_Def_Processes[Name(EN)],Tab_Def_Processes[Initial_Stock?],,0,)</f>
        <v/>
      </c>
      <c r="K26" s="187" t="n"/>
      <c r="L26" s="273" t="n"/>
      <c r="M26" s="273" t="n"/>
      <c r="N26" s="273" t="n"/>
      <c r="O26" s="273" t="n"/>
      <c r="P26" s="273" t="n"/>
      <c r="Q26" s="272" t="n"/>
      <c r="R26" s="273" t="n"/>
      <c r="S26" s="272" t="n"/>
      <c r="T26" s="273" t="n"/>
      <c r="U26" s="198" t="n"/>
    </row>
    <row r="27">
      <c r="A27" s="280" t="b">
        <v>0</v>
      </c>
      <c r="B27" s="272">
        <f>ROW()-1</f>
        <v/>
      </c>
      <c r="C27" s="272">
        <f>"S"&amp;"_"&amp;LEFT(D27,2)</f>
        <v/>
      </c>
      <c r="D27" s="272">
        <f>_xlfn.XLOOKUP($E27,Tab_Def_Processes[Name(EN)],Tab_Def_Processes[Process_ID],,0,)</f>
        <v/>
      </c>
      <c r="E27" s="273" t="inlineStr">
        <is>
          <t>N.A.</t>
        </is>
      </c>
      <c r="F27" s="272">
        <f>_xlfn.XLOOKUP($E27,Tab_Def_Processes[Name(EN)],Tab_Def_Processes[Process_Type],,0,)</f>
        <v/>
      </c>
      <c r="G27" s="272">
        <f>_xlfn.XLOOKUP($E27,Tab_Def_Processes[Name(EN)],Tab_Def_Processes[TC?],,0,)</f>
        <v/>
      </c>
      <c r="H27" s="272">
        <f>_xlfn.XLOOKUP($E27,Tab_Def_Processes[Name(EN)],Tab_Def_Processes[Dyn_TC?],,0,)</f>
        <v/>
      </c>
      <c r="I27" s="272">
        <f>_xlfn.XLOOKUP($E27,Tab_Def_Processes[Name(EN)],Tab_Def_Processes[Stock?],,0,)</f>
        <v/>
      </c>
      <c r="J27" s="272">
        <f>_xlfn.XLOOKUP($E27,Tab_Def_Processes[Name(EN)],Tab_Def_Processes[Initial_Stock?],,0,)</f>
        <v/>
      </c>
      <c r="K27" s="187" t="n"/>
      <c r="L27" s="273" t="n"/>
      <c r="M27" s="273" t="n"/>
      <c r="N27" s="273" t="n"/>
      <c r="O27" s="273" t="n"/>
      <c r="P27" s="273" t="n"/>
      <c r="Q27" s="272" t="n"/>
      <c r="R27" s="273" t="n"/>
      <c r="S27" s="272" t="n"/>
      <c r="T27" s="273" t="n"/>
      <c r="U27" s="198" t="n"/>
    </row>
    <row r="28">
      <c r="A28" s="280" t="b">
        <v>0</v>
      </c>
      <c r="B28" s="272">
        <f>ROW()-1</f>
        <v/>
      </c>
      <c r="C28" s="272">
        <f>"S"&amp;"_"&amp;LEFT(D28,2)</f>
        <v/>
      </c>
      <c r="D28" s="272">
        <f>_xlfn.XLOOKUP($E28,Tab_Def_Processes[Name(EN)],Tab_Def_Processes[Process_ID],,0,)</f>
        <v/>
      </c>
      <c r="E28" s="273" t="inlineStr">
        <is>
          <t>N.A.</t>
        </is>
      </c>
      <c r="F28" s="272">
        <f>_xlfn.XLOOKUP($E28,Tab_Def_Processes[Name(EN)],Tab_Def_Processes[Process_Type],,0,)</f>
        <v/>
      </c>
      <c r="G28" s="272">
        <f>_xlfn.XLOOKUP($E28,Tab_Def_Processes[Name(EN)],Tab_Def_Processes[TC?],,0,)</f>
        <v/>
      </c>
      <c r="H28" s="272">
        <f>_xlfn.XLOOKUP($E28,Tab_Def_Processes[Name(EN)],Tab_Def_Processes[Dyn_TC?],,0,)</f>
        <v/>
      </c>
      <c r="I28" s="272">
        <f>_xlfn.XLOOKUP($E28,Tab_Def_Processes[Name(EN)],Tab_Def_Processes[Stock?],,0,)</f>
        <v/>
      </c>
      <c r="J28" s="272">
        <f>_xlfn.XLOOKUP($E28,Tab_Def_Processes[Name(EN)],Tab_Def_Processes[Initial_Stock?],,0,)</f>
        <v/>
      </c>
      <c r="K28" s="187" t="n"/>
      <c r="L28" s="273" t="n"/>
      <c r="M28" s="273" t="n"/>
      <c r="N28" s="273" t="n"/>
      <c r="O28" s="273" t="n"/>
      <c r="P28" s="273" t="n"/>
      <c r="Q28" s="272" t="n"/>
      <c r="R28" s="273" t="n"/>
      <c r="S28" s="272" t="n"/>
      <c r="T28" s="273" t="n"/>
      <c r="U28" s="198" t="n"/>
    </row>
    <row r="29">
      <c r="A29" s="280" t="b">
        <v>0</v>
      </c>
      <c r="B29" s="272">
        <f>ROW()-1</f>
        <v/>
      </c>
      <c r="C29" s="272">
        <f>"S"&amp;"_"&amp;LEFT(D29,2)</f>
        <v/>
      </c>
      <c r="D29" s="272">
        <f>_xlfn.XLOOKUP($E29,Tab_Def_Processes[Name(EN)],Tab_Def_Processes[Process_ID],,0,)</f>
        <v/>
      </c>
      <c r="E29" s="273" t="inlineStr">
        <is>
          <t>N.A.</t>
        </is>
      </c>
      <c r="F29" s="272">
        <f>_xlfn.XLOOKUP($E29,Tab_Def_Processes[Name(EN)],Tab_Def_Processes[Process_Type],,0,)</f>
        <v/>
      </c>
      <c r="G29" s="272">
        <f>_xlfn.XLOOKUP($E29,Tab_Def_Processes[Name(EN)],Tab_Def_Processes[TC?],,0,)</f>
        <v/>
      </c>
      <c r="H29" s="272">
        <f>_xlfn.XLOOKUP($E29,Tab_Def_Processes[Name(EN)],Tab_Def_Processes[Dyn_TC?],,0,)</f>
        <v/>
      </c>
      <c r="I29" s="272">
        <f>_xlfn.XLOOKUP($E29,Tab_Def_Processes[Name(EN)],Tab_Def_Processes[Stock?],,0,)</f>
        <v/>
      </c>
      <c r="J29" s="272">
        <f>_xlfn.XLOOKUP($E29,Tab_Def_Processes[Name(EN)],Tab_Def_Processes[Initial_Stock?],,0,)</f>
        <v/>
      </c>
      <c r="K29" s="187" t="n"/>
      <c r="L29" s="273" t="n"/>
      <c r="M29" s="273" t="n"/>
      <c r="N29" s="273" t="n"/>
      <c r="O29" s="273" t="n"/>
      <c r="P29" s="273" t="n"/>
      <c r="Q29" s="272" t="n"/>
      <c r="R29" s="273" t="n"/>
      <c r="S29" s="272" t="n"/>
      <c r="T29" s="273" t="n"/>
      <c r="U29" s="198" t="n"/>
    </row>
    <row r="30">
      <c r="A30" s="280" t="b">
        <v>0</v>
      </c>
      <c r="B30" s="272">
        <f>ROW()-1</f>
        <v/>
      </c>
      <c r="C30" s="272">
        <f>"S"&amp;"_"&amp;LEFT(D30,2)</f>
        <v/>
      </c>
      <c r="D30" s="272">
        <f>_xlfn.XLOOKUP($E30,Tab_Def_Processes[Name(EN)],Tab_Def_Processes[Process_ID],,0,)</f>
        <v/>
      </c>
      <c r="E30" s="273" t="inlineStr">
        <is>
          <t>N.A.</t>
        </is>
      </c>
      <c r="F30" s="272">
        <f>_xlfn.XLOOKUP($E30,Tab_Def_Processes[Name(EN)],Tab_Def_Processes[Process_Type],,0,)</f>
        <v/>
      </c>
      <c r="G30" s="272">
        <f>_xlfn.XLOOKUP($E30,Tab_Def_Processes[Name(EN)],Tab_Def_Processes[TC?],,0,)</f>
        <v/>
      </c>
      <c r="H30" s="272">
        <f>_xlfn.XLOOKUP($E30,Tab_Def_Processes[Name(EN)],Tab_Def_Processes[Dyn_TC?],,0,)</f>
        <v/>
      </c>
      <c r="I30" s="272">
        <f>_xlfn.XLOOKUP($E30,Tab_Def_Processes[Name(EN)],Tab_Def_Processes[Stock?],,0,)</f>
        <v/>
      </c>
      <c r="J30" s="272">
        <f>_xlfn.XLOOKUP($E30,Tab_Def_Processes[Name(EN)],Tab_Def_Processes[Initial_Stock?],,0,)</f>
        <v/>
      </c>
      <c r="K30" s="187" t="n"/>
      <c r="L30" s="273" t="n"/>
      <c r="M30" s="273" t="n"/>
      <c r="N30" s="273" t="n"/>
      <c r="O30" s="273" t="n"/>
      <c r="P30" s="273" t="n"/>
      <c r="Q30" s="272" t="n"/>
      <c r="R30" s="273" t="n"/>
      <c r="S30" s="272" t="n"/>
      <c r="T30" s="273" t="n"/>
      <c r="U30" s="198" t="n"/>
    </row>
    <row r="31">
      <c r="A31" s="280" t="b">
        <v>0</v>
      </c>
      <c r="B31" s="272">
        <f>ROW()-1</f>
        <v/>
      </c>
      <c r="C31" s="272">
        <f>"S"&amp;"_"&amp;LEFT(D31,2)</f>
        <v/>
      </c>
      <c r="D31" s="272">
        <f>_xlfn.XLOOKUP($E31,Tab_Def_Processes[Name(EN)],Tab_Def_Processes[Process_ID],,0,)</f>
        <v/>
      </c>
      <c r="E31" s="273" t="inlineStr">
        <is>
          <t>N.A.</t>
        </is>
      </c>
      <c r="F31" s="272">
        <f>_xlfn.XLOOKUP($E31,Tab_Def_Processes[Name(EN)],Tab_Def_Processes[Process_Type],,0,)</f>
        <v/>
      </c>
      <c r="G31" s="272">
        <f>_xlfn.XLOOKUP($E31,Tab_Def_Processes[Name(EN)],Tab_Def_Processes[TC?],,0,)</f>
        <v/>
      </c>
      <c r="H31" s="272">
        <f>_xlfn.XLOOKUP($E31,Tab_Def_Processes[Name(EN)],Tab_Def_Processes[Dyn_TC?],,0,)</f>
        <v/>
      </c>
      <c r="I31" s="272">
        <f>_xlfn.XLOOKUP($E31,Tab_Def_Processes[Name(EN)],Tab_Def_Processes[Stock?],,0,)</f>
        <v/>
      </c>
      <c r="J31" s="272">
        <f>_xlfn.XLOOKUP($E31,Tab_Def_Processes[Name(EN)],Tab_Def_Processes[Initial_Stock?],,0,)</f>
        <v/>
      </c>
      <c r="K31" s="187" t="n"/>
      <c r="L31" s="273" t="n"/>
      <c r="M31" s="273" t="n"/>
      <c r="N31" s="273" t="n"/>
      <c r="O31" s="273" t="n"/>
      <c r="P31" s="273" t="n"/>
      <c r="Q31" s="272" t="n"/>
      <c r="R31" s="273" t="n"/>
      <c r="S31" s="272" t="n"/>
      <c r="T31" s="273" t="n"/>
      <c r="U31" s="198" t="n"/>
    </row>
    <row r="32">
      <c r="A32" s="280" t="b">
        <v>0</v>
      </c>
      <c r="B32" s="272">
        <f>ROW()-1</f>
        <v/>
      </c>
      <c r="C32" s="272">
        <f>"S"&amp;"_"&amp;LEFT(D32,2)</f>
        <v/>
      </c>
      <c r="D32" s="272">
        <f>_xlfn.XLOOKUP($E32,Tab_Def_Processes[Name(EN)],Tab_Def_Processes[Process_ID],,0,)</f>
        <v/>
      </c>
      <c r="E32" s="273" t="inlineStr">
        <is>
          <t>N.A.</t>
        </is>
      </c>
      <c r="F32" s="272">
        <f>_xlfn.XLOOKUP($E32,Tab_Def_Processes[Name(EN)],Tab_Def_Processes[Process_Type],,0,)</f>
        <v/>
      </c>
      <c r="G32" s="272">
        <f>_xlfn.XLOOKUP($E32,Tab_Def_Processes[Name(EN)],Tab_Def_Processes[TC?],,0,)</f>
        <v/>
      </c>
      <c r="H32" s="272">
        <f>_xlfn.XLOOKUP($E32,Tab_Def_Processes[Name(EN)],Tab_Def_Processes[Dyn_TC?],,0,)</f>
        <v/>
      </c>
      <c r="I32" s="272">
        <f>_xlfn.XLOOKUP($E32,Tab_Def_Processes[Name(EN)],Tab_Def_Processes[Stock?],,0,)</f>
        <v/>
      </c>
      <c r="J32" s="272">
        <f>_xlfn.XLOOKUP($E32,Tab_Def_Processes[Name(EN)],Tab_Def_Processes[Initial_Stock?],,0,)</f>
        <v/>
      </c>
      <c r="K32" s="187" t="n"/>
      <c r="L32" s="273" t="n"/>
      <c r="M32" s="273" t="n"/>
      <c r="N32" s="273" t="n"/>
      <c r="O32" s="273" t="n"/>
      <c r="P32" s="273" t="n"/>
      <c r="Q32" s="272" t="n"/>
      <c r="R32" s="273" t="n"/>
      <c r="S32" s="272" t="n"/>
      <c r="T32" s="273" t="n"/>
      <c r="U32" s="198" t="n"/>
    </row>
    <row r="33">
      <c r="A33" s="280" t="b">
        <v>0</v>
      </c>
      <c r="B33" s="272">
        <f>ROW()-1</f>
        <v/>
      </c>
      <c r="C33" s="272">
        <f>"S"&amp;"_"&amp;LEFT(D33,2)</f>
        <v/>
      </c>
      <c r="D33" s="272">
        <f>_xlfn.XLOOKUP($E33,Tab_Def_Processes[Name(EN)],Tab_Def_Processes[Process_ID],,0,)</f>
        <v/>
      </c>
      <c r="E33" s="273" t="inlineStr">
        <is>
          <t>N.A.</t>
        </is>
      </c>
      <c r="F33" s="272">
        <f>_xlfn.XLOOKUP($E33,Tab_Def_Processes[Name(EN)],Tab_Def_Processes[Process_Type],,0,)</f>
        <v/>
      </c>
      <c r="G33" s="272">
        <f>_xlfn.XLOOKUP($E33,Tab_Def_Processes[Name(EN)],Tab_Def_Processes[TC?],,0,)</f>
        <v/>
      </c>
      <c r="H33" s="272">
        <f>_xlfn.XLOOKUP($E33,Tab_Def_Processes[Name(EN)],Tab_Def_Processes[Dyn_TC?],,0,)</f>
        <v/>
      </c>
      <c r="I33" s="272">
        <f>_xlfn.XLOOKUP($E33,Tab_Def_Processes[Name(EN)],Tab_Def_Processes[Stock?],,0,)</f>
        <v/>
      </c>
      <c r="J33" s="272">
        <f>_xlfn.XLOOKUP($E33,Tab_Def_Processes[Name(EN)],Tab_Def_Processes[Initial_Stock?],,0,)</f>
        <v/>
      </c>
      <c r="K33" s="187" t="n"/>
      <c r="L33" s="273" t="n"/>
      <c r="M33" s="273" t="n"/>
      <c r="N33" s="273" t="n"/>
      <c r="O33" s="273" t="n"/>
      <c r="P33" s="273" t="n"/>
      <c r="Q33" s="272" t="n"/>
      <c r="R33" s="273" t="n"/>
      <c r="S33" s="272" t="n"/>
      <c r="T33" s="273" t="n"/>
      <c r="U33" s="198" t="n"/>
    </row>
    <row r="34">
      <c r="A34" s="280" t="b">
        <v>0</v>
      </c>
      <c r="B34" s="272">
        <f>ROW()-1</f>
        <v/>
      </c>
      <c r="C34" s="272">
        <f>"S"&amp;"_"&amp;LEFT(D34,2)</f>
        <v/>
      </c>
      <c r="D34" s="272">
        <f>_xlfn.XLOOKUP($E34,Tab_Def_Processes[Name(EN)],Tab_Def_Processes[Process_ID],,0,)</f>
        <v/>
      </c>
      <c r="E34" s="273" t="inlineStr">
        <is>
          <t>N.A.</t>
        </is>
      </c>
      <c r="F34" s="272">
        <f>_xlfn.XLOOKUP($E34,Tab_Def_Processes[Name(EN)],Tab_Def_Processes[Process_Type],,0,)</f>
        <v/>
      </c>
      <c r="G34" s="272">
        <f>_xlfn.XLOOKUP($E34,Tab_Def_Processes[Name(EN)],Tab_Def_Processes[TC?],,0,)</f>
        <v/>
      </c>
      <c r="H34" s="272">
        <f>_xlfn.XLOOKUP($E34,Tab_Def_Processes[Name(EN)],Tab_Def_Processes[Dyn_TC?],,0,)</f>
        <v/>
      </c>
      <c r="I34" s="272">
        <f>_xlfn.XLOOKUP($E34,Tab_Def_Processes[Name(EN)],Tab_Def_Processes[Stock?],,0,)</f>
        <v/>
      </c>
      <c r="J34" s="272">
        <f>_xlfn.XLOOKUP($E34,Tab_Def_Processes[Name(EN)],Tab_Def_Processes[Initial_Stock?],,0,)</f>
        <v/>
      </c>
      <c r="K34" s="187" t="n"/>
      <c r="L34" s="273" t="n"/>
      <c r="M34" s="273" t="n"/>
      <c r="N34" s="273" t="n"/>
      <c r="O34" s="273" t="n"/>
      <c r="P34" s="273" t="n"/>
      <c r="Q34" s="272" t="n"/>
      <c r="R34" s="273" t="n"/>
      <c r="S34" s="272" t="n"/>
      <c r="T34" s="273" t="n"/>
      <c r="U34" s="198" t="n"/>
    </row>
    <row r="35">
      <c r="A35" s="280" t="b">
        <v>0</v>
      </c>
      <c r="B35" s="272">
        <f>ROW()-1</f>
        <v/>
      </c>
      <c r="C35" s="272">
        <f>"S"&amp;"_"&amp;LEFT(D35,2)</f>
        <v/>
      </c>
      <c r="D35" s="272">
        <f>_xlfn.XLOOKUP($E35,Tab_Def_Processes[Name(EN)],Tab_Def_Processes[Process_ID],,0,)</f>
        <v/>
      </c>
      <c r="E35" s="273" t="inlineStr">
        <is>
          <t>N.A.</t>
        </is>
      </c>
      <c r="F35" s="272">
        <f>_xlfn.XLOOKUP($E35,Tab_Def_Processes[Name(EN)],Tab_Def_Processes[Process_Type],,0,)</f>
        <v/>
      </c>
      <c r="G35" s="272">
        <f>_xlfn.XLOOKUP($E35,Tab_Def_Processes[Name(EN)],Tab_Def_Processes[TC?],,0,)</f>
        <v/>
      </c>
      <c r="H35" s="272">
        <f>_xlfn.XLOOKUP($E35,Tab_Def_Processes[Name(EN)],Tab_Def_Processes[Dyn_TC?],,0,)</f>
        <v/>
      </c>
      <c r="I35" s="272">
        <f>_xlfn.XLOOKUP($E35,Tab_Def_Processes[Name(EN)],Tab_Def_Processes[Stock?],,0,)</f>
        <v/>
      </c>
      <c r="J35" s="272">
        <f>_xlfn.XLOOKUP($E35,Tab_Def_Processes[Name(EN)],Tab_Def_Processes[Initial_Stock?],,0,)</f>
        <v/>
      </c>
      <c r="K35" s="187" t="n"/>
      <c r="L35" s="273" t="n"/>
      <c r="M35" s="273" t="n"/>
      <c r="N35" s="273" t="n"/>
      <c r="O35" s="273" t="n"/>
      <c r="P35" s="273" t="n"/>
      <c r="Q35" s="272" t="n"/>
      <c r="R35" s="273" t="n"/>
      <c r="S35" s="272" t="n"/>
      <c r="T35" s="273" t="n"/>
      <c r="U35" s="198" t="n"/>
    </row>
    <row r="36">
      <c r="A36" s="280" t="b">
        <v>0</v>
      </c>
      <c r="B36" s="272">
        <f>ROW()-1</f>
        <v/>
      </c>
      <c r="C36" s="272">
        <f>"S"&amp;"_"&amp;LEFT(D36,2)</f>
        <v/>
      </c>
      <c r="D36" s="272">
        <f>_xlfn.XLOOKUP($E36,Tab_Def_Processes[Name(EN)],Tab_Def_Processes[Process_ID],,0,)</f>
        <v/>
      </c>
      <c r="E36" s="273" t="inlineStr">
        <is>
          <t>N.A.</t>
        </is>
      </c>
      <c r="F36" s="272">
        <f>_xlfn.XLOOKUP($E36,Tab_Def_Processes[Name(EN)],Tab_Def_Processes[Process_Type],,0,)</f>
        <v/>
      </c>
      <c r="G36" s="272">
        <f>_xlfn.XLOOKUP($E36,Tab_Def_Processes[Name(EN)],Tab_Def_Processes[TC?],,0,)</f>
        <v/>
      </c>
      <c r="H36" s="272">
        <f>_xlfn.XLOOKUP($E36,Tab_Def_Processes[Name(EN)],Tab_Def_Processes[Dyn_TC?],,0,)</f>
        <v/>
      </c>
      <c r="I36" s="272">
        <f>_xlfn.XLOOKUP($E36,Tab_Def_Processes[Name(EN)],Tab_Def_Processes[Stock?],,0,)</f>
        <v/>
      </c>
      <c r="J36" s="272">
        <f>_xlfn.XLOOKUP($E36,Tab_Def_Processes[Name(EN)],Tab_Def_Processes[Initial_Stock?],,0,)</f>
        <v/>
      </c>
      <c r="K36" s="187" t="n"/>
      <c r="L36" s="273" t="n"/>
      <c r="M36" s="273" t="n"/>
      <c r="N36" s="273" t="n"/>
      <c r="O36" s="273" t="n"/>
      <c r="P36" s="273" t="n"/>
      <c r="Q36" s="272" t="n"/>
      <c r="R36" s="273" t="n"/>
      <c r="S36" s="272" t="n"/>
      <c r="T36" s="273" t="n"/>
      <c r="U36" s="198" t="n"/>
    </row>
    <row r="37">
      <c r="A37" s="280" t="b">
        <v>0</v>
      </c>
      <c r="B37" s="272">
        <f>ROW()-1</f>
        <v/>
      </c>
      <c r="C37" s="272">
        <f>"S"&amp;"_"&amp;LEFT(D37,2)</f>
        <v/>
      </c>
      <c r="D37" s="272">
        <f>_xlfn.XLOOKUP($E37,Tab_Def_Processes[Name(EN)],Tab_Def_Processes[Process_ID],,0,)</f>
        <v/>
      </c>
      <c r="E37" s="273" t="inlineStr">
        <is>
          <t>N.A.</t>
        </is>
      </c>
      <c r="F37" s="272">
        <f>_xlfn.XLOOKUP($E37,Tab_Def_Processes[Name(EN)],Tab_Def_Processes[Process_Type],,0,)</f>
        <v/>
      </c>
      <c r="G37" s="272">
        <f>_xlfn.XLOOKUP($E37,Tab_Def_Processes[Name(EN)],Tab_Def_Processes[TC?],,0,)</f>
        <v/>
      </c>
      <c r="H37" s="272">
        <f>_xlfn.XLOOKUP($E37,Tab_Def_Processes[Name(EN)],Tab_Def_Processes[Dyn_TC?],,0,)</f>
        <v/>
      </c>
      <c r="I37" s="272">
        <f>_xlfn.XLOOKUP($E37,Tab_Def_Processes[Name(EN)],Tab_Def_Processes[Stock?],,0,)</f>
        <v/>
      </c>
      <c r="J37" s="272">
        <f>_xlfn.XLOOKUP($E37,Tab_Def_Processes[Name(EN)],Tab_Def_Processes[Initial_Stock?],,0,)</f>
        <v/>
      </c>
      <c r="K37" s="187" t="n"/>
      <c r="L37" s="273" t="n"/>
      <c r="M37" s="273" t="n"/>
      <c r="N37" s="273" t="n"/>
      <c r="O37" s="273" t="n"/>
      <c r="P37" s="273" t="n"/>
      <c r="Q37" s="272" t="n"/>
      <c r="R37" s="273" t="n"/>
      <c r="S37" s="272" t="n"/>
      <c r="T37" s="273" t="n"/>
      <c r="U37" s="198" t="n"/>
    </row>
    <row r="38">
      <c r="A38" s="280" t="b">
        <v>0</v>
      </c>
      <c r="B38" s="272">
        <f>ROW()-1</f>
        <v/>
      </c>
      <c r="C38" s="272">
        <f>"S"&amp;"_"&amp;LEFT(D38,2)</f>
        <v/>
      </c>
      <c r="D38" s="272">
        <f>_xlfn.XLOOKUP($E38,Tab_Def_Processes[Name(EN)],Tab_Def_Processes[Process_ID],,0,)</f>
        <v/>
      </c>
      <c r="E38" s="273" t="inlineStr">
        <is>
          <t>N.A.</t>
        </is>
      </c>
      <c r="F38" s="272">
        <f>_xlfn.XLOOKUP($E38,Tab_Def_Processes[Name(EN)],Tab_Def_Processes[Process_Type],,0,)</f>
        <v/>
      </c>
      <c r="G38" s="272">
        <f>_xlfn.XLOOKUP($E38,Tab_Def_Processes[Name(EN)],Tab_Def_Processes[TC?],,0,)</f>
        <v/>
      </c>
      <c r="H38" s="272">
        <f>_xlfn.XLOOKUP($E38,Tab_Def_Processes[Name(EN)],Tab_Def_Processes[Dyn_TC?],,0,)</f>
        <v/>
      </c>
      <c r="I38" s="272">
        <f>_xlfn.XLOOKUP($E38,Tab_Def_Processes[Name(EN)],Tab_Def_Processes[Stock?],,0,)</f>
        <v/>
      </c>
      <c r="J38" s="272">
        <f>_xlfn.XLOOKUP($E38,Tab_Def_Processes[Name(EN)],Tab_Def_Processes[Initial_Stock?],,0,)</f>
        <v/>
      </c>
      <c r="K38" s="187" t="n"/>
      <c r="L38" s="273" t="n"/>
      <c r="M38" s="273" t="n"/>
      <c r="N38" s="273" t="n"/>
      <c r="O38" s="273" t="n"/>
      <c r="P38" s="273" t="n"/>
      <c r="Q38" s="272" t="n"/>
      <c r="R38" s="273" t="n"/>
      <c r="S38" s="272" t="n"/>
      <c r="T38" s="273" t="n"/>
      <c r="U38" s="198" t="n"/>
    </row>
    <row r="39">
      <c r="A39" s="280" t="b">
        <v>0</v>
      </c>
      <c r="B39" s="272">
        <f>ROW()-1</f>
        <v/>
      </c>
      <c r="C39" s="272">
        <f>"S"&amp;"_"&amp;LEFT(D39,2)</f>
        <v/>
      </c>
      <c r="D39" s="272">
        <f>_xlfn.XLOOKUP($E39,Tab_Def_Processes[Name(EN)],Tab_Def_Processes[Process_ID],,0,)</f>
        <v/>
      </c>
      <c r="E39" s="273" t="inlineStr">
        <is>
          <t>N.A.</t>
        </is>
      </c>
      <c r="F39" s="272">
        <f>_xlfn.XLOOKUP($E39,Tab_Def_Processes[Name(EN)],Tab_Def_Processes[Process_Type],,0,)</f>
        <v/>
      </c>
      <c r="G39" s="272">
        <f>_xlfn.XLOOKUP($E39,Tab_Def_Processes[Name(EN)],Tab_Def_Processes[TC?],,0,)</f>
        <v/>
      </c>
      <c r="H39" s="272">
        <f>_xlfn.XLOOKUP($E39,Tab_Def_Processes[Name(EN)],Tab_Def_Processes[Dyn_TC?],,0,)</f>
        <v/>
      </c>
      <c r="I39" s="272">
        <f>_xlfn.XLOOKUP($E39,Tab_Def_Processes[Name(EN)],Tab_Def_Processes[Stock?],,0,)</f>
        <v/>
      </c>
      <c r="J39" s="272">
        <f>_xlfn.XLOOKUP($E39,Tab_Def_Processes[Name(EN)],Tab_Def_Processes[Initial_Stock?],,0,)</f>
        <v/>
      </c>
      <c r="K39" s="187" t="n"/>
      <c r="L39" s="273" t="n"/>
      <c r="M39" s="273" t="n"/>
      <c r="N39" s="273" t="n"/>
      <c r="O39" s="273" t="n"/>
      <c r="P39" s="273" t="n"/>
      <c r="Q39" s="272" t="n"/>
      <c r="R39" s="273" t="n"/>
      <c r="S39" s="272" t="n"/>
      <c r="T39" s="273" t="n"/>
      <c r="U39" s="198" t="n"/>
    </row>
    <row r="40">
      <c r="A40" s="280" t="b">
        <v>0</v>
      </c>
      <c r="B40" s="272">
        <f>ROW()-1</f>
        <v/>
      </c>
      <c r="C40" s="272">
        <f>"S"&amp;"_"&amp;LEFT(D40,2)</f>
        <v/>
      </c>
      <c r="D40" s="272">
        <f>_xlfn.XLOOKUP($E40,Tab_Def_Processes[Name(EN)],Tab_Def_Processes[Process_ID],,0,)</f>
        <v/>
      </c>
      <c r="E40" s="273" t="inlineStr">
        <is>
          <t>N.A.</t>
        </is>
      </c>
      <c r="F40" s="272">
        <f>_xlfn.XLOOKUP($E40,Tab_Def_Processes[Name(EN)],Tab_Def_Processes[Process_Type],,0,)</f>
        <v/>
      </c>
      <c r="G40" s="272">
        <f>_xlfn.XLOOKUP($E40,Tab_Def_Processes[Name(EN)],Tab_Def_Processes[TC?],,0,)</f>
        <v/>
      </c>
      <c r="H40" s="272">
        <f>_xlfn.XLOOKUP($E40,Tab_Def_Processes[Name(EN)],Tab_Def_Processes[Dyn_TC?],,0,)</f>
        <v/>
      </c>
      <c r="I40" s="272">
        <f>_xlfn.XLOOKUP($E40,Tab_Def_Processes[Name(EN)],Tab_Def_Processes[Stock?],,0,)</f>
        <v/>
      </c>
      <c r="J40" s="272">
        <f>_xlfn.XLOOKUP($E40,Tab_Def_Processes[Name(EN)],Tab_Def_Processes[Initial_Stock?],,0,)</f>
        <v/>
      </c>
      <c r="K40" s="187" t="n"/>
      <c r="L40" s="273" t="n"/>
      <c r="M40" s="273" t="n"/>
      <c r="N40" s="273" t="n"/>
      <c r="O40" s="273" t="n"/>
      <c r="P40" s="273" t="n"/>
      <c r="Q40" s="272" t="n"/>
      <c r="R40" s="273" t="n"/>
      <c r="S40" s="272" t="n"/>
      <c r="T40" s="273" t="n"/>
      <c r="U40" s="198" t="n"/>
    </row>
    <row r="41">
      <c r="A41" s="280" t="b">
        <v>0</v>
      </c>
      <c r="B41" s="272">
        <f>ROW()-1</f>
        <v/>
      </c>
      <c r="C41" s="272">
        <f>"S"&amp;"_"&amp;LEFT(D41,2)</f>
        <v/>
      </c>
      <c r="D41" s="272">
        <f>_xlfn.XLOOKUP($E41,Tab_Def_Processes[Name(EN)],Tab_Def_Processes[Process_ID],,0,)</f>
        <v/>
      </c>
      <c r="E41" s="273" t="inlineStr">
        <is>
          <t>N.A.</t>
        </is>
      </c>
      <c r="F41" s="272">
        <f>_xlfn.XLOOKUP($E41,Tab_Def_Processes[Name(EN)],Tab_Def_Processes[Process_Type],,0,)</f>
        <v/>
      </c>
      <c r="G41" s="272">
        <f>_xlfn.XLOOKUP($E41,Tab_Def_Processes[Name(EN)],Tab_Def_Processes[TC?],,0,)</f>
        <v/>
      </c>
      <c r="H41" s="272">
        <f>_xlfn.XLOOKUP($E41,Tab_Def_Processes[Name(EN)],Tab_Def_Processes[Dyn_TC?],,0,)</f>
        <v/>
      </c>
      <c r="I41" s="272">
        <f>_xlfn.XLOOKUP($E41,Tab_Def_Processes[Name(EN)],Tab_Def_Processes[Stock?],,0,)</f>
        <v/>
      </c>
      <c r="J41" s="272">
        <f>_xlfn.XLOOKUP($E41,Tab_Def_Processes[Name(EN)],Tab_Def_Processes[Initial_Stock?],,0,)</f>
        <v/>
      </c>
      <c r="K41" s="187" t="n"/>
      <c r="L41" s="273" t="n"/>
      <c r="M41" s="273" t="n"/>
      <c r="N41" s="273" t="n"/>
      <c r="O41" s="273" t="n"/>
      <c r="P41" s="273" t="n"/>
      <c r="Q41" s="272" t="n"/>
      <c r="R41" s="273" t="n"/>
      <c r="S41" s="272" t="n"/>
      <c r="T41" s="273" t="n"/>
      <c r="U41" s="198" t="n"/>
    </row>
    <row r="42">
      <c r="A42" s="280" t="b">
        <v>0</v>
      </c>
      <c r="B42" s="272">
        <f>ROW()-1</f>
        <v/>
      </c>
      <c r="C42" s="272">
        <f>"S"&amp;"_"&amp;LEFT(D42,2)</f>
        <v/>
      </c>
      <c r="D42" s="272">
        <f>_xlfn.XLOOKUP($E42,Tab_Def_Processes[Name(EN)],Tab_Def_Processes[Process_ID],,0,)</f>
        <v/>
      </c>
      <c r="E42" s="273" t="inlineStr">
        <is>
          <t>N.A.</t>
        </is>
      </c>
      <c r="F42" s="272">
        <f>_xlfn.XLOOKUP($E42,Tab_Def_Processes[Name(EN)],Tab_Def_Processes[Process_Type],,0,)</f>
        <v/>
      </c>
      <c r="G42" s="272">
        <f>_xlfn.XLOOKUP($E42,Tab_Def_Processes[Name(EN)],Tab_Def_Processes[TC?],,0,)</f>
        <v/>
      </c>
      <c r="H42" s="272">
        <f>_xlfn.XLOOKUP($E42,Tab_Def_Processes[Name(EN)],Tab_Def_Processes[Dyn_TC?],,0,)</f>
        <v/>
      </c>
      <c r="I42" s="272">
        <f>_xlfn.XLOOKUP($E42,Tab_Def_Processes[Name(EN)],Tab_Def_Processes[Stock?],,0,)</f>
        <v/>
      </c>
      <c r="J42" s="272">
        <f>_xlfn.XLOOKUP($E42,Tab_Def_Processes[Name(EN)],Tab_Def_Processes[Initial_Stock?],,0,)</f>
        <v/>
      </c>
      <c r="K42" s="187" t="n"/>
      <c r="L42" s="273" t="n"/>
      <c r="M42" s="273" t="n"/>
      <c r="N42" s="273" t="n"/>
      <c r="O42" s="273" t="n"/>
      <c r="P42" s="273" t="n"/>
      <c r="Q42" s="272" t="n"/>
      <c r="R42" s="273" t="n"/>
      <c r="S42" s="272" t="n"/>
      <c r="T42" s="273" t="n"/>
      <c r="U42" s="198" t="n"/>
    </row>
    <row r="43">
      <c r="A43" s="280" t="b">
        <v>0</v>
      </c>
      <c r="B43" s="272">
        <f>ROW()-1</f>
        <v/>
      </c>
      <c r="C43" s="272">
        <f>"S"&amp;"_"&amp;LEFT(D43,2)</f>
        <v/>
      </c>
      <c r="D43" s="272">
        <f>_xlfn.XLOOKUP($E43,Tab_Def_Processes[Name(EN)],Tab_Def_Processes[Process_ID],,0,)</f>
        <v/>
      </c>
      <c r="E43" s="273" t="inlineStr">
        <is>
          <t>N.A.</t>
        </is>
      </c>
      <c r="F43" s="272">
        <f>_xlfn.XLOOKUP($E43,Tab_Def_Processes[Name(EN)],Tab_Def_Processes[Process_Type],,0,)</f>
        <v/>
      </c>
      <c r="G43" s="272">
        <f>_xlfn.XLOOKUP($E43,Tab_Def_Processes[Name(EN)],Tab_Def_Processes[TC?],,0,)</f>
        <v/>
      </c>
      <c r="H43" s="272">
        <f>_xlfn.XLOOKUP($E43,Tab_Def_Processes[Name(EN)],Tab_Def_Processes[Dyn_TC?],,0,)</f>
        <v/>
      </c>
      <c r="I43" s="272">
        <f>_xlfn.XLOOKUP($E43,Tab_Def_Processes[Name(EN)],Tab_Def_Processes[Stock?],,0,)</f>
        <v/>
      </c>
      <c r="J43" s="272">
        <f>_xlfn.XLOOKUP($E43,Tab_Def_Processes[Name(EN)],Tab_Def_Processes[Initial_Stock?],,0,)</f>
        <v/>
      </c>
      <c r="K43" s="187" t="n"/>
      <c r="L43" s="273" t="n"/>
      <c r="M43" s="273" t="n"/>
      <c r="N43" s="273" t="n"/>
      <c r="O43" s="273" t="n"/>
      <c r="P43" s="273" t="n"/>
      <c r="Q43" s="272" t="n"/>
      <c r="R43" s="273" t="n"/>
      <c r="S43" s="272" t="n"/>
      <c r="T43" s="273" t="n"/>
      <c r="U43" s="198" t="n"/>
    </row>
    <row r="44">
      <c r="A44" s="280" t="b">
        <v>0</v>
      </c>
      <c r="B44" s="272">
        <f>ROW()-1</f>
        <v/>
      </c>
      <c r="C44" s="272">
        <f>"S"&amp;"_"&amp;LEFT(D44,2)</f>
        <v/>
      </c>
      <c r="D44" s="272">
        <f>_xlfn.XLOOKUP($E44,Tab_Def_Processes[Name(EN)],Tab_Def_Processes[Process_ID],,0,)</f>
        <v/>
      </c>
      <c r="E44" s="273" t="inlineStr">
        <is>
          <t>N.A.</t>
        </is>
      </c>
      <c r="F44" s="272">
        <f>_xlfn.XLOOKUP($E44,Tab_Def_Processes[Name(EN)],Tab_Def_Processes[Process_Type],,0,)</f>
        <v/>
      </c>
      <c r="G44" s="272">
        <f>_xlfn.XLOOKUP($E44,Tab_Def_Processes[Name(EN)],Tab_Def_Processes[TC?],,0,)</f>
        <v/>
      </c>
      <c r="H44" s="272">
        <f>_xlfn.XLOOKUP($E44,Tab_Def_Processes[Name(EN)],Tab_Def_Processes[Dyn_TC?],,0,)</f>
        <v/>
      </c>
      <c r="I44" s="272">
        <f>_xlfn.XLOOKUP($E44,Tab_Def_Processes[Name(EN)],Tab_Def_Processes[Stock?],,0,)</f>
        <v/>
      </c>
      <c r="J44" s="272">
        <f>_xlfn.XLOOKUP($E44,Tab_Def_Processes[Name(EN)],Tab_Def_Processes[Initial_Stock?],,0,)</f>
        <v/>
      </c>
      <c r="K44" s="187" t="n"/>
      <c r="L44" s="273" t="n"/>
      <c r="M44" s="273" t="n"/>
      <c r="N44" s="273" t="n"/>
      <c r="O44" s="273" t="n"/>
      <c r="P44" s="273" t="n"/>
      <c r="Q44" s="272" t="n"/>
      <c r="R44" s="273" t="n"/>
      <c r="S44" s="272" t="n"/>
      <c r="T44" s="273" t="n"/>
      <c r="U44" s="198" t="n"/>
    </row>
    <row r="45">
      <c r="A45" s="280" t="b">
        <v>0</v>
      </c>
      <c r="B45" s="272">
        <f>ROW()-1</f>
        <v/>
      </c>
      <c r="C45" s="272">
        <f>"S"&amp;"_"&amp;LEFT(D45,2)</f>
        <v/>
      </c>
      <c r="D45" s="272">
        <f>_xlfn.XLOOKUP($E45,Tab_Def_Processes[Name(EN)],Tab_Def_Processes[Process_ID],,0,)</f>
        <v/>
      </c>
      <c r="E45" s="273" t="inlineStr">
        <is>
          <t>N.A.</t>
        </is>
      </c>
      <c r="F45" s="272">
        <f>_xlfn.XLOOKUP($E45,Tab_Def_Processes[Name(EN)],Tab_Def_Processes[Process_Type],,0,)</f>
        <v/>
      </c>
      <c r="G45" s="272">
        <f>_xlfn.XLOOKUP($E45,Tab_Def_Processes[Name(EN)],Tab_Def_Processes[TC?],,0,)</f>
        <v/>
      </c>
      <c r="H45" s="272">
        <f>_xlfn.XLOOKUP($E45,Tab_Def_Processes[Name(EN)],Tab_Def_Processes[Dyn_TC?],,0,)</f>
        <v/>
      </c>
      <c r="I45" s="272">
        <f>_xlfn.XLOOKUP($E45,Tab_Def_Processes[Name(EN)],Tab_Def_Processes[Stock?],,0,)</f>
        <v/>
      </c>
      <c r="J45" s="272">
        <f>_xlfn.XLOOKUP($E45,Tab_Def_Processes[Name(EN)],Tab_Def_Processes[Initial_Stock?],,0,)</f>
        <v/>
      </c>
      <c r="K45" s="187" t="n"/>
      <c r="L45" s="273" t="n"/>
      <c r="M45" s="273" t="n"/>
      <c r="N45" s="273" t="n"/>
      <c r="O45" s="273" t="n"/>
      <c r="P45" s="273" t="n"/>
      <c r="Q45" s="272" t="n"/>
      <c r="R45" s="273" t="n"/>
      <c r="S45" s="272" t="n"/>
      <c r="T45" s="273" t="n"/>
      <c r="U45" s="198" t="n"/>
    </row>
    <row r="46">
      <c r="A46" s="280" t="b">
        <v>0</v>
      </c>
      <c r="B46" s="272">
        <f>ROW()-1</f>
        <v/>
      </c>
      <c r="C46" s="272">
        <f>"S"&amp;"_"&amp;LEFT(D46,2)</f>
        <v/>
      </c>
      <c r="D46" s="272">
        <f>_xlfn.XLOOKUP($E46,Tab_Def_Processes[Name(EN)],Tab_Def_Processes[Process_ID],,0,)</f>
        <v/>
      </c>
      <c r="E46" s="273" t="inlineStr">
        <is>
          <t>N.A.</t>
        </is>
      </c>
      <c r="F46" s="272">
        <f>_xlfn.XLOOKUP($E46,Tab_Def_Processes[Name(EN)],Tab_Def_Processes[Process_Type],,0,)</f>
        <v/>
      </c>
      <c r="G46" s="272">
        <f>_xlfn.XLOOKUP($E46,Tab_Def_Processes[Name(EN)],Tab_Def_Processes[TC?],,0,)</f>
        <v/>
      </c>
      <c r="H46" s="272">
        <f>_xlfn.XLOOKUP($E46,Tab_Def_Processes[Name(EN)],Tab_Def_Processes[Dyn_TC?],,0,)</f>
        <v/>
      </c>
      <c r="I46" s="272">
        <f>_xlfn.XLOOKUP($E46,Tab_Def_Processes[Name(EN)],Tab_Def_Processes[Stock?],,0,)</f>
        <v/>
      </c>
      <c r="J46" s="272">
        <f>_xlfn.XLOOKUP($E46,Tab_Def_Processes[Name(EN)],Tab_Def_Processes[Initial_Stock?],,0,)</f>
        <v/>
      </c>
      <c r="K46" s="187" t="n"/>
      <c r="L46" s="273" t="n"/>
      <c r="M46" s="273" t="n"/>
      <c r="N46" s="273" t="n"/>
      <c r="O46" s="273" t="n"/>
      <c r="P46" s="273" t="n"/>
      <c r="Q46" s="272" t="n"/>
      <c r="R46" s="273" t="n"/>
      <c r="S46" s="272" t="n"/>
      <c r="T46" s="273" t="n"/>
      <c r="U46" s="198" t="n"/>
    </row>
    <row r="47">
      <c r="A47" s="280" t="b">
        <v>0</v>
      </c>
      <c r="B47" s="272">
        <f>ROW()-1</f>
        <v/>
      </c>
      <c r="C47" s="272">
        <f>"S"&amp;"_"&amp;LEFT(D47,2)</f>
        <v/>
      </c>
      <c r="D47" s="272">
        <f>_xlfn.XLOOKUP($E47,Tab_Def_Processes[Name(EN)],Tab_Def_Processes[Process_ID],,0,)</f>
        <v/>
      </c>
      <c r="E47" s="273" t="inlineStr">
        <is>
          <t>N.A.</t>
        </is>
      </c>
      <c r="F47" s="272">
        <f>_xlfn.XLOOKUP($E47,Tab_Def_Processes[Name(EN)],Tab_Def_Processes[Process_Type],,0,)</f>
        <v/>
      </c>
      <c r="G47" s="272">
        <f>_xlfn.XLOOKUP($E47,Tab_Def_Processes[Name(EN)],Tab_Def_Processes[TC?],,0,)</f>
        <v/>
      </c>
      <c r="H47" s="272">
        <f>_xlfn.XLOOKUP($E47,Tab_Def_Processes[Name(EN)],Tab_Def_Processes[Dyn_TC?],,0,)</f>
        <v/>
      </c>
      <c r="I47" s="272">
        <f>_xlfn.XLOOKUP($E47,Tab_Def_Processes[Name(EN)],Tab_Def_Processes[Stock?],,0,)</f>
        <v/>
      </c>
      <c r="J47" s="272">
        <f>_xlfn.XLOOKUP($E47,Tab_Def_Processes[Name(EN)],Tab_Def_Processes[Initial_Stock?],,0,)</f>
        <v/>
      </c>
      <c r="K47" s="187" t="n"/>
      <c r="L47" s="273" t="n"/>
      <c r="M47" s="273" t="n"/>
      <c r="N47" s="273" t="n"/>
      <c r="O47" s="273" t="n"/>
      <c r="P47" s="273" t="n"/>
      <c r="Q47" s="272" t="n"/>
      <c r="R47" s="273" t="n"/>
      <c r="S47" s="272" t="n"/>
      <c r="T47" s="273" t="n"/>
      <c r="U47" s="198" t="n"/>
    </row>
    <row r="48">
      <c r="A48" s="280" t="b">
        <v>0</v>
      </c>
      <c r="B48" s="272">
        <f>ROW()-1</f>
        <v/>
      </c>
      <c r="C48" s="272">
        <f>"S"&amp;"_"&amp;LEFT(D48,2)</f>
        <v/>
      </c>
      <c r="D48" s="272">
        <f>_xlfn.XLOOKUP($E48,Tab_Def_Processes[Name(EN)],Tab_Def_Processes[Process_ID],,0,)</f>
        <v/>
      </c>
      <c r="E48" s="273" t="inlineStr">
        <is>
          <t>N.A.</t>
        </is>
      </c>
      <c r="F48" s="272">
        <f>_xlfn.XLOOKUP($E48,Tab_Def_Processes[Name(EN)],Tab_Def_Processes[Process_Type],,0,)</f>
        <v/>
      </c>
      <c r="G48" s="272">
        <f>_xlfn.XLOOKUP($E48,Tab_Def_Processes[Name(EN)],Tab_Def_Processes[TC?],,0,)</f>
        <v/>
      </c>
      <c r="H48" s="272">
        <f>_xlfn.XLOOKUP($E48,Tab_Def_Processes[Name(EN)],Tab_Def_Processes[Dyn_TC?],,0,)</f>
        <v/>
      </c>
      <c r="I48" s="272">
        <f>_xlfn.XLOOKUP($E48,Tab_Def_Processes[Name(EN)],Tab_Def_Processes[Stock?],,0,)</f>
        <v/>
      </c>
      <c r="J48" s="272">
        <f>_xlfn.XLOOKUP($E48,Tab_Def_Processes[Name(EN)],Tab_Def_Processes[Initial_Stock?],,0,)</f>
        <v/>
      </c>
      <c r="K48" s="187" t="n"/>
      <c r="L48" s="273" t="n"/>
      <c r="M48" s="273" t="n"/>
      <c r="N48" s="273" t="n"/>
      <c r="O48" s="273" t="n"/>
      <c r="P48" s="273" t="n"/>
      <c r="Q48" s="272" t="n"/>
      <c r="R48" s="273" t="n"/>
      <c r="S48" s="272" t="n"/>
      <c r="T48" s="273" t="n"/>
      <c r="U48" s="198" t="n"/>
    </row>
    <row r="49">
      <c r="A49" s="280" t="b">
        <v>0</v>
      </c>
      <c r="B49" s="272">
        <f>ROW()-1</f>
        <v/>
      </c>
      <c r="C49" s="272">
        <f>"S"&amp;"_"&amp;LEFT(D49,2)</f>
        <v/>
      </c>
      <c r="D49" s="272">
        <f>_xlfn.XLOOKUP($E49,Tab_Def_Processes[Name(EN)],Tab_Def_Processes[Process_ID],,0,)</f>
        <v/>
      </c>
      <c r="E49" s="273" t="inlineStr">
        <is>
          <t>N.A.</t>
        </is>
      </c>
      <c r="F49" s="272">
        <f>_xlfn.XLOOKUP($E49,Tab_Def_Processes[Name(EN)],Tab_Def_Processes[Process_Type],,0,)</f>
        <v/>
      </c>
      <c r="G49" s="272">
        <f>_xlfn.XLOOKUP($E49,Tab_Def_Processes[Name(EN)],Tab_Def_Processes[TC?],,0,)</f>
        <v/>
      </c>
      <c r="H49" s="272">
        <f>_xlfn.XLOOKUP($E49,Tab_Def_Processes[Name(EN)],Tab_Def_Processes[Dyn_TC?],,0,)</f>
        <v/>
      </c>
      <c r="I49" s="272">
        <f>_xlfn.XLOOKUP($E49,Tab_Def_Processes[Name(EN)],Tab_Def_Processes[Stock?],,0,)</f>
        <v/>
      </c>
      <c r="J49" s="272">
        <f>_xlfn.XLOOKUP($E49,Tab_Def_Processes[Name(EN)],Tab_Def_Processes[Initial_Stock?],,0,)</f>
        <v/>
      </c>
      <c r="K49" s="187" t="n"/>
      <c r="L49" s="273" t="n"/>
      <c r="M49" s="273" t="n"/>
      <c r="N49" s="273" t="n"/>
      <c r="O49" s="273" t="n"/>
      <c r="P49" s="273" t="n"/>
      <c r="Q49" s="272" t="n"/>
      <c r="R49" s="273" t="n"/>
      <c r="S49" s="272" t="n"/>
      <c r="T49" s="273" t="n"/>
      <c r="U49" s="198" t="n"/>
    </row>
    <row r="50">
      <c r="A50" s="280" t="b">
        <v>0</v>
      </c>
      <c r="B50" s="272">
        <f>ROW()-1</f>
        <v/>
      </c>
      <c r="C50" s="272">
        <f>"S"&amp;"_"&amp;LEFT(D50,2)</f>
        <v/>
      </c>
      <c r="D50" s="272">
        <f>_xlfn.XLOOKUP($E50,Tab_Def_Processes[Name(EN)],Tab_Def_Processes[Process_ID],,0,)</f>
        <v/>
      </c>
      <c r="E50" s="273" t="inlineStr">
        <is>
          <t>N.A.</t>
        </is>
      </c>
      <c r="F50" s="272">
        <f>_xlfn.XLOOKUP($E50,Tab_Def_Processes[Name(EN)],Tab_Def_Processes[Process_Type],,0,)</f>
        <v/>
      </c>
      <c r="G50" s="272">
        <f>_xlfn.XLOOKUP($E50,Tab_Def_Processes[Name(EN)],Tab_Def_Processes[TC?],,0,)</f>
        <v/>
      </c>
      <c r="H50" s="272">
        <f>_xlfn.XLOOKUP($E50,Tab_Def_Processes[Name(EN)],Tab_Def_Processes[Dyn_TC?],,0,)</f>
        <v/>
      </c>
      <c r="I50" s="272">
        <f>_xlfn.XLOOKUP($E50,Tab_Def_Processes[Name(EN)],Tab_Def_Processes[Stock?],,0,)</f>
        <v/>
      </c>
      <c r="J50" s="272">
        <f>_xlfn.XLOOKUP($E50,Tab_Def_Processes[Name(EN)],Tab_Def_Processes[Initial_Stock?],,0,)</f>
        <v/>
      </c>
      <c r="K50" s="187" t="n"/>
      <c r="L50" s="273" t="n"/>
      <c r="M50" s="273" t="n"/>
      <c r="N50" s="273" t="n"/>
      <c r="O50" s="273" t="n"/>
      <c r="P50" s="273" t="n"/>
      <c r="Q50" s="272" t="n"/>
      <c r="R50" s="273" t="n"/>
      <c r="S50" s="272" t="n"/>
      <c r="T50" s="273" t="n"/>
      <c r="U50" s="198" t="n"/>
    </row>
    <row r="51">
      <c r="A51" s="280" t="b">
        <v>0</v>
      </c>
      <c r="B51" s="272">
        <f>ROW()-1</f>
        <v/>
      </c>
      <c r="C51" s="272">
        <f>"S"&amp;"_"&amp;LEFT(D51,2)</f>
        <v/>
      </c>
      <c r="D51" s="272">
        <f>_xlfn.XLOOKUP($E51,Tab_Def_Processes[Name(EN)],Tab_Def_Processes[Process_ID],,0,)</f>
        <v/>
      </c>
      <c r="E51" s="273" t="inlineStr">
        <is>
          <t>N.A.</t>
        </is>
      </c>
      <c r="F51" s="272">
        <f>_xlfn.XLOOKUP($E51,Tab_Def_Processes[Name(EN)],Tab_Def_Processes[Process_Type],,0,)</f>
        <v/>
      </c>
      <c r="G51" s="272">
        <f>_xlfn.XLOOKUP($E51,Tab_Def_Processes[Name(EN)],Tab_Def_Processes[TC?],,0,)</f>
        <v/>
      </c>
      <c r="H51" s="272">
        <f>_xlfn.XLOOKUP($E51,Tab_Def_Processes[Name(EN)],Tab_Def_Processes[Dyn_TC?],,0,)</f>
        <v/>
      </c>
      <c r="I51" s="272">
        <f>_xlfn.XLOOKUP($E51,Tab_Def_Processes[Name(EN)],Tab_Def_Processes[Stock?],,0,)</f>
        <v/>
      </c>
      <c r="J51" s="272">
        <f>_xlfn.XLOOKUP($E51,Tab_Def_Processes[Name(EN)],Tab_Def_Processes[Initial_Stock?],,0,)</f>
        <v/>
      </c>
      <c r="K51" s="187" t="n"/>
      <c r="L51" s="273" t="n"/>
      <c r="M51" s="273" t="n"/>
      <c r="N51" s="273" t="n"/>
      <c r="O51" s="273" t="n"/>
      <c r="P51" s="273" t="n"/>
      <c r="Q51" s="272" t="n"/>
      <c r="R51" s="273" t="n"/>
      <c r="S51" s="272" t="n"/>
      <c r="T51" s="273" t="n"/>
      <c r="U51" s="198" t="n"/>
    </row>
    <row r="52">
      <c r="A52" s="280" t="b">
        <v>0</v>
      </c>
      <c r="B52" s="272">
        <f>ROW()-1</f>
        <v/>
      </c>
      <c r="C52" s="272">
        <f>"S"&amp;"_"&amp;LEFT(D52,2)</f>
        <v/>
      </c>
      <c r="D52" s="272">
        <f>_xlfn.XLOOKUP($E52,Tab_Def_Processes[Name(EN)],Tab_Def_Processes[Process_ID],,0,)</f>
        <v/>
      </c>
      <c r="E52" s="273" t="n"/>
      <c r="F52" s="272">
        <f>_xlfn.XLOOKUP($E52,Tab_Def_Processes[Name(EN)],Tab_Def_Processes[Process_Type],,0,)</f>
        <v/>
      </c>
      <c r="G52" s="272">
        <f>_xlfn.XLOOKUP($E52,Tab_Def_Processes[Name(EN)],Tab_Def_Processes[TC?],,0,)</f>
        <v/>
      </c>
      <c r="H52" s="272">
        <f>_xlfn.XLOOKUP($E52,Tab_Def_Processes[Name(EN)],Tab_Def_Processes[Dyn_TC?],,0,)</f>
        <v/>
      </c>
      <c r="I52" s="272">
        <f>_xlfn.XLOOKUP($E52,Tab_Def_Processes[Name(EN)],Tab_Def_Processes[Stock?],,0,)</f>
        <v/>
      </c>
      <c r="J52" s="272">
        <f>_xlfn.XLOOKUP($E52,Tab_Def_Processes[Name(EN)],Tab_Def_Processes[Initial_Stock?],,0,)</f>
        <v/>
      </c>
      <c r="K52" s="187" t="n"/>
      <c r="L52" s="273" t="n"/>
      <c r="M52" s="273" t="n"/>
      <c r="N52" s="273" t="n"/>
      <c r="O52" s="273" t="n"/>
      <c r="P52" s="273" t="n"/>
      <c r="Q52" s="272" t="n"/>
      <c r="R52" s="273" t="n"/>
      <c r="S52" s="272" t="n"/>
      <c r="T52" s="273" t="n"/>
      <c r="U52" s="198" t="n"/>
    </row>
    <row r="53">
      <c r="A53" s="280" t="b">
        <v>0</v>
      </c>
      <c r="B53" s="272">
        <f>ROW()-1</f>
        <v/>
      </c>
      <c r="C53" s="272">
        <f>"S"&amp;"_"&amp;LEFT(D53,2)</f>
        <v/>
      </c>
      <c r="D53" s="272">
        <f>_xlfn.XLOOKUP($E53,Tab_Def_Processes[Name(EN)],Tab_Def_Processes[Process_ID],,0,)</f>
        <v/>
      </c>
      <c r="E53" s="273" t="n"/>
      <c r="F53" s="272">
        <f>_xlfn.XLOOKUP($E53,Tab_Def_Processes[Name(EN)],Tab_Def_Processes[Process_Type],,0,)</f>
        <v/>
      </c>
      <c r="G53" s="272">
        <f>_xlfn.XLOOKUP($E53,Tab_Def_Processes[Name(EN)],Tab_Def_Processes[TC?],,0,)</f>
        <v/>
      </c>
      <c r="H53" s="272">
        <f>_xlfn.XLOOKUP($E53,Tab_Def_Processes[Name(EN)],Tab_Def_Processes[Dyn_TC?],,0,)</f>
        <v/>
      </c>
      <c r="I53" s="272">
        <f>_xlfn.XLOOKUP($E53,Tab_Def_Processes[Name(EN)],Tab_Def_Processes[Stock?],,0,)</f>
        <v/>
      </c>
      <c r="J53" s="272">
        <f>_xlfn.XLOOKUP($E53,Tab_Def_Processes[Name(EN)],Tab_Def_Processes[Initial_Stock?],,0,)</f>
        <v/>
      </c>
      <c r="K53" s="187" t="n"/>
      <c r="L53" s="273" t="n"/>
      <c r="M53" s="273" t="n"/>
      <c r="N53" s="273" t="n"/>
      <c r="O53" s="273" t="n"/>
      <c r="P53" s="273" t="n"/>
      <c r="Q53" s="272" t="n"/>
      <c r="R53" s="273" t="n"/>
      <c r="S53" s="272" t="n"/>
      <c r="T53" s="273" t="n"/>
      <c r="U53" s="198" t="n"/>
    </row>
    <row r="54">
      <c r="A54" s="280" t="b">
        <v>0</v>
      </c>
      <c r="B54" s="272">
        <f>ROW()-1</f>
        <v/>
      </c>
      <c r="C54" s="272">
        <f>"S"&amp;"_"&amp;LEFT(D54,2)</f>
        <v/>
      </c>
      <c r="D54" s="272">
        <f>_xlfn.XLOOKUP($E54,Tab_Def_Processes[Name(EN)],Tab_Def_Processes[Process_ID],,0,)</f>
        <v/>
      </c>
      <c r="E54" s="273" t="n"/>
      <c r="F54" s="272">
        <f>_xlfn.XLOOKUP($E54,Tab_Def_Processes[Name(EN)],Tab_Def_Processes[Process_Type],,0,)</f>
        <v/>
      </c>
      <c r="G54" s="272">
        <f>_xlfn.XLOOKUP($E54,Tab_Def_Processes[Name(EN)],Tab_Def_Processes[TC?],,0,)</f>
        <v/>
      </c>
      <c r="H54" s="272">
        <f>_xlfn.XLOOKUP($E54,Tab_Def_Processes[Name(EN)],Tab_Def_Processes[Dyn_TC?],,0,)</f>
        <v/>
      </c>
      <c r="I54" s="272">
        <f>_xlfn.XLOOKUP($E54,Tab_Def_Processes[Name(EN)],Tab_Def_Processes[Stock?],,0,)</f>
        <v/>
      </c>
      <c r="J54" s="272">
        <f>_xlfn.XLOOKUP($E54,Tab_Def_Processes[Name(EN)],Tab_Def_Processes[Initial_Stock?],,0,)</f>
        <v/>
      </c>
      <c r="K54" s="187" t="n"/>
      <c r="L54" s="273" t="n"/>
      <c r="M54" s="273" t="n"/>
      <c r="N54" s="273" t="n"/>
      <c r="O54" s="273" t="n"/>
      <c r="P54" s="273" t="n"/>
      <c r="Q54" s="272" t="n"/>
      <c r="R54" s="273" t="n"/>
      <c r="S54" s="272" t="n"/>
      <c r="T54" s="273" t="n"/>
      <c r="U54" s="198" t="n"/>
    </row>
    <row r="55">
      <c r="A55" s="280" t="b">
        <v>0</v>
      </c>
      <c r="B55" s="272">
        <f>ROW()-1</f>
        <v/>
      </c>
      <c r="C55" s="272">
        <f>"S"&amp;"_"&amp;LEFT(D55,2)</f>
        <v/>
      </c>
      <c r="D55" s="272">
        <f>_xlfn.XLOOKUP($E55,Tab_Def_Processes[Name(EN)],Tab_Def_Processes[Process_ID],,0,)</f>
        <v/>
      </c>
      <c r="E55" s="273" t="n"/>
      <c r="F55" s="272">
        <f>_xlfn.XLOOKUP($E55,Tab_Def_Processes[Name(EN)],Tab_Def_Processes[Process_Type],,0,)</f>
        <v/>
      </c>
      <c r="G55" s="272">
        <f>_xlfn.XLOOKUP($E55,Tab_Def_Processes[Name(EN)],Tab_Def_Processes[TC?],,0,)</f>
        <v/>
      </c>
      <c r="H55" s="272">
        <f>_xlfn.XLOOKUP($E55,Tab_Def_Processes[Name(EN)],Tab_Def_Processes[Dyn_TC?],,0,)</f>
        <v/>
      </c>
      <c r="I55" s="272">
        <f>_xlfn.XLOOKUP($E55,Tab_Def_Processes[Name(EN)],Tab_Def_Processes[Stock?],,0,)</f>
        <v/>
      </c>
      <c r="J55" s="272">
        <f>_xlfn.XLOOKUP($E55,Tab_Def_Processes[Name(EN)],Tab_Def_Processes[Initial_Stock?],,0,)</f>
        <v/>
      </c>
      <c r="K55" s="187" t="n"/>
      <c r="L55" s="273" t="n"/>
      <c r="M55" s="273" t="n"/>
      <c r="N55" s="273" t="n"/>
      <c r="O55" s="273" t="n"/>
      <c r="P55" s="273" t="n"/>
      <c r="Q55" s="272" t="n"/>
      <c r="R55" s="273" t="n"/>
      <c r="S55" s="272" t="n"/>
      <c r="T55" s="273" t="n"/>
      <c r="U55" s="198" t="n"/>
    </row>
    <row r="56">
      <c r="A56" s="280" t="b">
        <v>0</v>
      </c>
      <c r="B56" s="272">
        <f>ROW()-1</f>
        <v/>
      </c>
      <c r="C56" s="272">
        <f>"S"&amp;"_"&amp;LEFT(D56,2)</f>
        <v/>
      </c>
      <c r="D56" s="272">
        <f>_xlfn.XLOOKUP($E56,Tab_Def_Processes[Name(EN)],Tab_Def_Processes[Process_ID],,0,)</f>
        <v/>
      </c>
      <c r="E56" s="273" t="n"/>
      <c r="F56" s="272">
        <f>_xlfn.XLOOKUP($E56,Tab_Def_Processes[Name(EN)],Tab_Def_Processes[Process_Type],,0,)</f>
        <v/>
      </c>
      <c r="G56" s="272">
        <f>_xlfn.XLOOKUP($E56,Tab_Def_Processes[Name(EN)],Tab_Def_Processes[TC?],,0,)</f>
        <v/>
      </c>
      <c r="H56" s="272">
        <f>_xlfn.XLOOKUP($E56,Tab_Def_Processes[Name(EN)],Tab_Def_Processes[Dyn_TC?],,0,)</f>
        <v/>
      </c>
      <c r="I56" s="272">
        <f>_xlfn.XLOOKUP($E56,Tab_Def_Processes[Name(EN)],Tab_Def_Processes[Stock?],,0,)</f>
        <v/>
      </c>
      <c r="J56" s="272">
        <f>_xlfn.XLOOKUP($E56,Tab_Def_Processes[Name(EN)],Tab_Def_Processes[Initial_Stock?],,0,)</f>
        <v/>
      </c>
      <c r="K56" s="187" t="n"/>
      <c r="L56" s="273" t="n"/>
      <c r="M56" s="273" t="n"/>
      <c r="N56" s="273" t="n"/>
      <c r="O56" s="273" t="n"/>
      <c r="P56" s="273" t="n"/>
      <c r="Q56" s="272" t="n"/>
      <c r="R56" s="273" t="n"/>
      <c r="S56" s="272" t="n"/>
      <c r="T56" s="273" t="n"/>
      <c r="U56" s="198" t="n"/>
    </row>
    <row r="57">
      <c r="A57" s="280" t="b">
        <v>0</v>
      </c>
      <c r="B57" s="272">
        <f>ROW()-1</f>
        <v/>
      </c>
      <c r="C57" s="272">
        <f>"S"&amp;"_"&amp;LEFT(D57,2)</f>
        <v/>
      </c>
      <c r="D57" s="272">
        <f>_xlfn.XLOOKUP($E57,Tab_Def_Processes[Name(EN)],Tab_Def_Processes[Process_ID],,0,)</f>
        <v/>
      </c>
      <c r="E57" s="273" t="n"/>
      <c r="F57" s="272">
        <f>_xlfn.XLOOKUP($E57,Tab_Def_Processes[Name(EN)],Tab_Def_Processes[Process_Type],,0,)</f>
        <v/>
      </c>
      <c r="G57" s="272">
        <f>_xlfn.XLOOKUP($E57,Tab_Def_Processes[Name(EN)],Tab_Def_Processes[TC?],,0,)</f>
        <v/>
      </c>
      <c r="H57" s="272">
        <f>_xlfn.XLOOKUP($E57,Tab_Def_Processes[Name(EN)],Tab_Def_Processes[Dyn_TC?],,0,)</f>
        <v/>
      </c>
      <c r="I57" s="272">
        <f>_xlfn.XLOOKUP($E57,Tab_Def_Processes[Name(EN)],Tab_Def_Processes[Stock?],,0,)</f>
        <v/>
      </c>
      <c r="J57" s="272">
        <f>_xlfn.XLOOKUP($E57,Tab_Def_Processes[Name(EN)],Tab_Def_Processes[Initial_Stock?],,0,)</f>
        <v/>
      </c>
      <c r="K57" s="187" t="n"/>
      <c r="L57" s="273" t="n"/>
      <c r="M57" s="273" t="n"/>
      <c r="N57" s="273" t="n"/>
      <c r="O57" s="273" t="n"/>
      <c r="P57" s="273" t="n"/>
      <c r="Q57" s="272" t="n"/>
      <c r="R57" s="273" t="n"/>
      <c r="S57" s="272" t="n"/>
      <c r="T57" s="273" t="n"/>
      <c r="U57" s="198" t="n"/>
    </row>
    <row r="58">
      <c r="A58" s="280" t="b">
        <v>0</v>
      </c>
      <c r="B58" s="272">
        <f>ROW()-1</f>
        <v/>
      </c>
      <c r="C58" s="272">
        <f>"S"&amp;"_"&amp;LEFT(D58,2)</f>
        <v/>
      </c>
      <c r="D58" s="272">
        <f>_xlfn.XLOOKUP($E58,Tab_Def_Processes[Name(EN)],Tab_Def_Processes[Process_ID],,0,)</f>
        <v/>
      </c>
      <c r="E58" s="273" t="n"/>
      <c r="F58" s="272">
        <f>_xlfn.XLOOKUP($E58,Tab_Def_Processes[Name(EN)],Tab_Def_Processes[Process_Type],,0,)</f>
        <v/>
      </c>
      <c r="G58" s="272">
        <f>_xlfn.XLOOKUP($E58,Tab_Def_Processes[Name(EN)],Tab_Def_Processes[TC?],,0,)</f>
        <v/>
      </c>
      <c r="H58" s="272">
        <f>_xlfn.XLOOKUP($E58,Tab_Def_Processes[Name(EN)],Tab_Def_Processes[Dyn_TC?],,0,)</f>
        <v/>
      </c>
      <c r="I58" s="272">
        <f>_xlfn.XLOOKUP($E58,Tab_Def_Processes[Name(EN)],Tab_Def_Processes[Stock?],,0,)</f>
        <v/>
      </c>
      <c r="J58" s="272">
        <f>_xlfn.XLOOKUP($E58,Tab_Def_Processes[Name(EN)],Tab_Def_Processes[Initial_Stock?],,0,)</f>
        <v/>
      </c>
      <c r="K58" s="187" t="n"/>
      <c r="L58" s="273" t="n"/>
      <c r="M58" s="273" t="n"/>
      <c r="N58" s="273" t="n"/>
      <c r="O58" s="273" t="n"/>
      <c r="P58" s="273" t="n"/>
      <c r="Q58" s="272" t="n"/>
      <c r="R58" s="273" t="n"/>
      <c r="S58" s="272" t="n"/>
      <c r="T58" s="273" t="n"/>
      <c r="U58" s="198" t="n"/>
    </row>
    <row r="59">
      <c r="A59" s="280" t="b">
        <v>0</v>
      </c>
      <c r="B59" s="272">
        <f>ROW()-1</f>
        <v/>
      </c>
      <c r="C59" s="272">
        <f>"S"&amp;"_"&amp;LEFT(D59,2)</f>
        <v/>
      </c>
      <c r="D59" s="272">
        <f>_xlfn.XLOOKUP($E59,Tab_Def_Processes[Name(EN)],Tab_Def_Processes[Process_ID],,0,)</f>
        <v/>
      </c>
      <c r="E59" s="273" t="n"/>
      <c r="F59" s="272">
        <f>_xlfn.XLOOKUP($E59,Tab_Def_Processes[Name(EN)],Tab_Def_Processes[Process_Type],,0,)</f>
        <v/>
      </c>
      <c r="G59" s="272">
        <f>_xlfn.XLOOKUP($E59,Tab_Def_Processes[Name(EN)],Tab_Def_Processes[TC?],,0,)</f>
        <v/>
      </c>
      <c r="H59" s="272">
        <f>_xlfn.XLOOKUP($E59,Tab_Def_Processes[Name(EN)],Tab_Def_Processes[Dyn_TC?],,0,)</f>
        <v/>
      </c>
      <c r="I59" s="272">
        <f>_xlfn.XLOOKUP($E59,Tab_Def_Processes[Name(EN)],Tab_Def_Processes[Stock?],,0,)</f>
        <v/>
      </c>
      <c r="J59" s="272">
        <f>_xlfn.XLOOKUP($E59,Tab_Def_Processes[Name(EN)],Tab_Def_Processes[Initial_Stock?],,0,)</f>
        <v/>
      </c>
      <c r="K59" s="187" t="n"/>
      <c r="L59" s="273" t="n"/>
      <c r="M59" s="273" t="n"/>
      <c r="N59" s="273" t="n"/>
      <c r="O59" s="273" t="n"/>
      <c r="P59" s="273" t="n"/>
      <c r="Q59" s="272" t="n"/>
      <c r="R59" s="273" t="n"/>
      <c r="S59" s="272" t="n"/>
      <c r="T59" s="273" t="n"/>
      <c r="U59" s="198" t="n"/>
    </row>
    <row r="60">
      <c r="A60" s="280" t="b">
        <v>0</v>
      </c>
      <c r="B60" s="272">
        <f>ROW()-1</f>
        <v/>
      </c>
      <c r="C60" s="272">
        <f>"S"&amp;"_"&amp;LEFT(D60,2)</f>
        <v/>
      </c>
      <c r="D60" s="272">
        <f>_xlfn.XLOOKUP($E60,Tab_Def_Processes[Name(EN)],Tab_Def_Processes[Process_ID],,0,)</f>
        <v/>
      </c>
      <c r="E60" s="273" t="n"/>
      <c r="F60" s="272">
        <f>_xlfn.XLOOKUP($E60,Tab_Def_Processes[Name(EN)],Tab_Def_Processes[Process_Type],,0,)</f>
        <v/>
      </c>
      <c r="G60" s="272">
        <f>_xlfn.XLOOKUP($E60,Tab_Def_Processes[Name(EN)],Tab_Def_Processes[TC?],,0,)</f>
        <v/>
      </c>
      <c r="H60" s="272">
        <f>_xlfn.XLOOKUP($E60,Tab_Def_Processes[Name(EN)],Tab_Def_Processes[Dyn_TC?],,0,)</f>
        <v/>
      </c>
      <c r="I60" s="272">
        <f>_xlfn.XLOOKUP($E60,Tab_Def_Processes[Name(EN)],Tab_Def_Processes[Stock?],,0,)</f>
        <v/>
      </c>
      <c r="J60" s="272">
        <f>_xlfn.XLOOKUP($E60,Tab_Def_Processes[Name(EN)],Tab_Def_Processes[Initial_Stock?],,0,)</f>
        <v/>
      </c>
      <c r="K60" s="187" t="n"/>
      <c r="L60" s="273" t="n"/>
      <c r="M60" s="273" t="n"/>
      <c r="N60" s="273" t="n"/>
      <c r="O60" s="273" t="n"/>
      <c r="P60" s="273" t="n"/>
      <c r="Q60" s="272" t="n"/>
      <c r="R60" s="273" t="n"/>
      <c r="S60" s="272" t="n"/>
      <c r="T60" s="273" t="n"/>
      <c r="U60" s="198" t="n"/>
    </row>
    <row r="61">
      <c r="A61" s="280" t="b">
        <v>0</v>
      </c>
      <c r="B61" s="272">
        <f>ROW()-1</f>
        <v/>
      </c>
      <c r="C61" s="272">
        <f>"S"&amp;"_"&amp;LEFT(D61,2)</f>
        <v/>
      </c>
      <c r="D61" s="272">
        <f>_xlfn.XLOOKUP($E61,Tab_Def_Processes[Name(EN)],Tab_Def_Processes[Process_ID],,0,)</f>
        <v/>
      </c>
      <c r="E61" s="273" t="n"/>
      <c r="F61" s="272">
        <f>_xlfn.XLOOKUP($E61,Tab_Def_Processes[Name(EN)],Tab_Def_Processes[Process_Type],,0,)</f>
        <v/>
      </c>
      <c r="G61" s="272">
        <f>_xlfn.XLOOKUP($E61,Tab_Def_Processes[Name(EN)],Tab_Def_Processes[TC?],,0,)</f>
        <v/>
      </c>
      <c r="H61" s="272">
        <f>_xlfn.XLOOKUP($E61,Tab_Def_Processes[Name(EN)],Tab_Def_Processes[Dyn_TC?],,0,)</f>
        <v/>
      </c>
      <c r="I61" s="272">
        <f>_xlfn.XLOOKUP($E61,Tab_Def_Processes[Name(EN)],Tab_Def_Processes[Stock?],,0,)</f>
        <v/>
      </c>
      <c r="J61" s="272">
        <f>_xlfn.XLOOKUP($E61,Tab_Def_Processes[Name(EN)],Tab_Def_Processes[Initial_Stock?],,0,)</f>
        <v/>
      </c>
      <c r="K61" s="187" t="n"/>
      <c r="L61" s="273" t="n"/>
      <c r="M61" s="273" t="n"/>
      <c r="N61" s="273" t="n"/>
      <c r="O61" s="273" t="n"/>
      <c r="P61" s="273" t="n"/>
      <c r="Q61" s="272" t="n"/>
      <c r="R61" s="273" t="n"/>
      <c r="S61" s="272" t="n"/>
      <c r="T61" s="273" t="n"/>
      <c r="U61" s="198" t="n"/>
    </row>
    <row r="62">
      <c r="A62" s="280" t="b">
        <v>0</v>
      </c>
      <c r="B62" s="272">
        <f>ROW()-1</f>
        <v/>
      </c>
      <c r="C62" s="272">
        <f>"S"&amp;"_"&amp;LEFT(D62,2)</f>
        <v/>
      </c>
      <c r="D62" s="272">
        <f>_xlfn.XLOOKUP($E62,Tab_Def_Processes[Name(EN)],Tab_Def_Processes[Process_ID],,0,)</f>
        <v/>
      </c>
      <c r="E62" s="273" t="n"/>
      <c r="F62" s="272">
        <f>_xlfn.XLOOKUP($E62,Tab_Def_Processes[Name(EN)],Tab_Def_Processes[Process_Type],,0,)</f>
        <v/>
      </c>
      <c r="G62" s="272">
        <f>_xlfn.XLOOKUP($E62,Tab_Def_Processes[Name(EN)],Tab_Def_Processes[TC?],,0,)</f>
        <v/>
      </c>
      <c r="H62" s="272">
        <f>_xlfn.XLOOKUP($E62,Tab_Def_Processes[Name(EN)],Tab_Def_Processes[Dyn_TC?],,0,)</f>
        <v/>
      </c>
      <c r="I62" s="272">
        <f>_xlfn.XLOOKUP($E62,Tab_Def_Processes[Name(EN)],Tab_Def_Processes[Stock?],,0,)</f>
        <v/>
      </c>
      <c r="J62" s="272">
        <f>_xlfn.XLOOKUP($E62,Tab_Def_Processes[Name(EN)],Tab_Def_Processes[Initial_Stock?],,0,)</f>
        <v/>
      </c>
      <c r="K62" s="187" t="n"/>
      <c r="L62" s="273" t="n"/>
      <c r="M62" s="273" t="n"/>
      <c r="N62" s="273" t="n"/>
      <c r="O62" s="273" t="n"/>
      <c r="P62" s="273" t="n"/>
      <c r="Q62" s="272" t="n"/>
      <c r="R62" s="273" t="n"/>
      <c r="S62" s="272" t="n"/>
      <c r="T62" s="273" t="n"/>
      <c r="U62" s="198" t="n"/>
    </row>
    <row r="63">
      <c r="A63" s="280" t="b">
        <v>0</v>
      </c>
      <c r="B63" s="272">
        <f>ROW()-1</f>
        <v/>
      </c>
      <c r="C63" s="272">
        <f>"S"&amp;"_"&amp;LEFT(D63,2)</f>
        <v/>
      </c>
      <c r="D63" s="272">
        <f>_xlfn.XLOOKUP($E63,Tab_Def_Processes[Name(EN)],Tab_Def_Processes[Process_ID],,0,)</f>
        <v/>
      </c>
      <c r="E63" s="273" t="n"/>
      <c r="F63" s="272">
        <f>_xlfn.XLOOKUP($E63,Tab_Def_Processes[Name(EN)],Tab_Def_Processes[Process_Type],,0,)</f>
        <v/>
      </c>
      <c r="G63" s="272">
        <f>_xlfn.XLOOKUP($E63,Tab_Def_Processes[Name(EN)],Tab_Def_Processes[TC?],,0,)</f>
        <v/>
      </c>
      <c r="H63" s="272">
        <f>_xlfn.XLOOKUP($E63,Tab_Def_Processes[Name(EN)],Tab_Def_Processes[Dyn_TC?],,0,)</f>
        <v/>
      </c>
      <c r="I63" s="272">
        <f>_xlfn.XLOOKUP($E63,Tab_Def_Processes[Name(EN)],Tab_Def_Processes[Stock?],,0,)</f>
        <v/>
      </c>
      <c r="J63" s="272">
        <f>_xlfn.XLOOKUP($E63,Tab_Def_Processes[Name(EN)],Tab_Def_Processes[Initial_Stock?],,0,)</f>
        <v/>
      </c>
      <c r="K63" s="187" t="n"/>
      <c r="L63" s="273" t="n"/>
      <c r="M63" s="273" t="n"/>
      <c r="N63" s="273" t="n"/>
      <c r="O63" s="273" t="n"/>
      <c r="P63" s="273" t="n"/>
      <c r="Q63" s="272" t="n"/>
      <c r="R63" s="273" t="n"/>
      <c r="S63" s="272" t="n"/>
      <c r="T63" s="273" t="n"/>
      <c r="U63" s="198" t="n"/>
    </row>
  </sheetData>
  <pageMargins left="0.7" right="0.7" top="0.787401575" bottom="0.7874015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codeName="Sheet29">
    <tabColor theme="9" tint="0.7999816888943144"/>
    <outlinePr summaryBelow="1" summaryRight="1"/>
    <pageSetUpPr/>
  </sheetPr>
  <dimension ref="A1:BL149"/>
  <sheetViews>
    <sheetView zoomScaleNormal="100" workbookViewId="0">
      <pane xSplit="5" topLeftCell="F1" activePane="topRight" state="frozen"/>
      <selection pane="topRight" activeCell="BO22" sqref="BO22"/>
    </sheetView>
  </sheetViews>
  <sheetFormatPr baseColWidth="8" defaultColWidth="10.85546875" defaultRowHeight="15"/>
  <cols>
    <col width="16.5703125" customWidth="1" min="2" max="2"/>
    <col width="16.5703125" customWidth="1" style="46" min="4" max="4"/>
    <col width="26.42578125" customWidth="1" min="5" max="7"/>
    <col width="16.5703125" customWidth="1" min="8" max="8"/>
    <col width="26.42578125" customWidth="1" min="9" max="9"/>
    <col width="15.5703125" customWidth="1" min="10" max="10"/>
    <col width="15.42578125" customWidth="1" min="11" max="11"/>
    <col hidden="1" width="12.5703125" customWidth="1" min="12" max="13"/>
    <col hidden="1" width="17" customWidth="1" min="14" max="14"/>
    <col hidden="1" width="16.5703125" customWidth="1" min="15" max="15"/>
    <col hidden="1" width="16.140625" customWidth="1" min="16" max="16"/>
    <col hidden="1" width="15.7109375" customWidth="1" min="17" max="17"/>
    <col hidden="1" min="18" max="18"/>
    <col hidden="1" width="13.85546875" customWidth="1" min="19" max="19"/>
    <col hidden="1" min="20" max="26"/>
    <col hidden="1" width="17.42578125" customWidth="1" min="27" max="27"/>
    <col hidden="1" width="17.85546875" customWidth="1" min="28" max="33"/>
    <col hidden="1" width="17.85546875" customWidth="1" style="54" min="34" max="34"/>
    <col hidden="1" width="42" customWidth="1" style="54" min="35" max="35"/>
    <col hidden="1" width="17.85546875" customWidth="1" style="54" min="36" max="39"/>
    <col hidden="1" width="26.28515625" customWidth="1" style="54" min="40" max="40"/>
    <col hidden="1" width="17.85546875" customWidth="1" style="54" min="41" max="55"/>
    <col hidden="1" width="17.85546875" customWidth="1" min="56" max="59"/>
    <col hidden="1" min="60" max="65"/>
  </cols>
  <sheetData>
    <row r="1">
      <c r="A1" s="295" t="inlineStr">
        <is>
          <t>Complete?</t>
        </is>
      </c>
      <c r="B1" s="295" t="inlineStr">
        <is>
          <t>ID</t>
        </is>
      </c>
      <c r="C1" s="295" t="inlineStr">
        <is>
          <t>Process_ID</t>
        </is>
      </c>
      <c r="D1" s="295" t="inlineStr">
        <is>
          <t>Name(EN)</t>
        </is>
      </c>
      <c r="E1" s="295" t="inlineStr">
        <is>
          <t>Output_Flow</t>
        </is>
      </c>
      <c r="F1" s="295" t="inlineStr">
        <is>
          <t>TC?</t>
        </is>
      </c>
      <c r="G1" s="295" t="inlineStr">
        <is>
          <t>DynTC?</t>
        </is>
      </c>
      <c r="H1" s="295" t="inlineStr">
        <is>
          <t>Flow_ID</t>
        </is>
      </c>
      <c r="I1" s="295" t="inlineStr">
        <is>
          <t>TC_ID</t>
        </is>
      </c>
      <c r="J1" s="295" t="inlineStr">
        <is>
          <t>Year</t>
        </is>
      </c>
      <c r="K1" s="295" t="inlineStr">
        <is>
          <t>Value</t>
        </is>
      </c>
      <c r="L1" s="8" t="inlineStr">
        <is>
          <t>Column1</t>
        </is>
      </c>
      <c r="M1" s="14" t="inlineStr">
        <is>
          <t>Input_Flow_I_1</t>
        </is>
      </c>
      <c r="N1" s="14" t="inlineStr">
        <is>
          <t>Flow_ID_I_1</t>
        </is>
      </c>
      <c r="O1" s="27" t="inlineStr">
        <is>
          <t>Flow_TC_I_1_[%]</t>
        </is>
      </c>
      <c r="P1" s="14" t="inlineStr">
        <is>
          <t>Input_Flow_I_2</t>
        </is>
      </c>
      <c r="Q1" s="14" t="inlineStr">
        <is>
          <t>Flow_ID_I_3</t>
        </is>
      </c>
      <c r="R1" s="27" t="inlineStr">
        <is>
          <t>Flow_TC_I_2_[%]</t>
        </is>
      </c>
      <c r="S1" s="28" t="inlineStr">
        <is>
          <t>Input_Flow_I_3</t>
        </is>
      </c>
      <c r="T1" s="25" t="inlineStr">
        <is>
          <t>Flow ID I_3</t>
        </is>
      </c>
      <c r="U1" s="31" t="inlineStr">
        <is>
          <t>Flow_TC_I_3_[%]</t>
        </is>
      </c>
      <c r="V1" s="28" t="inlineStr">
        <is>
          <t>Input_Flow_I_4</t>
        </is>
      </c>
      <c r="W1" s="24" t="inlineStr">
        <is>
          <t>Flow ID I_4</t>
        </is>
      </c>
      <c r="X1" s="27" t="inlineStr">
        <is>
          <t>Flow_TC_I_4_[%]</t>
        </is>
      </c>
      <c r="Y1" s="28" t="inlineStr">
        <is>
          <t>Input_Flow_I_5</t>
        </is>
      </c>
      <c r="Z1" s="24" t="inlineStr">
        <is>
          <t>Flow ID I_5</t>
        </is>
      </c>
      <c r="AA1" s="27" t="inlineStr">
        <is>
          <t>Flow_TC_I_5_[%]</t>
        </is>
      </c>
      <c r="AB1" s="24" t="inlineStr">
        <is>
          <t>Sum_TC_I</t>
        </is>
      </c>
      <c r="AC1" s="177" t="inlineStr">
        <is>
          <t>Output_Flow_O_1</t>
        </is>
      </c>
      <c r="AD1" s="177" t="inlineStr">
        <is>
          <t>Flow_ID_O_1</t>
        </is>
      </c>
      <c r="AE1" s="177" t="inlineStr">
        <is>
          <t>TC_ID_O_1_Year</t>
        </is>
      </c>
      <c r="AF1" s="177" t="inlineStr">
        <is>
          <t>TC_ID_O_1</t>
        </is>
      </c>
      <c r="AG1" s="178" t="inlineStr">
        <is>
          <t>TC_O_1_[%]</t>
        </is>
      </c>
      <c r="AH1" s="179" t="inlineStr">
        <is>
          <t>Output_Flow_O_2</t>
        </is>
      </c>
      <c r="AI1" s="179" t="inlineStr">
        <is>
          <t>Flow_ID_O_2</t>
        </is>
      </c>
      <c r="AJ1" s="179" t="inlineStr">
        <is>
          <t>TC_ID_O_2_Year</t>
        </is>
      </c>
      <c r="AK1" s="177" t="inlineStr">
        <is>
          <t>TC_ID_O_2</t>
        </is>
      </c>
      <c r="AL1" s="178" t="inlineStr">
        <is>
          <t>TC_O_2_[%]</t>
        </is>
      </c>
      <c r="AM1" s="179" t="inlineStr">
        <is>
          <t>Output_Flow_O_3</t>
        </is>
      </c>
      <c r="AN1" s="179" t="inlineStr">
        <is>
          <t>Flow_ID_O_3</t>
        </is>
      </c>
      <c r="AO1" s="179" t="inlineStr">
        <is>
          <t>TC_ID_O_3_Year</t>
        </is>
      </c>
      <c r="AP1" s="177" t="inlineStr">
        <is>
          <t>TC_ID_O_3</t>
        </is>
      </c>
      <c r="AQ1" s="179" t="inlineStr">
        <is>
          <t>TC_O_3_[%]</t>
        </is>
      </c>
      <c r="AR1" s="179" t="inlineStr">
        <is>
          <t>Output_Flow_O_4</t>
        </is>
      </c>
      <c r="AS1" s="179" t="inlineStr">
        <is>
          <t>Flow_ID_O_4</t>
        </is>
      </c>
      <c r="AT1" s="179" t="inlineStr">
        <is>
          <t>TC_ID_O_4_Year</t>
        </is>
      </c>
      <c r="AU1" s="177" t="inlineStr">
        <is>
          <t>TC_ID_O_4</t>
        </is>
      </c>
      <c r="AV1" s="179" t="inlineStr">
        <is>
          <t>TC_O_4_[%]</t>
        </is>
      </c>
      <c r="AW1" s="179" t="inlineStr">
        <is>
          <t>Output_Flow_O_5</t>
        </is>
      </c>
      <c r="AX1" s="179" t="inlineStr">
        <is>
          <t>Flow_ID_O_5</t>
        </is>
      </c>
      <c r="AY1" s="179" t="inlineStr">
        <is>
          <t>TC_ID_O_5_Year</t>
        </is>
      </c>
      <c r="AZ1" s="177" t="inlineStr">
        <is>
          <t>TC_ID_O_5</t>
        </is>
      </c>
      <c r="BA1" s="179" t="inlineStr">
        <is>
          <t>TC O_5_[%]</t>
        </is>
      </c>
      <c r="BB1" s="50" t="inlineStr">
        <is>
          <t>Output_Flow_O_6</t>
        </is>
      </c>
      <c r="BC1" s="50" t="inlineStr">
        <is>
          <t>Flow_ID_O_6</t>
        </is>
      </c>
      <c r="BD1" s="50" t="inlineStr">
        <is>
          <t>TC_ID_O_6_Year</t>
        </is>
      </c>
      <c r="BE1" s="26" t="inlineStr">
        <is>
          <t>TC_ID_O_6</t>
        </is>
      </c>
      <c r="BF1" s="50" t="inlineStr">
        <is>
          <t>TC O_6_[%]</t>
        </is>
      </c>
      <c r="BG1" s="51" t="inlineStr">
        <is>
          <t>Sum_TC_O</t>
        </is>
      </c>
      <c r="BH1" s="36" t="inlineStr">
        <is>
          <t>Titel</t>
        </is>
      </c>
      <c r="BI1" s="171" t="inlineStr">
        <is>
          <t>Year publication</t>
        </is>
      </c>
      <c r="BJ1" s="171" t="inlineStr">
        <is>
          <t>Author</t>
        </is>
      </c>
      <c r="BK1" s="171" t="inlineStr">
        <is>
          <t>Type of the Study</t>
        </is>
      </c>
      <c r="BL1" s="172" t="inlineStr">
        <is>
          <t>URL</t>
        </is>
      </c>
    </row>
    <row r="2">
      <c r="A2" s="280" t="b">
        <v>0</v>
      </c>
      <c r="B2" s="272">
        <f>ROW()-1</f>
        <v/>
      </c>
      <c r="C2" s="286">
        <f>_xlfn.XLOOKUP($D2,Tab_Process_TCs[Name(EN)],Tab_Process_TCs[Process_ID],,0,)</f>
        <v/>
      </c>
      <c r="D2" s="189" t="inlineStr">
        <is>
          <t>Straw C&amp;D</t>
        </is>
      </c>
      <c r="E2" s="189" t="inlineStr">
        <is>
          <t>Straw_incorperation</t>
        </is>
      </c>
      <c r="F2" s="286">
        <f>_xlfn.XLOOKUP($D2,Tab_Process_TCs[Name(EN)],Tab_Process_TCs[TC?],,0,)</f>
        <v/>
      </c>
      <c r="G2" s="286">
        <f>_xlfn.XLOOKUP($D2,Tab_Process_TCs[Name(EN)],Tab_Process_TCs[Dyn_TC?],,0,)</f>
        <v/>
      </c>
      <c r="H2" s="272">
        <f>_xlfn.XLOOKUP($E2,Tab_Def_Flows[Name(EN)],Tab_Def_Flows[Flow_ID],,0,1)</f>
        <v/>
      </c>
      <c r="I2" s="272">
        <f>IF(Tab_Process_TCs2527[[#This Row],[Name(EN)]]="N.A.","N.A.","TC"&amp;"_"&amp;RIGHT(H2,5))</f>
        <v/>
      </c>
      <c r="J2" s="273" t="n">
        <v>2025</v>
      </c>
      <c r="K2" s="56" t="n">
        <v>0.5</v>
      </c>
      <c r="L2" s="272" t="n"/>
      <c r="M2" s="296">
        <f>_xlfn.XLOOKUP($D2,Tab_Def_Processes[Name(EN)],Tab_Def_Processes[Input_Flow_I_1],,0,)</f>
        <v/>
      </c>
      <c r="N2" s="272">
        <f>_xlfn.XLOOKUP($D2,Tab_Def_Processes[Name(EN)],Tab_Def_Processes[Flow_ID_I_1],,0,)</f>
        <v/>
      </c>
      <c r="O2" s="33" t="n"/>
      <c r="P2" s="29">
        <f>_xlfn.XLOOKUP($D2,Tab_Def_Processes[Name(EN)],Tab_Def_Processes[Input_Flow_I_2],,0,)</f>
        <v/>
      </c>
      <c r="Q2" s="272">
        <f>_xlfn.XLOOKUP($D2,Tab_Def_Processes[Name(EN)],Tab_Def_Processes[Flow_ID_I_2],,0,)</f>
        <v/>
      </c>
      <c r="R2" s="33" t="n"/>
      <c r="S2" s="29">
        <f>_xlfn.XLOOKUP($D2,Tab_Def_Processes[Name(EN)],Tab_Def_Processes[Input_Flow_I_3],,0,)</f>
        <v/>
      </c>
      <c r="T2" s="272">
        <f>_xlfn.XLOOKUP($D2,Tab_Def_Processes[Name(EN)],Tab_Def_Processes[Flow_ID_I_3],,0,)</f>
        <v/>
      </c>
      <c r="U2" s="33" t="n"/>
      <c r="V2" s="29">
        <f>_xlfn.XLOOKUP($D2,Tab_Def_Processes[Name(EN)],Tab_Def_Processes[Input_Flow_I_4],,0,)</f>
        <v/>
      </c>
      <c r="W2" s="272">
        <f>_xlfn.XLOOKUP($D2,Tab_Def_Processes[Name(EN)],Tab_Def_Processes[Flow_ID_I_4],,0,)</f>
        <v/>
      </c>
      <c r="X2" s="33" t="n"/>
      <c r="Y2" s="29">
        <f>_xlfn.XLOOKUP($D2,Tab_Def_Processes[Name(EN)],Tab_Def_Processes[Input_Flow_I_5],,0,)</f>
        <v/>
      </c>
      <c r="Z2" s="272">
        <f>_xlfn.XLOOKUP($D2,Tab_Def_Processes[Name(EN)],Tab_Def_Processes[Flow_ID_I_5],,0,)</f>
        <v/>
      </c>
      <c r="AA2" s="33" t="n"/>
      <c r="AB2" s="32">
        <f>Tab_Process_TCs2527[[#This Row],[Flow_TC_I_1_'[%']]]+Tab_Process_TCs2527[[#This Row],[Flow_TC_I_2_'[%']]]+Tab_Process_TCs2527[[#This Row],[Flow_TC_I_3_'[%']]]+Tab_Process_TCs2527[[#This Row],[Flow_TC_I_4_'[%']]]+Tab_Process_TCs2527[[#This Row],[Flow_TC_I_5_'[%']]]</f>
        <v/>
      </c>
      <c r="AC2" s="296">
        <f>_xlfn.XLOOKUP($D2,#REF!,#REF!,,0,)</f>
        <v/>
      </c>
      <c r="AD2" s="272">
        <f>_xlfn.XLOOKUP($D2,#REF!,#REF!,,0,)</f>
        <v/>
      </c>
      <c r="AE2" s="42">
        <f>Tab_Process_TCs2527[[#This Row],[Flow_ID]]</f>
        <v/>
      </c>
      <c r="AF2" s="272">
        <f>"TC"&amp;"_"&amp;RIGHT(AD2,5)</f>
        <v/>
      </c>
      <c r="AG2" s="49" t="n">
        <v>0.2</v>
      </c>
      <c r="AH2" s="296">
        <f>_xlfn.XLOOKUP($D2,#REF!,#REF!,,0,)</f>
        <v/>
      </c>
      <c r="AI2" s="272">
        <f>_xlfn.XLOOKUP($D2,#REF!,#REF!,,0,)</f>
        <v/>
      </c>
      <c r="AJ2" s="42">
        <f>Tab_Process_TCs2527[[#This Row],[Flow_ID]]</f>
        <v/>
      </c>
      <c r="AK2" s="272">
        <f>"TC"&amp;"_"&amp;RIGHT(AI2,5)</f>
        <v/>
      </c>
      <c r="AL2" s="176" t="n">
        <v>0.8</v>
      </c>
      <c r="AM2" s="296">
        <f>_xlfn.XLOOKUP($D2,#REF!,#REF!,,0,)</f>
        <v/>
      </c>
      <c r="AN2" s="272">
        <f>_xlfn.XLOOKUP($D2,#REF!,#REF!,,0,)</f>
        <v/>
      </c>
      <c r="AO2" s="42">
        <f>Tab_Process_TCs2527[[#This Row],[Flow_ID]]</f>
        <v/>
      </c>
      <c r="AP2" s="272">
        <f>"TC"&amp;"_"&amp;RIGHT(AN2,5)</f>
        <v/>
      </c>
      <c r="AQ2" s="168" t="n"/>
      <c r="AR2" s="296">
        <f>_xlfn.XLOOKUP($D2,#REF!,#REF!,,0,)</f>
        <v/>
      </c>
      <c r="AS2" s="272">
        <f>_xlfn.XLOOKUP($D2,#REF!,#REF!,,0,)</f>
        <v/>
      </c>
      <c r="AT2" s="42">
        <f>Tab_Process_TCs2527[[#This Row],[Flow_ID]]</f>
        <v/>
      </c>
      <c r="AU2" s="42">
        <f>"TC"&amp;"_"&amp;RIGHT(AN2,5)</f>
        <v/>
      </c>
      <c r="AV2" s="168" t="n"/>
      <c r="AW2" s="296">
        <f>_xlfn.XLOOKUP($D2,#REF!,#REF!,,0,)</f>
        <v/>
      </c>
      <c r="AX2" s="272">
        <f>_xlfn.XLOOKUP($D2,#REF!,#REF!,,0,)</f>
        <v/>
      </c>
      <c r="AY2" s="42">
        <f>Tab_Process_TCs2527[[#This Row],[Flow_ID]]</f>
        <v/>
      </c>
      <c r="AZ2" s="42">
        <f>"TC"&amp;"_"&amp;RIGHT(AX2,5)</f>
        <v/>
      </c>
      <c r="BA2" s="168" t="n"/>
      <c r="BB2" s="272">
        <f>_xlfn.XLOOKUP($D2,#REF!,#REF!,,0,)</f>
        <v/>
      </c>
      <c r="BC2" s="272">
        <f>_xlfn.XLOOKUP($D2,#REF!,#REF!,,0,)</f>
        <v/>
      </c>
      <c r="BD2" s="42">
        <f>Tab_Process_TCs2527[[#This Row],[Flow_ID]]</f>
        <v/>
      </c>
      <c r="BE2" s="42">
        <f>"TC"&amp;"_"&amp;RIGHT(BC2,5)</f>
        <v/>
      </c>
      <c r="BF2" s="49" t="n"/>
      <c r="BG2" s="52">
        <f>Tab_Process_TCs2527[[#This Row],[TC O_6_'[%']]]+Tab_Process_TCs2527[[#This Row],[TC O_5_'[%']]]+Tab_Process_TCs2527[[#This Row],[TC_O_4_'[%']]]+Tab_Process_TCs2527[[#This Row],[TC_O_3_'[%']]]+Tab_Process_TCs2527[[#This Row],[TC_O_2_'[%']]]+Tab_Process_TCs2527[[#This Row],[TC_O_1_'[%']]]</f>
        <v/>
      </c>
      <c r="BH2" s="273" t="n"/>
      <c r="BI2" s="273" t="n"/>
      <c r="BJ2" s="273" t="n"/>
      <c r="BK2" s="273" t="n"/>
      <c r="BL2" s="273" t="n"/>
    </row>
    <row r="3">
      <c r="A3" s="280" t="b">
        <v>0</v>
      </c>
      <c r="B3" s="272">
        <f>ROW()-1</f>
        <v/>
      </c>
      <c r="C3" s="286">
        <f>_xlfn.XLOOKUP($D3,Tab_Process_TCs[Name(EN)],Tab_Process_TCs[Process_ID],,0,)</f>
        <v/>
      </c>
      <c r="D3" s="189" t="inlineStr">
        <is>
          <t>Straw C&amp;D</t>
        </is>
      </c>
      <c r="E3" s="189" t="inlineStr">
        <is>
          <t>Straw_incorperation</t>
        </is>
      </c>
      <c r="F3" s="286">
        <f>_xlfn.XLOOKUP($D3,Tab_Process_TCs[Name(EN)],Tab_Process_TCs[TC?],,0,)</f>
        <v/>
      </c>
      <c r="G3" s="286">
        <f>_xlfn.XLOOKUP($D3,Tab_Process_TCs[Name(EN)],Tab_Process_TCs[Dyn_TC?],,0,)</f>
        <v/>
      </c>
      <c r="H3" s="272">
        <f>_xlfn.XLOOKUP($E3,Tab_Def_Flows[Name(EN)],Tab_Def_Flows[Flow_ID],,0,1)</f>
        <v/>
      </c>
      <c r="I3" s="272">
        <f>IF(Tab_Process_TCs2527[[#This Row],[Name(EN)]]="N.A.","N.A.","TC"&amp;"_"&amp;RIGHT(H3,5))</f>
        <v/>
      </c>
      <c r="J3" s="273" t="n">
        <v>2050</v>
      </c>
      <c r="K3" s="56" t="n">
        <v>0.6</v>
      </c>
      <c r="L3" s="272" t="n"/>
      <c r="M3" s="296">
        <f>_xlfn.XLOOKUP($D3,Tab_Def_Processes[Name(EN)],Tab_Def_Processes[Input_Flow_I_1],,0,)</f>
        <v/>
      </c>
      <c r="N3" s="272">
        <f>_xlfn.XLOOKUP($D3,Tab_Def_Processes[Name(EN)],Tab_Def_Processes[Flow_ID_I_1],,0,)</f>
        <v/>
      </c>
      <c r="O3" s="33" t="n"/>
      <c r="P3" s="29">
        <f>_xlfn.XLOOKUP($D3,Tab_Def_Processes[Name(EN)],Tab_Def_Processes[Input_Flow_I_2],,0,)</f>
        <v/>
      </c>
      <c r="Q3" s="272">
        <f>_xlfn.XLOOKUP($D3,Tab_Def_Processes[Name(EN)],Tab_Def_Processes[Flow_ID_I_2],,0,)</f>
        <v/>
      </c>
      <c r="R3" s="33" t="n"/>
      <c r="S3" s="29">
        <f>_xlfn.XLOOKUP($D3,Tab_Def_Processes[Name(EN)],Tab_Def_Processes[Input_Flow_I_3],,0,)</f>
        <v/>
      </c>
      <c r="T3" s="272">
        <f>_xlfn.XLOOKUP($D3,Tab_Def_Processes[Name(EN)],Tab_Def_Processes[Flow_ID_I_3],,0,)</f>
        <v/>
      </c>
      <c r="U3" s="33" t="n"/>
      <c r="V3" s="29">
        <f>_xlfn.XLOOKUP($D3,Tab_Def_Processes[Name(EN)],Tab_Def_Processes[Input_Flow_I_4],,0,)</f>
        <v/>
      </c>
      <c r="W3" s="272">
        <f>_xlfn.XLOOKUP($D3,Tab_Def_Processes[Name(EN)],Tab_Def_Processes[Flow_ID_I_4],,0,)</f>
        <v/>
      </c>
      <c r="X3" s="33" t="n"/>
      <c r="Y3" s="29">
        <f>_xlfn.XLOOKUP($D3,Tab_Def_Processes[Name(EN)],Tab_Def_Processes[Input_Flow_I_5],,0,)</f>
        <v/>
      </c>
      <c r="Z3" s="272">
        <f>_xlfn.XLOOKUP($D3,Tab_Def_Processes[Name(EN)],Tab_Def_Processes[Flow_ID_I_5],,0,)</f>
        <v/>
      </c>
      <c r="AA3" s="33" t="n"/>
      <c r="AB3" s="32">
        <f>Tab_Process_TCs2527[[#This Row],[Flow_TC_I_1_'[%']]]+Tab_Process_TCs2527[[#This Row],[Flow_TC_I_2_'[%']]]+Tab_Process_TCs2527[[#This Row],[Flow_TC_I_3_'[%']]]+Tab_Process_TCs2527[[#This Row],[Flow_TC_I_4_'[%']]]+Tab_Process_TCs2527[[#This Row],[Flow_TC_I_5_'[%']]]</f>
        <v/>
      </c>
      <c r="AC3" s="296">
        <f>_xlfn.XLOOKUP($D3,#REF!,#REF!,,0,)</f>
        <v/>
      </c>
      <c r="AD3" s="272">
        <f>_xlfn.XLOOKUP($D3,#REF!,#REF!,,0,)</f>
        <v/>
      </c>
      <c r="AE3" s="42">
        <f>Tab_Process_TCs2527[[#This Row],[Flow_ID]]</f>
        <v/>
      </c>
      <c r="AF3" s="272">
        <f>"TC"&amp;"_"&amp;RIGHT(AD3,5)</f>
        <v/>
      </c>
      <c r="AG3" s="49" t="n">
        <v>0.2</v>
      </c>
      <c r="AH3" s="296">
        <f>_xlfn.XLOOKUP($D3,#REF!,#REF!,,0,)</f>
        <v/>
      </c>
      <c r="AI3" s="272">
        <f>_xlfn.XLOOKUP($D3,#REF!,#REF!,,0,)</f>
        <v/>
      </c>
      <c r="AJ3" s="42">
        <f>Tab_Process_TCs2527[[#This Row],[Flow_ID]]</f>
        <v/>
      </c>
      <c r="AK3" s="272">
        <f>"TC"&amp;"_"&amp;RIGHT(AI3,5)</f>
        <v/>
      </c>
      <c r="AL3" s="176" t="n">
        <v>0.8</v>
      </c>
      <c r="AM3" s="296">
        <f>_xlfn.XLOOKUP($D3,#REF!,#REF!,,0,)</f>
        <v/>
      </c>
      <c r="AN3" s="272">
        <f>_xlfn.XLOOKUP($D3,#REF!,#REF!,,0,)</f>
        <v/>
      </c>
      <c r="AO3" s="42">
        <f>Tab_Process_TCs2527[[#This Row],[Flow_ID]]</f>
        <v/>
      </c>
      <c r="AP3" s="272">
        <f>"TC"&amp;"_"&amp;RIGHT(AN3,5)</f>
        <v/>
      </c>
      <c r="AQ3" s="168" t="n"/>
      <c r="AR3" s="296">
        <f>_xlfn.XLOOKUP($D3,#REF!,#REF!,,0,)</f>
        <v/>
      </c>
      <c r="AS3" s="272">
        <f>_xlfn.XLOOKUP($D3,#REF!,#REF!,,0,)</f>
        <v/>
      </c>
      <c r="AT3" s="42">
        <f>Tab_Process_TCs2527[[#This Row],[Flow_ID]]</f>
        <v/>
      </c>
      <c r="AU3" s="42">
        <f>"TC"&amp;"_"&amp;RIGHT(AN3,5)</f>
        <v/>
      </c>
      <c r="AV3" s="168" t="n"/>
      <c r="AW3" s="296">
        <f>_xlfn.XLOOKUP($D3,#REF!,#REF!,,0,)</f>
        <v/>
      </c>
      <c r="AX3" s="272">
        <f>_xlfn.XLOOKUP($D3,#REF!,#REF!,,0,)</f>
        <v/>
      </c>
      <c r="AY3" s="42">
        <f>Tab_Process_TCs2527[[#This Row],[Flow_ID]]</f>
        <v/>
      </c>
      <c r="AZ3" s="42">
        <f>"TC"&amp;"_"&amp;RIGHT(AX3,5)</f>
        <v/>
      </c>
      <c r="BA3" s="168" t="n"/>
      <c r="BB3" s="272">
        <f>_xlfn.XLOOKUP($D3,#REF!,#REF!,,0,)</f>
        <v/>
      </c>
      <c r="BC3" s="272">
        <f>_xlfn.XLOOKUP($D3,#REF!,#REF!,,0,)</f>
        <v/>
      </c>
      <c r="BD3" s="42">
        <f>Tab_Process_TCs2527[[#This Row],[Flow_ID]]</f>
        <v/>
      </c>
      <c r="BE3" s="42">
        <f>"TC"&amp;"_"&amp;RIGHT(BC3,5)</f>
        <v/>
      </c>
      <c r="BF3" s="49" t="n"/>
      <c r="BG3" s="52">
        <f>Tab_Process_TCs2527[[#This Row],[TC O_6_'[%']]]+Tab_Process_TCs2527[[#This Row],[TC O_5_'[%']]]+Tab_Process_TCs2527[[#This Row],[TC_O_4_'[%']]]+Tab_Process_TCs2527[[#This Row],[TC_O_3_'[%']]]+Tab_Process_TCs2527[[#This Row],[TC_O_2_'[%']]]+Tab_Process_TCs2527[[#This Row],[TC_O_1_'[%']]]</f>
        <v/>
      </c>
      <c r="BH3" s="273" t="n"/>
      <c r="BI3" s="273" t="n"/>
      <c r="BJ3" s="273" t="n"/>
      <c r="BK3" s="273" t="n"/>
      <c r="BL3" s="273" t="n"/>
    </row>
    <row r="4">
      <c r="A4" s="280" t="b">
        <v>0</v>
      </c>
      <c r="B4" s="272">
        <f>ROW()-1</f>
        <v/>
      </c>
      <c r="C4" s="286">
        <f>_xlfn.XLOOKUP($D4,Tab_Process_TCs[Name(EN)],Tab_Process_TCs[Process_ID],,0,)</f>
        <v/>
      </c>
      <c r="D4" s="189" t="inlineStr">
        <is>
          <t>Straw C&amp;D</t>
        </is>
      </c>
      <c r="E4" s="189" t="inlineStr">
        <is>
          <t>Straw_animal_bedding</t>
        </is>
      </c>
      <c r="F4" s="286">
        <f>_xlfn.XLOOKUP($D4,Tab_Process_TCs[Name(EN)],Tab_Process_TCs[TC?],,0,)</f>
        <v/>
      </c>
      <c r="G4" s="286">
        <f>_xlfn.XLOOKUP($D4,Tab_Process_TCs[Name(EN)],Tab_Process_TCs[Dyn_TC?],,0,)</f>
        <v/>
      </c>
      <c r="H4" s="272">
        <f>_xlfn.XLOOKUP($E4,Tab_Def_Flows[Name(EN)],Tab_Def_Flows[Flow_ID],,0,1)</f>
        <v/>
      </c>
      <c r="I4" s="272">
        <f>IF(Tab_Process_TCs2527[[#This Row],[Name(EN)]]="N.A.","N.A.","TC"&amp;"_"&amp;RIGHT(H4,5))</f>
        <v/>
      </c>
      <c r="J4" s="273" t="n">
        <v>2025</v>
      </c>
      <c r="K4" s="56" t="n">
        <v>0.3</v>
      </c>
      <c r="L4" s="272" t="n"/>
      <c r="M4" s="296">
        <f>_xlfn.XLOOKUP($D4,Tab_Def_Processes[Name(EN)],Tab_Def_Processes[Input_Flow_I_1],,0,)</f>
        <v/>
      </c>
      <c r="N4" s="272">
        <f>_xlfn.XLOOKUP($D4,Tab_Def_Processes[Name(EN)],Tab_Def_Processes[Flow_ID_I_1],,0,)</f>
        <v/>
      </c>
      <c r="O4" s="33" t="n"/>
      <c r="P4" s="29">
        <f>_xlfn.XLOOKUP($D4,Tab_Def_Processes[Name(EN)],Tab_Def_Processes[Input_Flow_I_2],,0,)</f>
        <v/>
      </c>
      <c r="Q4" s="272">
        <f>_xlfn.XLOOKUP($D4,Tab_Def_Processes[Name(EN)],Tab_Def_Processes[Flow_ID_I_2],,0,)</f>
        <v/>
      </c>
      <c r="R4" s="33" t="n"/>
      <c r="S4" s="29">
        <f>_xlfn.XLOOKUP($D4,Tab_Def_Processes[Name(EN)],Tab_Def_Processes[Input_Flow_I_3],,0,)</f>
        <v/>
      </c>
      <c r="T4" s="272">
        <f>_xlfn.XLOOKUP($D4,Tab_Def_Processes[Name(EN)],Tab_Def_Processes[Flow_ID_I_3],,0,)</f>
        <v/>
      </c>
      <c r="U4" s="33" t="n"/>
      <c r="V4" s="29">
        <f>_xlfn.XLOOKUP($D4,Tab_Def_Processes[Name(EN)],Tab_Def_Processes[Input_Flow_I_4],,0,)</f>
        <v/>
      </c>
      <c r="W4" s="272">
        <f>_xlfn.XLOOKUP($D4,Tab_Def_Processes[Name(EN)],Tab_Def_Processes[Flow_ID_I_4],,0,)</f>
        <v/>
      </c>
      <c r="X4" s="33" t="n"/>
      <c r="Y4" s="29">
        <f>_xlfn.XLOOKUP($D4,Tab_Def_Processes[Name(EN)],Tab_Def_Processes[Input_Flow_I_5],,0,)</f>
        <v/>
      </c>
      <c r="Z4" s="272">
        <f>_xlfn.XLOOKUP($D4,Tab_Def_Processes[Name(EN)],Tab_Def_Processes[Flow_ID_I_5],,0,)</f>
        <v/>
      </c>
      <c r="AA4" s="33" t="n"/>
      <c r="AB4" s="32">
        <f>Tab_Process_TCs2527[[#This Row],[Flow_TC_I_1_'[%']]]+Tab_Process_TCs2527[[#This Row],[Flow_TC_I_2_'[%']]]+Tab_Process_TCs2527[[#This Row],[Flow_TC_I_3_'[%']]]+Tab_Process_TCs2527[[#This Row],[Flow_TC_I_4_'[%']]]+Tab_Process_TCs2527[[#This Row],[Flow_TC_I_5_'[%']]]</f>
        <v/>
      </c>
      <c r="AC4" s="296">
        <f>_xlfn.XLOOKUP($D4,#REF!,#REF!,,0,)</f>
        <v/>
      </c>
      <c r="AD4" s="272">
        <f>_xlfn.XLOOKUP($D4,#REF!,#REF!,,0,)</f>
        <v/>
      </c>
      <c r="AE4" s="42">
        <f>Tab_Process_TCs2527[[#This Row],[Flow_ID]]</f>
        <v/>
      </c>
      <c r="AF4" s="272">
        <f>"TC"&amp;"_"&amp;RIGHT(AD4,5)</f>
        <v/>
      </c>
      <c r="AG4" s="49" t="n">
        <v>0.2</v>
      </c>
      <c r="AH4" s="296">
        <f>_xlfn.XLOOKUP($D4,#REF!,#REF!,,0,)</f>
        <v/>
      </c>
      <c r="AI4" s="272">
        <f>_xlfn.XLOOKUP($D4,#REF!,#REF!,,0,)</f>
        <v/>
      </c>
      <c r="AJ4" s="42">
        <f>Tab_Process_TCs2527[[#This Row],[Flow_ID]]</f>
        <v/>
      </c>
      <c r="AK4" s="272">
        <f>"TC"&amp;"_"&amp;RIGHT(AI4,5)</f>
        <v/>
      </c>
      <c r="AL4" s="176" t="n">
        <v>0.8</v>
      </c>
      <c r="AM4" s="296">
        <f>_xlfn.XLOOKUP($D4,#REF!,#REF!,,0,)</f>
        <v/>
      </c>
      <c r="AN4" s="272">
        <f>_xlfn.XLOOKUP($D4,#REF!,#REF!,,0,)</f>
        <v/>
      </c>
      <c r="AO4" s="42">
        <f>Tab_Process_TCs2527[[#This Row],[Flow_ID]]</f>
        <v/>
      </c>
      <c r="AP4" s="272">
        <f>"TC"&amp;"_"&amp;RIGHT(AN4,5)</f>
        <v/>
      </c>
      <c r="AQ4" s="168" t="n"/>
      <c r="AR4" s="296">
        <f>_xlfn.XLOOKUP($D4,#REF!,#REF!,,0,)</f>
        <v/>
      </c>
      <c r="AS4" s="272">
        <f>_xlfn.XLOOKUP($D4,#REF!,#REF!,,0,)</f>
        <v/>
      </c>
      <c r="AT4" s="42">
        <f>Tab_Process_TCs2527[[#This Row],[Flow_ID]]</f>
        <v/>
      </c>
      <c r="AU4" s="42">
        <f>"TC"&amp;"_"&amp;RIGHT(AN4,5)</f>
        <v/>
      </c>
      <c r="AV4" s="168" t="n"/>
      <c r="AW4" s="296">
        <f>_xlfn.XLOOKUP($D4,#REF!,#REF!,,0,)</f>
        <v/>
      </c>
      <c r="AX4" s="272">
        <f>_xlfn.XLOOKUP($D4,#REF!,#REF!,,0,)</f>
        <v/>
      </c>
      <c r="AY4" s="42">
        <f>Tab_Process_TCs2527[[#This Row],[Flow_ID]]</f>
        <v/>
      </c>
      <c r="AZ4" s="42">
        <f>"TC"&amp;"_"&amp;RIGHT(AX4,5)</f>
        <v/>
      </c>
      <c r="BA4" s="168" t="n"/>
      <c r="BB4" s="272">
        <f>_xlfn.XLOOKUP($D4,#REF!,#REF!,,0,)</f>
        <v/>
      </c>
      <c r="BC4" s="272">
        <f>_xlfn.XLOOKUP($D4,#REF!,#REF!,,0,)</f>
        <v/>
      </c>
      <c r="BD4" s="42">
        <f>Tab_Process_TCs2527[[#This Row],[Flow_ID]]</f>
        <v/>
      </c>
      <c r="BE4" s="42">
        <f>"TC"&amp;"_"&amp;RIGHT(BC4,5)</f>
        <v/>
      </c>
      <c r="BF4" s="49" t="n"/>
      <c r="BG4" s="52">
        <f>Tab_Process_TCs2527[[#This Row],[TC O_6_'[%']]]+Tab_Process_TCs2527[[#This Row],[TC O_5_'[%']]]+Tab_Process_TCs2527[[#This Row],[TC_O_4_'[%']]]+Tab_Process_TCs2527[[#This Row],[TC_O_3_'[%']]]+Tab_Process_TCs2527[[#This Row],[TC_O_2_'[%']]]+Tab_Process_TCs2527[[#This Row],[TC_O_1_'[%']]]</f>
        <v/>
      </c>
      <c r="BH4" s="273" t="n"/>
      <c r="BI4" s="273" t="n"/>
      <c r="BJ4" s="273" t="n"/>
      <c r="BK4" s="273" t="n"/>
      <c r="BL4" s="273" t="n"/>
    </row>
    <row r="5">
      <c r="A5" s="280" t="b">
        <v>0</v>
      </c>
      <c r="B5" s="272">
        <f>ROW()-1</f>
        <v/>
      </c>
      <c r="C5" s="286">
        <f>_xlfn.XLOOKUP($D5,Tab_Process_TCs[Name(EN)],Tab_Process_TCs[Process_ID],,0,)</f>
        <v/>
      </c>
      <c r="D5" s="189" t="inlineStr">
        <is>
          <t>Straw C&amp;D</t>
        </is>
      </c>
      <c r="E5" s="189" t="inlineStr">
        <is>
          <t>Straw_animal_bedding</t>
        </is>
      </c>
      <c r="F5" s="286">
        <f>_xlfn.XLOOKUP($D5,Tab_Process_TCs[Name(EN)],Tab_Process_TCs[TC?],,0,)</f>
        <v/>
      </c>
      <c r="G5" s="286">
        <f>_xlfn.XLOOKUP($D5,Tab_Process_TCs[Name(EN)],Tab_Process_TCs[Dyn_TC?],,0,)</f>
        <v/>
      </c>
      <c r="H5" s="272">
        <f>_xlfn.XLOOKUP($E5,Tab_Def_Flows[Name(EN)],Tab_Def_Flows[Flow_ID],,0,1)</f>
        <v/>
      </c>
      <c r="I5" s="272">
        <f>IF(Tab_Process_TCs2527[[#This Row],[Name(EN)]]="N.A.","N.A.","TC"&amp;"_"&amp;RIGHT(H5,5))</f>
        <v/>
      </c>
      <c r="J5" s="273" t="n">
        <v>2050</v>
      </c>
      <c r="K5" s="56" t="n">
        <v>0.2</v>
      </c>
      <c r="L5" s="272" t="n"/>
      <c r="M5" s="296">
        <f>_xlfn.XLOOKUP($D5,Tab_Def_Processes[Name(EN)],Tab_Def_Processes[Input_Flow_I_1],,0,)</f>
        <v/>
      </c>
      <c r="N5" s="272">
        <f>_xlfn.XLOOKUP($D5,Tab_Def_Processes[Name(EN)],Tab_Def_Processes[Flow_ID_I_1],,0,)</f>
        <v/>
      </c>
      <c r="O5" s="33" t="n"/>
      <c r="P5" s="29">
        <f>_xlfn.XLOOKUP($D5,Tab_Def_Processes[Name(EN)],Tab_Def_Processes[Input_Flow_I_2],,0,)</f>
        <v/>
      </c>
      <c r="Q5" s="272">
        <f>_xlfn.XLOOKUP($D5,Tab_Def_Processes[Name(EN)],Tab_Def_Processes[Flow_ID_I_2],,0,)</f>
        <v/>
      </c>
      <c r="R5" s="33" t="n"/>
      <c r="S5" s="29">
        <f>_xlfn.XLOOKUP($D5,Tab_Def_Processes[Name(EN)],Tab_Def_Processes[Input_Flow_I_3],,0,)</f>
        <v/>
      </c>
      <c r="T5" s="272">
        <f>_xlfn.XLOOKUP($D5,Tab_Def_Processes[Name(EN)],Tab_Def_Processes[Flow_ID_I_3],,0,)</f>
        <v/>
      </c>
      <c r="U5" s="33" t="n"/>
      <c r="V5" s="29">
        <f>_xlfn.XLOOKUP($D5,Tab_Def_Processes[Name(EN)],Tab_Def_Processes[Input_Flow_I_4],,0,)</f>
        <v/>
      </c>
      <c r="W5" s="272">
        <f>_xlfn.XLOOKUP($D5,Tab_Def_Processes[Name(EN)],Tab_Def_Processes[Flow_ID_I_4],,0,)</f>
        <v/>
      </c>
      <c r="X5" s="33" t="n"/>
      <c r="Y5" s="29">
        <f>_xlfn.XLOOKUP($D5,Tab_Def_Processes[Name(EN)],Tab_Def_Processes[Input_Flow_I_5],,0,)</f>
        <v/>
      </c>
      <c r="Z5" s="272">
        <f>_xlfn.XLOOKUP($D5,Tab_Def_Processes[Name(EN)],Tab_Def_Processes[Flow_ID_I_5],,0,)</f>
        <v/>
      </c>
      <c r="AA5" s="33" t="n"/>
      <c r="AB5" s="32">
        <f>Tab_Process_TCs2527[[#This Row],[Flow_TC_I_1_'[%']]]+Tab_Process_TCs2527[[#This Row],[Flow_TC_I_2_'[%']]]+Tab_Process_TCs2527[[#This Row],[Flow_TC_I_3_'[%']]]+Tab_Process_TCs2527[[#This Row],[Flow_TC_I_4_'[%']]]+Tab_Process_TCs2527[[#This Row],[Flow_TC_I_5_'[%']]]</f>
        <v/>
      </c>
      <c r="AC5" s="296">
        <f>_xlfn.XLOOKUP($D5,#REF!,#REF!,,0,)</f>
        <v/>
      </c>
      <c r="AD5" s="272">
        <f>_xlfn.XLOOKUP($D5,#REF!,#REF!,,0,)</f>
        <v/>
      </c>
      <c r="AE5" s="42">
        <f>Tab_Process_TCs2527[[#This Row],[Flow_ID]]</f>
        <v/>
      </c>
      <c r="AF5" s="272">
        <f>"TC"&amp;"_"&amp;RIGHT(AD5,5)</f>
        <v/>
      </c>
      <c r="AG5" s="49" t="n">
        <v>0.5</v>
      </c>
      <c r="AH5" s="296">
        <f>_xlfn.XLOOKUP($D5,#REF!,#REF!,,0,)</f>
        <v/>
      </c>
      <c r="AI5" s="272">
        <f>_xlfn.XLOOKUP($D5,#REF!,#REF!,,0,)</f>
        <v/>
      </c>
      <c r="AJ5" s="42">
        <f>Tab_Process_TCs2527[[#This Row],[Flow_ID]]</f>
        <v/>
      </c>
      <c r="AK5" s="272">
        <f>"TC"&amp;"_"&amp;RIGHT(AI5,5)</f>
        <v/>
      </c>
      <c r="AL5" s="176" t="n">
        <v>0.2</v>
      </c>
      <c r="AM5" s="296">
        <f>_xlfn.XLOOKUP($D5,#REF!,#REF!,,0,)</f>
        <v/>
      </c>
      <c r="AN5" s="272">
        <f>_xlfn.XLOOKUP($D5,#REF!,#REF!,,0,)</f>
        <v/>
      </c>
      <c r="AO5" s="42">
        <f>Tab_Process_TCs2527[[#This Row],[Flow_ID]]</f>
        <v/>
      </c>
      <c r="AP5" s="272">
        <f>"TC"&amp;"_"&amp;RIGHT(AN5,5)</f>
        <v/>
      </c>
      <c r="AQ5" s="168" t="n">
        <v>0.3</v>
      </c>
      <c r="AR5" s="296">
        <f>_xlfn.XLOOKUP($D5,#REF!,#REF!,,0,)</f>
        <v/>
      </c>
      <c r="AS5" s="272">
        <f>_xlfn.XLOOKUP($D5,#REF!,#REF!,,0,)</f>
        <v/>
      </c>
      <c r="AT5" s="42">
        <f>Tab_Process_TCs2527[[#This Row],[Flow_ID]]</f>
        <v/>
      </c>
      <c r="AU5" s="42">
        <f>"TC"&amp;"_"&amp;RIGHT(AN5,5)</f>
        <v/>
      </c>
      <c r="AV5" s="168" t="n"/>
      <c r="AW5" s="296">
        <f>_xlfn.XLOOKUP($D5,#REF!,#REF!,,0,)</f>
        <v/>
      </c>
      <c r="AX5" s="272">
        <f>_xlfn.XLOOKUP($D5,#REF!,#REF!,,0,)</f>
        <v/>
      </c>
      <c r="AY5" s="42">
        <f>Tab_Process_TCs2527[[#This Row],[Flow_ID]]</f>
        <v/>
      </c>
      <c r="AZ5" s="42">
        <f>"TC"&amp;"_"&amp;RIGHT(AX5,5)</f>
        <v/>
      </c>
      <c r="BA5" s="168" t="n"/>
      <c r="BB5" s="272">
        <f>_xlfn.XLOOKUP($D5,#REF!,#REF!,,0,)</f>
        <v/>
      </c>
      <c r="BC5" s="272">
        <f>_xlfn.XLOOKUP($D5,#REF!,#REF!,,0,)</f>
        <v/>
      </c>
      <c r="BD5" s="42">
        <f>Tab_Process_TCs2527[[#This Row],[Flow_ID]]</f>
        <v/>
      </c>
      <c r="BE5" s="42">
        <f>"TC"&amp;"_"&amp;RIGHT(BC5,5)</f>
        <v/>
      </c>
      <c r="BF5" s="49" t="n"/>
      <c r="BG5" s="52">
        <f>Tab_Process_TCs2527[[#This Row],[TC O_6_'[%']]]+Tab_Process_TCs2527[[#This Row],[TC O_5_'[%']]]+Tab_Process_TCs2527[[#This Row],[TC_O_4_'[%']]]+Tab_Process_TCs2527[[#This Row],[TC_O_3_'[%']]]+Tab_Process_TCs2527[[#This Row],[TC_O_2_'[%']]]+Tab_Process_TCs2527[[#This Row],[TC_O_1_'[%']]]</f>
        <v/>
      </c>
      <c r="BH5" s="273" t="n"/>
      <c r="BI5" s="273" t="n"/>
      <c r="BJ5" s="273" t="n"/>
      <c r="BK5" s="273" t="n"/>
      <c r="BL5" s="273" t="n"/>
    </row>
    <row r="6">
      <c r="A6" s="280" t="b">
        <v>0</v>
      </c>
      <c r="B6" s="272">
        <f>ROW()-1</f>
        <v/>
      </c>
      <c r="C6" s="286">
        <f>_xlfn.XLOOKUP($D6,Tab_Process_TCs[Name(EN)],Tab_Process_TCs[Process_ID],,0,)</f>
        <v/>
      </c>
      <c r="D6" s="189" t="inlineStr">
        <is>
          <t>Straw C&amp;D</t>
        </is>
      </c>
      <c r="E6" s="189" t="inlineStr">
        <is>
          <t>Straw_Compost</t>
        </is>
      </c>
      <c r="F6" s="286">
        <f>_xlfn.XLOOKUP($D6,Tab_Process_TCs[Name(EN)],Tab_Process_TCs[TC?],,0,)</f>
        <v/>
      </c>
      <c r="G6" s="286">
        <f>_xlfn.XLOOKUP($D6,Tab_Process_TCs[Name(EN)],Tab_Process_TCs[Dyn_TC?],,0,)</f>
        <v/>
      </c>
      <c r="H6" s="272">
        <f>_xlfn.XLOOKUP($E6,Tab_Def_Flows[Name(EN)],Tab_Def_Flows[Flow_ID],,0,1)</f>
        <v/>
      </c>
      <c r="I6" s="272">
        <f>IF(Tab_Process_TCs2527[[#This Row],[Name(EN)]]="N.A.","N.A.","TC"&amp;"_"&amp;RIGHT(H6,5))</f>
        <v/>
      </c>
      <c r="J6" s="273" t="n">
        <v>2025</v>
      </c>
      <c r="K6" s="56" t="n">
        <v>0.2</v>
      </c>
      <c r="L6" s="272" t="n"/>
      <c r="M6" s="296">
        <f>_xlfn.XLOOKUP($D6,Tab_Def_Processes[Name(EN)],Tab_Def_Processes[Input_Flow_I_1],,0,)</f>
        <v/>
      </c>
      <c r="N6" s="272">
        <f>_xlfn.XLOOKUP($D6,Tab_Def_Processes[Name(EN)],Tab_Def_Processes[Flow_ID_I_1],,0,)</f>
        <v/>
      </c>
      <c r="O6" s="33" t="n"/>
      <c r="P6" s="29">
        <f>_xlfn.XLOOKUP($D6,Tab_Def_Processes[Name(EN)],Tab_Def_Processes[Input_Flow_I_2],,0,)</f>
        <v/>
      </c>
      <c r="Q6" s="272">
        <f>_xlfn.XLOOKUP($D6,Tab_Def_Processes[Name(EN)],Tab_Def_Processes[Flow_ID_I_2],,0,)</f>
        <v/>
      </c>
      <c r="R6" s="33" t="n"/>
      <c r="S6" s="29">
        <f>_xlfn.XLOOKUP($D6,Tab_Def_Processes[Name(EN)],Tab_Def_Processes[Input_Flow_I_3],,0,)</f>
        <v/>
      </c>
      <c r="T6" s="272">
        <f>_xlfn.XLOOKUP($D6,Tab_Def_Processes[Name(EN)],Tab_Def_Processes[Flow_ID_I_3],,0,)</f>
        <v/>
      </c>
      <c r="U6" s="33" t="n"/>
      <c r="V6" s="29">
        <f>_xlfn.XLOOKUP($D6,Tab_Def_Processes[Name(EN)],Tab_Def_Processes[Input_Flow_I_4],,0,)</f>
        <v/>
      </c>
      <c r="W6" s="272">
        <f>_xlfn.XLOOKUP($D6,Tab_Def_Processes[Name(EN)],Tab_Def_Processes[Flow_ID_I_4],,0,)</f>
        <v/>
      </c>
      <c r="X6" s="33" t="n"/>
      <c r="Y6" s="29">
        <f>_xlfn.XLOOKUP($D6,Tab_Def_Processes[Name(EN)],Tab_Def_Processes[Input_Flow_I_5],,0,)</f>
        <v/>
      </c>
      <c r="Z6" s="272">
        <f>_xlfn.XLOOKUP($D6,Tab_Def_Processes[Name(EN)],Tab_Def_Processes[Flow_ID_I_5],,0,)</f>
        <v/>
      </c>
      <c r="AA6" s="33" t="n"/>
      <c r="AB6" s="32">
        <f>Tab_Process_TCs2527[[#This Row],[Flow_TC_I_1_'[%']]]+Tab_Process_TCs2527[[#This Row],[Flow_TC_I_2_'[%']]]+Tab_Process_TCs2527[[#This Row],[Flow_TC_I_3_'[%']]]+Tab_Process_TCs2527[[#This Row],[Flow_TC_I_4_'[%']]]+Tab_Process_TCs2527[[#This Row],[Flow_TC_I_5_'[%']]]</f>
        <v/>
      </c>
      <c r="AC6" s="296">
        <f>_xlfn.XLOOKUP($D6,#REF!,#REF!,,0,)</f>
        <v/>
      </c>
      <c r="AD6" s="272">
        <f>_xlfn.XLOOKUP($D6,#REF!,#REF!,,0,)</f>
        <v/>
      </c>
      <c r="AE6" s="42">
        <f>Tab_Process_TCs2527[[#This Row],[Flow_ID]]</f>
        <v/>
      </c>
      <c r="AF6" s="272">
        <f>"TC"&amp;"_"&amp;RIGHT(AD6,5)</f>
        <v/>
      </c>
      <c r="AG6" s="49" t="n">
        <v>0.2</v>
      </c>
      <c r="AH6" s="296">
        <f>_xlfn.XLOOKUP($D6,#REF!,#REF!,,0,)</f>
        <v/>
      </c>
      <c r="AI6" s="272">
        <f>_xlfn.XLOOKUP($D6,#REF!,#REF!,,0,)</f>
        <v/>
      </c>
      <c r="AJ6" s="42">
        <f>Tab_Process_TCs2527[[#This Row],[Flow_ID]]</f>
        <v/>
      </c>
      <c r="AK6" s="272">
        <f>"TC"&amp;"_"&amp;RIGHT(AI6,5)</f>
        <v/>
      </c>
      <c r="AL6" s="176" t="n">
        <v>0.8</v>
      </c>
      <c r="AM6" s="296">
        <f>_xlfn.XLOOKUP($D6,#REF!,#REF!,,0,)</f>
        <v/>
      </c>
      <c r="AN6" s="272">
        <f>_xlfn.XLOOKUP($D6,#REF!,#REF!,,0,)</f>
        <v/>
      </c>
      <c r="AO6" s="42">
        <f>Tab_Process_TCs2527[[#This Row],[Flow_ID]]</f>
        <v/>
      </c>
      <c r="AP6" s="272">
        <f>"TC"&amp;"_"&amp;RIGHT(AN6,5)</f>
        <v/>
      </c>
      <c r="AQ6" s="168" t="n"/>
      <c r="AR6" s="296">
        <f>_xlfn.XLOOKUP($D6,#REF!,#REF!,,0,)</f>
        <v/>
      </c>
      <c r="AS6" s="272">
        <f>_xlfn.XLOOKUP($D6,#REF!,#REF!,,0,)</f>
        <v/>
      </c>
      <c r="AT6" s="42">
        <f>Tab_Process_TCs2527[[#This Row],[Flow_ID]]</f>
        <v/>
      </c>
      <c r="AU6" s="42">
        <f>"TC"&amp;"_"&amp;RIGHT(AN6,5)</f>
        <v/>
      </c>
      <c r="AV6" s="168" t="n"/>
      <c r="AW6" s="296">
        <f>_xlfn.XLOOKUP($D6,#REF!,#REF!,,0,)</f>
        <v/>
      </c>
      <c r="AX6" s="272">
        <f>_xlfn.XLOOKUP($D6,#REF!,#REF!,,0,)</f>
        <v/>
      </c>
      <c r="AY6" s="42">
        <f>Tab_Process_TCs2527[[#This Row],[Flow_ID]]</f>
        <v/>
      </c>
      <c r="AZ6" s="42">
        <f>"TC"&amp;"_"&amp;RIGHT(AX6,5)</f>
        <v/>
      </c>
      <c r="BA6" s="168" t="n"/>
      <c r="BB6" s="272">
        <f>_xlfn.XLOOKUP($D6,#REF!,#REF!,,0,)</f>
        <v/>
      </c>
      <c r="BC6" s="272">
        <f>_xlfn.XLOOKUP($D6,#REF!,#REF!,,0,)</f>
        <v/>
      </c>
      <c r="BD6" s="42">
        <f>Tab_Process_TCs2527[[#This Row],[Flow_ID]]</f>
        <v/>
      </c>
      <c r="BE6" s="42">
        <f>"TC"&amp;"_"&amp;RIGHT(BC6,5)</f>
        <v/>
      </c>
      <c r="BF6" s="49" t="n"/>
      <c r="BG6" s="52">
        <f>Tab_Process_TCs2527[[#This Row],[TC O_6_'[%']]]+Tab_Process_TCs2527[[#This Row],[TC O_5_'[%']]]+Tab_Process_TCs2527[[#This Row],[TC_O_4_'[%']]]+Tab_Process_TCs2527[[#This Row],[TC_O_3_'[%']]]+Tab_Process_TCs2527[[#This Row],[TC_O_2_'[%']]]+Tab_Process_TCs2527[[#This Row],[TC_O_1_'[%']]]</f>
        <v/>
      </c>
      <c r="BH6" s="273" t="n"/>
      <c r="BI6" s="273" t="n"/>
      <c r="BJ6" s="273" t="n"/>
      <c r="BK6" s="273" t="n"/>
      <c r="BL6" s="273" t="n"/>
    </row>
    <row r="7">
      <c r="A7" s="280" t="b">
        <v>0</v>
      </c>
      <c r="B7" s="272">
        <f>ROW()-1</f>
        <v/>
      </c>
      <c r="C7" s="286">
        <f>_xlfn.XLOOKUP($D7,Tab_Process_TCs[Name(EN)],Tab_Process_TCs[Process_ID],,0,)</f>
        <v/>
      </c>
      <c r="D7" s="189" t="inlineStr">
        <is>
          <t>Straw C&amp;D</t>
        </is>
      </c>
      <c r="E7" s="189" t="inlineStr">
        <is>
          <t>Straw_Compost</t>
        </is>
      </c>
      <c r="F7" s="286">
        <f>_xlfn.XLOOKUP($D7,Tab_Process_TCs[Name(EN)],Tab_Process_TCs[TC?],,0,)</f>
        <v/>
      </c>
      <c r="G7" s="286">
        <f>_xlfn.XLOOKUP($D7,Tab_Process_TCs[Name(EN)],Tab_Process_TCs[Dyn_TC?],,0,)</f>
        <v/>
      </c>
      <c r="H7" s="272">
        <f>_xlfn.XLOOKUP($E7,Tab_Def_Flows[Name(EN)],Tab_Def_Flows[Flow_ID],,0,1)</f>
        <v/>
      </c>
      <c r="I7" s="272">
        <f>IF(Tab_Process_TCs2527[[#This Row],[Name(EN)]]="N.A.","N.A.","TC"&amp;"_"&amp;RIGHT(H7,5))</f>
        <v/>
      </c>
      <c r="J7" s="273" t="n">
        <v>2050</v>
      </c>
      <c r="K7" s="56" t="n">
        <v>0.2</v>
      </c>
      <c r="L7" s="272" t="n"/>
      <c r="M7" s="296">
        <f>_xlfn.XLOOKUP($D7,Tab_Def_Processes[Name(EN)],Tab_Def_Processes[Input_Flow_I_1],,0,)</f>
        <v/>
      </c>
      <c r="N7" s="272">
        <f>_xlfn.XLOOKUP($D7,Tab_Def_Processes[Name(EN)],Tab_Def_Processes[Flow_ID_I_1],,0,)</f>
        <v/>
      </c>
      <c r="O7" s="33" t="n"/>
      <c r="P7" s="29">
        <f>_xlfn.XLOOKUP($D7,Tab_Def_Processes[Name(EN)],Tab_Def_Processes[Input_Flow_I_2],,0,)</f>
        <v/>
      </c>
      <c r="Q7" s="272">
        <f>_xlfn.XLOOKUP($D7,Tab_Def_Processes[Name(EN)],Tab_Def_Processes[Flow_ID_I_2],,0,)</f>
        <v/>
      </c>
      <c r="R7" s="33" t="n"/>
      <c r="S7" s="29">
        <f>_xlfn.XLOOKUP($D7,Tab_Def_Processes[Name(EN)],Tab_Def_Processes[Input_Flow_I_3],,0,)</f>
        <v/>
      </c>
      <c r="T7" s="272">
        <f>_xlfn.XLOOKUP($D7,Tab_Def_Processes[Name(EN)],Tab_Def_Processes[Flow_ID_I_3],,0,)</f>
        <v/>
      </c>
      <c r="U7" s="33" t="n"/>
      <c r="V7" s="29">
        <f>_xlfn.XLOOKUP($D7,Tab_Def_Processes[Name(EN)],Tab_Def_Processes[Input_Flow_I_4],,0,)</f>
        <v/>
      </c>
      <c r="W7" s="272">
        <f>_xlfn.XLOOKUP($D7,Tab_Def_Processes[Name(EN)],Tab_Def_Processes[Flow_ID_I_4],,0,)</f>
        <v/>
      </c>
      <c r="X7" s="33" t="n"/>
      <c r="Y7" s="29">
        <f>_xlfn.XLOOKUP($D7,Tab_Def_Processes[Name(EN)],Tab_Def_Processes[Input_Flow_I_5],,0,)</f>
        <v/>
      </c>
      <c r="Z7" s="272">
        <f>_xlfn.XLOOKUP($D7,Tab_Def_Processes[Name(EN)],Tab_Def_Processes[Flow_ID_I_5],,0,)</f>
        <v/>
      </c>
      <c r="AA7" s="33" t="n"/>
      <c r="AB7" s="32">
        <f>Tab_Process_TCs2527[[#This Row],[Flow_TC_I_1_'[%']]]+Tab_Process_TCs2527[[#This Row],[Flow_TC_I_2_'[%']]]+Tab_Process_TCs2527[[#This Row],[Flow_TC_I_3_'[%']]]+Tab_Process_TCs2527[[#This Row],[Flow_TC_I_4_'[%']]]+Tab_Process_TCs2527[[#This Row],[Flow_TC_I_5_'[%']]]</f>
        <v/>
      </c>
      <c r="AC7" s="296">
        <f>_xlfn.XLOOKUP($D7,#REF!,#REF!,,0,)</f>
        <v/>
      </c>
      <c r="AD7" s="272">
        <f>_xlfn.XLOOKUP($D7,#REF!,#REF!,,0,)</f>
        <v/>
      </c>
      <c r="AE7" s="42">
        <f>Tab_Process_TCs2527[[#This Row],[Flow_ID]]</f>
        <v/>
      </c>
      <c r="AF7" s="272">
        <f>"TC"&amp;"_"&amp;RIGHT(AD7,5)</f>
        <v/>
      </c>
      <c r="AG7" s="49" t="n">
        <v>0.2</v>
      </c>
      <c r="AH7" s="296">
        <f>_xlfn.XLOOKUP($D7,#REF!,#REF!,,0,)</f>
        <v/>
      </c>
      <c r="AI7" s="272">
        <f>_xlfn.XLOOKUP($D7,#REF!,#REF!,,0,)</f>
        <v/>
      </c>
      <c r="AJ7" s="42">
        <f>Tab_Process_TCs2527[[#This Row],[Flow_ID]]</f>
        <v/>
      </c>
      <c r="AK7" s="272">
        <f>"TC"&amp;"_"&amp;RIGHT(AI7,5)</f>
        <v/>
      </c>
      <c r="AL7" s="176" t="n">
        <v>0.8</v>
      </c>
      <c r="AM7" s="296">
        <f>_xlfn.XLOOKUP($D7,#REF!,#REF!,,0,)</f>
        <v/>
      </c>
      <c r="AN7" s="272">
        <f>_xlfn.XLOOKUP($D7,#REF!,#REF!,,0,)</f>
        <v/>
      </c>
      <c r="AO7" s="42">
        <f>Tab_Process_TCs2527[[#This Row],[Flow_ID]]</f>
        <v/>
      </c>
      <c r="AP7" s="272">
        <f>"TC"&amp;"_"&amp;RIGHT(AN7,5)</f>
        <v/>
      </c>
      <c r="AQ7" s="168" t="n"/>
      <c r="AR7" s="296">
        <f>_xlfn.XLOOKUP($D7,#REF!,#REF!,,0,)</f>
        <v/>
      </c>
      <c r="AS7" s="272">
        <f>_xlfn.XLOOKUP($D7,#REF!,#REF!,,0,)</f>
        <v/>
      </c>
      <c r="AT7" s="42">
        <f>Tab_Process_TCs2527[[#This Row],[Flow_ID]]</f>
        <v/>
      </c>
      <c r="AU7" s="42">
        <f>"TC"&amp;"_"&amp;RIGHT(AN7,5)</f>
        <v/>
      </c>
      <c r="AV7" s="168" t="n"/>
      <c r="AW7" s="296">
        <f>_xlfn.XLOOKUP($D7,#REF!,#REF!,,0,)</f>
        <v/>
      </c>
      <c r="AX7" s="272">
        <f>_xlfn.XLOOKUP($D7,#REF!,#REF!,,0,)</f>
        <v/>
      </c>
      <c r="AY7" s="42">
        <f>Tab_Process_TCs2527[[#This Row],[Flow_ID]]</f>
        <v/>
      </c>
      <c r="AZ7" s="42">
        <f>"TC"&amp;"_"&amp;RIGHT(AX7,5)</f>
        <v/>
      </c>
      <c r="BA7" s="168" t="n"/>
      <c r="BB7" s="272">
        <f>_xlfn.XLOOKUP($D7,#REF!,#REF!,,0,)</f>
        <v/>
      </c>
      <c r="BC7" s="272">
        <f>_xlfn.XLOOKUP($D7,#REF!,#REF!,,0,)</f>
        <v/>
      </c>
      <c r="BD7" s="42">
        <f>Tab_Process_TCs2527[[#This Row],[Flow_ID]]</f>
        <v/>
      </c>
      <c r="BE7" s="42">
        <f>"TC"&amp;"_"&amp;RIGHT(BC7,5)</f>
        <v/>
      </c>
      <c r="BF7" s="49" t="n"/>
      <c r="BG7" s="52">
        <f>Tab_Process_TCs2527[[#This Row],[TC O_6_'[%']]]+Tab_Process_TCs2527[[#This Row],[TC O_5_'[%']]]+Tab_Process_TCs2527[[#This Row],[TC_O_4_'[%']]]+Tab_Process_TCs2527[[#This Row],[TC_O_3_'[%']]]+Tab_Process_TCs2527[[#This Row],[TC_O_2_'[%']]]+Tab_Process_TCs2527[[#This Row],[TC_O_1_'[%']]]</f>
        <v/>
      </c>
      <c r="BH7" s="273" t="n"/>
      <c r="BI7" s="273" t="n"/>
      <c r="BJ7" s="273" t="n"/>
      <c r="BK7" s="273" t="n"/>
      <c r="BL7" s="273" t="n"/>
    </row>
    <row r="8">
      <c r="A8" s="280" t="b">
        <v>0</v>
      </c>
      <c r="B8" s="272">
        <f>ROW()-1</f>
        <v/>
      </c>
      <c r="C8" s="286">
        <f>_xlfn.XLOOKUP($D8,Tab_Process_TCs[Name(EN)],Tab_Process_TCs[Process_ID],,0,)</f>
        <v/>
      </c>
      <c r="D8" s="189" t="inlineStr">
        <is>
          <t>N.A.</t>
        </is>
      </c>
      <c r="E8" s="189" t="inlineStr">
        <is>
          <t>N.A.</t>
        </is>
      </c>
      <c r="F8" s="286">
        <f>_xlfn.XLOOKUP($D8,Tab_Process_TCs[Name(EN)],Tab_Process_TCs[TC?],,0,)</f>
        <v/>
      </c>
      <c r="G8" s="286">
        <f>_xlfn.XLOOKUP($D8,Tab_Process_TCs[Name(EN)],Tab_Process_TCs[Dyn_TC?],,0,)</f>
        <v/>
      </c>
      <c r="H8" s="272">
        <f>_xlfn.XLOOKUP($E8,Tab_Def_Flows[Name(EN)],Tab_Def_Flows[Flow_ID],,0,1)</f>
        <v/>
      </c>
      <c r="I8" s="272">
        <f>IF(Tab_Process_TCs2527[[#This Row],[Name(EN)]]="N.A.","N.A.","TC"&amp;"_"&amp;RIGHT(H8,5))</f>
        <v/>
      </c>
      <c r="J8" s="273" t="n"/>
      <c r="K8" s="56" t="n"/>
      <c r="L8" s="272" t="n"/>
      <c r="M8" s="296">
        <f>_xlfn.XLOOKUP($D8,Tab_Def_Processes[Name(EN)],Tab_Def_Processes[Input_Flow_I_1],,0,)</f>
        <v/>
      </c>
      <c r="N8" s="272">
        <f>_xlfn.XLOOKUP($D8,Tab_Def_Processes[Name(EN)],Tab_Def_Processes[Flow_ID_I_1],,0,)</f>
        <v/>
      </c>
      <c r="O8" s="33" t="n"/>
      <c r="P8" s="29">
        <f>_xlfn.XLOOKUP($D8,Tab_Def_Processes[Name(EN)],Tab_Def_Processes[Input_Flow_I_2],,0,)</f>
        <v/>
      </c>
      <c r="Q8" s="272">
        <f>_xlfn.XLOOKUP($D8,Tab_Def_Processes[Name(EN)],Tab_Def_Processes[Flow_ID_I_2],,0,)</f>
        <v/>
      </c>
      <c r="R8" s="33" t="n"/>
      <c r="S8" s="29">
        <f>_xlfn.XLOOKUP($D8,Tab_Def_Processes[Name(EN)],Tab_Def_Processes[Input_Flow_I_3],,0,)</f>
        <v/>
      </c>
      <c r="T8" s="272">
        <f>_xlfn.XLOOKUP($D8,Tab_Def_Processes[Name(EN)],Tab_Def_Processes[Flow_ID_I_3],,0,)</f>
        <v/>
      </c>
      <c r="U8" s="33" t="n"/>
      <c r="V8" s="29">
        <f>_xlfn.XLOOKUP($D8,Tab_Def_Processes[Name(EN)],Tab_Def_Processes[Input_Flow_I_4],,0,)</f>
        <v/>
      </c>
      <c r="W8" s="272">
        <f>_xlfn.XLOOKUP($D8,Tab_Def_Processes[Name(EN)],Tab_Def_Processes[Flow_ID_I_4],,0,)</f>
        <v/>
      </c>
      <c r="X8" s="33" t="n"/>
      <c r="Y8" s="29">
        <f>_xlfn.XLOOKUP($D8,Tab_Def_Processes[Name(EN)],Tab_Def_Processes[Input_Flow_I_5],,0,)</f>
        <v/>
      </c>
      <c r="Z8" s="272">
        <f>_xlfn.XLOOKUP($D8,Tab_Def_Processes[Name(EN)],Tab_Def_Processes[Flow_ID_I_5],,0,)</f>
        <v/>
      </c>
      <c r="AA8" s="33" t="n"/>
      <c r="AB8" s="32">
        <f>Tab_Process_TCs2527[[#This Row],[Flow_TC_I_1_'[%']]]+Tab_Process_TCs2527[[#This Row],[Flow_TC_I_2_'[%']]]+Tab_Process_TCs2527[[#This Row],[Flow_TC_I_3_'[%']]]+Tab_Process_TCs2527[[#This Row],[Flow_TC_I_4_'[%']]]+Tab_Process_TCs2527[[#This Row],[Flow_TC_I_5_'[%']]]</f>
        <v/>
      </c>
      <c r="AC8" s="296">
        <f>_xlfn.XLOOKUP($D8,#REF!,#REF!,,0,)</f>
        <v/>
      </c>
      <c r="AD8" s="272">
        <f>_xlfn.XLOOKUP($D8,#REF!,#REF!,,0,)</f>
        <v/>
      </c>
      <c r="AE8" s="42">
        <f>Tab_Process_TCs2527[[#This Row],[Flow_ID]]</f>
        <v/>
      </c>
      <c r="AF8" s="272">
        <f>"TC"&amp;"_"&amp;RIGHT(AD8,5)</f>
        <v/>
      </c>
      <c r="AG8" s="49" t="n">
        <v>0.2</v>
      </c>
      <c r="AH8" s="296">
        <f>_xlfn.XLOOKUP($D8,#REF!,#REF!,,0,)</f>
        <v/>
      </c>
      <c r="AI8" s="272">
        <f>_xlfn.XLOOKUP($D8,#REF!,#REF!,,0,)</f>
        <v/>
      </c>
      <c r="AJ8" s="42">
        <f>Tab_Process_TCs2527[[#This Row],[Flow_ID]]</f>
        <v/>
      </c>
      <c r="AK8" s="272">
        <f>"TC"&amp;"_"&amp;RIGHT(AI8,5)</f>
        <v/>
      </c>
      <c r="AL8" s="176" t="n">
        <v>0.8</v>
      </c>
      <c r="AM8" s="296">
        <f>_xlfn.XLOOKUP($D8,#REF!,#REF!,,0,)</f>
        <v/>
      </c>
      <c r="AN8" s="272">
        <f>_xlfn.XLOOKUP($D8,#REF!,#REF!,,0,)</f>
        <v/>
      </c>
      <c r="AO8" s="42">
        <f>Tab_Process_TCs2527[[#This Row],[Flow_ID]]</f>
        <v/>
      </c>
      <c r="AP8" s="272">
        <f>"TC"&amp;"_"&amp;RIGHT(AN8,5)</f>
        <v/>
      </c>
      <c r="AQ8" s="168" t="n"/>
      <c r="AR8" s="296">
        <f>_xlfn.XLOOKUP($D8,#REF!,#REF!,,0,)</f>
        <v/>
      </c>
      <c r="AS8" s="272">
        <f>_xlfn.XLOOKUP($D8,#REF!,#REF!,,0,)</f>
        <v/>
      </c>
      <c r="AT8" s="42">
        <f>Tab_Process_TCs2527[[#This Row],[Flow_ID]]</f>
        <v/>
      </c>
      <c r="AU8" s="42">
        <f>"TC"&amp;"_"&amp;RIGHT(AN8,5)</f>
        <v/>
      </c>
      <c r="AV8" s="168" t="n"/>
      <c r="AW8" s="296">
        <f>_xlfn.XLOOKUP($D8,#REF!,#REF!,,0,)</f>
        <v/>
      </c>
      <c r="AX8" s="272">
        <f>_xlfn.XLOOKUP($D8,#REF!,#REF!,,0,)</f>
        <v/>
      </c>
      <c r="AY8" s="42">
        <f>Tab_Process_TCs2527[[#This Row],[Flow_ID]]</f>
        <v/>
      </c>
      <c r="AZ8" s="42">
        <f>"TC"&amp;"_"&amp;RIGHT(AX8,5)</f>
        <v/>
      </c>
      <c r="BA8" s="168" t="n"/>
      <c r="BB8" s="272">
        <f>_xlfn.XLOOKUP($D8,#REF!,#REF!,,0,)</f>
        <v/>
      </c>
      <c r="BC8" s="272">
        <f>_xlfn.XLOOKUP($D8,#REF!,#REF!,,0,)</f>
        <v/>
      </c>
      <c r="BD8" s="42">
        <f>Tab_Process_TCs2527[[#This Row],[Flow_ID]]</f>
        <v/>
      </c>
      <c r="BE8" s="42">
        <f>"TC"&amp;"_"&amp;RIGHT(BC8,5)</f>
        <v/>
      </c>
      <c r="BF8" s="49" t="n"/>
      <c r="BG8" s="52">
        <f>Tab_Process_TCs2527[[#This Row],[TC O_6_'[%']]]+Tab_Process_TCs2527[[#This Row],[TC O_5_'[%']]]+Tab_Process_TCs2527[[#This Row],[TC_O_4_'[%']]]+Tab_Process_TCs2527[[#This Row],[TC_O_3_'[%']]]+Tab_Process_TCs2527[[#This Row],[TC_O_2_'[%']]]+Tab_Process_TCs2527[[#This Row],[TC_O_1_'[%']]]</f>
        <v/>
      </c>
      <c r="BH8" s="273" t="n"/>
      <c r="BI8" s="273" t="n"/>
      <c r="BJ8" s="273" t="n"/>
      <c r="BK8" s="273" t="n"/>
      <c r="BL8" s="273" t="n"/>
    </row>
    <row r="9">
      <c r="A9" s="280" t="b">
        <v>0</v>
      </c>
      <c r="B9" s="272">
        <f>ROW()-1</f>
        <v/>
      </c>
      <c r="C9" s="286">
        <f>_xlfn.XLOOKUP($D9,Tab_Process_TCs[Name(EN)],Tab_Process_TCs[Process_ID],,0,)</f>
        <v/>
      </c>
      <c r="D9" s="189" t="inlineStr">
        <is>
          <t>N.A.</t>
        </is>
      </c>
      <c r="E9" s="189" t="inlineStr">
        <is>
          <t>N.A.</t>
        </is>
      </c>
      <c r="F9" s="286">
        <f>_xlfn.XLOOKUP($D9,Tab_Process_TCs[Name(EN)],Tab_Process_TCs[TC?],,0,)</f>
        <v/>
      </c>
      <c r="G9" s="286">
        <f>_xlfn.XLOOKUP($D9,Tab_Process_TCs[Name(EN)],Tab_Process_TCs[Dyn_TC?],,0,)</f>
        <v/>
      </c>
      <c r="H9" s="272">
        <f>_xlfn.XLOOKUP($E9,Tab_Def_Flows[Name(EN)],Tab_Def_Flows[Flow_ID],,0,1)</f>
        <v/>
      </c>
      <c r="I9" s="272">
        <f>IF(Tab_Process_TCs2527[[#This Row],[Name(EN)]]="N.A.","N.A.","TC"&amp;"_"&amp;RIGHT(H9,5))</f>
        <v/>
      </c>
      <c r="J9" s="273" t="n"/>
      <c r="K9" s="183" t="n"/>
      <c r="L9" s="272" t="n"/>
      <c r="M9" s="296">
        <f>_xlfn.XLOOKUP($D9,Tab_Def_Processes[Name(EN)],Tab_Def_Processes[Input_Flow_I_1],,0,)</f>
        <v/>
      </c>
      <c r="N9" s="272">
        <f>_xlfn.XLOOKUP($D9,Tab_Def_Processes[Name(EN)],Tab_Def_Processes[Flow_ID_I_1],,0,)</f>
        <v/>
      </c>
      <c r="O9" s="33" t="n"/>
      <c r="P9" s="29">
        <f>_xlfn.XLOOKUP($D9,Tab_Def_Processes[Name(EN)],Tab_Def_Processes[Input_Flow_I_2],,0,)</f>
        <v/>
      </c>
      <c r="Q9" s="272">
        <f>_xlfn.XLOOKUP($D9,Tab_Def_Processes[Name(EN)],Tab_Def_Processes[Flow_ID_I_2],,0,)</f>
        <v/>
      </c>
      <c r="R9" s="33" t="n"/>
      <c r="S9" s="29">
        <f>_xlfn.XLOOKUP($D9,Tab_Def_Processes[Name(EN)],Tab_Def_Processes[Input_Flow_I_3],,0,)</f>
        <v/>
      </c>
      <c r="T9" s="272">
        <f>_xlfn.XLOOKUP($D9,Tab_Def_Processes[Name(EN)],Tab_Def_Processes[Flow_ID_I_3],,0,)</f>
        <v/>
      </c>
      <c r="U9" s="33" t="n"/>
      <c r="V9" s="29">
        <f>_xlfn.XLOOKUP($D9,Tab_Def_Processes[Name(EN)],Tab_Def_Processes[Input_Flow_I_4],,0,)</f>
        <v/>
      </c>
      <c r="W9" s="272">
        <f>_xlfn.XLOOKUP($D9,Tab_Def_Processes[Name(EN)],Tab_Def_Processes[Flow_ID_I_4],,0,)</f>
        <v/>
      </c>
      <c r="X9" s="33" t="n"/>
      <c r="Y9" s="29">
        <f>_xlfn.XLOOKUP($D9,Tab_Def_Processes[Name(EN)],Tab_Def_Processes[Input_Flow_I_5],,0,)</f>
        <v/>
      </c>
      <c r="Z9" s="272">
        <f>_xlfn.XLOOKUP($D9,Tab_Def_Processes[Name(EN)],Tab_Def_Processes[Flow_ID_I_5],,0,)</f>
        <v/>
      </c>
      <c r="AA9" s="33" t="n"/>
      <c r="AB9" s="32">
        <f>Tab_Process_TCs2527[[#This Row],[Flow_TC_I_1_'[%']]]+Tab_Process_TCs2527[[#This Row],[Flow_TC_I_2_'[%']]]+Tab_Process_TCs2527[[#This Row],[Flow_TC_I_3_'[%']]]+Tab_Process_TCs2527[[#This Row],[Flow_TC_I_4_'[%']]]+Tab_Process_TCs2527[[#This Row],[Flow_TC_I_5_'[%']]]</f>
        <v/>
      </c>
      <c r="AC9" s="296">
        <f>_xlfn.XLOOKUP($D9,#REF!,#REF!,,0,)</f>
        <v/>
      </c>
      <c r="AD9" s="272">
        <f>_xlfn.XLOOKUP($D9,#REF!,#REF!,,0,)</f>
        <v/>
      </c>
      <c r="AE9" s="42">
        <f>Tab_Process_TCs2527[[#This Row],[Flow_ID]]</f>
        <v/>
      </c>
      <c r="AF9" s="272">
        <f>"TC"&amp;"_"&amp;RIGHT(AD9,5)</f>
        <v/>
      </c>
      <c r="AG9" s="49" t="n">
        <v>0.5</v>
      </c>
      <c r="AH9" s="296">
        <f>_xlfn.XLOOKUP($D9,#REF!,#REF!,,0,)</f>
        <v/>
      </c>
      <c r="AI9" s="272">
        <f>_xlfn.XLOOKUP($D9,#REF!,#REF!,,0,)</f>
        <v/>
      </c>
      <c r="AJ9" s="42">
        <f>Tab_Process_TCs2527[[#This Row],[Flow_ID]]</f>
        <v/>
      </c>
      <c r="AK9" s="272">
        <f>"TC"&amp;"_"&amp;RIGHT(AI9,5)</f>
        <v/>
      </c>
      <c r="AL9" s="176" t="n">
        <v>0.2</v>
      </c>
      <c r="AM9" s="296">
        <f>_xlfn.XLOOKUP($D9,#REF!,#REF!,,0,)</f>
        <v/>
      </c>
      <c r="AN9" s="272">
        <f>_xlfn.XLOOKUP($D9,#REF!,#REF!,,0,)</f>
        <v/>
      </c>
      <c r="AO9" s="42">
        <f>Tab_Process_TCs2527[[#This Row],[Flow_ID]]</f>
        <v/>
      </c>
      <c r="AP9" s="272">
        <f>"TC"&amp;"_"&amp;RIGHT(AN9,5)</f>
        <v/>
      </c>
      <c r="AQ9" s="168" t="n">
        <v>0.3</v>
      </c>
      <c r="AR9" s="296">
        <f>_xlfn.XLOOKUP($D9,#REF!,#REF!,,0,)</f>
        <v/>
      </c>
      <c r="AS9" s="272">
        <f>_xlfn.XLOOKUP($D9,#REF!,#REF!,,0,)</f>
        <v/>
      </c>
      <c r="AT9" s="42">
        <f>Tab_Process_TCs2527[[#This Row],[Flow_ID]]</f>
        <v/>
      </c>
      <c r="AU9" s="42">
        <f>"TC"&amp;"_"&amp;RIGHT(AN9,5)</f>
        <v/>
      </c>
      <c r="AV9" s="168" t="n"/>
      <c r="AW9" s="296">
        <f>_xlfn.XLOOKUP($D9,#REF!,#REF!,,0,)</f>
        <v/>
      </c>
      <c r="AX9" s="272">
        <f>_xlfn.XLOOKUP($D9,#REF!,#REF!,,0,)</f>
        <v/>
      </c>
      <c r="AY9" s="42">
        <f>Tab_Process_TCs2527[[#This Row],[Flow_ID]]</f>
        <v/>
      </c>
      <c r="AZ9" s="42">
        <f>"TC"&amp;"_"&amp;RIGHT(AX9,5)</f>
        <v/>
      </c>
      <c r="BA9" s="168" t="n"/>
      <c r="BB9" s="272">
        <f>_xlfn.XLOOKUP($D9,#REF!,#REF!,,0,)</f>
        <v/>
      </c>
      <c r="BC9" s="272">
        <f>_xlfn.XLOOKUP($D9,#REF!,#REF!,,0,)</f>
        <v/>
      </c>
      <c r="BD9" s="42">
        <f>Tab_Process_TCs2527[[#This Row],[Flow_ID]]</f>
        <v/>
      </c>
      <c r="BE9" s="42">
        <f>"TC"&amp;"_"&amp;RIGHT(BC9,5)</f>
        <v/>
      </c>
      <c r="BF9" s="49" t="n"/>
      <c r="BG9" s="52">
        <f>Tab_Process_TCs2527[[#This Row],[TC O_6_'[%']]]+Tab_Process_TCs2527[[#This Row],[TC O_5_'[%']]]+Tab_Process_TCs2527[[#This Row],[TC_O_4_'[%']]]+Tab_Process_TCs2527[[#This Row],[TC_O_3_'[%']]]+Tab_Process_TCs2527[[#This Row],[TC_O_2_'[%']]]+Tab_Process_TCs2527[[#This Row],[TC_O_1_'[%']]]</f>
        <v/>
      </c>
      <c r="BH9" s="273" t="n"/>
      <c r="BI9" s="273" t="n"/>
      <c r="BJ9" s="273" t="n"/>
      <c r="BK9" s="273" t="n"/>
      <c r="BL9" s="273" t="n"/>
    </row>
    <row r="10">
      <c r="A10" s="280" t="b">
        <v>0</v>
      </c>
      <c r="B10" s="272">
        <f>ROW()-1</f>
        <v/>
      </c>
      <c r="C10" s="286">
        <f>_xlfn.XLOOKUP($D10,Tab_Process_TCs[Name(EN)],Tab_Process_TCs[Process_ID],,0,)</f>
        <v/>
      </c>
      <c r="D10" s="189" t="inlineStr">
        <is>
          <t>N.A.</t>
        </is>
      </c>
      <c r="E10" s="189" t="inlineStr">
        <is>
          <t>N.A.</t>
        </is>
      </c>
      <c r="F10" s="286">
        <f>_xlfn.XLOOKUP($D10,Tab_Process_TCs[Name(EN)],Tab_Process_TCs[TC?],,0,)</f>
        <v/>
      </c>
      <c r="G10" s="286">
        <f>_xlfn.XLOOKUP($D10,Tab_Process_TCs[Name(EN)],Tab_Process_TCs[Dyn_TC?],,0,)</f>
        <v/>
      </c>
      <c r="H10" s="272">
        <f>_xlfn.XLOOKUP($E10,Tab_Def_Flows[Name(EN)],Tab_Def_Flows[Flow_ID],,0,1)</f>
        <v/>
      </c>
      <c r="I10" s="272">
        <f>IF(Tab_Process_TCs2527[[#This Row],[Name(EN)]]="N.A.","N.A.","TC"&amp;"_"&amp;RIGHT(H10,5))</f>
        <v/>
      </c>
      <c r="J10" s="273" t="n"/>
      <c r="K10" s="183" t="n"/>
      <c r="L10" s="272" t="n"/>
      <c r="M10" s="296">
        <f>_xlfn.XLOOKUP($D10,Tab_Def_Processes[Name(EN)],Tab_Def_Processes[Input_Flow_I_1],,0,)</f>
        <v/>
      </c>
      <c r="N10" s="272">
        <f>_xlfn.XLOOKUP($D10,Tab_Def_Processes[Name(EN)],Tab_Def_Processes[Flow_ID_I_1],,0,)</f>
        <v/>
      </c>
      <c r="O10" s="33" t="n"/>
      <c r="P10" s="29">
        <f>_xlfn.XLOOKUP($D10,Tab_Def_Processes[Name(EN)],Tab_Def_Processes[Input_Flow_I_2],,0,)</f>
        <v/>
      </c>
      <c r="Q10" s="272">
        <f>_xlfn.XLOOKUP($D10,Tab_Def_Processes[Name(EN)],Tab_Def_Processes[Flow_ID_I_2],,0,)</f>
        <v/>
      </c>
      <c r="R10" s="33" t="n"/>
      <c r="S10" s="29">
        <f>_xlfn.XLOOKUP($D10,Tab_Def_Processes[Name(EN)],Tab_Def_Processes[Input_Flow_I_3],,0,)</f>
        <v/>
      </c>
      <c r="T10" s="272">
        <f>_xlfn.XLOOKUP($D10,Tab_Def_Processes[Name(EN)],Tab_Def_Processes[Flow_ID_I_3],,0,)</f>
        <v/>
      </c>
      <c r="U10" s="33" t="n"/>
      <c r="V10" s="29">
        <f>_xlfn.XLOOKUP($D10,Tab_Def_Processes[Name(EN)],Tab_Def_Processes[Input_Flow_I_4],,0,)</f>
        <v/>
      </c>
      <c r="W10" s="272">
        <f>_xlfn.XLOOKUP($D10,Tab_Def_Processes[Name(EN)],Tab_Def_Processes[Flow_ID_I_4],,0,)</f>
        <v/>
      </c>
      <c r="X10" s="33" t="n"/>
      <c r="Y10" s="29">
        <f>_xlfn.XLOOKUP($D10,Tab_Def_Processes[Name(EN)],Tab_Def_Processes[Input_Flow_I_5],,0,)</f>
        <v/>
      </c>
      <c r="Z10" s="272">
        <f>_xlfn.XLOOKUP($D10,Tab_Def_Processes[Name(EN)],Tab_Def_Processes[Flow_ID_I_5],,0,)</f>
        <v/>
      </c>
      <c r="AA10" s="33" t="n"/>
      <c r="AB10" s="32">
        <f>Tab_Process_TCs2527[[#This Row],[Flow_TC_I_1_'[%']]]+Tab_Process_TCs2527[[#This Row],[Flow_TC_I_2_'[%']]]+Tab_Process_TCs2527[[#This Row],[Flow_TC_I_3_'[%']]]+Tab_Process_TCs2527[[#This Row],[Flow_TC_I_4_'[%']]]+Tab_Process_TCs2527[[#This Row],[Flow_TC_I_5_'[%']]]</f>
        <v/>
      </c>
      <c r="AC10" s="296">
        <f>_xlfn.XLOOKUP($D10,#REF!,#REF!,,0,)</f>
        <v/>
      </c>
      <c r="AD10" s="272">
        <f>_xlfn.XLOOKUP($D10,#REF!,#REF!,,0,)</f>
        <v/>
      </c>
      <c r="AE10" s="42">
        <f>Tab_Process_TCs2527[[#This Row],[Flow_ID]]</f>
        <v/>
      </c>
      <c r="AF10" s="272">
        <f>"TC"&amp;"_"&amp;RIGHT(AD10,5)</f>
        <v/>
      </c>
      <c r="AG10" s="49" t="n">
        <v>0.5</v>
      </c>
      <c r="AH10" s="296">
        <f>_xlfn.XLOOKUP($D10,#REF!,#REF!,,0,)</f>
        <v/>
      </c>
      <c r="AI10" s="272">
        <f>_xlfn.XLOOKUP($D10,#REF!,#REF!,,0,)</f>
        <v/>
      </c>
      <c r="AJ10" s="42">
        <f>Tab_Process_TCs2527[[#This Row],[Flow_ID]]</f>
        <v/>
      </c>
      <c r="AK10" s="272">
        <f>"TC"&amp;"_"&amp;RIGHT(AI10,5)</f>
        <v/>
      </c>
      <c r="AL10" s="176" t="n">
        <v>0.2</v>
      </c>
      <c r="AM10" s="296">
        <f>_xlfn.XLOOKUP($D10,#REF!,#REF!,,0,)</f>
        <v/>
      </c>
      <c r="AN10" s="272">
        <f>_xlfn.XLOOKUP($D10,#REF!,#REF!,,0,)</f>
        <v/>
      </c>
      <c r="AO10" s="42">
        <f>Tab_Process_TCs2527[[#This Row],[Flow_ID]]</f>
        <v/>
      </c>
      <c r="AP10" s="272">
        <f>"TC"&amp;"_"&amp;RIGHT(AN10,5)</f>
        <v/>
      </c>
      <c r="AQ10" s="168" t="n">
        <v>0.3</v>
      </c>
      <c r="AR10" s="296">
        <f>_xlfn.XLOOKUP($D10,#REF!,#REF!,,0,)</f>
        <v/>
      </c>
      <c r="AS10" s="272">
        <f>_xlfn.XLOOKUP($D10,#REF!,#REF!,,0,)</f>
        <v/>
      </c>
      <c r="AT10" s="42">
        <f>Tab_Process_TCs2527[[#This Row],[Flow_ID]]</f>
        <v/>
      </c>
      <c r="AU10" s="42">
        <f>"TC"&amp;"_"&amp;RIGHT(AN10,5)</f>
        <v/>
      </c>
      <c r="AV10" s="168" t="n"/>
      <c r="AW10" s="296">
        <f>_xlfn.XLOOKUP($D10,#REF!,#REF!,,0,)</f>
        <v/>
      </c>
      <c r="AX10" s="272">
        <f>_xlfn.XLOOKUP($D10,#REF!,#REF!,,0,)</f>
        <v/>
      </c>
      <c r="AY10" s="42">
        <f>Tab_Process_TCs2527[[#This Row],[Flow_ID]]</f>
        <v/>
      </c>
      <c r="AZ10" s="42">
        <f>"TC"&amp;"_"&amp;RIGHT(AX10,5)</f>
        <v/>
      </c>
      <c r="BA10" s="168" t="n"/>
      <c r="BB10" s="272">
        <f>_xlfn.XLOOKUP($D10,#REF!,#REF!,,0,)</f>
        <v/>
      </c>
      <c r="BC10" s="272">
        <f>_xlfn.XLOOKUP($D10,#REF!,#REF!,,0,)</f>
        <v/>
      </c>
      <c r="BD10" s="42">
        <f>Tab_Process_TCs2527[[#This Row],[Flow_ID]]</f>
        <v/>
      </c>
      <c r="BE10" s="42">
        <f>"TC"&amp;"_"&amp;RIGHT(BC10,5)</f>
        <v/>
      </c>
      <c r="BF10" s="49" t="n"/>
      <c r="BG10" s="52">
        <f>Tab_Process_TCs2527[[#This Row],[TC O_6_'[%']]]+Tab_Process_TCs2527[[#This Row],[TC O_5_'[%']]]+Tab_Process_TCs2527[[#This Row],[TC_O_4_'[%']]]+Tab_Process_TCs2527[[#This Row],[TC_O_3_'[%']]]+Tab_Process_TCs2527[[#This Row],[TC_O_2_'[%']]]+Tab_Process_TCs2527[[#This Row],[TC_O_1_'[%']]]</f>
        <v/>
      </c>
      <c r="BH10" s="273" t="n"/>
      <c r="BI10" s="273" t="n"/>
      <c r="BJ10" s="273" t="n"/>
      <c r="BK10" s="273" t="n"/>
      <c r="BL10" s="273" t="n"/>
    </row>
    <row r="11">
      <c r="A11" s="280" t="b">
        <v>0</v>
      </c>
      <c r="B11" s="272">
        <f>ROW()-1</f>
        <v/>
      </c>
      <c r="C11" s="286">
        <f>_xlfn.XLOOKUP($D11,Tab_Process_TCs[Name(EN)],Tab_Process_TCs[Process_ID],,0,)</f>
        <v/>
      </c>
      <c r="D11" s="189" t="inlineStr">
        <is>
          <t>N.A.</t>
        </is>
      </c>
      <c r="E11" s="189" t="inlineStr">
        <is>
          <t>N.A.</t>
        </is>
      </c>
      <c r="F11" s="286">
        <f>_xlfn.XLOOKUP($D11,Tab_Process_TCs[Name(EN)],Tab_Process_TCs[TC?],,0,)</f>
        <v/>
      </c>
      <c r="G11" s="286">
        <f>_xlfn.XLOOKUP($D11,Tab_Process_TCs[Name(EN)],Tab_Process_TCs[Dyn_TC?],,0,)</f>
        <v/>
      </c>
      <c r="H11" s="272">
        <f>_xlfn.XLOOKUP($E11,Tab_Def_Flows[Name(EN)],Tab_Def_Flows[Flow_ID],,0,1)</f>
        <v/>
      </c>
      <c r="I11" s="272">
        <f>IF(Tab_Process_TCs2527[[#This Row],[Name(EN)]]="N.A.","N.A.","TC"&amp;"_"&amp;RIGHT(H11,5))</f>
        <v/>
      </c>
      <c r="J11" s="273" t="n"/>
      <c r="K11" s="183" t="n"/>
      <c r="L11" s="272" t="n"/>
      <c r="M11" s="296">
        <f>_xlfn.XLOOKUP($D11,Tab_Def_Processes[Name(EN)],Tab_Def_Processes[Input_Flow_I_1],,0,)</f>
        <v/>
      </c>
      <c r="N11" s="272">
        <f>_xlfn.XLOOKUP($D11,Tab_Def_Processes[Name(EN)],Tab_Def_Processes[Flow_ID_I_1],,0,)</f>
        <v/>
      </c>
      <c r="O11" s="33" t="n"/>
      <c r="P11" s="29">
        <f>_xlfn.XLOOKUP($D11,Tab_Def_Processes[Name(EN)],Tab_Def_Processes[Input_Flow_I_2],,0,)</f>
        <v/>
      </c>
      <c r="Q11" s="272">
        <f>_xlfn.XLOOKUP($D11,Tab_Def_Processes[Name(EN)],Tab_Def_Processes[Flow_ID_I_2],,0,)</f>
        <v/>
      </c>
      <c r="R11" s="33" t="n"/>
      <c r="S11" s="29">
        <f>_xlfn.XLOOKUP($D11,Tab_Def_Processes[Name(EN)],Tab_Def_Processes[Input_Flow_I_3],,0,)</f>
        <v/>
      </c>
      <c r="T11" s="272">
        <f>_xlfn.XLOOKUP($D11,Tab_Def_Processes[Name(EN)],Tab_Def_Processes[Flow_ID_I_3],,0,)</f>
        <v/>
      </c>
      <c r="U11" s="33" t="n"/>
      <c r="V11" s="29">
        <f>_xlfn.XLOOKUP($D11,Tab_Def_Processes[Name(EN)],Tab_Def_Processes[Input_Flow_I_4],,0,)</f>
        <v/>
      </c>
      <c r="W11" s="272">
        <f>_xlfn.XLOOKUP($D11,Tab_Def_Processes[Name(EN)],Tab_Def_Processes[Flow_ID_I_4],,0,)</f>
        <v/>
      </c>
      <c r="X11" s="33" t="n"/>
      <c r="Y11" s="29">
        <f>_xlfn.XLOOKUP($D11,Tab_Def_Processes[Name(EN)],Tab_Def_Processes[Input_Flow_I_5],,0,)</f>
        <v/>
      </c>
      <c r="Z11" s="272">
        <f>_xlfn.XLOOKUP($D11,Tab_Def_Processes[Name(EN)],Tab_Def_Processes[Flow_ID_I_5],,0,)</f>
        <v/>
      </c>
      <c r="AA11" s="33" t="n"/>
      <c r="AB11" s="32">
        <f>Tab_Process_TCs2527[[#This Row],[Flow_TC_I_1_'[%']]]+Tab_Process_TCs2527[[#This Row],[Flow_TC_I_2_'[%']]]+Tab_Process_TCs2527[[#This Row],[Flow_TC_I_3_'[%']]]+Tab_Process_TCs2527[[#This Row],[Flow_TC_I_4_'[%']]]+Tab_Process_TCs2527[[#This Row],[Flow_TC_I_5_'[%']]]</f>
        <v/>
      </c>
      <c r="AC11" s="296">
        <f>_xlfn.XLOOKUP($D11,#REF!,#REF!,,0,)</f>
        <v/>
      </c>
      <c r="AD11" s="272">
        <f>_xlfn.XLOOKUP($D11,#REF!,#REF!,,0,)</f>
        <v/>
      </c>
      <c r="AE11" s="42">
        <f>Tab_Process_TCs2527[[#This Row],[Flow_ID]]</f>
        <v/>
      </c>
      <c r="AF11" s="272">
        <f>"TC"&amp;"_"&amp;RIGHT(AD11,5)</f>
        <v/>
      </c>
      <c r="AG11" s="49" t="n">
        <v>0.5</v>
      </c>
      <c r="AH11" s="296">
        <f>_xlfn.XLOOKUP($D11,#REF!,#REF!,,0,)</f>
        <v/>
      </c>
      <c r="AI11" s="272">
        <f>_xlfn.XLOOKUP($D11,#REF!,#REF!,,0,)</f>
        <v/>
      </c>
      <c r="AJ11" s="42">
        <f>Tab_Process_TCs2527[[#This Row],[Flow_ID]]</f>
        <v/>
      </c>
      <c r="AK11" s="272">
        <f>"TC"&amp;"_"&amp;RIGHT(AI11,5)</f>
        <v/>
      </c>
      <c r="AL11" s="176" t="n">
        <v>0.2</v>
      </c>
      <c r="AM11" s="296">
        <f>_xlfn.XLOOKUP($D11,#REF!,#REF!,,0,)</f>
        <v/>
      </c>
      <c r="AN11" s="272">
        <f>_xlfn.XLOOKUP($D11,#REF!,#REF!,,0,)</f>
        <v/>
      </c>
      <c r="AO11" s="42">
        <f>Tab_Process_TCs2527[[#This Row],[Flow_ID]]</f>
        <v/>
      </c>
      <c r="AP11" s="272">
        <f>"TC"&amp;"_"&amp;RIGHT(AN11,5)</f>
        <v/>
      </c>
      <c r="AQ11" s="168" t="n">
        <v>0.3</v>
      </c>
      <c r="AR11" s="296">
        <f>_xlfn.XLOOKUP($D11,#REF!,#REF!,,0,)</f>
        <v/>
      </c>
      <c r="AS11" s="272">
        <f>_xlfn.XLOOKUP($D11,#REF!,#REF!,,0,)</f>
        <v/>
      </c>
      <c r="AT11" s="42">
        <f>Tab_Process_TCs2527[[#This Row],[Flow_ID]]</f>
        <v/>
      </c>
      <c r="AU11" s="42">
        <f>"TC"&amp;"_"&amp;RIGHT(AN11,5)</f>
        <v/>
      </c>
      <c r="AV11" s="168" t="n"/>
      <c r="AW11" s="296">
        <f>_xlfn.XLOOKUP($D11,#REF!,#REF!,,0,)</f>
        <v/>
      </c>
      <c r="AX11" s="272">
        <f>_xlfn.XLOOKUP($D11,#REF!,#REF!,,0,)</f>
        <v/>
      </c>
      <c r="AY11" s="42">
        <f>Tab_Process_TCs2527[[#This Row],[Flow_ID]]</f>
        <v/>
      </c>
      <c r="AZ11" s="42">
        <f>"TC"&amp;"_"&amp;RIGHT(AX11,5)</f>
        <v/>
      </c>
      <c r="BA11" s="168" t="n"/>
      <c r="BB11" s="272">
        <f>_xlfn.XLOOKUP($D11,#REF!,#REF!,,0,)</f>
        <v/>
      </c>
      <c r="BC11" s="272">
        <f>_xlfn.XLOOKUP($D11,#REF!,#REF!,,0,)</f>
        <v/>
      </c>
      <c r="BD11" s="42">
        <f>Tab_Process_TCs2527[[#This Row],[Flow_ID]]</f>
        <v/>
      </c>
      <c r="BE11" s="42">
        <f>"TC"&amp;"_"&amp;RIGHT(BC11,5)</f>
        <v/>
      </c>
      <c r="BF11" s="49" t="n"/>
      <c r="BG11" s="52">
        <f>Tab_Process_TCs2527[[#This Row],[TC O_6_'[%']]]+Tab_Process_TCs2527[[#This Row],[TC O_5_'[%']]]+Tab_Process_TCs2527[[#This Row],[TC_O_4_'[%']]]+Tab_Process_TCs2527[[#This Row],[TC_O_3_'[%']]]+Tab_Process_TCs2527[[#This Row],[TC_O_2_'[%']]]+Tab_Process_TCs2527[[#This Row],[TC_O_1_'[%']]]</f>
        <v/>
      </c>
      <c r="BH11" s="273" t="n"/>
      <c r="BI11" s="273" t="n"/>
      <c r="BJ11" s="273" t="n"/>
      <c r="BK11" s="273" t="n"/>
      <c r="BL11" s="273" t="n"/>
    </row>
    <row r="12">
      <c r="A12" s="280" t="b">
        <v>0</v>
      </c>
      <c r="B12" s="272">
        <f>ROW()-1</f>
        <v/>
      </c>
      <c r="C12" s="286">
        <f>_xlfn.XLOOKUP($D12,Tab_Process_TCs[Name(EN)],Tab_Process_TCs[Process_ID],,0,)</f>
        <v/>
      </c>
      <c r="D12" s="189" t="inlineStr">
        <is>
          <t>N.A.</t>
        </is>
      </c>
      <c r="E12" s="189" t="inlineStr">
        <is>
          <t>N.A.</t>
        </is>
      </c>
      <c r="F12" s="286">
        <f>_xlfn.XLOOKUP($D12,Tab_Process_TCs[Name(EN)],Tab_Process_TCs[TC?],,0,)</f>
        <v/>
      </c>
      <c r="G12" s="286">
        <f>_xlfn.XLOOKUP($D12,Tab_Process_TCs[Name(EN)],Tab_Process_TCs[Dyn_TC?],,0,)</f>
        <v/>
      </c>
      <c r="H12" s="272">
        <f>_xlfn.XLOOKUP($E12,Tab_Def_Flows[Name(EN)],Tab_Def_Flows[Flow_ID],,0,1)</f>
        <v/>
      </c>
      <c r="I12" s="272">
        <f>IF(Tab_Process_TCs2527[[#This Row],[Name(EN)]]="N.A.","N.A.","TC"&amp;"_"&amp;RIGHT(H12,5))</f>
        <v/>
      </c>
      <c r="J12" s="273" t="n"/>
      <c r="K12" s="183" t="n"/>
      <c r="L12" s="272" t="n"/>
      <c r="M12" s="296">
        <f>_xlfn.XLOOKUP($D12,Tab_Def_Processes[Name(EN)],Tab_Def_Processes[Input_Flow_I_1],,0,)</f>
        <v/>
      </c>
      <c r="N12" s="272">
        <f>_xlfn.XLOOKUP($D12,Tab_Def_Processes[Name(EN)],Tab_Def_Processes[Flow_ID_I_1],,0,)</f>
        <v/>
      </c>
      <c r="O12" s="33" t="n"/>
      <c r="P12" s="29">
        <f>_xlfn.XLOOKUP($D12,Tab_Def_Processes[Name(EN)],Tab_Def_Processes[Input_Flow_I_2],,0,)</f>
        <v/>
      </c>
      <c r="Q12" s="272">
        <f>_xlfn.XLOOKUP($D12,Tab_Def_Processes[Name(EN)],Tab_Def_Processes[Flow_ID_I_2],,0,)</f>
        <v/>
      </c>
      <c r="R12" s="33" t="n"/>
      <c r="S12" s="29">
        <f>_xlfn.XLOOKUP($D12,Tab_Def_Processes[Name(EN)],Tab_Def_Processes[Input_Flow_I_3],,0,)</f>
        <v/>
      </c>
      <c r="T12" s="272">
        <f>_xlfn.XLOOKUP($D12,Tab_Def_Processes[Name(EN)],Tab_Def_Processes[Flow_ID_I_3],,0,)</f>
        <v/>
      </c>
      <c r="U12" s="33" t="n"/>
      <c r="V12" s="29">
        <f>_xlfn.XLOOKUP($D12,Tab_Def_Processes[Name(EN)],Tab_Def_Processes[Input_Flow_I_4],,0,)</f>
        <v/>
      </c>
      <c r="W12" s="272">
        <f>_xlfn.XLOOKUP($D12,Tab_Def_Processes[Name(EN)],Tab_Def_Processes[Flow_ID_I_4],,0,)</f>
        <v/>
      </c>
      <c r="X12" s="33" t="n"/>
      <c r="Y12" s="29">
        <f>_xlfn.XLOOKUP($D12,Tab_Def_Processes[Name(EN)],Tab_Def_Processes[Input_Flow_I_5],,0,)</f>
        <v/>
      </c>
      <c r="Z12" s="272">
        <f>_xlfn.XLOOKUP($D12,Tab_Def_Processes[Name(EN)],Tab_Def_Processes[Flow_ID_I_5],,0,)</f>
        <v/>
      </c>
      <c r="AA12" s="33" t="n"/>
      <c r="AB12" s="32">
        <f>Tab_Process_TCs2527[[#This Row],[Flow_TC_I_1_'[%']]]+Tab_Process_TCs2527[[#This Row],[Flow_TC_I_2_'[%']]]+Tab_Process_TCs2527[[#This Row],[Flow_TC_I_3_'[%']]]+Tab_Process_TCs2527[[#This Row],[Flow_TC_I_4_'[%']]]+Tab_Process_TCs2527[[#This Row],[Flow_TC_I_5_'[%']]]</f>
        <v/>
      </c>
      <c r="AC12" s="296">
        <f>_xlfn.XLOOKUP($D12,#REF!,#REF!,,0,)</f>
        <v/>
      </c>
      <c r="AD12" s="272">
        <f>_xlfn.XLOOKUP($D12,#REF!,#REF!,,0,)</f>
        <v/>
      </c>
      <c r="AE12" s="42">
        <f>Tab_Process_TCs2527[[#This Row],[Flow_ID]]</f>
        <v/>
      </c>
      <c r="AF12" s="272">
        <f>"TC"&amp;"_"&amp;RIGHT(AD12,5)</f>
        <v/>
      </c>
      <c r="AG12" s="49" t="n">
        <v>0.5</v>
      </c>
      <c r="AH12" s="169">
        <f>_xlfn.XLOOKUP($D12,#REF!,#REF!,,0,)</f>
        <v/>
      </c>
      <c r="AI12" s="53">
        <f>_xlfn.XLOOKUP($D12,#REF!,#REF!,,0,)</f>
        <v/>
      </c>
      <c r="AJ12" s="42">
        <f>Tab_Process_TCs2527[[#This Row],[Flow_ID]]</f>
        <v/>
      </c>
      <c r="AK12" s="272">
        <f>"TC"&amp;"_"&amp;RIGHT(AI12,5)</f>
        <v/>
      </c>
      <c r="AL12" s="176" t="n">
        <v>0.2</v>
      </c>
      <c r="AM12" s="296">
        <f>_xlfn.XLOOKUP($D12,#REF!,#REF!,,0,)</f>
        <v/>
      </c>
      <c r="AN12" s="272">
        <f>_xlfn.XLOOKUP($D12,#REF!,#REF!,,0,)</f>
        <v/>
      </c>
      <c r="AO12" s="42">
        <f>Tab_Process_TCs2527[[#This Row],[Flow_ID]]</f>
        <v/>
      </c>
      <c r="AP12" s="272">
        <f>"TC"&amp;"_"&amp;RIGHT(AN12,5)</f>
        <v/>
      </c>
      <c r="AQ12" s="168" t="n">
        <v>0.3</v>
      </c>
      <c r="AR12" s="296">
        <f>_xlfn.XLOOKUP($D12,#REF!,#REF!,,0,)</f>
        <v/>
      </c>
      <c r="AS12" s="272">
        <f>_xlfn.XLOOKUP($D12,#REF!,#REF!,,0,)</f>
        <v/>
      </c>
      <c r="AT12" s="42">
        <f>Tab_Process_TCs2527[[#This Row],[Flow_ID]]</f>
        <v/>
      </c>
      <c r="AU12" s="42">
        <f>"TC"&amp;"_"&amp;RIGHT(AN12,5)</f>
        <v/>
      </c>
      <c r="AV12" s="168" t="n"/>
      <c r="AW12" s="296">
        <f>_xlfn.XLOOKUP($D12,#REF!,#REF!,,0,)</f>
        <v/>
      </c>
      <c r="AX12" s="272">
        <f>_xlfn.XLOOKUP($D12,#REF!,#REF!,,0,)</f>
        <v/>
      </c>
      <c r="AY12" s="42">
        <f>Tab_Process_TCs2527[[#This Row],[Flow_ID]]</f>
        <v/>
      </c>
      <c r="AZ12" s="42">
        <f>"TC"&amp;"_"&amp;RIGHT(AX12,5)</f>
        <v/>
      </c>
      <c r="BA12" s="168" t="n"/>
      <c r="BB12" s="272">
        <f>_xlfn.XLOOKUP($D12,#REF!,#REF!,,0,)</f>
        <v/>
      </c>
      <c r="BC12" s="272">
        <f>_xlfn.XLOOKUP($D12,#REF!,#REF!,,0,)</f>
        <v/>
      </c>
      <c r="BD12" s="42">
        <f>Tab_Process_TCs2527[[#This Row],[Flow_ID]]</f>
        <v/>
      </c>
      <c r="BE12" s="42">
        <f>"TC"&amp;"_"&amp;RIGHT(BC12,5)</f>
        <v/>
      </c>
      <c r="BF12" s="49" t="n"/>
      <c r="BG12" s="52">
        <f>Tab_Process_TCs2527[[#This Row],[TC O_6_'[%']]]+Tab_Process_TCs2527[[#This Row],[TC O_5_'[%']]]+Tab_Process_TCs2527[[#This Row],[TC_O_4_'[%']]]+Tab_Process_TCs2527[[#This Row],[TC_O_3_'[%']]]+Tab_Process_TCs2527[[#This Row],[TC_O_2_'[%']]]+Tab_Process_TCs2527[[#This Row],[TC_O_1_'[%']]]</f>
        <v/>
      </c>
      <c r="BH12" s="273" t="n"/>
      <c r="BI12" s="273" t="n"/>
      <c r="BJ12" s="273" t="n"/>
      <c r="BK12" s="273" t="n"/>
      <c r="BL12" s="273" t="n"/>
    </row>
    <row r="13">
      <c r="A13" s="280" t="b">
        <v>0</v>
      </c>
      <c r="B13" s="272">
        <f>ROW()-1</f>
        <v/>
      </c>
      <c r="C13" s="286">
        <f>_xlfn.XLOOKUP($D13,Tab_Process_TCs[Name(EN)],Tab_Process_TCs[Process_ID],,0,)</f>
        <v/>
      </c>
      <c r="D13" s="189" t="inlineStr">
        <is>
          <t>N.A.</t>
        </is>
      </c>
      <c r="E13" s="189" t="inlineStr">
        <is>
          <t>N.A.</t>
        </is>
      </c>
      <c r="F13" s="286">
        <f>_xlfn.XLOOKUP($D13,Tab_Process_TCs[Name(EN)],Tab_Process_TCs[TC?],,0,)</f>
        <v/>
      </c>
      <c r="G13" s="286">
        <f>_xlfn.XLOOKUP($D13,Tab_Process_TCs[Name(EN)],Tab_Process_TCs[Dyn_TC?],,0,)</f>
        <v/>
      </c>
      <c r="H13" s="272">
        <f>_xlfn.XLOOKUP($E13,Tab_Def_Flows[Name(EN)],Tab_Def_Flows[Flow_ID],,0,1)</f>
        <v/>
      </c>
      <c r="I13" s="272">
        <f>IF(Tab_Process_TCs2527[[#This Row],[Name(EN)]]="N.A.","N.A.","TC"&amp;"_"&amp;RIGHT(H13,5))</f>
        <v/>
      </c>
      <c r="J13" s="273" t="n"/>
      <c r="K13" s="183" t="n"/>
      <c r="L13" s="272" t="n"/>
      <c r="M13" s="296">
        <f>_xlfn.XLOOKUP($D13,Tab_Def_Processes[Name(EN)],Tab_Def_Processes[Input_Flow_I_1],,0,)</f>
        <v/>
      </c>
      <c r="N13" s="272">
        <f>_xlfn.XLOOKUP($D13,Tab_Def_Processes[Name(EN)],Tab_Def_Processes[Flow_ID_I_1],,0,)</f>
        <v/>
      </c>
      <c r="O13" s="33" t="n"/>
      <c r="P13" s="29">
        <f>_xlfn.XLOOKUP($D13,Tab_Def_Processes[Name(EN)],Tab_Def_Processes[Input_Flow_I_2],,0,)</f>
        <v/>
      </c>
      <c r="Q13" s="272">
        <f>_xlfn.XLOOKUP($D13,Tab_Def_Processes[Name(EN)],Tab_Def_Processes[Flow_ID_I_2],,0,)</f>
        <v/>
      </c>
      <c r="R13" s="33" t="n"/>
      <c r="S13" s="29">
        <f>_xlfn.XLOOKUP($D13,Tab_Def_Processes[Name(EN)],Tab_Def_Processes[Input_Flow_I_3],,0,)</f>
        <v/>
      </c>
      <c r="T13" s="272">
        <f>_xlfn.XLOOKUP($D13,Tab_Def_Processes[Name(EN)],Tab_Def_Processes[Flow_ID_I_3],,0,)</f>
        <v/>
      </c>
      <c r="U13" s="33" t="n"/>
      <c r="V13" s="29">
        <f>_xlfn.XLOOKUP($D13,Tab_Def_Processes[Name(EN)],Tab_Def_Processes[Input_Flow_I_4],,0,)</f>
        <v/>
      </c>
      <c r="W13" s="272">
        <f>_xlfn.XLOOKUP($D13,Tab_Def_Processes[Name(EN)],Tab_Def_Processes[Flow_ID_I_4],,0,)</f>
        <v/>
      </c>
      <c r="X13" s="33" t="n"/>
      <c r="Y13" s="29">
        <f>_xlfn.XLOOKUP($D13,Tab_Def_Processes[Name(EN)],Tab_Def_Processes[Input_Flow_I_5],,0,)</f>
        <v/>
      </c>
      <c r="Z13" s="272">
        <f>_xlfn.XLOOKUP($D13,Tab_Def_Processes[Name(EN)],Tab_Def_Processes[Flow_ID_I_5],,0,)</f>
        <v/>
      </c>
      <c r="AA13" s="33" t="n"/>
      <c r="AB13" s="32">
        <f>Tab_Process_TCs2527[[#This Row],[Flow_TC_I_1_'[%']]]+Tab_Process_TCs2527[[#This Row],[Flow_TC_I_2_'[%']]]+Tab_Process_TCs2527[[#This Row],[Flow_TC_I_3_'[%']]]+Tab_Process_TCs2527[[#This Row],[Flow_TC_I_4_'[%']]]+Tab_Process_TCs2527[[#This Row],[Flow_TC_I_5_'[%']]]</f>
        <v/>
      </c>
      <c r="AC13" s="296">
        <f>_xlfn.XLOOKUP($D13,#REF!,#REF!,,0,)</f>
        <v/>
      </c>
      <c r="AD13" s="272">
        <f>_xlfn.XLOOKUP($D13,#REF!,#REF!,,0,)</f>
        <v/>
      </c>
      <c r="AE13" s="42">
        <f>Tab_Process_TCs2527[[#This Row],[Flow_ID]]</f>
        <v/>
      </c>
      <c r="AF13" s="272">
        <f>"TC"&amp;"_"&amp;RIGHT(AD13,5)</f>
        <v/>
      </c>
      <c r="AG13" s="49" t="n">
        <v>0.5</v>
      </c>
      <c r="AH13" s="169">
        <f>_xlfn.XLOOKUP($D13,#REF!,#REF!,,0,)</f>
        <v/>
      </c>
      <c r="AI13" s="53">
        <f>_xlfn.XLOOKUP($D13,#REF!,#REF!,,0,)</f>
        <v/>
      </c>
      <c r="AJ13" s="42">
        <f>Tab_Process_TCs2527[[#This Row],[Flow_ID]]</f>
        <v/>
      </c>
      <c r="AK13" s="272">
        <f>"TC"&amp;"_"&amp;RIGHT(AI13,5)</f>
        <v/>
      </c>
      <c r="AL13" s="176" t="n">
        <v>0.2</v>
      </c>
      <c r="AM13" s="296">
        <f>_xlfn.XLOOKUP($D13,#REF!,#REF!,,0,)</f>
        <v/>
      </c>
      <c r="AN13" s="272">
        <f>_xlfn.XLOOKUP($D13,#REF!,#REF!,,0,)</f>
        <v/>
      </c>
      <c r="AO13" s="42">
        <f>Tab_Process_TCs2527[[#This Row],[Flow_ID]]</f>
        <v/>
      </c>
      <c r="AP13" s="272">
        <f>"TC"&amp;"_"&amp;RIGHT(AN13,5)</f>
        <v/>
      </c>
      <c r="AQ13" s="168" t="n">
        <v>0.3</v>
      </c>
      <c r="AR13" s="296">
        <f>_xlfn.XLOOKUP($D13,#REF!,#REF!,,0,)</f>
        <v/>
      </c>
      <c r="AS13" s="272">
        <f>_xlfn.XLOOKUP($D13,#REF!,#REF!,,0,)</f>
        <v/>
      </c>
      <c r="AT13" s="42">
        <f>Tab_Process_TCs2527[[#This Row],[Flow_ID]]</f>
        <v/>
      </c>
      <c r="AU13" s="42">
        <f>"TC"&amp;"_"&amp;RIGHT(AN13,5)</f>
        <v/>
      </c>
      <c r="AV13" s="168" t="n"/>
      <c r="AW13" s="296">
        <f>_xlfn.XLOOKUP($D13,#REF!,#REF!,,0,)</f>
        <v/>
      </c>
      <c r="AX13" s="272">
        <f>_xlfn.XLOOKUP($D13,#REF!,#REF!,,0,)</f>
        <v/>
      </c>
      <c r="AY13" s="42">
        <f>Tab_Process_TCs2527[[#This Row],[Flow_ID]]</f>
        <v/>
      </c>
      <c r="AZ13" s="42">
        <f>"TC"&amp;"_"&amp;RIGHT(AX13,5)</f>
        <v/>
      </c>
      <c r="BA13" s="168" t="n"/>
      <c r="BB13" s="272">
        <f>_xlfn.XLOOKUP($D13,#REF!,#REF!,,0,)</f>
        <v/>
      </c>
      <c r="BC13" s="272">
        <f>_xlfn.XLOOKUP($D13,#REF!,#REF!,,0,)</f>
        <v/>
      </c>
      <c r="BD13" s="42">
        <f>Tab_Process_TCs2527[[#This Row],[Flow_ID]]</f>
        <v/>
      </c>
      <c r="BE13" s="42">
        <f>"TC"&amp;"_"&amp;RIGHT(BC13,5)</f>
        <v/>
      </c>
      <c r="BF13" s="49" t="n"/>
      <c r="BG13" s="52">
        <f>Tab_Process_TCs2527[[#This Row],[TC O_6_'[%']]]+Tab_Process_TCs2527[[#This Row],[TC O_5_'[%']]]+Tab_Process_TCs2527[[#This Row],[TC_O_4_'[%']]]+Tab_Process_TCs2527[[#This Row],[TC_O_3_'[%']]]+Tab_Process_TCs2527[[#This Row],[TC_O_2_'[%']]]+Tab_Process_TCs2527[[#This Row],[TC_O_1_'[%']]]</f>
        <v/>
      </c>
      <c r="BH13" s="273" t="n"/>
      <c r="BI13" s="273" t="n"/>
      <c r="BJ13" s="273" t="n"/>
      <c r="BK13" s="273" t="n"/>
      <c r="BL13" s="273" t="n"/>
    </row>
    <row r="14">
      <c r="A14" s="280" t="b">
        <v>0</v>
      </c>
      <c r="B14" s="272">
        <f>ROW()-1</f>
        <v/>
      </c>
      <c r="C14" s="286">
        <f>_xlfn.XLOOKUP($D14,Tab_Process_TCs[Name(EN)],Tab_Process_TCs[Process_ID],,0,)</f>
        <v/>
      </c>
      <c r="D14" s="189" t="inlineStr">
        <is>
          <t>N.A.</t>
        </is>
      </c>
      <c r="E14" s="189" t="inlineStr">
        <is>
          <t>N.A.</t>
        </is>
      </c>
      <c r="F14" s="286">
        <f>_xlfn.XLOOKUP($D14,Tab_Process_TCs[Name(EN)],Tab_Process_TCs[TC?],,0,)</f>
        <v/>
      </c>
      <c r="G14" s="286">
        <f>_xlfn.XLOOKUP($D14,Tab_Process_TCs[Name(EN)],Tab_Process_TCs[Dyn_TC?],,0,)</f>
        <v/>
      </c>
      <c r="H14" s="272">
        <f>_xlfn.XLOOKUP($E14,Tab_Def_Flows[Name(EN)],Tab_Def_Flows[Flow_ID],,0,1)</f>
        <v/>
      </c>
      <c r="I14" s="272">
        <f>IF(Tab_Process_TCs2527[[#This Row],[Name(EN)]]="N.A.","N.A.","TC"&amp;"_"&amp;RIGHT(H14,5))</f>
        <v/>
      </c>
      <c r="J14" s="273" t="n"/>
      <c r="K14" s="183" t="n"/>
      <c r="L14" s="272" t="n"/>
      <c r="M14" s="296">
        <f>_xlfn.XLOOKUP($D14,Tab_Def_Processes[Name(EN)],Tab_Def_Processes[Input_Flow_I_1],,0,)</f>
        <v/>
      </c>
      <c r="N14" s="272">
        <f>_xlfn.XLOOKUP($D14,Tab_Def_Processes[Name(EN)],Tab_Def_Processes[Flow_ID_I_1],,0,)</f>
        <v/>
      </c>
      <c r="O14" s="33" t="n"/>
      <c r="P14" s="29">
        <f>_xlfn.XLOOKUP($D14,Tab_Def_Processes[Name(EN)],Tab_Def_Processes[Input_Flow_I_2],,0,)</f>
        <v/>
      </c>
      <c r="Q14" s="272">
        <f>_xlfn.XLOOKUP($D14,Tab_Def_Processes[Name(EN)],Tab_Def_Processes[Flow_ID_I_2],,0,)</f>
        <v/>
      </c>
      <c r="R14" s="33" t="n"/>
      <c r="S14" s="29">
        <f>_xlfn.XLOOKUP($D14,Tab_Def_Processes[Name(EN)],Tab_Def_Processes[Input_Flow_I_3],,0,)</f>
        <v/>
      </c>
      <c r="T14" s="272">
        <f>_xlfn.XLOOKUP($D14,Tab_Def_Processes[Name(EN)],Tab_Def_Processes[Flow_ID_I_3],,0,)</f>
        <v/>
      </c>
      <c r="U14" s="33" t="n"/>
      <c r="V14" s="29">
        <f>_xlfn.XLOOKUP($D14,Tab_Def_Processes[Name(EN)],Tab_Def_Processes[Input_Flow_I_4],,0,)</f>
        <v/>
      </c>
      <c r="W14" s="272">
        <f>_xlfn.XLOOKUP($D14,Tab_Def_Processes[Name(EN)],Tab_Def_Processes[Flow_ID_I_4],,0,)</f>
        <v/>
      </c>
      <c r="X14" s="33" t="n"/>
      <c r="Y14" s="29">
        <f>_xlfn.XLOOKUP($D14,Tab_Def_Processes[Name(EN)],Tab_Def_Processes[Input_Flow_I_5],,0,)</f>
        <v/>
      </c>
      <c r="Z14" s="272">
        <f>_xlfn.XLOOKUP($D14,Tab_Def_Processes[Name(EN)],Tab_Def_Processes[Flow_ID_I_5],,0,)</f>
        <v/>
      </c>
      <c r="AA14" s="33" t="n"/>
      <c r="AB14" s="32">
        <f>Tab_Process_TCs2527[[#This Row],[Flow_TC_I_1_'[%']]]+Tab_Process_TCs2527[[#This Row],[Flow_TC_I_2_'[%']]]+Tab_Process_TCs2527[[#This Row],[Flow_TC_I_3_'[%']]]+Tab_Process_TCs2527[[#This Row],[Flow_TC_I_4_'[%']]]+Tab_Process_TCs2527[[#This Row],[Flow_TC_I_5_'[%']]]</f>
        <v/>
      </c>
      <c r="AC14" s="296">
        <f>_xlfn.XLOOKUP($D14,#REF!,#REF!,,0,)</f>
        <v/>
      </c>
      <c r="AD14" s="272">
        <f>_xlfn.XLOOKUP($D14,#REF!,#REF!,,0,)</f>
        <v/>
      </c>
      <c r="AE14" s="42">
        <f>Tab_Process_TCs2527[[#This Row],[Flow_ID]]</f>
        <v/>
      </c>
      <c r="AF14" s="272">
        <f>"TC"&amp;"_"&amp;RIGHT(AD14,5)</f>
        <v/>
      </c>
      <c r="AG14" s="49" t="n">
        <v>0.5</v>
      </c>
      <c r="AH14" s="169">
        <f>_xlfn.XLOOKUP($D14,#REF!,#REF!,,0,)</f>
        <v/>
      </c>
      <c r="AI14" s="53">
        <f>_xlfn.XLOOKUP($D14,#REF!,#REF!,,0,)</f>
        <v/>
      </c>
      <c r="AJ14" s="42">
        <f>Tab_Process_TCs2527[[#This Row],[Flow_ID]]</f>
        <v/>
      </c>
      <c r="AK14" s="272">
        <f>"TC"&amp;"_"&amp;RIGHT(AI14,5)</f>
        <v/>
      </c>
      <c r="AL14" s="176" t="n">
        <v>0.2</v>
      </c>
      <c r="AM14" s="296">
        <f>_xlfn.XLOOKUP($D14,#REF!,#REF!,,0,)</f>
        <v/>
      </c>
      <c r="AN14" s="272">
        <f>_xlfn.XLOOKUP($D14,#REF!,#REF!,,0,)</f>
        <v/>
      </c>
      <c r="AO14" s="42">
        <f>Tab_Process_TCs2527[[#This Row],[Flow_ID]]</f>
        <v/>
      </c>
      <c r="AP14" s="272">
        <f>"TC"&amp;"_"&amp;RIGHT(AN14,5)</f>
        <v/>
      </c>
      <c r="AQ14" s="168" t="n">
        <v>0.3</v>
      </c>
      <c r="AR14" s="296">
        <f>_xlfn.XLOOKUP($D14,#REF!,#REF!,,0,)</f>
        <v/>
      </c>
      <c r="AS14" s="272">
        <f>_xlfn.XLOOKUP($D14,#REF!,#REF!,,0,)</f>
        <v/>
      </c>
      <c r="AT14" s="42">
        <f>Tab_Process_TCs2527[[#This Row],[Flow_ID]]</f>
        <v/>
      </c>
      <c r="AU14" s="42">
        <f>"TC"&amp;"_"&amp;RIGHT(AN14,5)</f>
        <v/>
      </c>
      <c r="AV14" s="168" t="n"/>
      <c r="AW14" s="296">
        <f>_xlfn.XLOOKUP($D14,#REF!,#REF!,,0,)</f>
        <v/>
      </c>
      <c r="AX14" s="272">
        <f>_xlfn.XLOOKUP($D14,#REF!,#REF!,,0,)</f>
        <v/>
      </c>
      <c r="AY14" s="42">
        <f>Tab_Process_TCs2527[[#This Row],[Flow_ID]]</f>
        <v/>
      </c>
      <c r="AZ14" s="42">
        <f>"TC"&amp;"_"&amp;RIGHT(AX14,5)</f>
        <v/>
      </c>
      <c r="BA14" s="168" t="n"/>
      <c r="BB14" s="272">
        <f>_xlfn.XLOOKUP($D14,#REF!,#REF!,,0,)</f>
        <v/>
      </c>
      <c r="BC14" s="272">
        <f>_xlfn.XLOOKUP($D14,#REF!,#REF!,,0,)</f>
        <v/>
      </c>
      <c r="BD14" s="42">
        <f>Tab_Process_TCs2527[[#This Row],[Flow_ID]]</f>
        <v/>
      </c>
      <c r="BE14" s="42">
        <f>"TC"&amp;"_"&amp;RIGHT(BC14,5)</f>
        <v/>
      </c>
      <c r="BF14" s="49" t="n"/>
      <c r="BG14" s="52">
        <f>Tab_Process_TCs2527[[#This Row],[TC O_6_'[%']]]+Tab_Process_TCs2527[[#This Row],[TC O_5_'[%']]]+Tab_Process_TCs2527[[#This Row],[TC_O_4_'[%']]]+Tab_Process_TCs2527[[#This Row],[TC_O_3_'[%']]]+Tab_Process_TCs2527[[#This Row],[TC_O_2_'[%']]]+Tab_Process_TCs2527[[#This Row],[TC_O_1_'[%']]]</f>
        <v/>
      </c>
      <c r="BH14" s="273" t="n"/>
      <c r="BI14" s="273" t="n"/>
      <c r="BJ14" s="273" t="n"/>
      <c r="BK14" s="273" t="n"/>
      <c r="BL14" s="273" t="n"/>
    </row>
    <row r="15">
      <c r="A15" s="280" t="b">
        <v>0</v>
      </c>
      <c r="B15" s="272">
        <f>ROW()-1</f>
        <v/>
      </c>
      <c r="C15" s="286">
        <f>_xlfn.XLOOKUP($D15,Tab_Process_TCs[Name(EN)],Tab_Process_TCs[Process_ID],,0,)</f>
        <v/>
      </c>
      <c r="D15" s="189" t="inlineStr">
        <is>
          <t>N.A.</t>
        </is>
      </c>
      <c r="E15" s="189" t="inlineStr">
        <is>
          <t>N.A.</t>
        </is>
      </c>
      <c r="F15" s="286">
        <f>_xlfn.XLOOKUP($D15,Tab_Process_TCs[Name(EN)],Tab_Process_TCs[TC?],,0,)</f>
        <v/>
      </c>
      <c r="G15" s="286">
        <f>_xlfn.XLOOKUP($D15,Tab_Process_TCs[Name(EN)],Tab_Process_TCs[Dyn_TC?],,0,)</f>
        <v/>
      </c>
      <c r="H15" s="272">
        <f>_xlfn.XLOOKUP($E15,Tab_Def_Flows[Name(EN)],Tab_Def_Flows[Flow_ID],,0,1)</f>
        <v/>
      </c>
      <c r="I15" s="272">
        <f>IF(Tab_Process_TCs2527[[#This Row],[Name(EN)]]="N.A.","N.A.","TC"&amp;"_"&amp;RIGHT(H15,5))</f>
        <v/>
      </c>
      <c r="J15" s="273" t="n"/>
      <c r="K15" s="183" t="n"/>
      <c r="L15" s="272" t="n"/>
      <c r="M15" s="296">
        <f>_xlfn.XLOOKUP($D15,Tab_Def_Processes[Name(EN)],Tab_Def_Processes[Input_Flow_I_1],,0,)</f>
        <v/>
      </c>
      <c r="N15" s="272">
        <f>_xlfn.XLOOKUP($D15,Tab_Def_Processes[Name(EN)],Tab_Def_Processes[Flow_ID_I_1],,0,)</f>
        <v/>
      </c>
      <c r="O15" s="33" t="n"/>
      <c r="P15" s="29">
        <f>_xlfn.XLOOKUP($D15,Tab_Def_Processes[Name(EN)],Tab_Def_Processes[Input_Flow_I_2],,0,)</f>
        <v/>
      </c>
      <c r="Q15" s="272">
        <f>_xlfn.XLOOKUP($D15,Tab_Def_Processes[Name(EN)],Tab_Def_Processes[Flow_ID_I_2],,0,)</f>
        <v/>
      </c>
      <c r="R15" s="33" t="n"/>
      <c r="S15" s="29">
        <f>_xlfn.XLOOKUP($D15,Tab_Def_Processes[Name(EN)],Tab_Def_Processes[Input_Flow_I_3],,0,)</f>
        <v/>
      </c>
      <c r="T15" s="272">
        <f>_xlfn.XLOOKUP($D15,Tab_Def_Processes[Name(EN)],Tab_Def_Processes[Flow_ID_I_3],,0,)</f>
        <v/>
      </c>
      <c r="U15" s="33" t="n"/>
      <c r="V15" s="29">
        <f>_xlfn.XLOOKUP($D15,Tab_Def_Processes[Name(EN)],Tab_Def_Processes[Input_Flow_I_4],,0,)</f>
        <v/>
      </c>
      <c r="W15" s="272">
        <f>_xlfn.XLOOKUP($D15,Tab_Def_Processes[Name(EN)],Tab_Def_Processes[Flow_ID_I_4],,0,)</f>
        <v/>
      </c>
      <c r="X15" s="33" t="n"/>
      <c r="Y15" s="29">
        <f>_xlfn.XLOOKUP($D15,Tab_Def_Processes[Name(EN)],Tab_Def_Processes[Input_Flow_I_5],,0,)</f>
        <v/>
      </c>
      <c r="Z15" s="272">
        <f>_xlfn.XLOOKUP($D15,Tab_Def_Processes[Name(EN)],Tab_Def_Processes[Flow_ID_I_5],,0,)</f>
        <v/>
      </c>
      <c r="AA15" s="33" t="n"/>
      <c r="AB15" s="32">
        <f>Tab_Process_TCs2527[[#This Row],[Flow_TC_I_1_'[%']]]+Tab_Process_TCs2527[[#This Row],[Flow_TC_I_2_'[%']]]+Tab_Process_TCs2527[[#This Row],[Flow_TC_I_3_'[%']]]+Tab_Process_TCs2527[[#This Row],[Flow_TC_I_4_'[%']]]+Tab_Process_TCs2527[[#This Row],[Flow_TC_I_5_'[%']]]</f>
        <v/>
      </c>
      <c r="AC15" s="296">
        <f>_xlfn.XLOOKUP($D15,#REF!,#REF!,,0,)</f>
        <v/>
      </c>
      <c r="AD15" s="272">
        <f>_xlfn.XLOOKUP($D15,#REF!,#REF!,,0,)</f>
        <v/>
      </c>
      <c r="AE15" s="42">
        <f>Tab_Process_TCs2527[[#This Row],[Flow_ID]]</f>
        <v/>
      </c>
      <c r="AF15" s="272">
        <f>"TC"&amp;"_"&amp;RIGHT(AD15,5)</f>
        <v/>
      </c>
      <c r="AG15" s="49" t="n">
        <v>0.5</v>
      </c>
      <c r="AH15" s="169">
        <f>_xlfn.XLOOKUP($D15,#REF!,#REF!,,0,)</f>
        <v/>
      </c>
      <c r="AI15" s="53">
        <f>_xlfn.XLOOKUP($D15,#REF!,#REF!,,0,)</f>
        <v/>
      </c>
      <c r="AJ15" s="42">
        <f>Tab_Process_TCs2527[[#This Row],[Flow_ID]]</f>
        <v/>
      </c>
      <c r="AK15" s="272">
        <f>"TC"&amp;"_"&amp;RIGHT(AI15,5)</f>
        <v/>
      </c>
      <c r="AL15" s="176" t="n">
        <v>0.2</v>
      </c>
      <c r="AM15" s="296">
        <f>_xlfn.XLOOKUP($D15,#REF!,#REF!,,0,)</f>
        <v/>
      </c>
      <c r="AN15" s="272">
        <f>_xlfn.XLOOKUP($D15,#REF!,#REF!,,0,)</f>
        <v/>
      </c>
      <c r="AO15" s="42">
        <f>Tab_Process_TCs2527[[#This Row],[Flow_ID]]</f>
        <v/>
      </c>
      <c r="AP15" s="272">
        <f>"TC"&amp;"_"&amp;RIGHT(AN15,5)</f>
        <v/>
      </c>
      <c r="AQ15" s="168" t="n">
        <v>0.3</v>
      </c>
      <c r="AR15" s="296">
        <f>_xlfn.XLOOKUP($D15,#REF!,#REF!,,0,)</f>
        <v/>
      </c>
      <c r="AS15" s="272">
        <f>_xlfn.XLOOKUP($D15,#REF!,#REF!,,0,)</f>
        <v/>
      </c>
      <c r="AT15" s="42">
        <f>Tab_Process_TCs2527[[#This Row],[Flow_ID]]</f>
        <v/>
      </c>
      <c r="AU15" s="42">
        <f>"TC"&amp;"_"&amp;RIGHT(AN15,5)</f>
        <v/>
      </c>
      <c r="AV15" s="168" t="n"/>
      <c r="AW15" s="296">
        <f>_xlfn.XLOOKUP($D15,#REF!,#REF!,,0,)</f>
        <v/>
      </c>
      <c r="AX15" s="272">
        <f>_xlfn.XLOOKUP($D15,#REF!,#REF!,,0,)</f>
        <v/>
      </c>
      <c r="AY15" s="42">
        <f>Tab_Process_TCs2527[[#This Row],[Flow_ID]]</f>
        <v/>
      </c>
      <c r="AZ15" s="42">
        <f>"TC"&amp;"_"&amp;RIGHT(AX15,5)</f>
        <v/>
      </c>
      <c r="BA15" s="168" t="n"/>
      <c r="BB15" s="272">
        <f>_xlfn.XLOOKUP($D15,#REF!,#REF!,,0,)</f>
        <v/>
      </c>
      <c r="BC15" s="272">
        <f>_xlfn.XLOOKUP($D15,#REF!,#REF!,,0,)</f>
        <v/>
      </c>
      <c r="BD15" s="42">
        <f>Tab_Process_TCs2527[[#This Row],[Flow_ID]]</f>
        <v/>
      </c>
      <c r="BE15" s="42">
        <f>"TC"&amp;"_"&amp;RIGHT(BC15,5)</f>
        <v/>
      </c>
      <c r="BF15" s="49" t="n"/>
      <c r="BG15" s="52">
        <f>Tab_Process_TCs2527[[#This Row],[TC O_6_'[%']]]+Tab_Process_TCs2527[[#This Row],[TC O_5_'[%']]]+Tab_Process_TCs2527[[#This Row],[TC_O_4_'[%']]]+Tab_Process_TCs2527[[#This Row],[TC_O_3_'[%']]]+Tab_Process_TCs2527[[#This Row],[TC_O_2_'[%']]]+Tab_Process_TCs2527[[#This Row],[TC_O_1_'[%']]]</f>
        <v/>
      </c>
      <c r="BH15" s="273" t="n"/>
      <c r="BI15" s="273" t="n"/>
      <c r="BJ15" s="273" t="n"/>
      <c r="BK15" s="273" t="n"/>
      <c r="BL15" s="273" t="n"/>
    </row>
    <row r="16">
      <c r="A16" s="280" t="b">
        <v>0</v>
      </c>
      <c r="B16" s="272">
        <f>ROW()-1</f>
        <v/>
      </c>
      <c r="C16" s="286">
        <f>_xlfn.XLOOKUP($D16,Tab_Process_TCs[Name(EN)],Tab_Process_TCs[Process_ID],,0,)</f>
        <v/>
      </c>
      <c r="D16" s="189" t="inlineStr">
        <is>
          <t>N.A.</t>
        </is>
      </c>
      <c r="E16" s="189" t="inlineStr">
        <is>
          <t>N.A.</t>
        </is>
      </c>
      <c r="F16" s="286">
        <f>_xlfn.XLOOKUP($D16,Tab_Process_TCs[Name(EN)],Tab_Process_TCs[TC?],,0,)</f>
        <v/>
      </c>
      <c r="G16" s="286">
        <f>_xlfn.XLOOKUP($D16,Tab_Process_TCs[Name(EN)],Tab_Process_TCs[Dyn_TC?],,0,)</f>
        <v/>
      </c>
      <c r="H16" s="272">
        <f>_xlfn.XLOOKUP($E16,Tab_Def_Flows[Name(EN)],Tab_Def_Flows[Flow_ID],,0,1)</f>
        <v/>
      </c>
      <c r="I16" s="272">
        <f>IF(Tab_Process_TCs2527[[#This Row],[Name(EN)]]="N.A.","N.A.","TC"&amp;"_"&amp;RIGHT(H16,5))</f>
        <v/>
      </c>
      <c r="J16" s="273" t="n"/>
      <c r="K16" s="183" t="n"/>
      <c r="L16" s="272" t="n"/>
      <c r="M16" s="296">
        <f>_xlfn.XLOOKUP($D16,Tab_Def_Processes[Name(EN)],Tab_Def_Processes[Input_Flow_I_1],,0,)</f>
        <v/>
      </c>
      <c r="N16" s="272">
        <f>_xlfn.XLOOKUP($D16,Tab_Def_Processes[Name(EN)],Tab_Def_Processes[Flow_ID_I_1],,0,)</f>
        <v/>
      </c>
      <c r="O16" s="33" t="n"/>
      <c r="P16" s="29">
        <f>_xlfn.XLOOKUP($D16,Tab_Def_Processes[Name(EN)],Tab_Def_Processes[Input_Flow_I_2],,0,)</f>
        <v/>
      </c>
      <c r="Q16" s="272">
        <f>_xlfn.XLOOKUP($D16,Tab_Def_Processes[Name(EN)],Tab_Def_Processes[Flow_ID_I_2],,0,)</f>
        <v/>
      </c>
      <c r="R16" s="33" t="n"/>
      <c r="S16" s="29">
        <f>_xlfn.XLOOKUP($D16,Tab_Def_Processes[Name(EN)],Tab_Def_Processes[Input_Flow_I_3],,0,)</f>
        <v/>
      </c>
      <c r="T16" s="272">
        <f>_xlfn.XLOOKUP($D16,Tab_Def_Processes[Name(EN)],Tab_Def_Processes[Flow_ID_I_3],,0,)</f>
        <v/>
      </c>
      <c r="U16" s="33" t="n"/>
      <c r="V16" s="29">
        <f>_xlfn.XLOOKUP($D16,Tab_Def_Processes[Name(EN)],Tab_Def_Processes[Input_Flow_I_4],,0,)</f>
        <v/>
      </c>
      <c r="W16" s="272">
        <f>_xlfn.XLOOKUP($D16,Tab_Def_Processes[Name(EN)],Tab_Def_Processes[Flow_ID_I_4],,0,)</f>
        <v/>
      </c>
      <c r="X16" s="33" t="n"/>
      <c r="Y16" s="29">
        <f>_xlfn.XLOOKUP($D16,Tab_Def_Processes[Name(EN)],Tab_Def_Processes[Input_Flow_I_5],,0,)</f>
        <v/>
      </c>
      <c r="Z16" s="272">
        <f>_xlfn.XLOOKUP($D16,Tab_Def_Processes[Name(EN)],Tab_Def_Processes[Flow_ID_I_5],,0,)</f>
        <v/>
      </c>
      <c r="AA16" s="33" t="n"/>
      <c r="AB16" s="32">
        <f>Tab_Process_TCs2527[[#This Row],[Flow_TC_I_1_'[%']]]+Tab_Process_TCs2527[[#This Row],[Flow_TC_I_2_'[%']]]+Tab_Process_TCs2527[[#This Row],[Flow_TC_I_3_'[%']]]+Tab_Process_TCs2527[[#This Row],[Flow_TC_I_4_'[%']]]+Tab_Process_TCs2527[[#This Row],[Flow_TC_I_5_'[%']]]</f>
        <v/>
      </c>
      <c r="AC16" s="296">
        <f>_xlfn.XLOOKUP($D16,#REF!,#REF!,,0,)</f>
        <v/>
      </c>
      <c r="AD16" s="272">
        <f>_xlfn.XLOOKUP($D16,#REF!,#REF!,,0,)</f>
        <v/>
      </c>
      <c r="AE16" s="42">
        <f>Tab_Process_TCs2527[[#This Row],[Flow_ID]]</f>
        <v/>
      </c>
      <c r="AF16" s="272">
        <f>"TC"&amp;"_"&amp;RIGHT(AD16,5)</f>
        <v/>
      </c>
      <c r="AG16" s="49" t="n">
        <v>0.5</v>
      </c>
      <c r="AH16" s="169">
        <f>_xlfn.XLOOKUP($D16,#REF!,#REF!,,0,)</f>
        <v/>
      </c>
      <c r="AI16" s="53">
        <f>_xlfn.XLOOKUP($D16,#REF!,#REF!,,0,)</f>
        <v/>
      </c>
      <c r="AJ16" s="42">
        <f>Tab_Process_TCs2527[[#This Row],[Flow_ID]]</f>
        <v/>
      </c>
      <c r="AK16" s="272">
        <f>"TC"&amp;"_"&amp;RIGHT(AI16,5)</f>
        <v/>
      </c>
      <c r="AL16" s="176" t="n">
        <v>0.2</v>
      </c>
      <c r="AM16" s="296">
        <f>_xlfn.XLOOKUP($D16,#REF!,#REF!,,0,)</f>
        <v/>
      </c>
      <c r="AN16" s="272">
        <f>_xlfn.XLOOKUP($D16,#REF!,#REF!,,0,)</f>
        <v/>
      </c>
      <c r="AO16" s="42">
        <f>Tab_Process_TCs2527[[#This Row],[Flow_ID]]</f>
        <v/>
      </c>
      <c r="AP16" s="272">
        <f>"TC"&amp;"_"&amp;RIGHT(AN16,5)</f>
        <v/>
      </c>
      <c r="AQ16" s="168" t="n">
        <v>0.3</v>
      </c>
      <c r="AR16" s="296">
        <f>_xlfn.XLOOKUP($D16,#REF!,#REF!,,0,)</f>
        <v/>
      </c>
      <c r="AS16" s="272">
        <f>_xlfn.XLOOKUP($D16,#REF!,#REF!,,0,)</f>
        <v/>
      </c>
      <c r="AT16" s="42">
        <f>Tab_Process_TCs2527[[#This Row],[Flow_ID]]</f>
        <v/>
      </c>
      <c r="AU16" s="42">
        <f>"TC"&amp;"_"&amp;RIGHT(AN16,5)</f>
        <v/>
      </c>
      <c r="AV16" s="168" t="n"/>
      <c r="AW16" s="296">
        <f>_xlfn.XLOOKUP($D16,#REF!,#REF!,,0,)</f>
        <v/>
      </c>
      <c r="AX16" s="272">
        <f>_xlfn.XLOOKUP($D16,#REF!,#REF!,,0,)</f>
        <v/>
      </c>
      <c r="AY16" s="42">
        <f>Tab_Process_TCs2527[[#This Row],[Flow_ID]]</f>
        <v/>
      </c>
      <c r="AZ16" s="42">
        <f>"TC"&amp;"_"&amp;RIGHT(AX16,5)</f>
        <v/>
      </c>
      <c r="BA16" s="168" t="n"/>
      <c r="BB16" s="272">
        <f>_xlfn.XLOOKUP($D16,#REF!,#REF!,,0,)</f>
        <v/>
      </c>
      <c r="BC16" s="272">
        <f>_xlfn.XLOOKUP($D16,#REF!,#REF!,,0,)</f>
        <v/>
      </c>
      <c r="BD16" s="42">
        <f>Tab_Process_TCs2527[[#This Row],[Flow_ID]]</f>
        <v/>
      </c>
      <c r="BE16" s="42">
        <f>"TC"&amp;"_"&amp;RIGHT(BC16,5)</f>
        <v/>
      </c>
      <c r="BF16" s="49" t="n"/>
      <c r="BG16" s="52">
        <f>Tab_Process_TCs2527[[#This Row],[TC O_6_'[%']]]+Tab_Process_TCs2527[[#This Row],[TC O_5_'[%']]]+Tab_Process_TCs2527[[#This Row],[TC_O_4_'[%']]]+Tab_Process_TCs2527[[#This Row],[TC_O_3_'[%']]]+Tab_Process_TCs2527[[#This Row],[TC_O_2_'[%']]]+Tab_Process_TCs2527[[#This Row],[TC_O_1_'[%']]]</f>
        <v/>
      </c>
      <c r="BH16" s="273" t="n"/>
      <c r="BI16" s="273" t="n"/>
      <c r="BJ16" s="273" t="n"/>
      <c r="BK16" s="273" t="n"/>
      <c r="BL16" s="273" t="n"/>
    </row>
    <row r="17">
      <c r="A17" s="280" t="b">
        <v>0</v>
      </c>
      <c r="B17" s="272">
        <f>ROW()-1</f>
        <v/>
      </c>
      <c r="C17" s="286">
        <f>_xlfn.XLOOKUP($D17,Tab_Process_TCs[Name(EN)],Tab_Process_TCs[Process_ID],,0,)</f>
        <v/>
      </c>
      <c r="D17" s="189" t="inlineStr">
        <is>
          <t>N.A.</t>
        </is>
      </c>
      <c r="E17" s="189" t="inlineStr">
        <is>
          <t>N.A.</t>
        </is>
      </c>
      <c r="F17" s="286">
        <f>_xlfn.XLOOKUP($D17,Tab_Process_TCs[Name(EN)],Tab_Process_TCs[TC?],,0,)</f>
        <v/>
      </c>
      <c r="G17" s="286">
        <f>_xlfn.XLOOKUP($D17,Tab_Process_TCs[Name(EN)],Tab_Process_TCs[Dyn_TC?],,0,)</f>
        <v/>
      </c>
      <c r="H17" s="272">
        <f>_xlfn.XLOOKUP($E17,Tab_Def_Flows[Name(EN)],Tab_Def_Flows[Flow_ID],,0,1)</f>
        <v/>
      </c>
      <c r="I17" s="272">
        <f>IF(Tab_Process_TCs2527[[#This Row],[Name(EN)]]="N.A.","N.A.","TC"&amp;"_"&amp;RIGHT(H17,5))</f>
        <v/>
      </c>
      <c r="J17" s="273" t="n"/>
      <c r="K17" s="183" t="n"/>
      <c r="L17" s="272" t="n"/>
      <c r="M17" s="296">
        <f>_xlfn.XLOOKUP($D17,Tab_Def_Processes[Name(EN)],Tab_Def_Processes[Input_Flow_I_1],,0,)</f>
        <v/>
      </c>
      <c r="N17" s="272">
        <f>_xlfn.XLOOKUP($D17,Tab_Def_Processes[Name(EN)],Tab_Def_Processes[Flow_ID_I_1],,0,)</f>
        <v/>
      </c>
      <c r="O17" s="33" t="n"/>
      <c r="P17" s="29">
        <f>_xlfn.XLOOKUP($D17,Tab_Def_Processes[Name(EN)],Tab_Def_Processes[Input_Flow_I_2],,0,)</f>
        <v/>
      </c>
      <c r="Q17" s="272">
        <f>_xlfn.XLOOKUP($D17,Tab_Def_Processes[Name(EN)],Tab_Def_Processes[Flow_ID_I_2],,0,)</f>
        <v/>
      </c>
      <c r="R17" s="33" t="n"/>
      <c r="S17" s="29">
        <f>_xlfn.XLOOKUP($D17,Tab_Def_Processes[Name(EN)],Tab_Def_Processes[Input_Flow_I_3],,0,)</f>
        <v/>
      </c>
      <c r="T17" s="272">
        <f>_xlfn.XLOOKUP($D17,Tab_Def_Processes[Name(EN)],Tab_Def_Processes[Flow_ID_I_3],,0,)</f>
        <v/>
      </c>
      <c r="U17" s="33" t="n"/>
      <c r="V17" s="29">
        <f>_xlfn.XLOOKUP($D17,Tab_Def_Processes[Name(EN)],Tab_Def_Processes[Input_Flow_I_4],,0,)</f>
        <v/>
      </c>
      <c r="W17" s="272">
        <f>_xlfn.XLOOKUP($D17,Tab_Def_Processes[Name(EN)],Tab_Def_Processes[Flow_ID_I_4],,0,)</f>
        <v/>
      </c>
      <c r="X17" s="33" t="n"/>
      <c r="Y17" s="29">
        <f>_xlfn.XLOOKUP($D17,Tab_Def_Processes[Name(EN)],Tab_Def_Processes[Input_Flow_I_5],,0,)</f>
        <v/>
      </c>
      <c r="Z17" s="272">
        <f>_xlfn.XLOOKUP($D17,Tab_Def_Processes[Name(EN)],Tab_Def_Processes[Flow_ID_I_5],,0,)</f>
        <v/>
      </c>
      <c r="AA17" s="33" t="n"/>
      <c r="AB17" s="32">
        <f>Tab_Process_TCs2527[[#This Row],[Flow_TC_I_1_'[%']]]+Tab_Process_TCs2527[[#This Row],[Flow_TC_I_2_'[%']]]+Tab_Process_TCs2527[[#This Row],[Flow_TC_I_3_'[%']]]+Tab_Process_TCs2527[[#This Row],[Flow_TC_I_4_'[%']]]+Tab_Process_TCs2527[[#This Row],[Flow_TC_I_5_'[%']]]</f>
        <v/>
      </c>
      <c r="AC17" s="296">
        <f>_xlfn.XLOOKUP($D17,#REF!,#REF!,,0,)</f>
        <v/>
      </c>
      <c r="AD17" s="272">
        <f>_xlfn.XLOOKUP($D17,#REF!,#REF!,,0,)</f>
        <v/>
      </c>
      <c r="AE17" s="42">
        <f>Tab_Process_TCs2527[[#This Row],[Flow_ID]]</f>
        <v/>
      </c>
      <c r="AF17" s="272">
        <f>"TC"&amp;"_"&amp;RIGHT(AD17,5)</f>
        <v/>
      </c>
      <c r="AG17" s="49" t="n">
        <v>0.5</v>
      </c>
      <c r="AH17" s="169">
        <f>_xlfn.XLOOKUP($D17,#REF!,#REF!,,0,)</f>
        <v/>
      </c>
      <c r="AI17" s="53">
        <f>_xlfn.XLOOKUP($D17,#REF!,#REF!,,0,)</f>
        <v/>
      </c>
      <c r="AJ17" s="42">
        <f>Tab_Process_TCs2527[[#This Row],[Flow_ID]]</f>
        <v/>
      </c>
      <c r="AK17" s="272">
        <f>"TC"&amp;"_"&amp;RIGHT(AI17,5)</f>
        <v/>
      </c>
      <c r="AL17" s="176" t="n">
        <v>0.2</v>
      </c>
      <c r="AM17" s="296">
        <f>_xlfn.XLOOKUP($D17,#REF!,#REF!,,0,)</f>
        <v/>
      </c>
      <c r="AN17" s="272">
        <f>_xlfn.XLOOKUP($D17,#REF!,#REF!,,0,)</f>
        <v/>
      </c>
      <c r="AO17" s="42">
        <f>Tab_Process_TCs2527[[#This Row],[Flow_ID]]</f>
        <v/>
      </c>
      <c r="AP17" s="272">
        <f>"TC"&amp;"_"&amp;RIGHT(AN17,5)</f>
        <v/>
      </c>
      <c r="AQ17" s="168" t="n">
        <v>0.3</v>
      </c>
      <c r="AR17" s="296">
        <f>_xlfn.XLOOKUP($D17,#REF!,#REF!,,0,)</f>
        <v/>
      </c>
      <c r="AS17" s="272">
        <f>_xlfn.XLOOKUP($D17,#REF!,#REF!,,0,)</f>
        <v/>
      </c>
      <c r="AT17" s="42">
        <f>Tab_Process_TCs2527[[#This Row],[Flow_ID]]</f>
        <v/>
      </c>
      <c r="AU17" s="42">
        <f>"TC"&amp;"_"&amp;RIGHT(AN17,5)</f>
        <v/>
      </c>
      <c r="AV17" s="168" t="n"/>
      <c r="AW17" s="296">
        <f>_xlfn.XLOOKUP($D17,#REF!,#REF!,,0,)</f>
        <v/>
      </c>
      <c r="AX17" s="272">
        <f>_xlfn.XLOOKUP($D17,#REF!,#REF!,,0,)</f>
        <v/>
      </c>
      <c r="AY17" s="42">
        <f>Tab_Process_TCs2527[[#This Row],[Flow_ID]]</f>
        <v/>
      </c>
      <c r="AZ17" s="42">
        <f>"TC"&amp;"_"&amp;RIGHT(AX17,5)</f>
        <v/>
      </c>
      <c r="BA17" s="168" t="n"/>
      <c r="BB17" s="272">
        <f>_xlfn.XLOOKUP($D17,#REF!,#REF!,,0,)</f>
        <v/>
      </c>
      <c r="BC17" s="272">
        <f>_xlfn.XLOOKUP($D17,#REF!,#REF!,,0,)</f>
        <v/>
      </c>
      <c r="BD17" s="42">
        <f>Tab_Process_TCs2527[[#This Row],[Flow_ID]]</f>
        <v/>
      </c>
      <c r="BE17" s="42">
        <f>"TC"&amp;"_"&amp;RIGHT(BC17,5)</f>
        <v/>
      </c>
      <c r="BF17" s="49" t="n"/>
      <c r="BG17" s="52">
        <f>Tab_Process_TCs2527[[#This Row],[TC O_6_'[%']]]+Tab_Process_TCs2527[[#This Row],[TC O_5_'[%']]]+Tab_Process_TCs2527[[#This Row],[TC_O_4_'[%']]]+Tab_Process_TCs2527[[#This Row],[TC_O_3_'[%']]]+Tab_Process_TCs2527[[#This Row],[TC_O_2_'[%']]]+Tab_Process_TCs2527[[#This Row],[TC_O_1_'[%']]]</f>
        <v/>
      </c>
      <c r="BH17" s="273" t="n"/>
      <c r="BI17" s="273" t="n"/>
      <c r="BJ17" s="273" t="n"/>
      <c r="BK17" s="273" t="n"/>
      <c r="BL17" s="273" t="n"/>
    </row>
    <row r="18">
      <c r="A18" s="280" t="b">
        <v>0</v>
      </c>
      <c r="B18" s="272">
        <f>ROW()-1</f>
        <v/>
      </c>
      <c r="C18" s="286">
        <f>_xlfn.XLOOKUP($D18,Tab_Process_TCs[Name(EN)],Tab_Process_TCs[Process_ID],,0,)</f>
        <v/>
      </c>
      <c r="D18" s="189" t="inlineStr">
        <is>
          <t>N.A.</t>
        </is>
      </c>
      <c r="E18" s="189" t="inlineStr">
        <is>
          <t>N.A.</t>
        </is>
      </c>
      <c r="F18" s="286">
        <f>_xlfn.XLOOKUP($D18,Tab_Process_TCs[Name(EN)],Tab_Process_TCs[TC?],,0,)</f>
        <v/>
      </c>
      <c r="G18" s="286">
        <f>_xlfn.XLOOKUP($D18,Tab_Process_TCs[Name(EN)],Tab_Process_TCs[Dyn_TC?],,0,)</f>
        <v/>
      </c>
      <c r="H18" s="272">
        <f>_xlfn.XLOOKUP($E18,Tab_Def_Flows[Name(EN)],Tab_Def_Flows[Flow_ID],,0,1)</f>
        <v/>
      </c>
      <c r="I18" s="272">
        <f>IF(Tab_Process_TCs2527[[#This Row],[Name(EN)]]="N.A.","N.A.","TC"&amp;"_"&amp;RIGHT(H18,5))</f>
        <v/>
      </c>
      <c r="J18" s="273" t="n"/>
      <c r="K18" s="183" t="n"/>
      <c r="L18" s="272" t="n"/>
      <c r="M18" s="296">
        <f>_xlfn.XLOOKUP($D18,Tab_Def_Processes[Name(EN)],Tab_Def_Processes[Input_Flow_I_1],,0,)</f>
        <v/>
      </c>
      <c r="N18" s="272">
        <f>_xlfn.XLOOKUP($D18,Tab_Def_Processes[Name(EN)],Tab_Def_Processes[Flow_ID_I_1],,0,)</f>
        <v/>
      </c>
      <c r="O18" s="33" t="n"/>
      <c r="P18" s="29">
        <f>_xlfn.XLOOKUP($D18,Tab_Def_Processes[Name(EN)],Tab_Def_Processes[Input_Flow_I_2],,0,)</f>
        <v/>
      </c>
      <c r="Q18" s="272">
        <f>_xlfn.XLOOKUP($D18,Tab_Def_Processes[Name(EN)],Tab_Def_Processes[Flow_ID_I_2],,0,)</f>
        <v/>
      </c>
      <c r="R18" s="33" t="n"/>
      <c r="S18" s="29">
        <f>_xlfn.XLOOKUP($D18,Tab_Def_Processes[Name(EN)],Tab_Def_Processes[Input_Flow_I_3],,0,)</f>
        <v/>
      </c>
      <c r="T18" s="272">
        <f>_xlfn.XLOOKUP($D18,Tab_Def_Processes[Name(EN)],Tab_Def_Processes[Flow_ID_I_3],,0,)</f>
        <v/>
      </c>
      <c r="U18" s="33" t="n"/>
      <c r="V18" s="29">
        <f>_xlfn.XLOOKUP($D18,Tab_Def_Processes[Name(EN)],Tab_Def_Processes[Input_Flow_I_4],,0,)</f>
        <v/>
      </c>
      <c r="W18" s="272">
        <f>_xlfn.XLOOKUP($D18,Tab_Def_Processes[Name(EN)],Tab_Def_Processes[Flow_ID_I_4],,0,)</f>
        <v/>
      </c>
      <c r="X18" s="33" t="n"/>
      <c r="Y18" s="29">
        <f>_xlfn.XLOOKUP($D18,Tab_Def_Processes[Name(EN)],Tab_Def_Processes[Input_Flow_I_5],,0,)</f>
        <v/>
      </c>
      <c r="Z18" s="272">
        <f>_xlfn.XLOOKUP($D18,Tab_Def_Processes[Name(EN)],Tab_Def_Processes[Flow_ID_I_5],,0,)</f>
        <v/>
      </c>
      <c r="AA18" s="33" t="n"/>
      <c r="AB18" s="32">
        <f>Tab_Process_TCs2527[[#This Row],[Flow_TC_I_1_'[%']]]+Tab_Process_TCs2527[[#This Row],[Flow_TC_I_2_'[%']]]+Tab_Process_TCs2527[[#This Row],[Flow_TC_I_3_'[%']]]+Tab_Process_TCs2527[[#This Row],[Flow_TC_I_4_'[%']]]+Tab_Process_TCs2527[[#This Row],[Flow_TC_I_5_'[%']]]</f>
        <v/>
      </c>
      <c r="AC18" s="296">
        <f>_xlfn.XLOOKUP($D18,#REF!,#REF!,,0,)</f>
        <v/>
      </c>
      <c r="AD18" s="272">
        <f>_xlfn.XLOOKUP($D18,#REF!,#REF!,,0,)</f>
        <v/>
      </c>
      <c r="AE18" s="42">
        <f>Tab_Process_TCs2527[[#This Row],[Flow_ID]]</f>
        <v/>
      </c>
      <c r="AF18" s="272">
        <f>"TC"&amp;"_"&amp;RIGHT(AD18,5)</f>
        <v/>
      </c>
      <c r="AG18" s="49" t="n">
        <v>0.5</v>
      </c>
      <c r="AH18" s="169">
        <f>_xlfn.XLOOKUP($D18,#REF!,#REF!,,0,)</f>
        <v/>
      </c>
      <c r="AI18" s="53">
        <f>_xlfn.XLOOKUP($D18,#REF!,#REF!,,0,)</f>
        <v/>
      </c>
      <c r="AJ18" s="42">
        <f>Tab_Process_TCs2527[[#This Row],[Flow_ID]]</f>
        <v/>
      </c>
      <c r="AK18" s="272">
        <f>"TC"&amp;"_"&amp;RIGHT(AI18,5)</f>
        <v/>
      </c>
      <c r="AL18" s="176" t="n">
        <v>0.2</v>
      </c>
      <c r="AM18" s="296">
        <f>_xlfn.XLOOKUP($D18,#REF!,#REF!,,0,)</f>
        <v/>
      </c>
      <c r="AN18" s="272">
        <f>_xlfn.XLOOKUP($D18,#REF!,#REF!,,0,)</f>
        <v/>
      </c>
      <c r="AO18" s="42">
        <f>Tab_Process_TCs2527[[#This Row],[Flow_ID]]</f>
        <v/>
      </c>
      <c r="AP18" s="272">
        <f>"TC"&amp;"_"&amp;RIGHT(AN18,5)</f>
        <v/>
      </c>
      <c r="AQ18" s="168" t="n">
        <v>0.3</v>
      </c>
      <c r="AR18" s="296">
        <f>_xlfn.XLOOKUP($D18,#REF!,#REF!,,0,)</f>
        <v/>
      </c>
      <c r="AS18" s="272">
        <f>_xlfn.XLOOKUP($D18,#REF!,#REF!,,0,)</f>
        <v/>
      </c>
      <c r="AT18" s="42">
        <f>Tab_Process_TCs2527[[#This Row],[Flow_ID]]</f>
        <v/>
      </c>
      <c r="AU18" s="42">
        <f>"TC"&amp;"_"&amp;RIGHT(AN18,5)</f>
        <v/>
      </c>
      <c r="AV18" s="168" t="n"/>
      <c r="AW18" s="296">
        <f>_xlfn.XLOOKUP($D18,#REF!,#REF!,,0,)</f>
        <v/>
      </c>
      <c r="AX18" s="272">
        <f>_xlfn.XLOOKUP($D18,#REF!,#REF!,,0,)</f>
        <v/>
      </c>
      <c r="AY18" s="42">
        <f>Tab_Process_TCs2527[[#This Row],[Flow_ID]]</f>
        <v/>
      </c>
      <c r="AZ18" s="42">
        <f>"TC"&amp;"_"&amp;RIGHT(AX18,5)</f>
        <v/>
      </c>
      <c r="BA18" s="168" t="n"/>
      <c r="BB18" s="272">
        <f>_xlfn.XLOOKUP($D18,#REF!,#REF!,,0,)</f>
        <v/>
      </c>
      <c r="BC18" s="272">
        <f>_xlfn.XLOOKUP($D18,#REF!,#REF!,,0,)</f>
        <v/>
      </c>
      <c r="BD18" s="42">
        <f>Tab_Process_TCs2527[[#This Row],[Flow_ID]]</f>
        <v/>
      </c>
      <c r="BE18" s="42">
        <f>"TC"&amp;"_"&amp;RIGHT(BC18,5)</f>
        <v/>
      </c>
      <c r="BF18" s="49" t="n"/>
      <c r="BG18" s="52">
        <f>Tab_Process_TCs2527[[#This Row],[TC O_6_'[%']]]+Tab_Process_TCs2527[[#This Row],[TC O_5_'[%']]]+Tab_Process_TCs2527[[#This Row],[TC_O_4_'[%']]]+Tab_Process_TCs2527[[#This Row],[TC_O_3_'[%']]]+Tab_Process_TCs2527[[#This Row],[TC_O_2_'[%']]]+Tab_Process_TCs2527[[#This Row],[TC_O_1_'[%']]]</f>
        <v/>
      </c>
      <c r="BH18" s="273" t="n"/>
      <c r="BI18" s="273" t="n"/>
      <c r="BJ18" s="273" t="n"/>
      <c r="BK18" s="273" t="n"/>
      <c r="BL18" s="273" t="n"/>
    </row>
    <row r="19">
      <c r="A19" s="280" t="b">
        <v>0</v>
      </c>
      <c r="B19" s="272">
        <f>ROW()-1</f>
        <v/>
      </c>
      <c r="C19" s="286">
        <f>_xlfn.XLOOKUP($D19,Tab_Process_TCs[Name(EN)],Tab_Process_TCs[Process_ID],,0,)</f>
        <v/>
      </c>
      <c r="D19" s="189" t="inlineStr">
        <is>
          <t>N.A.</t>
        </is>
      </c>
      <c r="E19" s="189" t="inlineStr">
        <is>
          <t>N.A.</t>
        </is>
      </c>
      <c r="F19" s="286">
        <f>_xlfn.XLOOKUP($D19,Tab_Process_TCs[Name(EN)],Tab_Process_TCs[TC?],,0,)</f>
        <v/>
      </c>
      <c r="G19" s="286">
        <f>_xlfn.XLOOKUP($D19,Tab_Process_TCs[Name(EN)],Tab_Process_TCs[Dyn_TC?],,0,)</f>
        <v/>
      </c>
      <c r="H19" s="272">
        <f>_xlfn.XLOOKUP($E19,Tab_Def_Flows[Name(EN)],Tab_Def_Flows[Flow_ID],,0,1)</f>
        <v/>
      </c>
      <c r="I19" s="272">
        <f>IF(Tab_Process_TCs2527[[#This Row],[Name(EN)]]="N.A.","N.A.","TC"&amp;"_"&amp;RIGHT(H19,5))</f>
        <v/>
      </c>
      <c r="J19" s="273" t="n"/>
      <c r="K19" s="183" t="n"/>
      <c r="L19" s="272" t="n"/>
      <c r="M19" s="296">
        <f>_xlfn.XLOOKUP($D19,Tab_Def_Processes[Name(EN)],Tab_Def_Processes[Input_Flow_I_1],,0,)</f>
        <v/>
      </c>
      <c r="N19" s="272">
        <f>_xlfn.XLOOKUP($D19,Tab_Def_Processes[Name(EN)],Tab_Def_Processes[Flow_ID_I_1],,0,)</f>
        <v/>
      </c>
      <c r="O19" s="33" t="n"/>
      <c r="P19" s="29">
        <f>_xlfn.XLOOKUP($D19,Tab_Def_Processes[Name(EN)],Tab_Def_Processes[Input_Flow_I_2],,0,)</f>
        <v/>
      </c>
      <c r="Q19" s="272">
        <f>_xlfn.XLOOKUP($D19,Tab_Def_Processes[Name(EN)],Tab_Def_Processes[Flow_ID_I_2],,0,)</f>
        <v/>
      </c>
      <c r="R19" s="33" t="n"/>
      <c r="S19" s="29">
        <f>_xlfn.XLOOKUP($D19,Tab_Def_Processes[Name(EN)],Tab_Def_Processes[Input_Flow_I_3],,0,)</f>
        <v/>
      </c>
      <c r="T19" s="272">
        <f>_xlfn.XLOOKUP($D19,Tab_Def_Processes[Name(EN)],Tab_Def_Processes[Flow_ID_I_3],,0,)</f>
        <v/>
      </c>
      <c r="U19" s="33" t="n"/>
      <c r="V19" s="29">
        <f>_xlfn.XLOOKUP($D19,Tab_Def_Processes[Name(EN)],Tab_Def_Processes[Input_Flow_I_4],,0,)</f>
        <v/>
      </c>
      <c r="W19" s="272">
        <f>_xlfn.XLOOKUP($D19,Tab_Def_Processes[Name(EN)],Tab_Def_Processes[Flow_ID_I_4],,0,)</f>
        <v/>
      </c>
      <c r="X19" s="33" t="n"/>
      <c r="Y19" s="29">
        <f>_xlfn.XLOOKUP($D19,Tab_Def_Processes[Name(EN)],Tab_Def_Processes[Input_Flow_I_5],,0,)</f>
        <v/>
      </c>
      <c r="Z19" s="272">
        <f>_xlfn.XLOOKUP($D19,Tab_Def_Processes[Name(EN)],Tab_Def_Processes[Flow_ID_I_5],,0,)</f>
        <v/>
      </c>
      <c r="AA19" s="33" t="n"/>
      <c r="AB19" s="32">
        <f>Tab_Process_TCs2527[[#This Row],[Flow_TC_I_1_'[%']]]+Tab_Process_TCs2527[[#This Row],[Flow_TC_I_2_'[%']]]+Tab_Process_TCs2527[[#This Row],[Flow_TC_I_3_'[%']]]+Tab_Process_TCs2527[[#This Row],[Flow_TC_I_4_'[%']]]+Tab_Process_TCs2527[[#This Row],[Flow_TC_I_5_'[%']]]</f>
        <v/>
      </c>
      <c r="AC19" s="296">
        <f>_xlfn.XLOOKUP($D19,#REF!,#REF!,,0,)</f>
        <v/>
      </c>
      <c r="AD19" s="272">
        <f>_xlfn.XLOOKUP($D19,#REF!,#REF!,,0,)</f>
        <v/>
      </c>
      <c r="AE19" s="42">
        <f>Tab_Process_TCs2527[[#This Row],[Flow_ID]]</f>
        <v/>
      </c>
      <c r="AF19" s="272">
        <f>"TC"&amp;"_"&amp;RIGHT(AD19,5)</f>
        <v/>
      </c>
      <c r="AG19" s="49" t="n">
        <v>0.5</v>
      </c>
      <c r="AH19" s="169">
        <f>_xlfn.XLOOKUP($D19,#REF!,#REF!,,0,)</f>
        <v/>
      </c>
      <c r="AI19" s="53">
        <f>_xlfn.XLOOKUP($D19,#REF!,#REF!,,0,)</f>
        <v/>
      </c>
      <c r="AJ19" s="42">
        <f>Tab_Process_TCs2527[[#This Row],[Flow_ID]]</f>
        <v/>
      </c>
      <c r="AK19" s="272">
        <f>"TC"&amp;"_"&amp;RIGHT(AI19,5)</f>
        <v/>
      </c>
      <c r="AL19" s="176" t="n">
        <v>0.2</v>
      </c>
      <c r="AM19" s="296">
        <f>_xlfn.XLOOKUP($D19,#REF!,#REF!,,0,)</f>
        <v/>
      </c>
      <c r="AN19" s="272">
        <f>_xlfn.XLOOKUP($D19,#REF!,#REF!,,0,)</f>
        <v/>
      </c>
      <c r="AO19" s="42">
        <f>Tab_Process_TCs2527[[#This Row],[Flow_ID]]</f>
        <v/>
      </c>
      <c r="AP19" s="272">
        <f>"TC"&amp;"_"&amp;RIGHT(AN19,5)</f>
        <v/>
      </c>
      <c r="AQ19" s="168" t="n">
        <v>0.3</v>
      </c>
      <c r="AR19" s="296">
        <f>_xlfn.XLOOKUP($D19,#REF!,#REF!,,0,)</f>
        <v/>
      </c>
      <c r="AS19" s="272">
        <f>_xlfn.XLOOKUP($D19,#REF!,#REF!,,0,)</f>
        <v/>
      </c>
      <c r="AT19" s="42">
        <f>Tab_Process_TCs2527[[#This Row],[Flow_ID]]</f>
        <v/>
      </c>
      <c r="AU19" s="42">
        <f>"TC"&amp;"_"&amp;RIGHT(AN19,5)</f>
        <v/>
      </c>
      <c r="AV19" s="168" t="n"/>
      <c r="AW19" s="296">
        <f>_xlfn.XLOOKUP($D19,#REF!,#REF!,,0,)</f>
        <v/>
      </c>
      <c r="AX19" s="272">
        <f>_xlfn.XLOOKUP($D19,#REF!,#REF!,,0,)</f>
        <v/>
      </c>
      <c r="AY19" s="42">
        <f>Tab_Process_TCs2527[[#This Row],[Flow_ID]]</f>
        <v/>
      </c>
      <c r="AZ19" s="42">
        <f>"TC"&amp;"_"&amp;RIGHT(AX19,5)</f>
        <v/>
      </c>
      <c r="BA19" s="168" t="n"/>
      <c r="BB19" s="272">
        <f>_xlfn.XLOOKUP($D19,#REF!,#REF!,,0,)</f>
        <v/>
      </c>
      <c r="BC19" s="272">
        <f>_xlfn.XLOOKUP($D19,#REF!,#REF!,,0,)</f>
        <v/>
      </c>
      <c r="BD19" s="42">
        <f>Tab_Process_TCs2527[[#This Row],[Flow_ID]]</f>
        <v/>
      </c>
      <c r="BE19" s="42">
        <f>"TC"&amp;"_"&amp;RIGHT(BC19,5)</f>
        <v/>
      </c>
      <c r="BF19" s="49" t="n"/>
      <c r="BG19" s="52">
        <f>Tab_Process_TCs2527[[#This Row],[TC O_6_'[%']]]+Tab_Process_TCs2527[[#This Row],[TC O_5_'[%']]]+Tab_Process_TCs2527[[#This Row],[TC_O_4_'[%']]]+Tab_Process_TCs2527[[#This Row],[TC_O_3_'[%']]]+Tab_Process_TCs2527[[#This Row],[TC_O_2_'[%']]]+Tab_Process_TCs2527[[#This Row],[TC_O_1_'[%']]]</f>
        <v/>
      </c>
      <c r="BH19" s="273" t="n"/>
      <c r="BI19" s="273" t="n"/>
      <c r="BJ19" s="273" t="n"/>
      <c r="BK19" s="273" t="n"/>
      <c r="BL19" s="273" t="n"/>
    </row>
    <row r="20">
      <c r="A20" s="280" t="b">
        <v>0</v>
      </c>
      <c r="B20" s="272">
        <f>ROW()-1</f>
        <v/>
      </c>
      <c r="C20" s="286">
        <f>_xlfn.XLOOKUP($D20,Tab_Process_TCs[Name(EN)],Tab_Process_TCs[Process_ID],,0,)</f>
        <v/>
      </c>
      <c r="D20" s="189" t="inlineStr">
        <is>
          <t>N.A.</t>
        </is>
      </c>
      <c r="E20" s="189" t="inlineStr">
        <is>
          <t>N.A.</t>
        </is>
      </c>
      <c r="F20" s="286">
        <f>_xlfn.XLOOKUP($D20,Tab_Process_TCs[Name(EN)],Tab_Process_TCs[TC?],,0,)</f>
        <v/>
      </c>
      <c r="G20" s="286">
        <f>_xlfn.XLOOKUP($D20,Tab_Process_TCs[Name(EN)],Tab_Process_TCs[Dyn_TC?],,0,)</f>
        <v/>
      </c>
      <c r="H20" s="272">
        <f>_xlfn.XLOOKUP($E20,Tab_Def_Flows[Name(EN)],Tab_Def_Flows[Flow_ID],,0,1)</f>
        <v/>
      </c>
      <c r="I20" s="272">
        <f>IF(Tab_Process_TCs2527[[#This Row],[Name(EN)]]="N.A.","N.A.","TC"&amp;"_"&amp;RIGHT(H20,5))</f>
        <v/>
      </c>
      <c r="J20" s="273" t="n"/>
      <c r="K20" s="183" t="n"/>
      <c r="L20" s="272" t="n"/>
      <c r="M20" s="296">
        <f>_xlfn.XLOOKUP($D20,Tab_Def_Processes[Name(EN)],Tab_Def_Processes[Input_Flow_I_1],,0,)</f>
        <v/>
      </c>
      <c r="N20" s="272">
        <f>_xlfn.XLOOKUP($D20,Tab_Def_Processes[Name(EN)],Tab_Def_Processes[Flow_ID_I_1],,0,)</f>
        <v/>
      </c>
      <c r="O20" s="33" t="n"/>
      <c r="P20" s="29">
        <f>_xlfn.XLOOKUP($D20,Tab_Def_Processes[Name(EN)],Tab_Def_Processes[Input_Flow_I_2],,0,)</f>
        <v/>
      </c>
      <c r="Q20" s="272">
        <f>_xlfn.XLOOKUP($D20,Tab_Def_Processes[Name(EN)],Tab_Def_Processes[Flow_ID_I_2],,0,)</f>
        <v/>
      </c>
      <c r="R20" s="33" t="n"/>
      <c r="S20" s="29">
        <f>_xlfn.XLOOKUP($D20,Tab_Def_Processes[Name(EN)],Tab_Def_Processes[Input_Flow_I_3],,0,)</f>
        <v/>
      </c>
      <c r="T20" s="272">
        <f>_xlfn.XLOOKUP($D20,Tab_Def_Processes[Name(EN)],Tab_Def_Processes[Flow_ID_I_3],,0,)</f>
        <v/>
      </c>
      <c r="U20" s="33" t="n"/>
      <c r="V20" s="29">
        <f>_xlfn.XLOOKUP($D20,Tab_Def_Processes[Name(EN)],Tab_Def_Processes[Input_Flow_I_4],,0,)</f>
        <v/>
      </c>
      <c r="W20" s="272">
        <f>_xlfn.XLOOKUP($D20,Tab_Def_Processes[Name(EN)],Tab_Def_Processes[Flow_ID_I_4],,0,)</f>
        <v/>
      </c>
      <c r="X20" s="33" t="n"/>
      <c r="Y20" s="29">
        <f>_xlfn.XLOOKUP($D20,Tab_Def_Processes[Name(EN)],Tab_Def_Processes[Input_Flow_I_5],,0,)</f>
        <v/>
      </c>
      <c r="Z20" s="272">
        <f>_xlfn.XLOOKUP($D20,Tab_Def_Processes[Name(EN)],Tab_Def_Processes[Flow_ID_I_5],,0,)</f>
        <v/>
      </c>
      <c r="AA20" s="33" t="n"/>
      <c r="AB20" s="32">
        <f>Tab_Process_TCs2527[[#This Row],[Flow_TC_I_1_'[%']]]+Tab_Process_TCs2527[[#This Row],[Flow_TC_I_2_'[%']]]+Tab_Process_TCs2527[[#This Row],[Flow_TC_I_3_'[%']]]+Tab_Process_TCs2527[[#This Row],[Flow_TC_I_4_'[%']]]+Tab_Process_TCs2527[[#This Row],[Flow_TC_I_5_'[%']]]</f>
        <v/>
      </c>
      <c r="AC20" s="296">
        <f>_xlfn.XLOOKUP($D20,#REF!,#REF!,,0,)</f>
        <v/>
      </c>
      <c r="AD20" s="272">
        <f>_xlfn.XLOOKUP($D20,#REF!,#REF!,,0,)</f>
        <v/>
      </c>
      <c r="AE20" s="42">
        <f>Tab_Process_TCs2527[[#This Row],[Flow_ID]]</f>
        <v/>
      </c>
      <c r="AF20" s="272">
        <f>"TC"&amp;"_"&amp;RIGHT(AD20,5)</f>
        <v/>
      </c>
      <c r="AG20" s="49" t="n">
        <v>0.5</v>
      </c>
      <c r="AH20" s="169">
        <f>_xlfn.XLOOKUP($D20,#REF!,#REF!,,0,)</f>
        <v/>
      </c>
      <c r="AI20" s="53">
        <f>_xlfn.XLOOKUP($D20,#REF!,#REF!,,0,)</f>
        <v/>
      </c>
      <c r="AJ20" s="42">
        <f>Tab_Process_TCs2527[[#This Row],[Flow_ID]]</f>
        <v/>
      </c>
      <c r="AK20" s="272">
        <f>"TC"&amp;"_"&amp;RIGHT(AI20,5)</f>
        <v/>
      </c>
      <c r="AL20" s="168" t="n">
        <v>0.2</v>
      </c>
      <c r="AM20" s="296">
        <f>_xlfn.XLOOKUP($D20,#REF!,#REF!,,0,)</f>
        <v/>
      </c>
      <c r="AN20" s="272">
        <f>_xlfn.XLOOKUP($D20,#REF!,#REF!,,0,)</f>
        <v/>
      </c>
      <c r="AO20" s="42">
        <f>Tab_Process_TCs2527[[#This Row],[Flow_ID]]</f>
        <v/>
      </c>
      <c r="AP20" s="272">
        <f>"TC"&amp;"_"&amp;RIGHT(AN20,5)</f>
        <v/>
      </c>
      <c r="AQ20" s="168" t="n">
        <v>0.3</v>
      </c>
      <c r="AR20" s="296">
        <f>_xlfn.XLOOKUP($D20,#REF!,#REF!,,0,)</f>
        <v/>
      </c>
      <c r="AS20" s="272">
        <f>_xlfn.XLOOKUP($D20,#REF!,#REF!,,0,)</f>
        <v/>
      </c>
      <c r="AT20" s="42">
        <f>Tab_Process_TCs2527[[#This Row],[Flow_ID]]</f>
        <v/>
      </c>
      <c r="AU20" s="42">
        <f>"TC"&amp;"_"&amp;RIGHT(AN20,5)</f>
        <v/>
      </c>
      <c r="AV20" s="168" t="n"/>
      <c r="AW20" s="296">
        <f>_xlfn.XLOOKUP($D20,#REF!,#REF!,,0,)</f>
        <v/>
      </c>
      <c r="AX20" s="272">
        <f>_xlfn.XLOOKUP($D20,#REF!,#REF!,,0,)</f>
        <v/>
      </c>
      <c r="AY20" s="42">
        <f>Tab_Process_TCs2527[[#This Row],[Flow_ID]]</f>
        <v/>
      </c>
      <c r="AZ20" s="42">
        <f>"TC"&amp;"_"&amp;RIGHT(AX20,5)</f>
        <v/>
      </c>
      <c r="BA20" s="168" t="n"/>
      <c r="BB20" s="272">
        <f>_xlfn.XLOOKUP($D20,#REF!,#REF!,,0,)</f>
        <v/>
      </c>
      <c r="BC20" s="272">
        <f>_xlfn.XLOOKUP($D20,#REF!,#REF!,,0,)</f>
        <v/>
      </c>
      <c r="BD20" s="42">
        <f>Tab_Process_TCs2527[[#This Row],[Flow_ID]]</f>
        <v/>
      </c>
      <c r="BE20" s="42">
        <f>"TC"&amp;"_"&amp;RIGHT(BC20,5)</f>
        <v/>
      </c>
      <c r="BF20" s="49" t="n"/>
      <c r="BG20" s="52">
        <f>Tab_Process_TCs2527[[#This Row],[TC O_6_'[%']]]+Tab_Process_TCs2527[[#This Row],[TC O_5_'[%']]]+Tab_Process_TCs2527[[#This Row],[TC_O_4_'[%']]]+Tab_Process_TCs2527[[#This Row],[TC_O_3_'[%']]]+Tab_Process_TCs2527[[#This Row],[TC_O_2_'[%']]]+Tab_Process_TCs2527[[#This Row],[TC_O_1_'[%']]]</f>
        <v/>
      </c>
      <c r="BH20" s="273" t="n"/>
      <c r="BI20" s="273" t="n"/>
      <c r="BJ20" s="273" t="n"/>
      <c r="BK20" s="273" t="n"/>
      <c r="BL20" s="273" t="n"/>
    </row>
    <row r="21">
      <c r="A21" s="280" t="b">
        <v>0</v>
      </c>
      <c r="B21" s="272">
        <f>ROW()-1</f>
        <v/>
      </c>
      <c r="C21" s="286">
        <f>_xlfn.XLOOKUP($D21,Tab_Process_TCs[Name(EN)],Tab_Process_TCs[Process_ID],,0,)</f>
        <v/>
      </c>
      <c r="D21" s="189" t="inlineStr">
        <is>
          <t>N.A.</t>
        </is>
      </c>
      <c r="E21" s="189" t="inlineStr">
        <is>
          <t>N.A.</t>
        </is>
      </c>
      <c r="F21" s="286">
        <f>_xlfn.XLOOKUP($D21,Tab_Process_TCs[Name(EN)],Tab_Process_TCs[TC?],,0,)</f>
        <v/>
      </c>
      <c r="G21" s="286">
        <f>_xlfn.XLOOKUP($D21,Tab_Process_TCs[Name(EN)],Tab_Process_TCs[Dyn_TC?],,0,)</f>
        <v/>
      </c>
      <c r="H21" s="272">
        <f>_xlfn.XLOOKUP($E21,Tab_Def_Flows[Name(EN)],Tab_Def_Flows[Flow_ID],,0,1)</f>
        <v/>
      </c>
      <c r="I21" s="272">
        <f>IF(Tab_Process_TCs2527[[#This Row],[Name(EN)]]="N.A.","N.A.","TC"&amp;"_"&amp;RIGHT(H21,5))</f>
        <v/>
      </c>
      <c r="J21" s="273" t="n"/>
      <c r="K21" s="183" t="n"/>
      <c r="L21" s="272" t="n"/>
      <c r="M21" s="296">
        <f>_xlfn.XLOOKUP($D21,Tab_Def_Processes[Name(EN)],Tab_Def_Processes[Input_Flow_I_1],,0,)</f>
        <v/>
      </c>
      <c r="N21" s="272">
        <f>_xlfn.XLOOKUP($D21,Tab_Def_Processes[Name(EN)],Tab_Def_Processes[Flow_ID_I_1],,0,)</f>
        <v/>
      </c>
      <c r="O21" s="33" t="n"/>
      <c r="P21" s="29">
        <f>_xlfn.XLOOKUP($D21,Tab_Def_Processes[Name(EN)],Tab_Def_Processes[Input_Flow_I_2],,0,)</f>
        <v/>
      </c>
      <c r="Q21" s="272">
        <f>_xlfn.XLOOKUP($D21,Tab_Def_Processes[Name(EN)],Tab_Def_Processes[Flow_ID_I_2],,0,)</f>
        <v/>
      </c>
      <c r="R21" s="33" t="n"/>
      <c r="S21" s="29">
        <f>_xlfn.XLOOKUP($D21,Tab_Def_Processes[Name(EN)],Tab_Def_Processes[Input_Flow_I_3],,0,)</f>
        <v/>
      </c>
      <c r="T21" s="272">
        <f>_xlfn.XLOOKUP($D21,Tab_Def_Processes[Name(EN)],Tab_Def_Processes[Flow_ID_I_3],,0,)</f>
        <v/>
      </c>
      <c r="U21" s="33" t="n"/>
      <c r="V21" s="29">
        <f>_xlfn.XLOOKUP($D21,Tab_Def_Processes[Name(EN)],Tab_Def_Processes[Input_Flow_I_4],,0,)</f>
        <v/>
      </c>
      <c r="W21" s="272">
        <f>_xlfn.XLOOKUP($D21,Tab_Def_Processes[Name(EN)],Tab_Def_Processes[Flow_ID_I_4],,0,)</f>
        <v/>
      </c>
      <c r="X21" s="33" t="n"/>
      <c r="Y21" s="29">
        <f>_xlfn.XLOOKUP($D21,Tab_Def_Processes[Name(EN)],Tab_Def_Processes[Input_Flow_I_5],,0,)</f>
        <v/>
      </c>
      <c r="Z21" s="272">
        <f>_xlfn.XLOOKUP($D21,Tab_Def_Processes[Name(EN)],Tab_Def_Processes[Flow_ID_I_5],,0,)</f>
        <v/>
      </c>
      <c r="AA21" s="33" t="n"/>
      <c r="AB21" s="32">
        <f>Tab_Process_TCs2527[[#This Row],[Flow_TC_I_1_'[%']]]+Tab_Process_TCs2527[[#This Row],[Flow_TC_I_2_'[%']]]+Tab_Process_TCs2527[[#This Row],[Flow_TC_I_3_'[%']]]+Tab_Process_TCs2527[[#This Row],[Flow_TC_I_4_'[%']]]+Tab_Process_TCs2527[[#This Row],[Flow_TC_I_5_'[%']]]</f>
        <v/>
      </c>
      <c r="AC21" s="296">
        <f>_xlfn.XLOOKUP($D21,#REF!,#REF!,,0,)</f>
        <v/>
      </c>
      <c r="AD21" s="272">
        <f>_xlfn.XLOOKUP($D21,#REF!,#REF!,,0,)</f>
        <v/>
      </c>
      <c r="AE21" s="42">
        <f>Tab_Process_TCs2527[[#This Row],[Flow_ID]]</f>
        <v/>
      </c>
      <c r="AF21" s="272">
        <f>"TC"&amp;"_"&amp;RIGHT(AD21,5)</f>
        <v/>
      </c>
      <c r="AG21" s="49" t="n">
        <v>0.5</v>
      </c>
      <c r="AH21" s="169">
        <f>_xlfn.XLOOKUP($D21,#REF!,#REF!,,0,)</f>
        <v/>
      </c>
      <c r="AI21" s="53">
        <f>_xlfn.XLOOKUP($D21,#REF!,#REF!,,0,)</f>
        <v/>
      </c>
      <c r="AJ21" s="42">
        <f>Tab_Process_TCs2527[[#This Row],[Flow_ID]]</f>
        <v/>
      </c>
      <c r="AK21" s="272">
        <f>"TC"&amp;"_"&amp;RIGHT(AI21,5)</f>
        <v/>
      </c>
      <c r="AL21" s="168" t="n">
        <v>0.2</v>
      </c>
      <c r="AM21" s="296">
        <f>_xlfn.XLOOKUP($D21,#REF!,#REF!,,0,)</f>
        <v/>
      </c>
      <c r="AN21" s="272">
        <f>_xlfn.XLOOKUP($D21,#REF!,#REF!,,0,)</f>
        <v/>
      </c>
      <c r="AO21" s="42">
        <f>Tab_Process_TCs2527[[#This Row],[Flow_ID]]</f>
        <v/>
      </c>
      <c r="AP21" s="272">
        <f>"TC"&amp;"_"&amp;RIGHT(AN21,5)</f>
        <v/>
      </c>
      <c r="AQ21" s="168" t="n">
        <v>0.3</v>
      </c>
      <c r="AR21" s="296">
        <f>_xlfn.XLOOKUP($D21,#REF!,#REF!,,0,)</f>
        <v/>
      </c>
      <c r="AS21" s="272">
        <f>_xlfn.XLOOKUP($D21,#REF!,#REF!,,0,)</f>
        <v/>
      </c>
      <c r="AT21" s="42">
        <f>Tab_Process_TCs2527[[#This Row],[Flow_ID]]</f>
        <v/>
      </c>
      <c r="AU21" s="42">
        <f>"TC"&amp;"_"&amp;RIGHT(AN21,5)</f>
        <v/>
      </c>
      <c r="AV21" s="168" t="n"/>
      <c r="AW21" s="296">
        <f>_xlfn.XLOOKUP($D21,#REF!,#REF!,,0,)</f>
        <v/>
      </c>
      <c r="AX21" s="272">
        <f>_xlfn.XLOOKUP($D21,#REF!,#REF!,,0,)</f>
        <v/>
      </c>
      <c r="AY21" s="42">
        <f>Tab_Process_TCs2527[[#This Row],[Flow_ID]]</f>
        <v/>
      </c>
      <c r="AZ21" s="42">
        <f>"TC"&amp;"_"&amp;RIGHT(AX21,5)</f>
        <v/>
      </c>
      <c r="BA21" s="168" t="n"/>
      <c r="BB21" s="272">
        <f>_xlfn.XLOOKUP($D21,#REF!,#REF!,,0,)</f>
        <v/>
      </c>
      <c r="BC21" s="272">
        <f>_xlfn.XLOOKUP($D21,#REF!,#REF!,,0,)</f>
        <v/>
      </c>
      <c r="BD21" s="42">
        <f>Tab_Process_TCs2527[[#This Row],[Flow_ID]]</f>
        <v/>
      </c>
      <c r="BE21" s="42">
        <f>"TC"&amp;"_"&amp;RIGHT(BC21,5)</f>
        <v/>
      </c>
      <c r="BF21" s="49" t="n"/>
      <c r="BG21" s="52">
        <f>Tab_Process_TCs2527[[#This Row],[TC O_6_'[%']]]+Tab_Process_TCs2527[[#This Row],[TC O_5_'[%']]]+Tab_Process_TCs2527[[#This Row],[TC_O_4_'[%']]]+Tab_Process_TCs2527[[#This Row],[TC_O_3_'[%']]]+Tab_Process_TCs2527[[#This Row],[TC_O_2_'[%']]]+Tab_Process_TCs2527[[#This Row],[TC_O_1_'[%']]]</f>
        <v/>
      </c>
      <c r="BH21" s="273" t="n"/>
      <c r="BI21" s="273" t="n"/>
      <c r="BJ21" s="273" t="n"/>
      <c r="BK21" s="273" t="n"/>
      <c r="BL21" s="273" t="n"/>
    </row>
    <row r="22">
      <c r="A22" s="280" t="b">
        <v>0</v>
      </c>
      <c r="B22" s="272">
        <f>ROW()-1</f>
        <v/>
      </c>
      <c r="C22" s="286">
        <f>_xlfn.XLOOKUP($D22,Tab_Process_TCs[Name(EN)],Tab_Process_TCs[Process_ID],,0,)</f>
        <v/>
      </c>
      <c r="D22" s="189" t="inlineStr">
        <is>
          <t>N.A.</t>
        </is>
      </c>
      <c r="E22" s="189" t="inlineStr">
        <is>
          <t>N.A.</t>
        </is>
      </c>
      <c r="F22" s="286">
        <f>_xlfn.XLOOKUP($D22,Tab_Process_TCs[Name(EN)],Tab_Process_TCs[TC?],,0,)</f>
        <v/>
      </c>
      <c r="G22" s="286">
        <f>_xlfn.XLOOKUP($D22,Tab_Process_TCs[Name(EN)],Tab_Process_TCs[Dyn_TC?],,0,)</f>
        <v/>
      </c>
      <c r="H22" s="272">
        <f>_xlfn.XLOOKUP($E22,Tab_Def_Flows[Name(EN)],Tab_Def_Flows[Flow_ID],,0,1)</f>
        <v/>
      </c>
      <c r="I22" s="272">
        <f>IF(Tab_Process_TCs2527[[#This Row],[Name(EN)]]="N.A.","N.A.","TC"&amp;"_"&amp;RIGHT(H22,5))</f>
        <v/>
      </c>
      <c r="J22" s="273" t="n"/>
      <c r="K22" s="183" t="n"/>
      <c r="L22" s="272" t="n"/>
      <c r="M22" s="296">
        <f>_xlfn.XLOOKUP($D22,Tab_Def_Processes[Name(EN)],Tab_Def_Processes[Input_Flow_I_1],,0,)</f>
        <v/>
      </c>
      <c r="N22" s="272">
        <f>_xlfn.XLOOKUP($D22,Tab_Def_Processes[Name(EN)],Tab_Def_Processes[Flow_ID_I_1],,0,)</f>
        <v/>
      </c>
      <c r="O22" s="33" t="n"/>
      <c r="P22" s="29">
        <f>_xlfn.XLOOKUP($D22,Tab_Def_Processes[Name(EN)],Tab_Def_Processes[Input_Flow_I_2],,0,)</f>
        <v/>
      </c>
      <c r="Q22" s="272">
        <f>_xlfn.XLOOKUP($D22,Tab_Def_Processes[Name(EN)],Tab_Def_Processes[Flow_ID_I_2],,0,)</f>
        <v/>
      </c>
      <c r="R22" s="33" t="n"/>
      <c r="S22" s="29">
        <f>_xlfn.XLOOKUP($D22,Tab_Def_Processes[Name(EN)],Tab_Def_Processes[Input_Flow_I_3],,0,)</f>
        <v/>
      </c>
      <c r="T22" s="272">
        <f>_xlfn.XLOOKUP($D22,Tab_Def_Processes[Name(EN)],Tab_Def_Processes[Flow_ID_I_3],,0,)</f>
        <v/>
      </c>
      <c r="U22" s="33" t="n"/>
      <c r="V22" s="29">
        <f>_xlfn.XLOOKUP($D22,Tab_Def_Processes[Name(EN)],Tab_Def_Processes[Input_Flow_I_4],,0,)</f>
        <v/>
      </c>
      <c r="W22" s="272">
        <f>_xlfn.XLOOKUP($D22,Tab_Def_Processes[Name(EN)],Tab_Def_Processes[Flow_ID_I_4],,0,)</f>
        <v/>
      </c>
      <c r="X22" s="33" t="n"/>
      <c r="Y22" s="29">
        <f>_xlfn.XLOOKUP($D22,Tab_Def_Processes[Name(EN)],Tab_Def_Processes[Input_Flow_I_5],,0,)</f>
        <v/>
      </c>
      <c r="Z22" s="272">
        <f>_xlfn.XLOOKUP($D22,Tab_Def_Processes[Name(EN)],Tab_Def_Processes[Flow_ID_I_5],,0,)</f>
        <v/>
      </c>
      <c r="AA22" s="33" t="n"/>
      <c r="AB22" s="32">
        <f>Tab_Process_TCs2527[[#This Row],[Flow_TC_I_1_'[%']]]+Tab_Process_TCs2527[[#This Row],[Flow_TC_I_2_'[%']]]+Tab_Process_TCs2527[[#This Row],[Flow_TC_I_3_'[%']]]+Tab_Process_TCs2527[[#This Row],[Flow_TC_I_4_'[%']]]+Tab_Process_TCs2527[[#This Row],[Flow_TC_I_5_'[%']]]</f>
        <v/>
      </c>
      <c r="AC22" s="296">
        <f>_xlfn.XLOOKUP($D22,#REF!,#REF!,,0,)</f>
        <v/>
      </c>
      <c r="AD22" s="272">
        <f>_xlfn.XLOOKUP($D22,#REF!,#REF!,,0,)</f>
        <v/>
      </c>
      <c r="AE22" s="42">
        <f>Tab_Process_TCs2527[[#This Row],[Flow_ID]]</f>
        <v/>
      </c>
      <c r="AF22" s="272">
        <f>"TC"&amp;"_"&amp;RIGHT(AD22,5)</f>
        <v/>
      </c>
      <c r="AG22" s="49" t="n">
        <v>0.5</v>
      </c>
      <c r="AH22" s="169">
        <f>_xlfn.XLOOKUP($D22,#REF!,#REF!,,0,)</f>
        <v/>
      </c>
      <c r="AI22" s="53">
        <f>_xlfn.XLOOKUP($D22,#REF!,#REF!,,0,)</f>
        <v/>
      </c>
      <c r="AJ22" s="42">
        <f>Tab_Process_TCs2527[[#This Row],[Flow_ID]]</f>
        <v/>
      </c>
      <c r="AK22" s="272">
        <f>"TC"&amp;"_"&amp;RIGHT(AI22,5)</f>
        <v/>
      </c>
      <c r="AL22" s="168" t="n">
        <v>0.2</v>
      </c>
      <c r="AM22" s="296">
        <f>_xlfn.XLOOKUP($D22,#REF!,#REF!,,0,)</f>
        <v/>
      </c>
      <c r="AN22" s="272">
        <f>_xlfn.XLOOKUP($D22,#REF!,#REF!,,0,)</f>
        <v/>
      </c>
      <c r="AO22" s="42">
        <f>Tab_Process_TCs2527[[#This Row],[Flow_ID]]</f>
        <v/>
      </c>
      <c r="AP22" s="272">
        <f>"TC"&amp;"_"&amp;RIGHT(AN22,5)</f>
        <v/>
      </c>
      <c r="AQ22" s="168" t="n">
        <v>0.3</v>
      </c>
      <c r="AR22" s="296">
        <f>_xlfn.XLOOKUP($D22,#REF!,#REF!,,0,)</f>
        <v/>
      </c>
      <c r="AS22" s="272">
        <f>_xlfn.XLOOKUP($D22,#REF!,#REF!,,0,)</f>
        <v/>
      </c>
      <c r="AT22" s="42">
        <f>Tab_Process_TCs2527[[#This Row],[Flow_ID]]</f>
        <v/>
      </c>
      <c r="AU22" s="42">
        <f>"TC"&amp;"_"&amp;RIGHT(AN22,5)</f>
        <v/>
      </c>
      <c r="AV22" s="168" t="n"/>
      <c r="AW22" s="296">
        <f>_xlfn.XLOOKUP($D22,#REF!,#REF!,,0,)</f>
        <v/>
      </c>
      <c r="AX22" s="272">
        <f>_xlfn.XLOOKUP($D22,#REF!,#REF!,,0,)</f>
        <v/>
      </c>
      <c r="AY22" s="42">
        <f>Tab_Process_TCs2527[[#This Row],[Flow_ID]]</f>
        <v/>
      </c>
      <c r="AZ22" s="42">
        <f>"TC"&amp;"_"&amp;RIGHT(AX22,5)</f>
        <v/>
      </c>
      <c r="BA22" s="168" t="n"/>
      <c r="BB22" s="272">
        <f>_xlfn.XLOOKUP($D22,#REF!,#REF!,,0,)</f>
        <v/>
      </c>
      <c r="BC22" s="272">
        <f>_xlfn.XLOOKUP($D22,#REF!,#REF!,,0,)</f>
        <v/>
      </c>
      <c r="BD22" s="42">
        <f>Tab_Process_TCs2527[[#This Row],[Flow_ID]]</f>
        <v/>
      </c>
      <c r="BE22" s="42">
        <f>"TC"&amp;"_"&amp;RIGHT(BC22,5)</f>
        <v/>
      </c>
      <c r="BF22" s="49" t="n"/>
      <c r="BG22" s="52">
        <f>Tab_Process_TCs2527[[#This Row],[TC O_6_'[%']]]+Tab_Process_TCs2527[[#This Row],[TC O_5_'[%']]]+Tab_Process_TCs2527[[#This Row],[TC_O_4_'[%']]]+Tab_Process_TCs2527[[#This Row],[TC_O_3_'[%']]]+Tab_Process_TCs2527[[#This Row],[TC_O_2_'[%']]]+Tab_Process_TCs2527[[#This Row],[TC_O_1_'[%']]]</f>
        <v/>
      </c>
      <c r="BH22" s="273" t="n"/>
      <c r="BI22" s="273" t="n"/>
      <c r="BJ22" s="273" t="n"/>
      <c r="BK22" s="273" t="n"/>
      <c r="BL22" s="273" t="n"/>
    </row>
    <row r="23">
      <c r="A23" s="280" t="b">
        <v>0</v>
      </c>
      <c r="B23" s="272">
        <f>ROW()-1</f>
        <v/>
      </c>
      <c r="C23" s="286">
        <f>_xlfn.XLOOKUP($D23,Tab_Process_TCs[Name(EN)],Tab_Process_TCs[Process_ID],,0,)</f>
        <v/>
      </c>
      <c r="D23" s="189" t="inlineStr">
        <is>
          <t>N.A.</t>
        </is>
      </c>
      <c r="E23" s="189" t="inlineStr">
        <is>
          <t>N.A.</t>
        </is>
      </c>
      <c r="F23" s="286">
        <f>_xlfn.XLOOKUP($D23,Tab_Process_TCs[Name(EN)],Tab_Process_TCs[TC?],,0,)</f>
        <v/>
      </c>
      <c r="G23" s="286">
        <f>_xlfn.XLOOKUP($D23,Tab_Process_TCs[Name(EN)],Tab_Process_TCs[Dyn_TC?],,0,)</f>
        <v/>
      </c>
      <c r="H23" s="272">
        <f>_xlfn.XLOOKUP($E23,Tab_Def_Flows[Name(EN)],Tab_Def_Flows[Flow_ID],,0,1)</f>
        <v/>
      </c>
      <c r="I23" s="272">
        <f>IF(Tab_Process_TCs2527[[#This Row],[Name(EN)]]="N.A.","N.A.","TC"&amp;"_"&amp;RIGHT(H23,5))</f>
        <v/>
      </c>
      <c r="J23" s="273" t="n"/>
      <c r="K23" s="183" t="n"/>
      <c r="L23" s="272" t="n"/>
      <c r="M23" s="296">
        <f>_xlfn.XLOOKUP($D23,Tab_Def_Processes[Name(EN)],Tab_Def_Processes[Input_Flow_I_1],,0,)</f>
        <v/>
      </c>
      <c r="N23" s="272">
        <f>_xlfn.XLOOKUP($D23,Tab_Def_Processes[Name(EN)],Tab_Def_Processes[Flow_ID_I_1],,0,)</f>
        <v/>
      </c>
      <c r="O23" s="33" t="n"/>
      <c r="P23" s="29">
        <f>_xlfn.XLOOKUP($D23,Tab_Def_Processes[Name(EN)],Tab_Def_Processes[Input_Flow_I_2],,0,)</f>
        <v/>
      </c>
      <c r="Q23" s="272">
        <f>_xlfn.XLOOKUP($D23,Tab_Def_Processes[Name(EN)],Tab_Def_Processes[Flow_ID_I_2],,0,)</f>
        <v/>
      </c>
      <c r="R23" s="33" t="n"/>
      <c r="S23" s="29">
        <f>_xlfn.XLOOKUP($D23,Tab_Def_Processes[Name(EN)],Tab_Def_Processes[Input_Flow_I_3],,0,)</f>
        <v/>
      </c>
      <c r="T23" s="272">
        <f>_xlfn.XLOOKUP($D23,Tab_Def_Processes[Name(EN)],Tab_Def_Processes[Flow_ID_I_3],,0,)</f>
        <v/>
      </c>
      <c r="U23" s="33" t="n"/>
      <c r="V23" s="29">
        <f>_xlfn.XLOOKUP($D23,Tab_Def_Processes[Name(EN)],Tab_Def_Processes[Input_Flow_I_4],,0,)</f>
        <v/>
      </c>
      <c r="W23" s="272">
        <f>_xlfn.XLOOKUP($D23,Tab_Def_Processes[Name(EN)],Tab_Def_Processes[Flow_ID_I_4],,0,)</f>
        <v/>
      </c>
      <c r="X23" s="33" t="n"/>
      <c r="Y23" s="29">
        <f>_xlfn.XLOOKUP($D23,Tab_Def_Processes[Name(EN)],Tab_Def_Processes[Input_Flow_I_5],,0,)</f>
        <v/>
      </c>
      <c r="Z23" s="272">
        <f>_xlfn.XLOOKUP($D23,Tab_Def_Processes[Name(EN)],Tab_Def_Processes[Flow_ID_I_5],,0,)</f>
        <v/>
      </c>
      <c r="AA23" s="33" t="n"/>
      <c r="AB23" s="32">
        <f>Tab_Process_TCs2527[[#This Row],[Flow_TC_I_1_'[%']]]+Tab_Process_TCs2527[[#This Row],[Flow_TC_I_2_'[%']]]+Tab_Process_TCs2527[[#This Row],[Flow_TC_I_3_'[%']]]+Tab_Process_TCs2527[[#This Row],[Flow_TC_I_4_'[%']]]+Tab_Process_TCs2527[[#This Row],[Flow_TC_I_5_'[%']]]</f>
        <v/>
      </c>
      <c r="AC23" s="296">
        <f>_xlfn.XLOOKUP($D23,#REF!,#REF!,,0,)</f>
        <v/>
      </c>
      <c r="AD23" s="272">
        <f>_xlfn.XLOOKUP($D23,#REF!,#REF!,,0,)</f>
        <v/>
      </c>
      <c r="AE23" s="42">
        <f>Tab_Process_TCs2527[[#This Row],[Flow_ID]]</f>
        <v/>
      </c>
      <c r="AF23" s="272">
        <f>"TC"&amp;"_"&amp;RIGHT(AD23,5)</f>
        <v/>
      </c>
      <c r="AG23" s="49" t="n">
        <v>0.5</v>
      </c>
      <c r="AH23" s="169">
        <f>_xlfn.XLOOKUP($D23,#REF!,#REF!,,0,)</f>
        <v/>
      </c>
      <c r="AI23" s="53">
        <f>_xlfn.XLOOKUP($D23,#REF!,#REF!,,0,)</f>
        <v/>
      </c>
      <c r="AJ23" s="42">
        <f>Tab_Process_TCs2527[[#This Row],[Flow_ID]]</f>
        <v/>
      </c>
      <c r="AK23" s="272">
        <f>"TC"&amp;"_"&amp;RIGHT(AI23,5)</f>
        <v/>
      </c>
      <c r="AL23" s="168" t="n">
        <v>0.2</v>
      </c>
      <c r="AM23" s="296">
        <f>_xlfn.XLOOKUP($D23,#REF!,#REF!,,0,)</f>
        <v/>
      </c>
      <c r="AN23" s="272">
        <f>_xlfn.XLOOKUP($D23,#REF!,#REF!,,0,)</f>
        <v/>
      </c>
      <c r="AO23" s="42">
        <f>Tab_Process_TCs2527[[#This Row],[Flow_ID]]</f>
        <v/>
      </c>
      <c r="AP23" s="272">
        <f>"TC"&amp;"_"&amp;RIGHT(AN23,5)</f>
        <v/>
      </c>
      <c r="AQ23" s="168" t="n">
        <v>0.3</v>
      </c>
      <c r="AR23" s="296">
        <f>_xlfn.XLOOKUP($D23,#REF!,#REF!,,0,)</f>
        <v/>
      </c>
      <c r="AS23" s="272">
        <f>_xlfn.XLOOKUP($D23,#REF!,#REF!,,0,)</f>
        <v/>
      </c>
      <c r="AT23" s="42">
        <f>Tab_Process_TCs2527[[#This Row],[Flow_ID]]</f>
        <v/>
      </c>
      <c r="AU23" s="42">
        <f>"TC"&amp;"_"&amp;RIGHT(AN23,5)</f>
        <v/>
      </c>
      <c r="AV23" s="168" t="n"/>
      <c r="AW23" s="296">
        <f>_xlfn.XLOOKUP($D23,#REF!,#REF!,,0,)</f>
        <v/>
      </c>
      <c r="AX23" s="272">
        <f>_xlfn.XLOOKUP($D23,#REF!,#REF!,,0,)</f>
        <v/>
      </c>
      <c r="AY23" s="42">
        <f>Tab_Process_TCs2527[[#This Row],[Flow_ID]]</f>
        <v/>
      </c>
      <c r="AZ23" s="42">
        <f>"TC"&amp;"_"&amp;RIGHT(AX23,5)</f>
        <v/>
      </c>
      <c r="BA23" s="168" t="n"/>
      <c r="BB23" s="272">
        <f>_xlfn.XLOOKUP($D23,#REF!,#REF!,,0,)</f>
        <v/>
      </c>
      <c r="BC23" s="272">
        <f>_xlfn.XLOOKUP($D23,#REF!,#REF!,,0,)</f>
        <v/>
      </c>
      <c r="BD23" s="42">
        <f>Tab_Process_TCs2527[[#This Row],[Flow_ID]]</f>
        <v/>
      </c>
      <c r="BE23" s="42">
        <f>"TC"&amp;"_"&amp;RIGHT(BC23,5)</f>
        <v/>
      </c>
      <c r="BF23" s="49" t="n"/>
      <c r="BG23" s="52">
        <f>Tab_Process_TCs2527[[#This Row],[TC O_6_'[%']]]+Tab_Process_TCs2527[[#This Row],[TC O_5_'[%']]]+Tab_Process_TCs2527[[#This Row],[TC_O_4_'[%']]]+Tab_Process_TCs2527[[#This Row],[TC_O_3_'[%']]]+Tab_Process_TCs2527[[#This Row],[TC_O_2_'[%']]]+Tab_Process_TCs2527[[#This Row],[TC_O_1_'[%']]]</f>
        <v/>
      </c>
      <c r="BH23" s="273" t="n"/>
      <c r="BI23" s="273" t="n"/>
      <c r="BJ23" s="273" t="n"/>
      <c r="BK23" s="273" t="n"/>
      <c r="BL23" s="273" t="n"/>
    </row>
    <row r="24">
      <c r="A24" s="280" t="b">
        <v>0</v>
      </c>
      <c r="B24" s="272">
        <f>ROW()-1</f>
        <v/>
      </c>
      <c r="C24" s="286">
        <f>_xlfn.XLOOKUP($D24,Tab_Process_TCs[Name(EN)],Tab_Process_TCs[Process_ID],,0,)</f>
        <v/>
      </c>
      <c r="D24" s="189" t="inlineStr">
        <is>
          <t>N.A.</t>
        </is>
      </c>
      <c r="E24" s="189" t="inlineStr">
        <is>
          <t>N.A.</t>
        </is>
      </c>
      <c r="F24" s="286">
        <f>_xlfn.XLOOKUP($D24,Tab_Process_TCs[Name(EN)],Tab_Process_TCs[TC?],,0,)</f>
        <v/>
      </c>
      <c r="G24" s="286">
        <f>_xlfn.XLOOKUP($D24,Tab_Process_TCs[Name(EN)],Tab_Process_TCs[Dyn_TC?],,0,)</f>
        <v/>
      </c>
      <c r="H24" s="272">
        <f>_xlfn.XLOOKUP($E24,Tab_Def_Flows[Name(EN)],Tab_Def_Flows[Flow_ID],,0,1)</f>
        <v/>
      </c>
      <c r="I24" s="272">
        <f>IF(Tab_Process_TCs2527[[#This Row],[Name(EN)]]="N.A.","N.A.","TC"&amp;"_"&amp;RIGHT(H24,5))</f>
        <v/>
      </c>
      <c r="J24" s="273" t="n"/>
      <c r="K24" s="183" t="n"/>
      <c r="L24" s="272" t="n"/>
      <c r="M24" s="296">
        <f>_xlfn.XLOOKUP($D24,Tab_Def_Processes[Name(EN)],Tab_Def_Processes[Input_Flow_I_1],,0,)</f>
        <v/>
      </c>
      <c r="N24" s="272">
        <f>_xlfn.XLOOKUP($D24,Tab_Def_Processes[Name(EN)],Tab_Def_Processes[Flow_ID_I_1],,0,)</f>
        <v/>
      </c>
      <c r="O24" s="33" t="n"/>
      <c r="P24" s="29">
        <f>_xlfn.XLOOKUP($D24,Tab_Def_Processes[Name(EN)],Tab_Def_Processes[Input_Flow_I_2],,0,)</f>
        <v/>
      </c>
      <c r="Q24" s="272">
        <f>_xlfn.XLOOKUP($D24,Tab_Def_Processes[Name(EN)],Tab_Def_Processes[Flow_ID_I_2],,0,)</f>
        <v/>
      </c>
      <c r="R24" s="33" t="n"/>
      <c r="S24" s="29">
        <f>_xlfn.XLOOKUP($D24,Tab_Def_Processes[Name(EN)],Tab_Def_Processes[Input_Flow_I_3],,0,)</f>
        <v/>
      </c>
      <c r="T24" s="272">
        <f>_xlfn.XLOOKUP($D24,Tab_Def_Processes[Name(EN)],Tab_Def_Processes[Flow_ID_I_3],,0,)</f>
        <v/>
      </c>
      <c r="U24" s="33" t="n"/>
      <c r="V24" s="29">
        <f>_xlfn.XLOOKUP($D24,Tab_Def_Processes[Name(EN)],Tab_Def_Processes[Input_Flow_I_4],,0,)</f>
        <v/>
      </c>
      <c r="W24" s="272">
        <f>_xlfn.XLOOKUP($D24,Tab_Def_Processes[Name(EN)],Tab_Def_Processes[Flow_ID_I_4],,0,)</f>
        <v/>
      </c>
      <c r="X24" s="33" t="n"/>
      <c r="Y24" s="29">
        <f>_xlfn.XLOOKUP($D24,Tab_Def_Processes[Name(EN)],Tab_Def_Processes[Input_Flow_I_5],,0,)</f>
        <v/>
      </c>
      <c r="Z24" s="272">
        <f>_xlfn.XLOOKUP($D24,Tab_Def_Processes[Name(EN)],Tab_Def_Processes[Flow_ID_I_5],,0,)</f>
        <v/>
      </c>
      <c r="AA24" s="33" t="n"/>
      <c r="AB24" s="32">
        <f>Tab_Process_TCs2527[[#This Row],[Flow_TC_I_1_'[%']]]+Tab_Process_TCs2527[[#This Row],[Flow_TC_I_2_'[%']]]+Tab_Process_TCs2527[[#This Row],[Flow_TC_I_3_'[%']]]+Tab_Process_TCs2527[[#This Row],[Flow_TC_I_4_'[%']]]+Tab_Process_TCs2527[[#This Row],[Flow_TC_I_5_'[%']]]</f>
        <v/>
      </c>
      <c r="AC24" s="296">
        <f>_xlfn.XLOOKUP($D24,#REF!,#REF!,,0,)</f>
        <v/>
      </c>
      <c r="AD24" s="272">
        <f>_xlfn.XLOOKUP($D24,#REF!,#REF!,,0,)</f>
        <v/>
      </c>
      <c r="AE24" s="42">
        <f>Tab_Process_TCs2527[[#This Row],[Flow_ID]]</f>
        <v/>
      </c>
      <c r="AF24" s="272">
        <f>"TC"&amp;"_"&amp;RIGHT(AD24,5)</f>
        <v/>
      </c>
      <c r="AG24" s="49" t="n">
        <v>0.5</v>
      </c>
      <c r="AH24" s="169">
        <f>_xlfn.XLOOKUP($D24,#REF!,#REF!,,0,)</f>
        <v/>
      </c>
      <c r="AI24" s="53">
        <f>_xlfn.XLOOKUP($D24,#REF!,#REF!,,0,)</f>
        <v/>
      </c>
      <c r="AJ24" s="42">
        <f>Tab_Process_TCs2527[[#This Row],[Flow_ID]]</f>
        <v/>
      </c>
      <c r="AK24" s="272">
        <f>"TC"&amp;"_"&amp;RIGHT(AI24,5)</f>
        <v/>
      </c>
      <c r="AL24" s="168" t="n">
        <v>0.2</v>
      </c>
      <c r="AM24" s="296">
        <f>_xlfn.XLOOKUP($D24,#REF!,#REF!,,0,)</f>
        <v/>
      </c>
      <c r="AN24" s="272">
        <f>_xlfn.XLOOKUP($D24,#REF!,#REF!,,0,)</f>
        <v/>
      </c>
      <c r="AO24" s="42">
        <f>Tab_Process_TCs2527[[#This Row],[Flow_ID]]</f>
        <v/>
      </c>
      <c r="AP24" s="272">
        <f>"TC"&amp;"_"&amp;RIGHT(AN24,5)</f>
        <v/>
      </c>
      <c r="AQ24" s="168" t="n">
        <v>0.3</v>
      </c>
      <c r="AR24" s="296">
        <f>_xlfn.XLOOKUP($D24,#REF!,#REF!,,0,)</f>
        <v/>
      </c>
      <c r="AS24" s="272">
        <f>_xlfn.XLOOKUP($D24,#REF!,#REF!,,0,)</f>
        <v/>
      </c>
      <c r="AT24" s="42">
        <f>Tab_Process_TCs2527[[#This Row],[Flow_ID]]</f>
        <v/>
      </c>
      <c r="AU24" s="42">
        <f>"TC"&amp;"_"&amp;RIGHT(AN24,5)</f>
        <v/>
      </c>
      <c r="AV24" s="168" t="n"/>
      <c r="AW24" s="296">
        <f>_xlfn.XLOOKUP($D24,#REF!,#REF!,,0,)</f>
        <v/>
      </c>
      <c r="AX24" s="272">
        <f>_xlfn.XLOOKUP($D24,#REF!,#REF!,,0,)</f>
        <v/>
      </c>
      <c r="AY24" s="42">
        <f>Tab_Process_TCs2527[[#This Row],[Flow_ID]]</f>
        <v/>
      </c>
      <c r="AZ24" s="42">
        <f>"TC"&amp;"_"&amp;RIGHT(AX24,5)</f>
        <v/>
      </c>
      <c r="BA24" s="168" t="n"/>
      <c r="BB24" s="272">
        <f>_xlfn.XLOOKUP($D24,#REF!,#REF!,,0,)</f>
        <v/>
      </c>
      <c r="BC24" s="272">
        <f>_xlfn.XLOOKUP($D24,#REF!,#REF!,,0,)</f>
        <v/>
      </c>
      <c r="BD24" s="42">
        <f>Tab_Process_TCs2527[[#This Row],[Flow_ID]]</f>
        <v/>
      </c>
      <c r="BE24" s="42">
        <f>"TC"&amp;"_"&amp;RIGHT(BC24,5)</f>
        <v/>
      </c>
      <c r="BF24" s="49" t="n"/>
      <c r="BG24" s="52">
        <f>Tab_Process_TCs2527[[#This Row],[TC O_6_'[%']]]+Tab_Process_TCs2527[[#This Row],[TC O_5_'[%']]]+Tab_Process_TCs2527[[#This Row],[TC_O_4_'[%']]]+Tab_Process_TCs2527[[#This Row],[TC_O_3_'[%']]]+Tab_Process_TCs2527[[#This Row],[TC_O_2_'[%']]]+Tab_Process_TCs2527[[#This Row],[TC_O_1_'[%']]]</f>
        <v/>
      </c>
      <c r="BH24" s="273" t="n"/>
      <c r="BI24" s="273" t="n"/>
      <c r="BJ24" s="273" t="n"/>
      <c r="BK24" s="273" t="n"/>
      <c r="BL24" s="273" t="n"/>
    </row>
    <row r="25">
      <c r="A25" s="280" t="b">
        <v>0</v>
      </c>
      <c r="B25" s="272">
        <f>ROW()-1</f>
        <v/>
      </c>
      <c r="C25" s="286">
        <f>_xlfn.XLOOKUP($D25,Tab_Process_TCs[Name(EN)],Tab_Process_TCs[Process_ID],,0,)</f>
        <v/>
      </c>
      <c r="D25" s="189" t="inlineStr">
        <is>
          <t>N.A.</t>
        </is>
      </c>
      <c r="E25" s="189" t="inlineStr">
        <is>
          <t>N.A.</t>
        </is>
      </c>
      <c r="F25" s="286">
        <f>_xlfn.XLOOKUP($D25,Tab_Process_TCs[Name(EN)],Tab_Process_TCs[TC?],,0,)</f>
        <v/>
      </c>
      <c r="G25" s="286">
        <f>_xlfn.XLOOKUP($D25,Tab_Process_TCs[Name(EN)],Tab_Process_TCs[Dyn_TC?],,0,)</f>
        <v/>
      </c>
      <c r="H25" s="272">
        <f>_xlfn.XLOOKUP($E25,Tab_Def_Flows[Name(EN)],Tab_Def_Flows[Flow_ID],,0,1)</f>
        <v/>
      </c>
      <c r="I25" s="272">
        <f>IF(Tab_Process_TCs2527[[#This Row],[Name(EN)]]="N.A.","N.A.","TC"&amp;"_"&amp;RIGHT(H25,5))</f>
        <v/>
      </c>
      <c r="J25" s="273" t="n"/>
      <c r="K25" s="183" t="n"/>
      <c r="L25" s="272" t="n"/>
      <c r="M25" s="296">
        <f>_xlfn.XLOOKUP($D25,Tab_Def_Processes[Name(EN)],Tab_Def_Processes[Input_Flow_I_1],,0,)</f>
        <v/>
      </c>
      <c r="N25" s="272">
        <f>_xlfn.XLOOKUP($D25,Tab_Def_Processes[Name(EN)],Tab_Def_Processes[Flow_ID_I_1],,0,)</f>
        <v/>
      </c>
      <c r="O25" s="33" t="n"/>
      <c r="P25" s="29">
        <f>_xlfn.XLOOKUP($D25,Tab_Def_Processes[Name(EN)],Tab_Def_Processes[Input_Flow_I_2],,0,)</f>
        <v/>
      </c>
      <c r="Q25" s="272">
        <f>_xlfn.XLOOKUP($D25,Tab_Def_Processes[Name(EN)],Tab_Def_Processes[Flow_ID_I_2],,0,)</f>
        <v/>
      </c>
      <c r="R25" s="33" t="n"/>
      <c r="S25" s="29">
        <f>_xlfn.XLOOKUP($D25,Tab_Def_Processes[Name(EN)],Tab_Def_Processes[Input_Flow_I_3],,0,)</f>
        <v/>
      </c>
      <c r="T25" s="272">
        <f>_xlfn.XLOOKUP($D25,Tab_Def_Processes[Name(EN)],Tab_Def_Processes[Flow_ID_I_3],,0,)</f>
        <v/>
      </c>
      <c r="U25" s="33" t="n"/>
      <c r="V25" s="29">
        <f>_xlfn.XLOOKUP($D25,Tab_Def_Processes[Name(EN)],Tab_Def_Processes[Input_Flow_I_4],,0,)</f>
        <v/>
      </c>
      <c r="W25" s="272">
        <f>_xlfn.XLOOKUP($D25,Tab_Def_Processes[Name(EN)],Tab_Def_Processes[Flow_ID_I_4],,0,)</f>
        <v/>
      </c>
      <c r="X25" s="33" t="n"/>
      <c r="Y25" s="29">
        <f>_xlfn.XLOOKUP($D25,Tab_Def_Processes[Name(EN)],Tab_Def_Processes[Input_Flow_I_5],,0,)</f>
        <v/>
      </c>
      <c r="Z25" s="272">
        <f>_xlfn.XLOOKUP($D25,Tab_Def_Processes[Name(EN)],Tab_Def_Processes[Flow_ID_I_5],,0,)</f>
        <v/>
      </c>
      <c r="AA25" s="33" t="n"/>
      <c r="AB25" s="32">
        <f>Tab_Process_TCs2527[[#This Row],[Flow_TC_I_1_'[%']]]+Tab_Process_TCs2527[[#This Row],[Flow_TC_I_2_'[%']]]+Tab_Process_TCs2527[[#This Row],[Flow_TC_I_3_'[%']]]+Tab_Process_TCs2527[[#This Row],[Flow_TC_I_4_'[%']]]+Tab_Process_TCs2527[[#This Row],[Flow_TC_I_5_'[%']]]</f>
        <v/>
      </c>
      <c r="AC25" s="296">
        <f>_xlfn.XLOOKUP($D25,#REF!,#REF!,,0,)</f>
        <v/>
      </c>
      <c r="AD25" s="272">
        <f>_xlfn.XLOOKUP($D25,#REF!,#REF!,,0,)</f>
        <v/>
      </c>
      <c r="AE25" s="42">
        <f>Tab_Process_TCs2527[[#This Row],[Flow_ID]]</f>
        <v/>
      </c>
      <c r="AF25" s="272">
        <f>"TC"&amp;"_"&amp;RIGHT(AD25,5)</f>
        <v/>
      </c>
      <c r="AG25" s="49" t="n">
        <v>0.5</v>
      </c>
      <c r="AH25" s="169">
        <f>_xlfn.XLOOKUP($D25,#REF!,#REF!,,0,)</f>
        <v/>
      </c>
      <c r="AI25" s="53">
        <f>_xlfn.XLOOKUP($D25,#REF!,#REF!,,0,)</f>
        <v/>
      </c>
      <c r="AJ25" s="42">
        <f>Tab_Process_TCs2527[[#This Row],[Flow_ID]]</f>
        <v/>
      </c>
      <c r="AK25" s="272">
        <f>"TC"&amp;"_"&amp;RIGHT(AI25,5)</f>
        <v/>
      </c>
      <c r="AL25" s="168" t="n">
        <v>0.2</v>
      </c>
      <c r="AM25" s="296">
        <f>_xlfn.XLOOKUP($D25,#REF!,#REF!,,0,)</f>
        <v/>
      </c>
      <c r="AN25" s="272">
        <f>_xlfn.XLOOKUP($D25,#REF!,#REF!,,0,)</f>
        <v/>
      </c>
      <c r="AO25" s="42">
        <f>Tab_Process_TCs2527[[#This Row],[Flow_ID]]</f>
        <v/>
      </c>
      <c r="AP25" s="272">
        <f>"TC"&amp;"_"&amp;RIGHT(AN25,5)</f>
        <v/>
      </c>
      <c r="AQ25" s="168" t="n">
        <v>0.3</v>
      </c>
      <c r="AR25" s="296">
        <f>_xlfn.XLOOKUP($D25,#REF!,#REF!,,0,)</f>
        <v/>
      </c>
      <c r="AS25" s="272">
        <f>_xlfn.XLOOKUP($D25,#REF!,#REF!,,0,)</f>
        <v/>
      </c>
      <c r="AT25" s="42">
        <f>Tab_Process_TCs2527[[#This Row],[Flow_ID]]</f>
        <v/>
      </c>
      <c r="AU25" s="42">
        <f>"TC"&amp;"_"&amp;RIGHT(AN25,5)</f>
        <v/>
      </c>
      <c r="AV25" s="168" t="n"/>
      <c r="AW25" s="296">
        <f>_xlfn.XLOOKUP($D25,#REF!,#REF!,,0,)</f>
        <v/>
      </c>
      <c r="AX25" s="272">
        <f>_xlfn.XLOOKUP($D25,#REF!,#REF!,,0,)</f>
        <v/>
      </c>
      <c r="AY25" s="42">
        <f>Tab_Process_TCs2527[[#This Row],[Flow_ID]]</f>
        <v/>
      </c>
      <c r="AZ25" s="42">
        <f>"TC"&amp;"_"&amp;RIGHT(AX25,5)</f>
        <v/>
      </c>
      <c r="BA25" s="168" t="n"/>
      <c r="BB25" s="272">
        <f>_xlfn.XLOOKUP($D25,#REF!,#REF!,,0,)</f>
        <v/>
      </c>
      <c r="BC25" s="272">
        <f>_xlfn.XLOOKUP($D25,#REF!,#REF!,,0,)</f>
        <v/>
      </c>
      <c r="BD25" s="42">
        <f>Tab_Process_TCs2527[[#This Row],[Flow_ID]]</f>
        <v/>
      </c>
      <c r="BE25" s="42">
        <f>"TC"&amp;"_"&amp;RIGHT(BC25,5)</f>
        <v/>
      </c>
      <c r="BF25" s="49" t="n"/>
      <c r="BG25" s="52">
        <f>Tab_Process_TCs2527[[#This Row],[TC O_6_'[%']]]+Tab_Process_TCs2527[[#This Row],[TC O_5_'[%']]]+Tab_Process_TCs2527[[#This Row],[TC_O_4_'[%']]]+Tab_Process_TCs2527[[#This Row],[TC_O_3_'[%']]]+Tab_Process_TCs2527[[#This Row],[TC_O_2_'[%']]]+Tab_Process_TCs2527[[#This Row],[TC_O_1_'[%']]]</f>
        <v/>
      </c>
      <c r="BH25" s="273" t="n"/>
      <c r="BI25" s="273" t="n"/>
      <c r="BJ25" s="273" t="n"/>
      <c r="BK25" s="273" t="n"/>
      <c r="BL25" s="273" t="n"/>
    </row>
    <row r="26">
      <c r="A26" s="280" t="b">
        <v>0</v>
      </c>
      <c r="B26" s="272">
        <f>ROW()-1</f>
        <v/>
      </c>
      <c r="C26" s="286">
        <f>_xlfn.XLOOKUP($D26,Tab_Process_TCs[Name(EN)],Tab_Process_TCs[Process_ID],,0,)</f>
        <v/>
      </c>
      <c r="D26" s="189" t="inlineStr">
        <is>
          <t>N.A.</t>
        </is>
      </c>
      <c r="E26" s="189" t="inlineStr">
        <is>
          <t>N.A.</t>
        </is>
      </c>
      <c r="F26" s="286">
        <f>_xlfn.XLOOKUP($D26,Tab_Process_TCs[Name(EN)],Tab_Process_TCs[TC?],,0,)</f>
        <v/>
      </c>
      <c r="G26" s="286">
        <f>_xlfn.XLOOKUP($D26,Tab_Process_TCs[Name(EN)],Tab_Process_TCs[Dyn_TC?],,0,)</f>
        <v/>
      </c>
      <c r="H26" s="272">
        <f>_xlfn.XLOOKUP($E26,Tab_Def_Flows[Name(EN)],Tab_Def_Flows[Flow_ID],,0,1)</f>
        <v/>
      </c>
      <c r="I26" s="272">
        <f>IF(Tab_Process_TCs2527[[#This Row],[Name(EN)]]="N.A.","N.A.","TC"&amp;"_"&amp;RIGHT(H26,5))</f>
        <v/>
      </c>
      <c r="J26" s="273" t="n"/>
      <c r="K26" s="183" t="n"/>
      <c r="L26" s="272" t="n"/>
      <c r="M26" s="296">
        <f>_xlfn.XLOOKUP($D26,Tab_Def_Processes[Name(EN)],Tab_Def_Processes[Input_Flow_I_1],,0,)</f>
        <v/>
      </c>
      <c r="N26" s="272">
        <f>_xlfn.XLOOKUP($D26,Tab_Def_Processes[Name(EN)],Tab_Def_Processes[Flow_ID_I_1],,0,)</f>
        <v/>
      </c>
      <c r="O26" s="33" t="n"/>
      <c r="P26" s="29">
        <f>_xlfn.XLOOKUP($D26,Tab_Def_Processes[Name(EN)],Tab_Def_Processes[Input_Flow_I_2],,0,)</f>
        <v/>
      </c>
      <c r="Q26" s="272">
        <f>_xlfn.XLOOKUP($D26,Tab_Def_Processes[Name(EN)],Tab_Def_Processes[Flow_ID_I_2],,0,)</f>
        <v/>
      </c>
      <c r="R26" s="33" t="n"/>
      <c r="S26" s="29">
        <f>_xlfn.XLOOKUP($D26,Tab_Def_Processes[Name(EN)],Tab_Def_Processes[Input_Flow_I_3],,0,)</f>
        <v/>
      </c>
      <c r="T26" s="272">
        <f>_xlfn.XLOOKUP($D26,Tab_Def_Processes[Name(EN)],Tab_Def_Processes[Flow_ID_I_3],,0,)</f>
        <v/>
      </c>
      <c r="U26" s="33" t="n"/>
      <c r="V26" s="29">
        <f>_xlfn.XLOOKUP($D26,Tab_Def_Processes[Name(EN)],Tab_Def_Processes[Input_Flow_I_4],,0,)</f>
        <v/>
      </c>
      <c r="W26" s="272">
        <f>_xlfn.XLOOKUP($D26,Tab_Def_Processes[Name(EN)],Tab_Def_Processes[Flow_ID_I_4],,0,)</f>
        <v/>
      </c>
      <c r="X26" s="33" t="n"/>
      <c r="Y26" s="29">
        <f>_xlfn.XLOOKUP($D26,Tab_Def_Processes[Name(EN)],Tab_Def_Processes[Input_Flow_I_5],,0,)</f>
        <v/>
      </c>
      <c r="Z26" s="272">
        <f>_xlfn.XLOOKUP($D26,Tab_Def_Processes[Name(EN)],Tab_Def_Processes[Flow_ID_I_5],,0,)</f>
        <v/>
      </c>
      <c r="AA26" s="33" t="n"/>
      <c r="AB26" s="32">
        <f>Tab_Process_TCs2527[[#This Row],[Flow_TC_I_1_'[%']]]+Tab_Process_TCs2527[[#This Row],[Flow_TC_I_2_'[%']]]+Tab_Process_TCs2527[[#This Row],[Flow_TC_I_3_'[%']]]+Tab_Process_TCs2527[[#This Row],[Flow_TC_I_4_'[%']]]+Tab_Process_TCs2527[[#This Row],[Flow_TC_I_5_'[%']]]</f>
        <v/>
      </c>
      <c r="AC26" s="296">
        <f>_xlfn.XLOOKUP($D26,#REF!,#REF!,,0,)</f>
        <v/>
      </c>
      <c r="AD26" s="272">
        <f>_xlfn.XLOOKUP($D26,#REF!,#REF!,,0,)</f>
        <v/>
      </c>
      <c r="AE26" s="42">
        <f>Tab_Process_TCs2527[[#This Row],[Flow_ID]]</f>
        <v/>
      </c>
      <c r="AF26" s="272">
        <f>"TC"&amp;"_"&amp;RIGHT(AD26,5)</f>
        <v/>
      </c>
      <c r="AG26" s="49" t="n">
        <v>0.5</v>
      </c>
      <c r="AH26" s="169">
        <f>_xlfn.XLOOKUP($D26,#REF!,#REF!,,0,)</f>
        <v/>
      </c>
      <c r="AI26" s="53">
        <f>_xlfn.XLOOKUP($D26,#REF!,#REF!,,0,)</f>
        <v/>
      </c>
      <c r="AJ26" s="42">
        <f>Tab_Process_TCs2527[[#This Row],[Flow_ID]]</f>
        <v/>
      </c>
      <c r="AK26" s="272">
        <f>"TC"&amp;"_"&amp;RIGHT(AI26,5)</f>
        <v/>
      </c>
      <c r="AL26" s="168" t="n">
        <v>0.2</v>
      </c>
      <c r="AM26" s="296">
        <f>_xlfn.XLOOKUP($D26,#REF!,#REF!,,0,)</f>
        <v/>
      </c>
      <c r="AN26" s="272">
        <f>_xlfn.XLOOKUP($D26,#REF!,#REF!,,0,)</f>
        <v/>
      </c>
      <c r="AO26" s="42">
        <f>Tab_Process_TCs2527[[#This Row],[Flow_ID]]</f>
        <v/>
      </c>
      <c r="AP26" s="272">
        <f>"TC"&amp;"_"&amp;RIGHT(AN26,5)</f>
        <v/>
      </c>
      <c r="AQ26" s="168" t="n">
        <v>0.3</v>
      </c>
      <c r="AR26" s="296">
        <f>_xlfn.XLOOKUP($D26,#REF!,#REF!,,0,)</f>
        <v/>
      </c>
      <c r="AS26" s="272">
        <f>_xlfn.XLOOKUP($D26,#REF!,#REF!,,0,)</f>
        <v/>
      </c>
      <c r="AT26" s="42">
        <f>Tab_Process_TCs2527[[#This Row],[Flow_ID]]</f>
        <v/>
      </c>
      <c r="AU26" s="42">
        <f>"TC"&amp;"_"&amp;RIGHT(AN26,5)</f>
        <v/>
      </c>
      <c r="AV26" s="168" t="n"/>
      <c r="AW26" s="296">
        <f>_xlfn.XLOOKUP($D26,#REF!,#REF!,,0,)</f>
        <v/>
      </c>
      <c r="AX26" s="272">
        <f>_xlfn.XLOOKUP($D26,#REF!,#REF!,,0,)</f>
        <v/>
      </c>
      <c r="AY26" s="42">
        <f>Tab_Process_TCs2527[[#This Row],[Flow_ID]]</f>
        <v/>
      </c>
      <c r="AZ26" s="42">
        <f>"TC"&amp;"_"&amp;RIGHT(AX26,5)</f>
        <v/>
      </c>
      <c r="BA26" s="168" t="n"/>
      <c r="BB26" s="272">
        <f>_xlfn.XLOOKUP($D26,#REF!,#REF!,,0,)</f>
        <v/>
      </c>
      <c r="BC26" s="272">
        <f>_xlfn.XLOOKUP($D26,#REF!,#REF!,,0,)</f>
        <v/>
      </c>
      <c r="BD26" s="42">
        <f>Tab_Process_TCs2527[[#This Row],[Flow_ID]]</f>
        <v/>
      </c>
      <c r="BE26" s="42">
        <f>"TC"&amp;"_"&amp;RIGHT(BC26,5)</f>
        <v/>
      </c>
      <c r="BF26" s="49" t="n"/>
      <c r="BG26" s="52">
        <f>Tab_Process_TCs2527[[#This Row],[TC O_6_'[%']]]+Tab_Process_TCs2527[[#This Row],[TC O_5_'[%']]]+Tab_Process_TCs2527[[#This Row],[TC_O_4_'[%']]]+Tab_Process_TCs2527[[#This Row],[TC_O_3_'[%']]]+Tab_Process_TCs2527[[#This Row],[TC_O_2_'[%']]]+Tab_Process_TCs2527[[#This Row],[TC_O_1_'[%']]]</f>
        <v/>
      </c>
      <c r="BH26" s="273" t="n"/>
      <c r="BI26" s="273" t="n"/>
      <c r="BJ26" s="273" t="n"/>
      <c r="BK26" s="273" t="n"/>
      <c r="BL26" s="273" t="n"/>
    </row>
    <row r="27">
      <c r="A27" s="280" t="b">
        <v>0</v>
      </c>
      <c r="B27" s="272">
        <f>ROW()-1</f>
        <v/>
      </c>
      <c r="C27" s="286">
        <f>_xlfn.XLOOKUP($D27,Tab_Process_TCs[Name(EN)],Tab_Process_TCs[Process_ID],,0,)</f>
        <v/>
      </c>
      <c r="D27" s="189" t="inlineStr">
        <is>
          <t>N.A.</t>
        </is>
      </c>
      <c r="E27" s="189" t="inlineStr">
        <is>
          <t>N.A.</t>
        </is>
      </c>
      <c r="F27" s="286">
        <f>_xlfn.XLOOKUP($D27,Tab_Process_TCs[Name(EN)],Tab_Process_TCs[TC?],,0,)</f>
        <v/>
      </c>
      <c r="G27" s="286">
        <f>_xlfn.XLOOKUP($D27,Tab_Process_TCs[Name(EN)],Tab_Process_TCs[Dyn_TC?],,0,)</f>
        <v/>
      </c>
      <c r="H27" s="272">
        <f>_xlfn.XLOOKUP($E27,Tab_Def_Flows[Name(EN)],Tab_Def_Flows[Flow_ID],,0,1)</f>
        <v/>
      </c>
      <c r="I27" s="272">
        <f>IF(Tab_Process_TCs2527[[#This Row],[Name(EN)]]="N.A.","N.A.","TC"&amp;"_"&amp;RIGHT(H27,5))</f>
        <v/>
      </c>
      <c r="J27" s="273" t="n"/>
      <c r="K27" s="183" t="n"/>
      <c r="L27" s="272" t="n"/>
      <c r="M27" s="296">
        <f>_xlfn.XLOOKUP($D27,Tab_Def_Processes[Name(EN)],Tab_Def_Processes[Input_Flow_I_1],,0,)</f>
        <v/>
      </c>
      <c r="N27" s="272">
        <f>_xlfn.XLOOKUP($D27,Tab_Def_Processes[Name(EN)],Tab_Def_Processes[Flow_ID_I_1],,0,)</f>
        <v/>
      </c>
      <c r="O27" s="33" t="n"/>
      <c r="P27" s="29">
        <f>_xlfn.XLOOKUP($D27,Tab_Def_Processes[Name(EN)],Tab_Def_Processes[Input_Flow_I_2],,0,)</f>
        <v/>
      </c>
      <c r="Q27" s="272">
        <f>_xlfn.XLOOKUP($D27,Tab_Def_Processes[Name(EN)],Tab_Def_Processes[Flow_ID_I_2],,0,)</f>
        <v/>
      </c>
      <c r="R27" s="33" t="n"/>
      <c r="S27" s="29">
        <f>_xlfn.XLOOKUP($D27,Tab_Def_Processes[Name(EN)],Tab_Def_Processes[Input_Flow_I_3],,0,)</f>
        <v/>
      </c>
      <c r="T27" s="272">
        <f>_xlfn.XLOOKUP($D27,Tab_Def_Processes[Name(EN)],Tab_Def_Processes[Flow_ID_I_3],,0,)</f>
        <v/>
      </c>
      <c r="U27" s="33" t="n"/>
      <c r="V27" s="29">
        <f>_xlfn.XLOOKUP($D27,Tab_Def_Processes[Name(EN)],Tab_Def_Processes[Input_Flow_I_4],,0,)</f>
        <v/>
      </c>
      <c r="W27" s="272">
        <f>_xlfn.XLOOKUP($D27,Tab_Def_Processes[Name(EN)],Tab_Def_Processes[Flow_ID_I_4],,0,)</f>
        <v/>
      </c>
      <c r="X27" s="33" t="n"/>
      <c r="Y27" s="29">
        <f>_xlfn.XLOOKUP($D27,Tab_Def_Processes[Name(EN)],Tab_Def_Processes[Input_Flow_I_5],,0,)</f>
        <v/>
      </c>
      <c r="Z27" s="272">
        <f>_xlfn.XLOOKUP($D27,Tab_Def_Processes[Name(EN)],Tab_Def_Processes[Flow_ID_I_5],,0,)</f>
        <v/>
      </c>
      <c r="AA27" s="33" t="n"/>
      <c r="AB27" s="32">
        <f>Tab_Process_TCs2527[[#This Row],[Flow_TC_I_1_'[%']]]+Tab_Process_TCs2527[[#This Row],[Flow_TC_I_2_'[%']]]+Tab_Process_TCs2527[[#This Row],[Flow_TC_I_3_'[%']]]+Tab_Process_TCs2527[[#This Row],[Flow_TC_I_4_'[%']]]+Tab_Process_TCs2527[[#This Row],[Flow_TC_I_5_'[%']]]</f>
        <v/>
      </c>
      <c r="AC27" s="296">
        <f>_xlfn.XLOOKUP($D27,#REF!,#REF!,,0,)</f>
        <v/>
      </c>
      <c r="AD27" s="272">
        <f>_xlfn.XLOOKUP($D27,#REF!,#REF!,,0,)</f>
        <v/>
      </c>
      <c r="AE27" s="42">
        <f>Tab_Process_TCs2527[[#This Row],[Flow_ID]]</f>
        <v/>
      </c>
      <c r="AF27" s="272">
        <f>"TC"&amp;"_"&amp;RIGHT(AD27,5)</f>
        <v/>
      </c>
      <c r="AG27" s="49" t="n">
        <v>0.5</v>
      </c>
      <c r="AH27" s="169">
        <f>_xlfn.XLOOKUP($D27,#REF!,#REF!,,0,)</f>
        <v/>
      </c>
      <c r="AI27" s="53">
        <f>_xlfn.XLOOKUP($D27,#REF!,#REF!,,0,)</f>
        <v/>
      </c>
      <c r="AJ27" s="42">
        <f>Tab_Process_TCs2527[[#This Row],[Flow_ID]]</f>
        <v/>
      </c>
      <c r="AK27" s="272">
        <f>"TC"&amp;"_"&amp;RIGHT(AI27,5)</f>
        <v/>
      </c>
      <c r="AL27" s="168" t="n">
        <v>0.2</v>
      </c>
      <c r="AM27" s="296">
        <f>_xlfn.XLOOKUP($D27,#REF!,#REF!,,0,)</f>
        <v/>
      </c>
      <c r="AN27" s="272">
        <f>_xlfn.XLOOKUP($D27,#REF!,#REF!,,0,)</f>
        <v/>
      </c>
      <c r="AO27" s="42">
        <f>Tab_Process_TCs2527[[#This Row],[Flow_ID]]</f>
        <v/>
      </c>
      <c r="AP27" s="272">
        <f>"TC"&amp;"_"&amp;RIGHT(AN27,5)</f>
        <v/>
      </c>
      <c r="AQ27" s="168" t="n">
        <v>0.3</v>
      </c>
      <c r="AR27" s="296">
        <f>_xlfn.XLOOKUP($D27,#REF!,#REF!,,0,)</f>
        <v/>
      </c>
      <c r="AS27" s="272">
        <f>_xlfn.XLOOKUP($D27,#REF!,#REF!,,0,)</f>
        <v/>
      </c>
      <c r="AT27" s="42">
        <f>Tab_Process_TCs2527[[#This Row],[Flow_ID]]</f>
        <v/>
      </c>
      <c r="AU27" s="42">
        <f>"TC"&amp;"_"&amp;RIGHT(AN27,5)</f>
        <v/>
      </c>
      <c r="AV27" s="168" t="n"/>
      <c r="AW27" s="296">
        <f>_xlfn.XLOOKUP($D27,#REF!,#REF!,,0,)</f>
        <v/>
      </c>
      <c r="AX27" s="272">
        <f>_xlfn.XLOOKUP($D27,#REF!,#REF!,,0,)</f>
        <v/>
      </c>
      <c r="AY27" s="42">
        <f>Tab_Process_TCs2527[[#This Row],[Flow_ID]]</f>
        <v/>
      </c>
      <c r="AZ27" s="42">
        <f>"TC"&amp;"_"&amp;RIGHT(AX27,5)</f>
        <v/>
      </c>
      <c r="BA27" s="168" t="n"/>
      <c r="BB27" s="272">
        <f>_xlfn.XLOOKUP($D27,#REF!,#REF!,,0,)</f>
        <v/>
      </c>
      <c r="BC27" s="272">
        <f>_xlfn.XLOOKUP($D27,#REF!,#REF!,,0,)</f>
        <v/>
      </c>
      <c r="BD27" s="42">
        <f>Tab_Process_TCs2527[[#This Row],[Flow_ID]]</f>
        <v/>
      </c>
      <c r="BE27" s="42">
        <f>"TC"&amp;"_"&amp;RIGHT(BC27,5)</f>
        <v/>
      </c>
      <c r="BF27" s="49" t="n"/>
      <c r="BG27" s="52">
        <f>Tab_Process_TCs2527[[#This Row],[TC O_6_'[%']]]+Tab_Process_TCs2527[[#This Row],[TC O_5_'[%']]]+Tab_Process_TCs2527[[#This Row],[TC_O_4_'[%']]]+Tab_Process_TCs2527[[#This Row],[TC_O_3_'[%']]]+Tab_Process_TCs2527[[#This Row],[TC_O_2_'[%']]]+Tab_Process_TCs2527[[#This Row],[TC_O_1_'[%']]]</f>
        <v/>
      </c>
      <c r="BH27" s="273" t="n"/>
      <c r="BI27" s="273" t="n"/>
      <c r="BJ27" s="273" t="n"/>
      <c r="BK27" s="273" t="n"/>
      <c r="BL27" s="273" t="n"/>
    </row>
    <row r="28">
      <c r="A28" s="280" t="b">
        <v>0</v>
      </c>
      <c r="B28" s="272">
        <f>ROW()-1</f>
        <v/>
      </c>
      <c r="C28" s="286">
        <f>_xlfn.XLOOKUP($D28,Tab_Process_TCs[Name(EN)],Tab_Process_TCs[Process_ID],,0,)</f>
        <v/>
      </c>
      <c r="D28" s="189" t="inlineStr">
        <is>
          <t>N.A.</t>
        </is>
      </c>
      <c r="E28" s="189" t="inlineStr">
        <is>
          <t>N.A.</t>
        </is>
      </c>
      <c r="F28" s="286">
        <f>_xlfn.XLOOKUP($D28,Tab_Process_TCs[Name(EN)],Tab_Process_TCs[TC?],,0,)</f>
        <v/>
      </c>
      <c r="G28" s="286">
        <f>_xlfn.XLOOKUP($D28,Tab_Process_TCs[Name(EN)],Tab_Process_TCs[Dyn_TC?],,0,)</f>
        <v/>
      </c>
      <c r="H28" s="272">
        <f>_xlfn.XLOOKUP($E28,Tab_Def_Flows[Name(EN)],Tab_Def_Flows[Flow_ID],,0,1)</f>
        <v/>
      </c>
      <c r="I28" s="272">
        <f>IF(Tab_Process_TCs2527[[#This Row],[Name(EN)]]="N.A.","N.A.","TC"&amp;"_"&amp;RIGHT(H28,5))</f>
        <v/>
      </c>
      <c r="J28" s="273" t="n"/>
      <c r="K28" s="183" t="n"/>
      <c r="L28" s="272" t="n"/>
      <c r="M28" s="296">
        <f>_xlfn.XLOOKUP($D28,Tab_Def_Processes[Name(EN)],Tab_Def_Processes[Input_Flow_I_1],,0,)</f>
        <v/>
      </c>
      <c r="N28" s="272">
        <f>_xlfn.XLOOKUP($D28,Tab_Def_Processes[Name(EN)],Tab_Def_Processes[Flow_ID_I_1],,0,)</f>
        <v/>
      </c>
      <c r="O28" s="33" t="n"/>
      <c r="P28" s="29">
        <f>_xlfn.XLOOKUP($D28,Tab_Def_Processes[Name(EN)],Tab_Def_Processes[Input_Flow_I_2],,0,)</f>
        <v/>
      </c>
      <c r="Q28" s="272">
        <f>_xlfn.XLOOKUP($D28,Tab_Def_Processes[Name(EN)],Tab_Def_Processes[Flow_ID_I_2],,0,)</f>
        <v/>
      </c>
      <c r="R28" s="33" t="n"/>
      <c r="S28" s="29">
        <f>_xlfn.XLOOKUP($D28,Tab_Def_Processes[Name(EN)],Tab_Def_Processes[Input_Flow_I_3],,0,)</f>
        <v/>
      </c>
      <c r="T28" s="272">
        <f>_xlfn.XLOOKUP($D28,Tab_Def_Processes[Name(EN)],Tab_Def_Processes[Flow_ID_I_3],,0,)</f>
        <v/>
      </c>
      <c r="U28" s="33" t="n"/>
      <c r="V28" s="29">
        <f>_xlfn.XLOOKUP($D28,Tab_Def_Processes[Name(EN)],Tab_Def_Processes[Input_Flow_I_4],,0,)</f>
        <v/>
      </c>
      <c r="W28" s="272">
        <f>_xlfn.XLOOKUP($D28,Tab_Def_Processes[Name(EN)],Tab_Def_Processes[Flow_ID_I_4],,0,)</f>
        <v/>
      </c>
      <c r="X28" s="33" t="n"/>
      <c r="Y28" s="29">
        <f>_xlfn.XLOOKUP($D28,Tab_Def_Processes[Name(EN)],Tab_Def_Processes[Input_Flow_I_5],,0,)</f>
        <v/>
      </c>
      <c r="Z28" s="272">
        <f>_xlfn.XLOOKUP($D28,Tab_Def_Processes[Name(EN)],Tab_Def_Processes[Flow_ID_I_5],,0,)</f>
        <v/>
      </c>
      <c r="AA28" s="33" t="n"/>
      <c r="AB28" s="32">
        <f>Tab_Process_TCs2527[[#This Row],[Flow_TC_I_1_'[%']]]+Tab_Process_TCs2527[[#This Row],[Flow_TC_I_2_'[%']]]+Tab_Process_TCs2527[[#This Row],[Flow_TC_I_3_'[%']]]+Tab_Process_TCs2527[[#This Row],[Flow_TC_I_4_'[%']]]+Tab_Process_TCs2527[[#This Row],[Flow_TC_I_5_'[%']]]</f>
        <v/>
      </c>
      <c r="AC28" s="296">
        <f>_xlfn.XLOOKUP($D28,#REF!,#REF!,,0,)</f>
        <v/>
      </c>
      <c r="AD28" s="272">
        <f>_xlfn.XLOOKUP($D28,#REF!,#REF!,,0,)</f>
        <v/>
      </c>
      <c r="AE28" s="42">
        <f>Tab_Process_TCs2527[[#This Row],[Flow_ID]]</f>
        <v/>
      </c>
      <c r="AF28" s="272">
        <f>"TC"&amp;"_"&amp;RIGHT(AD28,5)</f>
        <v/>
      </c>
      <c r="AG28" s="49" t="n">
        <v>0.5</v>
      </c>
      <c r="AH28" s="169">
        <f>_xlfn.XLOOKUP($D28,#REF!,#REF!,,0,)</f>
        <v/>
      </c>
      <c r="AI28" s="53">
        <f>_xlfn.XLOOKUP($D28,#REF!,#REF!,,0,)</f>
        <v/>
      </c>
      <c r="AJ28" s="42">
        <f>Tab_Process_TCs2527[[#This Row],[Flow_ID]]</f>
        <v/>
      </c>
      <c r="AK28" s="272">
        <f>"TC"&amp;"_"&amp;RIGHT(AI28,5)</f>
        <v/>
      </c>
      <c r="AL28" s="168" t="n">
        <v>0.2</v>
      </c>
      <c r="AM28" s="296">
        <f>_xlfn.XLOOKUP($D28,#REF!,#REF!,,0,)</f>
        <v/>
      </c>
      <c r="AN28" s="272">
        <f>_xlfn.XLOOKUP($D28,#REF!,#REF!,,0,)</f>
        <v/>
      </c>
      <c r="AO28" s="42">
        <f>Tab_Process_TCs2527[[#This Row],[Flow_ID]]</f>
        <v/>
      </c>
      <c r="AP28" s="272">
        <f>"TC"&amp;"_"&amp;RIGHT(AN28,5)</f>
        <v/>
      </c>
      <c r="AQ28" s="168" t="n">
        <v>0.3</v>
      </c>
      <c r="AR28" s="296">
        <f>_xlfn.XLOOKUP($D28,#REF!,#REF!,,0,)</f>
        <v/>
      </c>
      <c r="AS28" s="272">
        <f>_xlfn.XLOOKUP($D28,#REF!,#REF!,,0,)</f>
        <v/>
      </c>
      <c r="AT28" s="42">
        <f>Tab_Process_TCs2527[[#This Row],[Flow_ID]]</f>
        <v/>
      </c>
      <c r="AU28" s="42">
        <f>"TC"&amp;"_"&amp;RIGHT(AN28,5)</f>
        <v/>
      </c>
      <c r="AV28" s="168" t="n"/>
      <c r="AW28" s="296">
        <f>_xlfn.XLOOKUP($D28,#REF!,#REF!,,0,)</f>
        <v/>
      </c>
      <c r="AX28" s="272">
        <f>_xlfn.XLOOKUP($D28,#REF!,#REF!,,0,)</f>
        <v/>
      </c>
      <c r="AY28" s="42">
        <f>Tab_Process_TCs2527[[#This Row],[Flow_ID]]</f>
        <v/>
      </c>
      <c r="AZ28" s="42">
        <f>"TC"&amp;"_"&amp;RIGHT(AX28,5)</f>
        <v/>
      </c>
      <c r="BA28" s="168" t="n"/>
      <c r="BB28" s="272">
        <f>_xlfn.XLOOKUP($D28,#REF!,#REF!,,0,)</f>
        <v/>
      </c>
      <c r="BC28" s="272">
        <f>_xlfn.XLOOKUP($D28,#REF!,#REF!,,0,)</f>
        <v/>
      </c>
      <c r="BD28" s="42">
        <f>Tab_Process_TCs2527[[#This Row],[Flow_ID]]</f>
        <v/>
      </c>
      <c r="BE28" s="42">
        <f>"TC"&amp;"_"&amp;RIGHT(BC28,5)</f>
        <v/>
      </c>
      <c r="BF28" s="49" t="n"/>
      <c r="BG28" s="52">
        <f>Tab_Process_TCs2527[[#This Row],[TC O_6_'[%']]]+Tab_Process_TCs2527[[#This Row],[TC O_5_'[%']]]+Tab_Process_TCs2527[[#This Row],[TC_O_4_'[%']]]+Tab_Process_TCs2527[[#This Row],[TC_O_3_'[%']]]+Tab_Process_TCs2527[[#This Row],[TC_O_2_'[%']]]+Tab_Process_TCs2527[[#This Row],[TC_O_1_'[%']]]</f>
        <v/>
      </c>
      <c r="BH28" s="273" t="n"/>
      <c r="BI28" s="273" t="n"/>
      <c r="BJ28" s="273" t="n"/>
      <c r="BK28" s="273" t="n"/>
      <c r="BL28" s="273" t="n"/>
    </row>
    <row r="29">
      <c r="A29" s="280" t="b">
        <v>0</v>
      </c>
      <c r="B29" s="272">
        <f>ROW()-1</f>
        <v/>
      </c>
      <c r="C29" s="286">
        <f>_xlfn.XLOOKUP($D29,Tab_Process_TCs[Name(EN)],Tab_Process_TCs[Process_ID],,0,)</f>
        <v/>
      </c>
      <c r="D29" s="189" t="inlineStr">
        <is>
          <t>N.A.</t>
        </is>
      </c>
      <c r="E29" s="189" t="inlineStr">
        <is>
          <t>N.A.</t>
        </is>
      </c>
      <c r="F29" s="286">
        <f>_xlfn.XLOOKUP($D29,Tab_Process_TCs[Name(EN)],Tab_Process_TCs[TC?],,0,)</f>
        <v/>
      </c>
      <c r="G29" s="286">
        <f>_xlfn.XLOOKUP($D29,Tab_Process_TCs[Name(EN)],Tab_Process_TCs[Dyn_TC?],,0,)</f>
        <v/>
      </c>
      <c r="H29" s="272">
        <f>_xlfn.XLOOKUP($E29,Tab_Def_Flows[Name(EN)],Tab_Def_Flows[Flow_ID],,0,1)</f>
        <v/>
      </c>
      <c r="I29" s="272">
        <f>IF(Tab_Process_TCs2527[[#This Row],[Name(EN)]]="N.A.","N.A.","TC"&amp;"_"&amp;RIGHT(H29,5))</f>
        <v/>
      </c>
      <c r="J29" s="273" t="n"/>
      <c r="K29" s="183" t="n"/>
      <c r="L29" s="272" t="n"/>
      <c r="M29" s="296">
        <f>_xlfn.XLOOKUP($D29,Tab_Def_Processes[Name(EN)],Tab_Def_Processes[Input_Flow_I_1],,0,)</f>
        <v/>
      </c>
      <c r="N29" s="272">
        <f>_xlfn.XLOOKUP($D29,Tab_Def_Processes[Name(EN)],Tab_Def_Processes[Flow_ID_I_1],,0,)</f>
        <v/>
      </c>
      <c r="O29" s="33" t="n"/>
      <c r="P29" s="29">
        <f>_xlfn.XLOOKUP($D29,Tab_Def_Processes[Name(EN)],Tab_Def_Processes[Input_Flow_I_2],,0,)</f>
        <v/>
      </c>
      <c r="Q29" s="272">
        <f>_xlfn.XLOOKUP($D29,Tab_Def_Processes[Name(EN)],Tab_Def_Processes[Flow_ID_I_2],,0,)</f>
        <v/>
      </c>
      <c r="R29" s="33" t="n"/>
      <c r="S29" s="29">
        <f>_xlfn.XLOOKUP($D29,Tab_Def_Processes[Name(EN)],Tab_Def_Processes[Input_Flow_I_3],,0,)</f>
        <v/>
      </c>
      <c r="T29" s="272">
        <f>_xlfn.XLOOKUP($D29,Tab_Def_Processes[Name(EN)],Tab_Def_Processes[Flow_ID_I_3],,0,)</f>
        <v/>
      </c>
      <c r="U29" s="33" t="n"/>
      <c r="V29" s="29">
        <f>_xlfn.XLOOKUP($D29,Tab_Def_Processes[Name(EN)],Tab_Def_Processes[Input_Flow_I_4],,0,)</f>
        <v/>
      </c>
      <c r="W29" s="272">
        <f>_xlfn.XLOOKUP($D29,Tab_Def_Processes[Name(EN)],Tab_Def_Processes[Flow_ID_I_4],,0,)</f>
        <v/>
      </c>
      <c r="X29" s="33" t="n"/>
      <c r="Y29" s="29">
        <f>_xlfn.XLOOKUP($D29,Tab_Def_Processes[Name(EN)],Tab_Def_Processes[Input_Flow_I_5],,0,)</f>
        <v/>
      </c>
      <c r="Z29" s="272">
        <f>_xlfn.XLOOKUP($D29,Tab_Def_Processes[Name(EN)],Tab_Def_Processes[Flow_ID_I_5],,0,)</f>
        <v/>
      </c>
      <c r="AA29" s="33" t="n"/>
      <c r="AB29" s="32">
        <f>Tab_Process_TCs2527[[#This Row],[Flow_TC_I_1_'[%']]]+Tab_Process_TCs2527[[#This Row],[Flow_TC_I_2_'[%']]]+Tab_Process_TCs2527[[#This Row],[Flow_TC_I_3_'[%']]]+Tab_Process_TCs2527[[#This Row],[Flow_TC_I_4_'[%']]]+Tab_Process_TCs2527[[#This Row],[Flow_TC_I_5_'[%']]]</f>
        <v/>
      </c>
      <c r="AC29" s="296">
        <f>_xlfn.XLOOKUP($D29,#REF!,#REF!,,0,)</f>
        <v/>
      </c>
      <c r="AD29" s="272">
        <f>_xlfn.XLOOKUP($D29,#REF!,#REF!,,0,)</f>
        <v/>
      </c>
      <c r="AE29" s="42">
        <f>Tab_Process_TCs2527[[#This Row],[Flow_ID]]</f>
        <v/>
      </c>
      <c r="AF29" s="272">
        <f>"TC"&amp;"_"&amp;RIGHT(AD29,5)</f>
        <v/>
      </c>
      <c r="AG29" s="49" t="n">
        <v>0.5</v>
      </c>
      <c r="AH29" s="169">
        <f>_xlfn.XLOOKUP($D29,#REF!,#REF!,,0,)</f>
        <v/>
      </c>
      <c r="AI29" s="53">
        <f>_xlfn.XLOOKUP($D29,#REF!,#REF!,,0,)</f>
        <v/>
      </c>
      <c r="AJ29" s="42">
        <f>Tab_Process_TCs2527[[#This Row],[Flow_ID]]</f>
        <v/>
      </c>
      <c r="AK29" s="272">
        <f>"TC"&amp;"_"&amp;RIGHT(AI29,5)</f>
        <v/>
      </c>
      <c r="AL29" s="168" t="n">
        <v>0.2</v>
      </c>
      <c r="AM29" s="296">
        <f>_xlfn.XLOOKUP($D29,#REF!,#REF!,,0,)</f>
        <v/>
      </c>
      <c r="AN29" s="272">
        <f>_xlfn.XLOOKUP($D29,#REF!,#REF!,,0,)</f>
        <v/>
      </c>
      <c r="AO29" s="42">
        <f>Tab_Process_TCs2527[[#This Row],[Flow_ID]]</f>
        <v/>
      </c>
      <c r="AP29" s="272">
        <f>"TC"&amp;"_"&amp;RIGHT(AN29,5)</f>
        <v/>
      </c>
      <c r="AQ29" s="168" t="n">
        <v>0.3</v>
      </c>
      <c r="AR29" s="296">
        <f>_xlfn.XLOOKUP($D29,#REF!,#REF!,,0,)</f>
        <v/>
      </c>
      <c r="AS29" s="272">
        <f>_xlfn.XLOOKUP($D29,#REF!,#REF!,,0,)</f>
        <v/>
      </c>
      <c r="AT29" s="42">
        <f>Tab_Process_TCs2527[[#This Row],[Flow_ID]]</f>
        <v/>
      </c>
      <c r="AU29" s="42">
        <f>"TC"&amp;"_"&amp;RIGHT(AN29,5)</f>
        <v/>
      </c>
      <c r="AV29" s="168" t="n"/>
      <c r="AW29" s="296">
        <f>_xlfn.XLOOKUP($D29,#REF!,#REF!,,0,)</f>
        <v/>
      </c>
      <c r="AX29" s="272">
        <f>_xlfn.XLOOKUP($D29,#REF!,#REF!,,0,)</f>
        <v/>
      </c>
      <c r="AY29" s="42">
        <f>Tab_Process_TCs2527[[#This Row],[Flow_ID]]</f>
        <v/>
      </c>
      <c r="AZ29" s="42">
        <f>"TC"&amp;"_"&amp;RIGHT(AX29,5)</f>
        <v/>
      </c>
      <c r="BA29" s="168" t="n"/>
      <c r="BB29" s="272">
        <f>_xlfn.XLOOKUP($D29,#REF!,#REF!,,0,)</f>
        <v/>
      </c>
      <c r="BC29" s="272">
        <f>_xlfn.XLOOKUP($D29,#REF!,#REF!,,0,)</f>
        <v/>
      </c>
      <c r="BD29" s="42">
        <f>Tab_Process_TCs2527[[#This Row],[Flow_ID]]</f>
        <v/>
      </c>
      <c r="BE29" s="42">
        <f>"TC"&amp;"_"&amp;RIGHT(BC29,5)</f>
        <v/>
      </c>
      <c r="BF29" s="49" t="n"/>
      <c r="BG29" s="52">
        <f>Tab_Process_TCs2527[[#This Row],[TC O_6_'[%']]]+Tab_Process_TCs2527[[#This Row],[TC O_5_'[%']]]+Tab_Process_TCs2527[[#This Row],[TC_O_4_'[%']]]+Tab_Process_TCs2527[[#This Row],[TC_O_3_'[%']]]+Tab_Process_TCs2527[[#This Row],[TC_O_2_'[%']]]+Tab_Process_TCs2527[[#This Row],[TC_O_1_'[%']]]</f>
        <v/>
      </c>
      <c r="BH29" s="273" t="n"/>
      <c r="BI29" s="273" t="n"/>
      <c r="BJ29" s="273" t="n"/>
      <c r="BK29" s="273" t="n"/>
      <c r="BL29" s="273" t="n"/>
    </row>
    <row r="30">
      <c r="A30" s="280" t="b">
        <v>0</v>
      </c>
      <c r="B30" s="272">
        <f>ROW()-1</f>
        <v/>
      </c>
      <c r="C30" s="286">
        <f>_xlfn.XLOOKUP($D30,Tab_Process_TCs[Name(EN)],Tab_Process_TCs[Process_ID],,0,)</f>
        <v/>
      </c>
      <c r="D30" s="189" t="inlineStr">
        <is>
          <t>N.A.</t>
        </is>
      </c>
      <c r="E30" s="189" t="inlineStr">
        <is>
          <t>N.A.</t>
        </is>
      </c>
      <c r="F30" s="286">
        <f>_xlfn.XLOOKUP($D30,Tab_Process_TCs[Name(EN)],Tab_Process_TCs[TC?],,0,)</f>
        <v/>
      </c>
      <c r="G30" s="286">
        <f>_xlfn.XLOOKUP($D30,Tab_Process_TCs[Name(EN)],Tab_Process_TCs[Dyn_TC?],,0,)</f>
        <v/>
      </c>
      <c r="H30" s="272">
        <f>_xlfn.XLOOKUP($E30,Tab_Def_Flows[Name(EN)],Tab_Def_Flows[Flow_ID],,0,1)</f>
        <v/>
      </c>
      <c r="I30" s="272">
        <f>IF(Tab_Process_TCs2527[[#This Row],[Name(EN)]]="N.A.","N.A.","TC"&amp;"_"&amp;RIGHT(H30,5))</f>
        <v/>
      </c>
      <c r="J30" s="273" t="n"/>
      <c r="K30" s="183" t="n"/>
      <c r="L30" s="272" t="n"/>
      <c r="M30" s="296">
        <f>_xlfn.XLOOKUP($D30,Tab_Def_Processes[Name(EN)],Tab_Def_Processes[Input_Flow_I_1],,0,)</f>
        <v/>
      </c>
      <c r="N30" s="272">
        <f>_xlfn.XLOOKUP($D30,Tab_Def_Processes[Name(EN)],Tab_Def_Processes[Flow_ID_I_1],,0,)</f>
        <v/>
      </c>
      <c r="O30" s="33" t="n"/>
      <c r="P30" s="29">
        <f>_xlfn.XLOOKUP($D30,Tab_Def_Processes[Name(EN)],Tab_Def_Processes[Input_Flow_I_2],,0,)</f>
        <v/>
      </c>
      <c r="Q30" s="272">
        <f>_xlfn.XLOOKUP($D30,Tab_Def_Processes[Name(EN)],Tab_Def_Processes[Flow_ID_I_2],,0,)</f>
        <v/>
      </c>
      <c r="R30" s="33" t="n"/>
      <c r="S30" s="29">
        <f>_xlfn.XLOOKUP($D30,Tab_Def_Processes[Name(EN)],Tab_Def_Processes[Input_Flow_I_3],,0,)</f>
        <v/>
      </c>
      <c r="T30" s="272">
        <f>_xlfn.XLOOKUP($D30,Tab_Def_Processes[Name(EN)],Tab_Def_Processes[Flow_ID_I_3],,0,)</f>
        <v/>
      </c>
      <c r="U30" s="33" t="n"/>
      <c r="V30" s="29">
        <f>_xlfn.XLOOKUP($D30,Tab_Def_Processes[Name(EN)],Tab_Def_Processes[Input_Flow_I_4],,0,)</f>
        <v/>
      </c>
      <c r="W30" s="272">
        <f>_xlfn.XLOOKUP($D30,Tab_Def_Processes[Name(EN)],Tab_Def_Processes[Flow_ID_I_4],,0,)</f>
        <v/>
      </c>
      <c r="X30" s="33" t="n"/>
      <c r="Y30" s="29">
        <f>_xlfn.XLOOKUP($D30,Tab_Def_Processes[Name(EN)],Tab_Def_Processes[Input_Flow_I_5],,0,)</f>
        <v/>
      </c>
      <c r="Z30" s="272">
        <f>_xlfn.XLOOKUP($D30,Tab_Def_Processes[Name(EN)],Tab_Def_Processes[Flow_ID_I_5],,0,)</f>
        <v/>
      </c>
      <c r="AA30" s="33" t="n"/>
      <c r="AB30" s="32">
        <f>Tab_Process_TCs2527[[#This Row],[Flow_TC_I_1_'[%']]]+Tab_Process_TCs2527[[#This Row],[Flow_TC_I_2_'[%']]]+Tab_Process_TCs2527[[#This Row],[Flow_TC_I_3_'[%']]]+Tab_Process_TCs2527[[#This Row],[Flow_TC_I_4_'[%']]]+Tab_Process_TCs2527[[#This Row],[Flow_TC_I_5_'[%']]]</f>
        <v/>
      </c>
      <c r="AC30" s="296">
        <f>_xlfn.XLOOKUP($D30,#REF!,#REF!,,0,)</f>
        <v/>
      </c>
      <c r="AD30" s="272">
        <f>_xlfn.XLOOKUP($D30,#REF!,#REF!,,0,)</f>
        <v/>
      </c>
      <c r="AE30" s="42">
        <f>Tab_Process_TCs2527[[#This Row],[Flow_ID]]</f>
        <v/>
      </c>
      <c r="AF30" s="272">
        <f>"TC"&amp;"_"&amp;RIGHT(AD30,5)</f>
        <v/>
      </c>
      <c r="AG30" s="49" t="n">
        <v>0.5</v>
      </c>
      <c r="AH30" s="169">
        <f>_xlfn.XLOOKUP($D30,#REF!,#REF!,,0,)</f>
        <v/>
      </c>
      <c r="AI30" s="53">
        <f>_xlfn.XLOOKUP($D30,#REF!,#REF!,,0,)</f>
        <v/>
      </c>
      <c r="AJ30" s="42">
        <f>Tab_Process_TCs2527[[#This Row],[Flow_ID]]</f>
        <v/>
      </c>
      <c r="AK30" s="272">
        <f>"TC"&amp;"_"&amp;RIGHT(AI30,5)</f>
        <v/>
      </c>
      <c r="AL30" s="168" t="n">
        <v>0.2</v>
      </c>
      <c r="AM30" s="296">
        <f>_xlfn.XLOOKUP($D30,#REF!,#REF!,,0,)</f>
        <v/>
      </c>
      <c r="AN30" s="272">
        <f>_xlfn.XLOOKUP($D30,#REF!,#REF!,,0,)</f>
        <v/>
      </c>
      <c r="AO30" s="42">
        <f>Tab_Process_TCs2527[[#This Row],[Flow_ID]]</f>
        <v/>
      </c>
      <c r="AP30" s="272">
        <f>"TC"&amp;"_"&amp;RIGHT(AN30,5)</f>
        <v/>
      </c>
      <c r="AQ30" s="168" t="n">
        <v>0.3</v>
      </c>
      <c r="AR30" s="296">
        <f>_xlfn.XLOOKUP($D30,#REF!,#REF!,,0,)</f>
        <v/>
      </c>
      <c r="AS30" s="272">
        <f>_xlfn.XLOOKUP($D30,#REF!,#REF!,,0,)</f>
        <v/>
      </c>
      <c r="AT30" s="42">
        <f>Tab_Process_TCs2527[[#This Row],[Flow_ID]]</f>
        <v/>
      </c>
      <c r="AU30" s="42">
        <f>"TC"&amp;"_"&amp;RIGHT(AN30,5)</f>
        <v/>
      </c>
      <c r="AV30" s="168" t="n"/>
      <c r="AW30" s="296">
        <f>_xlfn.XLOOKUP($D30,#REF!,#REF!,,0,)</f>
        <v/>
      </c>
      <c r="AX30" s="272">
        <f>_xlfn.XLOOKUP($D30,#REF!,#REF!,,0,)</f>
        <v/>
      </c>
      <c r="AY30" s="42">
        <f>Tab_Process_TCs2527[[#This Row],[Flow_ID]]</f>
        <v/>
      </c>
      <c r="AZ30" s="42">
        <f>"TC"&amp;"_"&amp;RIGHT(AX30,5)</f>
        <v/>
      </c>
      <c r="BA30" s="168" t="n"/>
      <c r="BB30" s="272">
        <f>_xlfn.XLOOKUP($D30,#REF!,#REF!,,0,)</f>
        <v/>
      </c>
      <c r="BC30" s="272">
        <f>_xlfn.XLOOKUP($D30,#REF!,#REF!,,0,)</f>
        <v/>
      </c>
      <c r="BD30" s="42">
        <f>Tab_Process_TCs2527[[#This Row],[Flow_ID]]</f>
        <v/>
      </c>
      <c r="BE30" s="42">
        <f>"TC"&amp;"_"&amp;RIGHT(BC30,5)</f>
        <v/>
      </c>
      <c r="BF30" s="49" t="n"/>
      <c r="BG30" s="52">
        <f>Tab_Process_TCs2527[[#This Row],[TC O_6_'[%']]]+Tab_Process_TCs2527[[#This Row],[TC O_5_'[%']]]+Tab_Process_TCs2527[[#This Row],[TC_O_4_'[%']]]+Tab_Process_TCs2527[[#This Row],[TC_O_3_'[%']]]+Tab_Process_TCs2527[[#This Row],[TC_O_2_'[%']]]+Tab_Process_TCs2527[[#This Row],[TC_O_1_'[%']]]</f>
        <v/>
      </c>
      <c r="BH30" s="273" t="n"/>
      <c r="BI30" s="273" t="n"/>
      <c r="BJ30" s="273" t="n"/>
      <c r="BK30" s="273" t="n"/>
      <c r="BL30" s="273" t="n"/>
    </row>
    <row r="31">
      <c r="A31" s="280" t="b">
        <v>0</v>
      </c>
      <c r="B31" s="272">
        <f>ROW()-1</f>
        <v/>
      </c>
      <c r="C31" s="286">
        <f>_xlfn.XLOOKUP($D31,Tab_Process_TCs[Name(EN)],Tab_Process_TCs[Process_ID],,0,)</f>
        <v/>
      </c>
      <c r="D31" s="189" t="inlineStr">
        <is>
          <t>N.A.</t>
        </is>
      </c>
      <c r="E31" s="189" t="inlineStr">
        <is>
          <t>N.A.</t>
        </is>
      </c>
      <c r="F31" s="286">
        <f>_xlfn.XLOOKUP($D31,Tab_Process_TCs[Name(EN)],Tab_Process_TCs[TC?],,0,)</f>
        <v/>
      </c>
      <c r="G31" s="286">
        <f>_xlfn.XLOOKUP($D31,Tab_Process_TCs[Name(EN)],Tab_Process_TCs[Dyn_TC?],,0,)</f>
        <v/>
      </c>
      <c r="H31" s="272">
        <f>_xlfn.XLOOKUP($E31,Tab_Def_Flows[Name(EN)],Tab_Def_Flows[Flow_ID],,0,1)</f>
        <v/>
      </c>
      <c r="I31" s="272">
        <f>IF(Tab_Process_TCs2527[[#This Row],[Name(EN)]]="N.A.","N.A.","TC"&amp;"_"&amp;RIGHT(H31,5))</f>
        <v/>
      </c>
      <c r="J31" s="273" t="n"/>
      <c r="K31" s="183" t="n"/>
      <c r="L31" s="272" t="n"/>
      <c r="M31" s="296">
        <f>_xlfn.XLOOKUP($D31,Tab_Def_Processes[Name(EN)],Tab_Def_Processes[Input_Flow_I_1],,0,)</f>
        <v/>
      </c>
      <c r="N31" s="272">
        <f>_xlfn.XLOOKUP($D31,Tab_Def_Processes[Name(EN)],Tab_Def_Processes[Flow_ID_I_1],,0,)</f>
        <v/>
      </c>
      <c r="O31" s="33" t="n"/>
      <c r="P31" s="29">
        <f>_xlfn.XLOOKUP($D31,Tab_Def_Processes[Name(EN)],Tab_Def_Processes[Input_Flow_I_2],,0,)</f>
        <v/>
      </c>
      <c r="Q31" s="272">
        <f>_xlfn.XLOOKUP($D31,Tab_Def_Processes[Name(EN)],Tab_Def_Processes[Flow_ID_I_2],,0,)</f>
        <v/>
      </c>
      <c r="R31" s="33" t="n"/>
      <c r="S31" s="29">
        <f>_xlfn.XLOOKUP($D31,Tab_Def_Processes[Name(EN)],Tab_Def_Processes[Input_Flow_I_3],,0,)</f>
        <v/>
      </c>
      <c r="T31" s="272">
        <f>_xlfn.XLOOKUP($D31,Tab_Def_Processes[Name(EN)],Tab_Def_Processes[Flow_ID_I_3],,0,)</f>
        <v/>
      </c>
      <c r="U31" s="33" t="n"/>
      <c r="V31" s="29">
        <f>_xlfn.XLOOKUP($D31,Tab_Def_Processes[Name(EN)],Tab_Def_Processes[Input_Flow_I_4],,0,)</f>
        <v/>
      </c>
      <c r="W31" s="272">
        <f>_xlfn.XLOOKUP($D31,Tab_Def_Processes[Name(EN)],Tab_Def_Processes[Flow_ID_I_4],,0,)</f>
        <v/>
      </c>
      <c r="X31" s="33" t="n"/>
      <c r="Y31" s="29">
        <f>_xlfn.XLOOKUP($D31,Tab_Def_Processes[Name(EN)],Tab_Def_Processes[Input_Flow_I_5],,0,)</f>
        <v/>
      </c>
      <c r="Z31" s="272">
        <f>_xlfn.XLOOKUP($D31,Tab_Def_Processes[Name(EN)],Tab_Def_Processes[Flow_ID_I_5],,0,)</f>
        <v/>
      </c>
      <c r="AA31" s="33" t="n"/>
      <c r="AB31" s="32">
        <f>Tab_Process_TCs2527[[#This Row],[Flow_TC_I_1_'[%']]]+Tab_Process_TCs2527[[#This Row],[Flow_TC_I_2_'[%']]]+Tab_Process_TCs2527[[#This Row],[Flow_TC_I_3_'[%']]]+Tab_Process_TCs2527[[#This Row],[Flow_TC_I_4_'[%']]]+Tab_Process_TCs2527[[#This Row],[Flow_TC_I_5_'[%']]]</f>
        <v/>
      </c>
      <c r="AC31" s="296">
        <f>_xlfn.XLOOKUP($D31,#REF!,#REF!,,0,)</f>
        <v/>
      </c>
      <c r="AD31" s="272">
        <f>_xlfn.XLOOKUP($D31,#REF!,#REF!,,0,)</f>
        <v/>
      </c>
      <c r="AE31" s="42">
        <f>Tab_Process_TCs2527[[#This Row],[Flow_ID]]</f>
        <v/>
      </c>
      <c r="AF31" s="272">
        <f>"TC"&amp;"_"&amp;RIGHT(AD31,5)</f>
        <v/>
      </c>
      <c r="AG31" s="49" t="n">
        <v>0.5</v>
      </c>
      <c r="AH31" s="169">
        <f>_xlfn.XLOOKUP($D31,#REF!,#REF!,,0,)</f>
        <v/>
      </c>
      <c r="AI31" s="53">
        <f>_xlfn.XLOOKUP($D31,#REF!,#REF!,,0,)</f>
        <v/>
      </c>
      <c r="AJ31" s="42">
        <f>Tab_Process_TCs2527[[#This Row],[Flow_ID]]</f>
        <v/>
      </c>
      <c r="AK31" s="272">
        <f>"TC"&amp;"_"&amp;RIGHT(AI31,5)</f>
        <v/>
      </c>
      <c r="AL31" s="168" t="n">
        <v>0.2</v>
      </c>
      <c r="AM31" s="296">
        <f>_xlfn.XLOOKUP($D31,#REF!,#REF!,,0,)</f>
        <v/>
      </c>
      <c r="AN31" s="272">
        <f>_xlfn.XLOOKUP($D31,#REF!,#REF!,,0,)</f>
        <v/>
      </c>
      <c r="AO31" s="42">
        <f>Tab_Process_TCs2527[[#This Row],[Flow_ID]]</f>
        <v/>
      </c>
      <c r="AP31" s="272">
        <f>"TC"&amp;"_"&amp;RIGHT(AN31,5)</f>
        <v/>
      </c>
      <c r="AQ31" s="168" t="n">
        <v>0.3</v>
      </c>
      <c r="AR31" s="296">
        <f>_xlfn.XLOOKUP($D31,#REF!,#REF!,,0,)</f>
        <v/>
      </c>
      <c r="AS31" s="272">
        <f>_xlfn.XLOOKUP($D31,#REF!,#REF!,,0,)</f>
        <v/>
      </c>
      <c r="AT31" s="42">
        <f>Tab_Process_TCs2527[[#This Row],[Flow_ID]]</f>
        <v/>
      </c>
      <c r="AU31" s="42">
        <f>"TC"&amp;"_"&amp;RIGHT(AN31,5)</f>
        <v/>
      </c>
      <c r="AV31" s="168" t="n"/>
      <c r="AW31" s="296">
        <f>_xlfn.XLOOKUP($D31,#REF!,#REF!,,0,)</f>
        <v/>
      </c>
      <c r="AX31" s="272">
        <f>_xlfn.XLOOKUP($D31,#REF!,#REF!,,0,)</f>
        <v/>
      </c>
      <c r="AY31" s="42">
        <f>Tab_Process_TCs2527[[#This Row],[Flow_ID]]</f>
        <v/>
      </c>
      <c r="AZ31" s="42">
        <f>"TC"&amp;"_"&amp;RIGHT(AX31,5)</f>
        <v/>
      </c>
      <c r="BA31" s="168" t="n"/>
      <c r="BB31" s="272">
        <f>_xlfn.XLOOKUP($D31,#REF!,#REF!,,0,)</f>
        <v/>
      </c>
      <c r="BC31" s="272">
        <f>_xlfn.XLOOKUP($D31,#REF!,#REF!,,0,)</f>
        <v/>
      </c>
      <c r="BD31" s="42">
        <f>Tab_Process_TCs2527[[#This Row],[Flow_ID]]</f>
        <v/>
      </c>
      <c r="BE31" s="42">
        <f>"TC"&amp;"_"&amp;RIGHT(BC31,5)</f>
        <v/>
      </c>
      <c r="BF31" s="49" t="n"/>
      <c r="BG31" s="52">
        <f>Tab_Process_TCs2527[[#This Row],[TC O_6_'[%']]]+Tab_Process_TCs2527[[#This Row],[TC O_5_'[%']]]+Tab_Process_TCs2527[[#This Row],[TC_O_4_'[%']]]+Tab_Process_TCs2527[[#This Row],[TC_O_3_'[%']]]+Tab_Process_TCs2527[[#This Row],[TC_O_2_'[%']]]+Tab_Process_TCs2527[[#This Row],[TC_O_1_'[%']]]</f>
        <v/>
      </c>
      <c r="BH31" s="273" t="n"/>
      <c r="BI31" s="273" t="n"/>
      <c r="BJ31" s="273" t="n"/>
      <c r="BK31" s="273" t="n"/>
      <c r="BL31" s="273" t="n"/>
    </row>
    <row r="32">
      <c r="A32" s="280" t="b">
        <v>0</v>
      </c>
      <c r="B32" s="272">
        <f>ROW()-1</f>
        <v/>
      </c>
      <c r="C32" s="286">
        <f>_xlfn.XLOOKUP($D32,Tab_Process_TCs[Name(EN)],Tab_Process_TCs[Process_ID],,0,)</f>
        <v/>
      </c>
      <c r="D32" s="189" t="inlineStr">
        <is>
          <t>N.A.</t>
        </is>
      </c>
      <c r="E32" s="189" t="inlineStr">
        <is>
          <t>N.A.</t>
        </is>
      </c>
      <c r="F32" s="286">
        <f>_xlfn.XLOOKUP($D32,Tab_Process_TCs[Name(EN)],Tab_Process_TCs[TC?],,0,)</f>
        <v/>
      </c>
      <c r="G32" s="286">
        <f>_xlfn.XLOOKUP($D32,Tab_Process_TCs[Name(EN)],Tab_Process_TCs[Dyn_TC?],,0,)</f>
        <v/>
      </c>
      <c r="H32" s="272">
        <f>_xlfn.XLOOKUP($E32,Tab_Def_Flows[Name(EN)],Tab_Def_Flows[Flow_ID],,0,1)</f>
        <v/>
      </c>
      <c r="I32" s="272">
        <f>IF(Tab_Process_TCs2527[[#This Row],[Name(EN)]]="N.A.","N.A.","TC"&amp;"_"&amp;RIGHT(H32,5))</f>
        <v/>
      </c>
      <c r="J32" s="273" t="n"/>
      <c r="K32" s="183" t="n"/>
      <c r="L32" s="272" t="n"/>
      <c r="M32" s="296">
        <f>_xlfn.XLOOKUP($D32,Tab_Def_Processes[Name(EN)],Tab_Def_Processes[Input_Flow_I_1],,0,)</f>
        <v/>
      </c>
      <c r="N32" s="272">
        <f>_xlfn.XLOOKUP($D32,Tab_Def_Processes[Name(EN)],Tab_Def_Processes[Flow_ID_I_1],,0,)</f>
        <v/>
      </c>
      <c r="O32" s="33" t="n"/>
      <c r="P32" s="29">
        <f>_xlfn.XLOOKUP($D32,Tab_Def_Processes[Name(EN)],Tab_Def_Processes[Input_Flow_I_2],,0,)</f>
        <v/>
      </c>
      <c r="Q32" s="272">
        <f>_xlfn.XLOOKUP($D32,Tab_Def_Processes[Name(EN)],Tab_Def_Processes[Flow_ID_I_2],,0,)</f>
        <v/>
      </c>
      <c r="R32" s="33" t="n"/>
      <c r="S32" s="29">
        <f>_xlfn.XLOOKUP($D32,Tab_Def_Processes[Name(EN)],Tab_Def_Processes[Input_Flow_I_3],,0,)</f>
        <v/>
      </c>
      <c r="T32" s="272">
        <f>_xlfn.XLOOKUP($D32,Tab_Def_Processes[Name(EN)],Tab_Def_Processes[Flow_ID_I_3],,0,)</f>
        <v/>
      </c>
      <c r="U32" s="33" t="n"/>
      <c r="V32" s="29">
        <f>_xlfn.XLOOKUP($D32,Tab_Def_Processes[Name(EN)],Tab_Def_Processes[Input_Flow_I_4],,0,)</f>
        <v/>
      </c>
      <c r="W32" s="272">
        <f>_xlfn.XLOOKUP($D32,Tab_Def_Processes[Name(EN)],Tab_Def_Processes[Flow_ID_I_4],,0,)</f>
        <v/>
      </c>
      <c r="X32" s="33" t="n"/>
      <c r="Y32" s="29">
        <f>_xlfn.XLOOKUP($D32,Tab_Def_Processes[Name(EN)],Tab_Def_Processes[Input_Flow_I_5],,0,)</f>
        <v/>
      </c>
      <c r="Z32" s="272">
        <f>_xlfn.XLOOKUP($D32,Tab_Def_Processes[Name(EN)],Tab_Def_Processes[Flow_ID_I_5],,0,)</f>
        <v/>
      </c>
      <c r="AA32" s="33" t="n"/>
      <c r="AB32" s="32">
        <f>Tab_Process_TCs2527[[#This Row],[Flow_TC_I_1_'[%']]]+Tab_Process_TCs2527[[#This Row],[Flow_TC_I_2_'[%']]]+Tab_Process_TCs2527[[#This Row],[Flow_TC_I_3_'[%']]]+Tab_Process_TCs2527[[#This Row],[Flow_TC_I_4_'[%']]]+Tab_Process_TCs2527[[#This Row],[Flow_TC_I_5_'[%']]]</f>
        <v/>
      </c>
      <c r="AC32" s="296">
        <f>_xlfn.XLOOKUP($D32,#REF!,#REF!,,0,)</f>
        <v/>
      </c>
      <c r="AD32" s="272">
        <f>_xlfn.XLOOKUP($D32,#REF!,#REF!,,0,)</f>
        <v/>
      </c>
      <c r="AE32" s="42">
        <f>Tab_Process_TCs2527[[#This Row],[Flow_ID]]</f>
        <v/>
      </c>
      <c r="AF32" s="272">
        <f>"TC"&amp;"_"&amp;RIGHT(AD32,5)</f>
        <v/>
      </c>
      <c r="AG32" s="49" t="n">
        <v>0.5</v>
      </c>
      <c r="AH32" s="169">
        <f>_xlfn.XLOOKUP($D32,#REF!,#REF!,,0,)</f>
        <v/>
      </c>
      <c r="AI32" s="53">
        <f>_xlfn.XLOOKUP($D32,#REF!,#REF!,,0,)</f>
        <v/>
      </c>
      <c r="AJ32" s="42">
        <f>Tab_Process_TCs2527[[#This Row],[Flow_ID]]</f>
        <v/>
      </c>
      <c r="AK32" s="272">
        <f>"TC"&amp;"_"&amp;RIGHT(AI32,5)</f>
        <v/>
      </c>
      <c r="AL32" s="168" t="n">
        <v>0.2</v>
      </c>
      <c r="AM32" s="296">
        <f>_xlfn.XLOOKUP($D32,#REF!,#REF!,,0,)</f>
        <v/>
      </c>
      <c r="AN32" s="272">
        <f>_xlfn.XLOOKUP($D32,#REF!,#REF!,,0,)</f>
        <v/>
      </c>
      <c r="AO32" s="42">
        <f>Tab_Process_TCs2527[[#This Row],[Flow_ID]]</f>
        <v/>
      </c>
      <c r="AP32" s="272">
        <f>"TC"&amp;"_"&amp;RIGHT(AN32,5)</f>
        <v/>
      </c>
      <c r="AQ32" s="168" t="n">
        <v>0.3</v>
      </c>
      <c r="AR32" s="296">
        <f>_xlfn.XLOOKUP($D32,#REF!,#REF!,,0,)</f>
        <v/>
      </c>
      <c r="AS32" s="272">
        <f>_xlfn.XLOOKUP($D32,#REF!,#REF!,,0,)</f>
        <v/>
      </c>
      <c r="AT32" s="42">
        <f>Tab_Process_TCs2527[[#This Row],[Flow_ID]]</f>
        <v/>
      </c>
      <c r="AU32" s="42">
        <f>"TC"&amp;"_"&amp;RIGHT(AN32,5)</f>
        <v/>
      </c>
      <c r="AV32" s="168" t="n"/>
      <c r="AW32" s="296">
        <f>_xlfn.XLOOKUP($D32,#REF!,#REF!,,0,)</f>
        <v/>
      </c>
      <c r="AX32" s="272">
        <f>_xlfn.XLOOKUP($D32,#REF!,#REF!,,0,)</f>
        <v/>
      </c>
      <c r="AY32" s="42">
        <f>Tab_Process_TCs2527[[#This Row],[Flow_ID]]</f>
        <v/>
      </c>
      <c r="AZ32" s="42">
        <f>"TC"&amp;"_"&amp;RIGHT(AX32,5)</f>
        <v/>
      </c>
      <c r="BA32" s="168" t="n"/>
      <c r="BB32" s="272">
        <f>_xlfn.XLOOKUP($D32,#REF!,#REF!,,0,)</f>
        <v/>
      </c>
      <c r="BC32" s="272">
        <f>_xlfn.XLOOKUP($D32,#REF!,#REF!,,0,)</f>
        <v/>
      </c>
      <c r="BD32" s="42">
        <f>Tab_Process_TCs2527[[#This Row],[Flow_ID]]</f>
        <v/>
      </c>
      <c r="BE32" s="42">
        <f>"TC"&amp;"_"&amp;RIGHT(BC32,5)</f>
        <v/>
      </c>
      <c r="BF32" s="49" t="n"/>
      <c r="BG32" s="52">
        <f>Tab_Process_TCs2527[[#This Row],[TC O_6_'[%']]]+Tab_Process_TCs2527[[#This Row],[TC O_5_'[%']]]+Tab_Process_TCs2527[[#This Row],[TC_O_4_'[%']]]+Tab_Process_TCs2527[[#This Row],[TC_O_3_'[%']]]+Tab_Process_TCs2527[[#This Row],[TC_O_2_'[%']]]+Tab_Process_TCs2527[[#This Row],[TC_O_1_'[%']]]</f>
        <v/>
      </c>
      <c r="BH32" s="273" t="n"/>
      <c r="BI32" s="273" t="n"/>
      <c r="BJ32" s="273" t="n"/>
      <c r="BK32" s="273" t="n"/>
      <c r="BL32" s="273" t="n"/>
    </row>
    <row r="33">
      <c r="A33" s="280" t="b">
        <v>0</v>
      </c>
      <c r="B33" s="272">
        <f>ROW()-1</f>
        <v/>
      </c>
      <c r="C33" s="286">
        <f>_xlfn.XLOOKUP($D33,Tab_Process_TCs[Name(EN)],Tab_Process_TCs[Process_ID],,0,)</f>
        <v/>
      </c>
      <c r="D33" s="189" t="inlineStr">
        <is>
          <t>N.A.</t>
        </is>
      </c>
      <c r="E33" s="189" t="inlineStr">
        <is>
          <t>N.A.</t>
        </is>
      </c>
      <c r="F33" s="286">
        <f>_xlfn.XLOOKUP($D33,Tab_Process_TCs[Name(EN)],Tab_Process_TCs[TC?],,0,)</f>
        <v/>
      </c>
      <c r="G33" s="286">
        <f>_xlfn.XLOOKUP($D33,Tab_Process_TCs[Name(EN)],Tab_Process_TCs[Dyn_TC?],,0,)</f>
        <v/>
      </c>
      <c r="H33" s="272">
        <f>_xlfn.XLOOKUP($E33,Tab_Def_Flows[Name(EN)],Tab_Def_Flows[Flow_ID],,0,1)</f>
        <v/>
      </c>
      <c r="I33" s="272">
        <f>IF(Tab_Process_TCs2527[[#This Row],[Name(EN)]]="N.A.","N.A.","TC"&amp;"_"&amp;RIGHT(H33,5))</f>
        <v/>
      </c>
      <c r="J33" s="273" t="n"/>
      <c r="K33" s="183" t="n"/>
      <c r="L33" s="272" t="n"/>
      <c r="M33" s="296">
        <f>_xlfn.XLOOKUP($D33,Tab_Def_Processes[Name(EN)],Tab_Def_Processes[Input_Flow_I_1],,0,)</f>
        <v/>
      </c>
      <c r="N33" s="272">
        <f>_xlfn.XLOOKUP($D33,Tab_Def_Processes[Name(EN)],Tab_Def_Processes[Flow_ID_I_1],,0,)</f>
        <v/>
      </c>
      <c r="O33" s="33" t="n"/>
      <c r="P33" s="29">
        <f>_xlfn.XLOOKUP($D33,Tab_Def_Processes[Name(EN)],Tab_Def_Processes[Input_Flow_I_2],,0,)</f>
        <v/>
      </c>
      <c r="Q33" s="272">
        <f>_xlfn.XLOOKUP($D33,Tab_Def_Processes[Name(EN)],Tab_Def_Processes[Flow_ID_I_2],,0,)</f>
        <v/>
      </c>
      <c r="R33" s="33" t="n"/>
      <c r="S33" s="29">
        <f>_xlfn.XLOOKUP($D33,Tab_Def_Processes[Name(EN)],Tab_Def_Processes[Input_Flow_I_3],,0,)</f>
        <v/>
      </c>
      <c r="T33" s="272">
        <f>_xlfn.XLOOKUP($D33,Tab_Def_Processes[Name(EN)],Tab_Def_Processes[Flow_ID_I_3],,0,)</f>
        <v/>
      </c>
      <c r="U33" s="33" t="n"/>
      <c r="V33" s="29">
        <f>_xlfn.XLOOKUP($D33,Tab_Def_Processes[Name(EN)],Tab_Def_Processes[Input_Flow_I_4],,0,)</f>
        <v/>
      </c>
      <c r="W33" s="272">
        <f>_xlfn.XLOOKUP($D33,Tab_Def_Processes[Name(EN)],Tab_Def_Processes[Flow_ID_I_4],,0,)</f>
        <v/>
      </c>
      <c r="X33" s="33" t="n"/>
      <c r="Y33" s="29">
        <f>_xlfn.XLOOKUP($D33,Tab_Def_Processes[Name(EN)],Tab_Def_Processes[Input_Flow_I_5],,0,)</f>
        <v/>
      </c>
      <c r="Z33" s="272">
        <f>_xlfn.XLOOKUP($D33,Tab_Def_Processes[Name(EN)],Tab_Def_Processes[Flow_ID_I_5],,0,)</f>
        <v/>
      </c>
      <c r="AA33" s="33" t="n"/>
      <c r="AB33" s="32">
        <f>Tab_Process_TCs2527[[#This Row],[Flow_TC_I_1_'[%']]]+Tab_Process_TCs2527[[#This Row],[Flow_TC_I_2_'[%']]]+Tab_Process_TCs2527[[#This Row],[Flow_TC_I_3_'[%']]]+Tab_Process_TCs2527[[#This Row],[Flow_TC_I_4_'[%']]]+Tab_Process_TCs2527[[#This Row],[Flow_TC_I_5_'[%']]]</f>
        <v/>
      </c>
      <c r="AC33" s="296">
        <f>_xlfn.XLOOKUP($D33,#REF!,#REF!,,0,)</f>
        <v/>
      </c>
      <c r="AD33" s="272">
        <f>_xlfn.XLOOKUP($D33,#REF!,#REF!,,0,)</f>
        <v/>
      </c>
      <c r="AE33" s="42">
        <f>Tab_Process_TCs2527[[#This Row],[Flow_ID]]</f>
        <v/>
      </c>
      <c r="AF33" s="272">
        <f>"TC"&amp;"_"&amp;RIGHT(AD33,5)</f>
        <v/>
      </c>
      <c r="AG33" s="49" t="n">
        <v>0.5</v>
      </c>
      <c r="AH33" s="169">
        <f>_xlfn.XLOOKUP($D33,#REF!,#REF!,,0,)</f>
        <v/>
      </c>
      <c r="AI33" s="53">
        <f>_xlfn.XLOOKUP($D33,#REF!,#REF!,,0,)</f>
        <v/>
      </c>
      <c r="AJ33" s="42">
        <f>Tab_Process_TCs2527[[#This Row],[Flow_ID]]</f>
        <v/>
      </c>
      <c r="AK33" s="272">
        <f>"TC"&amp;"_"&amp;RIGHT(AI33,5)</f>
        <v/>
      </c>
      <c r="AL33" s="168" t="n">
        <v>0.2</v>
      </c>
      <c r="AM33" s="296">
        <f>_xlfn.XLOOKUP($D33,#REF!,#REF!,,0,)</f>
        <v/>
      </c>
      <c r="AN33" s="272">
        <f>_xlfn.XLOOKUP($D33,#REF!,#REF!,,0,)</f>
        <v/>
      </c>
      <c r="AO33" s="42">
        <f>Tab_Process_TCs2527[[#This Row],[Flow_ID]]</f>
        <v/>
      </c>
      <c r="AP33" s="272">
        <f>"TC"&amp;"_"&amp;RIGHT(AN33,5)</f>
        <v/>
      </c>
      <c r="AQ33" s="168" t="n">
        <v>0.3</v>
      </c>
      <c r="AR33" s="296">
        <f>_xlfn.XLOOKUP($D33,#REF!,#REF!,,0,)</f>
        <v/>
      </c>
      <c r="AS33" s="272">
        <f>_xlfn.XLOOKUP($D33,#REF!,#REF!,,0,)</f>
        <v/>
      </c>
      <c r="AT33" s="42">
        <f>Tab_Process_TCs2527[[#This Row],[Flow_ID]]</f>
        <v/>
      </c>
      <c r="AU33" s="42">
        <f>"TC"&amp;"_"&amp;RIGHT(AN33,5)</f>
        <v/>
      </c>
      <c r="AV33" s="168" t="n"/>
      <c r="AW33" s="296">
        <f>_xlfn.XLOOKUP($D33,#REF!,#REF!,,0,)</f>
        <v/>
      </c>
      <c r="AX33" s="272">
        <f>_xlfn.XLOOKUP($D33,#REF!,#REF!,,0,)</f>
        <v/>
      </c>
      <c r="AY33" s="42">
        <f>Tab_Process_TCs2527[[#This Row],[Flow_ID]]</f>
        <v/>
      </c>
      <c r="AZ33" s="42">
        <f>"TC"&amp;"_"&amp;RIGHT(AX33,5)</f>
        <v/>
      </c>
      <c r="BA33" s="168" t="n"/>
      <c r="BB33" s="272">
        <f>_xlfn.XLOOKUP($D33,#REF!,#REF!,,0,)</f>
        <v/>
      </c>
      <c r="BC33" s="272">
        <f>_xlfn.XLOOKUP($D33,#REF!,#REF!,,0,)</f>
        <v/>
      </c>
      <c r="BD33" s="42">
        <f>Tab_Process_TCs2527[[#This Row],[Flow_ID]]</f>
        <v/>
      </c>
      <c r="BE33" s="42">
        <f>"TC"&amp;"_"&amp;RIGHT(BC33,5)</f>
        <v/>
      </c>
      <c r="BF33" s="49" t="n"/>
      <c r="BG33" s="52">
        <f>Tab_Process_TCs2527[[#This Row],[TC O_6_'[%']]]+Tab_Process_TCs2527[[#This Row],[TC O_5_'[%']]]+Tab_Process_TCs2527[[#This Row],[TC_O_4_'[%']]]+Tab_Process_TCs2527[[#This Row],[TC_O_3_'[%']]]+Tab_Process_TCs2527[[#This Row],[TC_O_2_'[%']]]+Tab_Process_TCs2527[[#This Row],[TC_O_1_'[%']]]</f>
        <v/>
      </c>
      <c r="BH33" s="273" t="n"/>
      <c r="BI33" s="273" t="n"/>
      <c r="BJ33" s="273" t="n"/>
      <c r="BK33" s="273" t="n"/>
      <c r="BL33" s="273" t="n"/>
    </row>
    <row r="34">
      <c r="A34" s="280" t="b">
        <v>0</v>
      </c>
      <c r="B34" s="272">
        <f>ROW()-1</f>
        <v/>
      </c>
      <c r="C34" s="286">
        <f>_xlfn.XLOOKUP($D34,Tab_Process_TCs[Name(EN)],Tab_Process_TCs[Process_ID],,0,)</f>
        <v/>
      </c>
      <c r="D34" s="189" t="inlineStr">
        <is>
          <t>N.A.</t>
        </is>
      </c>
      <c r="E34" s="189" t="inlineStr">
        <is>
          <t>N.A.</t>
        </is>
      </c>
      <c r="F34" s="286">
        <f>_xlfn.XLOOKUP($D34,Tab_Process_TCs[Name(EN)],Tab_Process_TCs[TC?],,0,)</f>
        <v/>
      </c>
      <c r="G34" s="286">
        <f>_xlfn.XLOOKUP($D34,Tab_Process_TCs[Name(EN)],Tab_Process_TCs[Dyn_TC?],,0,)</f>
        <v/>
      </c>
      <c r="H34" s="272">
        <f>_xlfn.XLOOKUP($E34,Tab_Def_Flows[Name(EN)],Tab_Def_Flows[Flow_ID],,0,1)</f>
        <v/>
      </c>
      <c r="I34" s="272">
        <f>IF(Tab_Process_TCs2527[[#This Row],[Name(EN)]]="N.A.","N.A.","TC"&amp;"_"&amp;RIGHT(H34,5))</f>
        <v/>
      </c>
      <c r="J34" s="273" t="n"/>
      <c r="K34" s="183" t="n"/>
      <c r="L34" s="272" t="n"/>
      <c r="M34" s="296">
        <f>_xlfn.XLOOKUP($D34,Tab_Def_Processes[Name(EN)],Tab_Def_Processes[Input_Flow_I_1],,0,)</f>
        <v/>
      </c>
      <c r="N34" s="272">
        <f>_xlfn.XLOOKUP($D34,Tab_Def_Processes[Name(EN)],Tab_Def_Processes[Flow_ID_I_1],,0,)</f>
        <v/>
      </c>
      <c r="O34" s="33" t="n"/>
      <c r="P34" s="29">
        <f>_xlfn.XLOOKUP($D34,Tab_Def_Processes[Name(EN)],Tab_Def_Processes[Input_Flow_I_2],,0,)</f>
        <v/>
      </c>
      <c r="Q34" s="272">
        <f>_xlfn.XLOOKUP($D34,Tab_Def_Processes[Name(EN)],Tab_Def_Processes[Flow_ID_I_2],,0,)</f>
        <v/>
      </c>
      <c r="R34" s="33" t="n"/>
      <c r="S34" s="29">
        <f>_xlfn.XLOOKUP($D34,Tab_Def_Processes[Name(EN)],Tab_Def_Processes[Input_Flow_I_3],,0,)</f>
        <v/>
      </c>
      <c r="T34" s="272">
        <f>_xlfn.XLOOKUP($D34,Tab_Def_Processes[Name(EN)],Tab_Def_Processes[Flow_ID_I_3],,0,)</f>
        <v/>
      </c>
      <c r="U34" s="33" t="n"/>
      <c r="V34" s="29">
        <f>_xlfn.XLOOKUP($D34,Tab_Def_Processes[Name(EN)],Tab_Def_Processes[Input_Flow_I_4],,0,)</f>
        <v/>
      </c>
      <c r="W34" s="272">
        <f>_xlfn.XLOOKUP($D34,Tab_Def_Processes[Name(EN)],Tab_Def_Processes[Flow_ID_I_4],,0,)</f>
        <v/>
      </c>
      <c r="X34" s="33" t="n"/>
      <c r="Y34" s="29">
        <f>_xlfn.XLOOKUP($D34,Tab_Def_Processes[Name(EN)],Tab_Def_Processes[Input_Flow_I_5],,0,)</f>
        <v/>
      </c>
      <c r="Z34" s="272">
        <f>_xlfn.XLOOKUP($D34,Tab_Def_Processes[Name(EN)],Tab_Def_Processes[Flow_ID_I_5],,0,)</f>
        <v/>
      </c>
      <c r="AA34" s="33" t="n"/>
      <c r="AB34" s="32">
        <f>Tab_Process_TCs2527[[#This Row],[Flow_TC_I_1_'[%']]]+Tab_Process_TCs2527[[#This Row],[Flow_TC_I_2_'[%']]]+Tab_Process_TCs2527[[#This Row],[Flow_TC_I_3_'[%']]]+Tab_Process_TCs2527[[#This Row],[Flow_TC_I_4_'[%']]]+Tab_Process_TCs2527[[#This Row],[Flow_TC_I_5_'[%']]]</f>
        <v/>
      </c>
      <c r="AC34" s="296">
        <f>_xlfn.XLOOKUP($D34,#REF!,#REF!,,0,)</f>
        <v/>
      </c>
      <c r="AD34" s="272">
        <f>_xlfn.XLOOKUP($D34,#REF!,#REF!,,0,)</f>
        <v/>
      </c>
      <c r="AE34" s="42">
        <f>Tab_Process_TCs2527[[#This Row],[Flow_ID]]</f>
        <v/>
      </c>
      <c r="AF34" s="272">
        <f>"TC"&amp;"_"&amp;RIGHT(AD34,5)</f>
        <v/>
      </c>
      <c r="AG34" s="49" t="n">
        <v>1</v>
      </c>
      <c r="AH34" s="169">
        <f>_xlfn.XLOOKUP($D34,#REF!,#REF!,,0,)</f>
        <v/>
      </c>
      <c r="AI34" s="53">
        <f>_xlfn.XLOOKUP($D34,#REF!,#REF!,,0,)</f>
        <v/>
      </c>
      <c r="AJ34" s="42">
        <f>Tab_Process_TCs2527[[#This Row],[Flow_ID]]</f>
        <v/>
      </c>
      <c r="AK34" s="272">
        <f>"TC"&amp;"_"&amp;RIGHT(AI34,5)</f>
        <v/>
      </c>
      <c r="AL34" s="168" t="n"/>
      <c r="AM34" s="296">
        <f>_xlfn.XLOOKUP($D34,#REF!,#REF!,,0,)</f>
        <v/>
      </c>
      <c r="AN34" s="272">
        <f>_xlfn.XLOOKUP($D34,#REF!,#REF!,,0,)</f>
        <v/>
      </c>
      <c r="AO34" s="42">
        <f>Tab_Process_TCs2527[[#This Row],[Flow_ID]]</f>
        <v/>
      </c>
      <c r="AP34" s="272">
        <f>"TC"&amp;"_"&amp;RIGHT(AN34,5)</f>
        <v/>
      </c>
      <c r="AQ34" s="168" t="n"/>
      <c r="AR34" s="296">
        <f>_xlfn.XLOOKUP($D34,#REF!,#REF!,,0,)</f>
        <v/>
      </c>
      <c r="AS34" s="272">
        <f>_xlfn.XLOOKUP($D34,#REF!,#REF!,,0,)</f>
        <v/>
      </c>
      <c r="AT34" s="42">
        <f>Tab_Process_TCs2527[[#This Row],[Flow_ID]]</f>
        <v/>
      </c>
      <c r="AU34" s="42">
        <f>"TC"&amp;"_"&amp;RIGHT(AN34,5)</f>
        <v/>
      </c>
      <c r="AV34" s="168" t="n"/>
      <c r="AW34" s="296">
        <f>_xlfn.XLOOKUP($D34,#REF!,#REF!,,0,)</f>
        <v/>
      </c>
      <c r="AX34" s="272">
        <f>_xlfn.XLOOKUP($D34,#REF!,#REF!,,0,)</f>
        <v/>
      </c>
      <c r="AY34" s="42">
        <f>Tab_Process_TCs2527[[#This Row],[Flow_ID]]</f>
        <v/>
      </c>
      <c r="AZ34" s="42">
        <f>"TC"&amp;"_"&amp;RIGHT(AX34,5)</f>
        <v/>
      </c>
      <c r="BA34" s="168" t="n"/>
      <c r="BB34" s="272">
        <f>_xlfn.XLOOKUP($D34,#REF!,#REF!,,0,)</f>
        <v/>
      </c>
      <c r="BC34" s="272">
        <f>_xlfn.XLOOKUP($D34,#REF!,#REF!,,0,)</f>
        <v/>
      </c>
      <c r="BD34" s="42">
        <f>Tab_Process_TCs2527[[#This Row],[Flow_ID]]</f>
        <v/>
      </c>
      <c r="BE34" s="42">
        <f>"TC"&amp;"_"&amp;RIGHT(BC34,5)</f>
        <v/>
      </c>
      <c r="BF34" s="49" t="n"/>
      <c r="BG34" s="52">
        <f>Tab_Process_TCs2527[[#This Row],[TC O_6_'[%']]]+Tab_Process_TCs2527[[#This Row],[TC O_5_'[%']]]+Tab_Process_TCs2527[[#This Row],[TC_O_4_'[%']]]+Tab_Process_TCs2527[[#This Row],[TC_O_3_'[%']]]+Tab_Process_TCs2527[[#This Row],[TC_O_2_'[%']]]+Tab_Process_TCs2527[[#This Row],[TC_O_1_'[%']]]</f>
        <v/>
      </c>
      <c r="BH34" s="273" t="n"/>
      <c r="BI34" s="273" t="n"/>
      <c r="BJ34" s="273" t="n"/>
      <c r="BK34" s="273" t="n"/>
      <c r="BL34" s="273" t="n"/>
    </row>
    <row r="35">
      <c r="A35" s="280" t="b">
        <v>0</v>
      </c>
      <c r="B35" s="272">
        <f>ROW()-1</f>
        <v/>
      </c>
      <c r="C35" s="286">
        <f>_xlfn.XLOOKUP($D35,Tab_Process_TCs[Name(EN)],Tab_Process_TCs[Process_ID],,0,)</f>
        <v/>
      </c>
      <c r="D35" s="189" t="inlineStr">
        <is>
          <t>N.A.</t>
        </is>
      </c>
      <c r="E35" s="189" t="inlineStr">
        <is>
          <t>N.A.</t>
        </is>
      </c>
      <c r="F35" s="286">
        <f>_xlfn.XLOOKUP($D35,Tab_Process_TCs[Name(EN)],Tab_Process_TCs[TC?],,0,)</f>
        <v/>
      </c>
      <c r="G35" s="286">
        <f>_xlfn.XLOOKUP($D35,Tab_Process_TCs[Name(EN)],Tab_Process_TCs[Dyn_TC?],,0,)</f>
        <v/>
      </c>
      <c r="H35" s="272">
        <f>_xlfn.XLOOKUP($E35,Tab_Def_Flows[Name(EN)],Tab_Def_Flows[Flow_ID],,0,1)</f>
        <v/>
      </c>
      <c r="I35" s="272">
        <f>IF(Tab_Process_TCs2527[[#This Row],[Name(EN)]]="N.A.","N.A.","TC"&amp;"_"&amp;RIGHT(H35,5))</f>
        <v/>
      </c>
      <c r="J35" s="273" t="n"/>
      <c r="K35" s="183" t="n"/>
      <c r="L35" s="272" t="n"/>
      <c r="M35" s="296">
        <f>_xlfn.XLOOKUP($D35,Tab_Def_Processes[Name(EN)],Tab_Def_Processes[Input_Flow_I_1],,0,)</f>
        <v/>
      </c>
      <c r="N35" s="272">
        <f>_xlfn.XLOOKUP($D35,Tab_Def_Processes[Name(EN)],Tab_Def_Processes[Flow_ID_I_1],,0,)</f>
        <v/>
      </c>
      <c r="O35" s="33" t="n"/>
      <c r="P35" s="29">
        <f>_xlfn.XLOOKUP($D35,Tab_Def_Processes[Name(EN)],Tab_Def_Processes[Input_Flow_I_2],,0,)</f>
        <v/>
      </c>
      <c r="Q35" s="272">
        <f>_xlfn.XLOOKUP($D35,Tab_Def_Processes[Name(EN)],Tab_Def_Processes[Flow_ID_I_2],,0,)</f>
        <v/>
      </c>
      <c r="R35" s="33" t="n"/>
      <c r="S35" s="29">
        <f>_xlfn.XLOOKUP($D35,Tab_Def_Processes[Name(EN)],Tab_Def_Processes[Input_Flow_I_3],,0,)</f>
        <v/>
      </c>
      <c r="T35" s="272">
        <f>_xlfn.XLOOKUP($D35,Tab_Def_Processes[Name(EN)],Tab_Def_Processes[Flow_ID_I_3],,0,)</f>
        <v/>
      </c>
      <c r="U35" s="33" t="n"/>
      <c r="V35" s="29">
        <f>_xlfn.XLOOKUP($D35,Tab_Def_Processes[Name(EN)],Tab_Def_Processes[Input_Flow_I_4],,0,)</f>
        <v/>
      </c>
      <c r="W35" s="272">
        <f>_xlfn.XLOOKUP($D35,Tab_Def_Processes[Name(EN)],Tab_Def_Processes[Flow_ID_I_4],,0,)</f>
        <v/>
      </c>
      <c r="X35" s="33" t="n"/>
      <c r="Y35" s="29">
        <f>_xlfn.XLOOKUP($D35,Tab_Def_Processes[Name(EN)],Tab_Def_Processes[Input_Flow_I_5],,0,)</f>
        <v/>
      </c>
      <c r="Z35" s="272">
        <f>_xlfn.XLOOKUP($D35,Tab_Def_Processes[Name(EN)],Tab_Def_Processes[Flow_ID_I_5],,0,)</f>
        <v/>
      </c>
      <c r="AA35" s="33" t="n"/>
      <c r="AB35" s="32">
        <f>Tab_Process_TCs2527[[#This Row],[Flow_TC_I_1_'[%']]]+Tab_Process_TCs2527[[#This Row],[Flow_TC_I_2_'[%']]]+Tab_Process_TCs2527[[#This Row],[Flow_TC_I_3_'[%']]]+Tab_Process_TCs2527[[#This Row],[Flow_TC_I_4_'[%']]]+Tab_Process_TCs2527[[#This Row],[Flow_TC_I_5_'[%']]]</f>
        <v/>
      </c>
      <c r="AC35" s="296">
        <f>_xlfn.XLOOKUP($D35,#REF!,#REF!,,0,)</f>
        <v/>
      </c>
      <c r="AD35" s="272">
        <f>_xlfn.XLOOKUP($D35,#REF!,#REF!,,0,)</f>
        <v/>
      </c>
      <c r="AE35" s="42">
        <f>Tab_Process_TCs2527[[#This Row],[Flow_ID]]</f>
        <v/>
      </c>
      <c r="AF35" s="272">
        <f>"TC"&amp;"_"&amp;RIGHT(AD35,5)</f>
        <v/>
      </c>
      <c r="AG35" s="49" t="n">
        <v>1</v>
      </c>
      <c r="AH35" s="169">
        <f>_xlfn.XLOOKUP($D35,#REF!,#REF!,,0,)</f>
        <v/>
      </c>
      <c r="AI35" s="53">
        <f>_xlfn.XLOOKUP($D35,#REF!,#REF!,,0,)</f>
        <v/>
      </c>
      <c r="AJ35" s="42">
        <f>Tab_Process_TCs2527[[#This Row],[Flow_ID]]</f>
        <v/>
      </c>
      <c r="AK35" s="272">
        <f>"TC"&amp;"_"&amp;RIGHT(AI35,5)</f>
        <v/>
      </c>
      <c r="AL35" s="168" t="n"/>
      <c r="AM35" s="296">
        <f>_xlfn.XLOOKUP($D35,#REF!,#REF!,,0,)</f>
        <v/>
      </c>
      <c r="AN35" s="272">
        <f>_xlfn.XLOOKUP($D35,#REF!,#REF!,,0,)</f>
        <v/>
      </c>
      <c r="AO35" s="42">
        <f>Tab_Process_TCs2527[[#This Row],[Flow_ID]]</f>
        <v/>
      </c>
      <c r="AP35" s="272">
        <f>"TC"&amp;"_"&amp;RIGHT(AN35,5)</f>
        <v/>
      </c>
      <c r="AQ35" s="168" t="n"/>
      <c r="AR35" s="296">
        <f>_xlfn.XLOOKUP($D35,#REF!,#REF!,,0,)</f>
        <v/>
      </c>
      <c r="AS35" s="272">
        <f>_xlfn.XLOOKUP($D35,#REF!,#REF!,,0,)</f>
        <v/>
      </c>
      <c r="AT35" s="42">
        <f>Tab_Process_TCs2527[[#This Row],[Flow_ID]]</f>
        <v/>
      </c>
      <c r="AU35" s="42">
        <f>"TC"&amp;"_"&amp;RIGHT(AN35,5)</f>
        <v/>
      </c>
      <c r="AV35" s="168" t="n"/>
      <c r="AW35" s="296">
        <f>_xlfn.XLOOKUP($D35,#REF!,#REF!,,0,)</f>
        <v/>
      </c>
      <c r="AX35" s="272">
        <f>_xlfn.XLOOKUP($D35,#REF!,#REF!,,0,)</f>
        <v/>
      </c>
      <c r="AY35" s="42">
        <f>Tab_Process_TCs2527[[#This Row],[Flow_ID]]</f>
        <v/>
      </c>
      <c r="AZ35" s="42">
        <f>"TC"&amp;"_"&amp;RIGHT(AX35,5)</f>
        <v/>
      </c>
      <c r="BA35" s="168" t="n"/>
      <c r="BB35" s="272">
        <f>_xlfn.XLOOKUP($D35,#REF!,#REF!,,0,)</f>
        <v/>
      </c>
      <c r="BC35" s="272">
        <f>_xlfn.XLOOKUP($D35,#REF!,#REF!,,0,)</f>
        <v/>
      </c>
      <c r="BD35" s="42">
        <f>Tab_Process_TCs2527[[#This Row],[Flow_ID]]</f>
        <v/>
      </c>
      <c r="BE35" s="42">
        <f>"TC"&amp;"_"&amp;RIGHT(BC35,5)</f>
        <v/>
      </c>
      <c r="BF35" s="49" t="n"/>
      <c r="BG35" s="52">
        <f>Tab_Process_TCs2527[[#This Row],[TC O_6_'[%']]]+Tab_Process_TCs2527[[#This Row],[TC O_5_'[%']]]+Tab_Process_TCs2527[[#This Row],[TC_O_4_'[%']]]+Tab_Process_TCs2527[[#This Row],[TC_O_3_'[%']]]+Tab_Process_TCs2527[[#This Row],[TC_O_2_'[%']]]+Tab_Process_TCs2527[[#This Row],[TC_O_1_'[%']]]</f>
        <v/>
      </c>
      <c r="BH35" s="273" t="n"/>
      <c r="BI35" s="273" t="n"/>
      <c r="BJ35" s="273" t="n"/>
      <c r="BK35" s="273" t="n"/>
      <c r="BL35" s="273" t="n"/>
    </row>
    <row r="36">
      <c r="A36" s="280" t="b">
        <v>0</v>
      </c>
      <c r="B36" s="272">
        <f>ROW()-1</f>
        <v/>
      </c>
      <c r="C36" s="286">
        <f>_xlfn.XLOOKUP($D36,Tab_Process_TCs[Name(EN)],Tab_Process_TCs[Process_ID],,0,)</f>
        <v/>
      </c>
      <c r="D36" s="189" t="inlineStr">
        <is>
          <t>N.A.</t>
        </is>
      </c>
      <c r="E36" s="189" t="inlineStr">
        <is>
          <t>N.A.</t>
        </is>
      </c>
      <c r="F36" s="286">
        <f>_xlfn.XLOOKUP($D36,Tab_Process_TCs[Name(EN)],Tab_Process_TCs[TC?],,0,)</f>
        <v/>
      </c>
      <c r="G36" s="286">
        <f>_xlfn.XLOOKUP($D36,Tab_Process_TCs[Name(EN)],Tab_Process_TCs[Dyn_TC?],,0,)</f>
        <v/>
      </c>
      <c r="H36" s="272">
        <f>_xlfn.XLOOKUP($E36,Tab_Def_Flows[Name(EN)],Tab_Def_Flows[Flow_ID],,0,1)</f>
        <v/>
      </c>
      <c r="I36" s="272">
        <f>IF(Tab_Process_TCs2527[[#This Row],[Name(EN)]]="N.A.","N.A.","TC"&amp;"_"&amp;RIGHT(H36,5))</f>
        <v/>
      </c>
      <c r="J36" s="273" t="n"/>
      <c r="K36" s="183" t="n"/>
      <c r="L36" s="272" t="n"/>
      <c r="M36" s="296">
        <f>_xlfn.XLOOKUP($D36,Tab_Def_Processes[Name(EN)],Tab_Def_Processes[Input_Flow_I_1],,0,)</f>
        <v/>
      </c>
      <c r="N36" s="272">
        <f>_xlfn.XLOOKUP($D36,Tab_Def_Processes[Name(EN)],Tab_Def_Processes[Flow_ID_I_1],,0,)</f>
        <v/>
      </c>
      <c r="O36" s="33" t="n"/>
      <c r="P36" s="29">
        <f>_xlfn.XLOOKUP($D36,Tab_Def_Processes[Name(EN)],Tab_Def_Processes[Input_Flow_I_2],,0,)</f>
        <v/>
      </c>
      <c r="Q36" s="272">
        <f>_xlfn.XLOOKUP($D36,Tab_Def_Processes[Name(EN)],Tab_Def_Processes[Flow_ID_I_2],,0,)</f>
        <v/>
      </c>
      <c r="R36" s="33" t="n"/>
      <c r="S36" s="29">
        <f>_xlfn.XLOOKUP($D36,Tab_Def_Processes[Name(EN)],Tab_Def_Processes[Input_Flow_I_3],,0,)</f>
        <v/>
      </c>
      <c r="T36" s="272">
        <f>_xlfn.XLOOKUP($D36,Tab_Def_Processes[Name(EN)],Tab_Def_Processes[Flow_ID_I_3],,0,)</f>
        <v/>
      </c>
      <c r="U36" s="33" t="n"/>
      <c r="V36" s="29">
        <f>_xlfn.XLOOKUP($D36,Tab_Def_Processes[Name(EN)],Tab_Def_Processes[Input_Flow_I_4],,0,)</f>
        <v/>
      </c>
      <c r="W36" s="272">
        <f>_xlfn.XLOOKUP($D36,Tab_Def_Processes[Name(EN)],Tab_Def_Processes[Flow_ID_I_4],,0,)</f>
        <v/>
      </c>
      <c r="X36" s="33" t="n"/>
      <c r="Y36" s="29">
        <f>_xlfn.XLOOKUP($D36,Tab_Def_Processes[Name(EN)],Tab_Def_Processes[Input_Flow_I_5],,0,)</f>
        <v/>
      </c>
      <c r="Z36" s="272">
        <f>_xlfn.XLOOKUP($D36,Tab_Def_Processes[Name(EN)],Tab_Def_Processes[Flow_ID_I_5],,0,)</f>
        <v/>
      </c>
      <c r="AA36" s="33" t="n"/>
      <c r="AB36" s="32">
        <f>Tab_Process_TCs2527[[#This Row],[Flow_TC_I_1_'[%']]]+Tab_Process_TCs2527[[#This Row],[Flow_TC_I_2_'[%']]]+Tab_Process_TCs2527[[#This Row],[Flow_TC_I_3_'[%']]]+Tab_Process_TCs2527[[#This Row],[Flow_TC_I_4_'[%']]]+Tab_Process_TCs2527[[#This Row],[Flow_TC_I_5_'[%']]]</f>
        <v/>
      </c>
      <c r="AC36" s="296">
        <f>_xlfn.XLOOKUP($D36,#REF!,#REF!,,0,)</f>
        <v/>
      </c>
      <c r="AD36" s="272">
        <f>_xlfn.XLOOKUP($D36,#REF!,#REF!,,0,)</f>
        <v/>
      </c>
      <c r="AE36" s="42">
        <f>Tab_Process_TCs2527[[#This Row],[Flow_ID]]</f>
        <v/>
      </c>
      <c r="AF36" s="272">
        <f>"TC"&amp;"_"&amp;RIGHT(AD36,5)</f>
        <v/>
      </c>
      <c r="AG36" s="49" t="n">
        <v>1</v>
      </c>
      <c r="AH36" s="169">
        <f>_xlfn.XLOOKUP($D36,#REF!,#REF!,,0,)</f>
        <v/>
      </c>
      <c r="AI36" s="53">
        <f>_xlfn.XLOOKUP($D36,#REF!,#REF!,,0,)</f>
        <v/>
      </c>
      <c r="AJ36" s="42">
        <f>Tab_Process_TCs2527[[#This Row],[Flow_ID]]</f>
        <v/>
      </c>
      <c r="AK36" s="272">
        <f>"TC"&amp;"_"&amp;RIGHT(AI36,5)</f>
        <v/>
      </c>
      <c r="AL36" s="168" t="n"/>
      <c r="AM36" s="296">
        <f>_xlfn.XLOOKUP($D36,#REF!,#REF!,,0,)</f>
        <v/>
      </c>
      <c r="AN36" s="272">
        <f>_xlfn.XLOOKUP($D36,#REF!,#REF!,,0,)</f>
        <v/>
      </c>
      <c r="AO36" s="42">
        <f>Tab_Process_TCs2527[[#This Row],[Flow_ID]]</f>
        <v/>
      </c>
      <c r="AP36" s="272">
        <f>"TC"&amp;"_"&amp;RIGHT(AN36,5)</f>
        <v/>
      </c>
      <c r="AQ36" s="168" t="n"/>
      <c r="AR36" s="296">
        <f>_xlfn.XLOOKUP($D36,#REF!,#REF!,,0,)</f>
        <v/>
      </c>
      <c r="AS36" s="272">
        <f>_xlfn.XLOOKUP($D36,#REF!,#REF!,,0,)</f>
        <v/>
      </c>
      <c r="AT36" s="42">
        <f>Tab_Process_TCs2527[[#This Row],[Flow_ID]]</f>
        <v/>
      </c>
      <c r="AU36" s="42">
        <f>"TC"&amp;"_"&amp;RIGHT(AN36,5)</f>
        <v/>
      </c>
      <c r="AV36" s="168" t="n"/>
      <c r="AW36" s="296">
        <f>_xlfn.XLOOKUP($D36,#REF!,#REF!,,0,)</f>
        <v/>
      </c>
      <c r="AX36" s="272">
        <f>_xlfn.XLOOKUP($D36,#REF!,#REF!,,0,)</f>
        <v/>
      </c>
      <c r="AY36" s="42">
        <f>Tab_Process_TCs2527[[#This Row],[Flow_ID]]</f>
        <v/>
      </c>
      <c r="AZ36" s="42">
        <f>"TC"&amp;"_"&amp;RIGHT(AX36,5)</f>
        <v/>
      </c>
      <c r="BA36" s="168" t="n"/>
      <c r="BB36" s="272">
        <f>_xlfn.XLOOKUP($D36,#REF!,#REF!,,0,)</f>
        <v/>
      </c>
      <c r="BC36" s="272">
        <f>_xlfn.XLOOKUP($D36,#REF!,#REF!,,0,)</f>
        <v/>
      </c>
      <c r="BD36" s="42">
        <f>Tab_Process_TCs2527[[#This Row],[Flow_ID]]</f>
        <v/>
      </c>
      <c r="BE36" s="42">
        <f>"TC"&amp;"_"&amp;RIGHT(BC36,5)</f>
        <v/>
      </c>
      <c r="BF36" s="49" t="n"/>
      <c r="BG36" s="52">
        <f>Tab_Process_TCs2527[[#This Row],[TC O_6_'[%']]]+Tab_Process_TCs2527[[#This Row],[TC O_5_'[%']]]+Tab_Process_TCs2527[[#This Row],[TC_O_4_'[%']]]+Tab_Process_TCs2527[[#This Row],[TC_O_3_'[%']]]+Tab_Process_TCs2527[[#This Row],[TC_O_2_'[%']]]+Tab_Process_TCs2527[[#This Row],[TC_O_1_'[%']]]</f>
        <v/>
      </c>
      <c r="BH36" s="273" t="n"/>
      <c r="BI36" s="273" t="n"/>
      <c r="BJ36" s="273" t="n"/>
      <c r="BK36" s="273" t="n"/>
      <c r="BL36" s="273" t="n"/>
    </row>
    <row r="37">
      <c r="A37" s="280" t="b">
        <v>0</v>
      </c>
      <c r="B37" s="272">
        <f>ROW()-1</f>
        <v/>
      </c>
      <c r="C37" s="286">
        <f>_xlfn.XLOOKUP($D37,Tab_Process_TCs[Name(EN)],Tab_Process_TCs[Process_ID],,0,)</f>
        <v/>
      </c>
      <c r="D37" s="189" t="inlineStr">
        <is>
          <t>N.A.</t>
        </is>
      </c>
      <c r="E37" s="189" t="inlineStr">
        <is>
          <t>N.A.</t>
        </is>
      </c>
      <c r="F37" s="286">
        <f>_xlfn.XLOOKUP($D37,Tab_Process_TCs[Name(EN)],Tab_Process_TCs[TC?],,0,)</f>
        <v/>
      </c>
      <c r="G37" s="286">
        <f>_xlfn.XLOOKUP($D37,Tab_Process_TCs[Name(EN)],Tab_Process_TCs[Dyn_TC?],,0,)</f>
        <v/>
      </c>
      <c r="H37" s="272">
        <f>_xlfn.XLOOKUP($E37,Tab_Def_Flows[Name(EN)],Tab_Def_Flows[Flow_ID],,0,1)</f>
        <v/>
      </c>
      <c r="I37" s="272">
        <f>IF(Tab_Process_TCs2527[[#This Row],[Name(EN)]]="N.A.","N.A.","TC"&amp;"_"&amp;RIGHT(H37,5))</f>
        <v/>
      </c>
      <c r="J37" s="273" t="n"/>
      <c r="K37" s="183" t="n"/>
      <c r="L37" s="272" t="n"/>
      <c r="M37" s="296">
        <f>_xlfn.XLOOKUP($D37,Tab_Def_Processes[Name(EN)],Tab_Def_Processes[Input_Flow_I_1],,0,)</f>
        <v/>
      </c>
      <c r="N37" s="272">
        <f>_xlfn.XLOOKUP($D37,Tab_Def_Processes[Name(EN)],Tab_Def_Processes[Flow_ID_I_1],,0,)</f>
        <v/>
      </c>
      <c r="O37" s="33" t="n"/>
      <c r="P37" s="29">
        <f>_xlfn.XLOOKUP($D37,Tab_Def_Processes[Name(EN)],Tab_Def_Processes[Input_Flow_I_2],,0,)</f>
        <v/>
      </c>
      <c r="Q37" s="272">
        <f>_xlfn.XLOOKUP($D37,Tab_Def_Processes[Name(EN)],Tab_Def_Processes[Flow_ID_I_2],,0,)</f>
        <v/>
      </c>
      <c r="R37" s="33" t="n"/>
      <c r="S37" s="29">
        <f>_xlfn.XLOOKUP($D37,Tab_Def_Processes[Name(EN)],Tab_Def_Processes[Input_Flow_I_3],,0,)</f>
        <v/>
      </c>
      <c r="T37" s="272">
        <f>_xlfn.XLOOKUP($D37,Tab_Def_Processes[Name(EN)],Tab_Def_Processes[Flow_ID_I_3],,0,)</f>
        <v/>
      </c>
      <c r="U37" s="33" t="n"/>
      <c r="V37" s="29">
        <f>_xlfn.XLOOKUP($D37,Tab_Def_Processes[Name(EN)],Tab_Def_Processes[Input_Flow_I_4],,0,)</f>
        <v/>
      </c>
      <c r="W37" s="272">
        <f>_xlfn.XLOOKUP($D37,Tab_Def_Processes[Name(EN)],Tab_Def_Processes[Flow_ID_I_4],,0,)</f>
        <v/>
      </c>
      <c r="X37" s="33" t="n"/>
      <c r="Y37" s="29">
        <f>_xlfn.XLOOKUP($D37,Tab_Def_Processes[Name(EN)],Tab_Def_Processes[Input_Flow_I_5],,0,)</f>
        <v/>
      </c>
      <c r="Z37" s="272">
        <f>_xlfn.XLOOKUP($D37,Tab_Def_Processes[Name(EN)],Tab_Def_Processes[Flow_ID_I_5],,0,)</f>
        <v/>
      </c>
      <c r="AA37" s="33" t="n"/>
      <c r="AB37" s="32">
        <f>Tab_Process_TCs2527[[#This Row],[Flow_TC_I_1_'[%']]]+Tab_Process_TCs2527[[#This Row],[Flow_TC_I_2_'[%']]]+Tab_Process_TCs2527[[#This Row],[Flow_TC_I_3_'[%']]]+Tab_Process_TCs2527[[#This Row],[Flow_TC_I_4_'[%']]]+Tab_Process_TCs2527[[#This Row],[Flow_TC_I_5_'[%']]]</f>
        <v/>
      </c>
      <c r="AC37" s="296">
        <f>_xlfn.XLOOKUP($D37,#REF!,#REF!,,0,)</f>
        <v/>
      </c>
      <c r="AD37" s="272">
        <f>_xlfn.XLOOKUP($D37,#REF!,#REF!,,0,)</f>
        <v/>
      </c>
      <c r="AE37" s="42">
        <f>Tab_Process_TCs2527[[#This Row],[Flow_ID]]</f>
        <v/>
      </c>
      <c r="AF37" s="272">
        <f>"TC"&amp;"_"&amp;RIGHT(AD37,5)</f>
        <v/>
      </c>
      <c r="AG37" s="49" t="n">
        <v>1</v>
      </c>
      <c r="AH37" s="169">
        <f>_xlfn.XLOOKUP($D37,#REF!,#REF!,,0,)</f>
        <v/>
      </c>
      <c r="AI37" s="53">
        <f>_xlfn.XLOOKUP($D37,#REF!,#REF!,,0,)</f>
        <v/>
      </c>
      <c r="AJ37" s="42">
        <f>Tab_Process_TCs2527[[#This Row],[Flow_ID]]</f>
        <v/>
      </c>
      <c r="AK37" s="272">
        <f>"TC"&amp;"_"&amp;RIGHT(AI37,5)</f>
        <v/>
      </c>
      <c r="AL37" s="168" t="n"/>
      <c r="AM37" s="296">
        <f>_xlfn.XLOOKUP($D37,#REF!,#REF!,,0,)</f>
        <v/>
      </c>
      <c r="AN37" s="272">
        <f>_xlfn.XLOOKUP($D37,#REF!,#REF!,,0,)</f>
        <v/>
      </c>
      <c r="AO37" s="42">
        <f>Tab_Process_TCs2527[[#This Row],[Flow_ID]]</f>
        <v/>
      </c>
      <c r="AP37" s="272">
        <f>"TC"&amp;"_"&amp;RIGHT(AN37,5)</f>
        <v/>
      </c>
      <c r="AQ37" s="168" t="n"/>
      <c r="AR37" s="296">
        <f>_xlfn.XLOOKUP($D37,#REF!,#REF!,,0,)</f>
        <v/>
      </c>
      <c r="AS37" s="272">
        <f>_xlfn.XLOOKUP($D37,#REF!,#REF!,,0,)</f>
        <v/>
      </c>
      <c r="AT37" s="42">
        <f>Tab_Process_TCs2527[[#This Row],[Flow_ID]]</f>
        <v/>
      </c>
      <c r="AU37" s="42">
        <f>"TC"&amp;"_"&amp;RIGHT(AN37,5)</f>
        <v/>
      </c>
      <c r="AV37" s="168" t="n"/>
      <c r="AW37" s="296">
        <f>_xlfn.XLOOKUP($D37,#REF!,#REF!,,0,)</f>
        <v/>
      </c>
      <c r="AX37" s="272">
        <f>_xlfn.XLOOKUP($D37,#REF!,#REF!,,0,)</f>
        <v/>
      </c>
      <c r="AY37" s="42">
        <f>Tab_Process_TCs2527[[#This Row],[Flow_ID]]</f>
        <v/>
      </c>
      <c r="AZ37" s="42">
        <f>"TC"&amp;"_"&amp;RIGHT(AX37,5)</f>
        <v/>
      </c>
      <c r="BA37" s="168" t="n"/>
      <c r="BB37" s="272">
        <f>_xlfn.XLOOKUP($D37,#REF!,#REF!,,0,)</f>
        <v/>
      </c>
      <c r="BC37" s="272">
        <f>_xlfn.XLOOKUP($D37,#REF!,#REF!,,0,)</f>
        <v/>
      </c>
      <c r="BD37" s="42">
        <f>Tab_Process_TCs2527[[#This Row],[Flow_ID]]</f>
        <v/>
      </c>
      <c r="BE37" s="42">
        <f>"TC"&amp;"_"&amp;RIGHT(BC37,5)</f>
        <v/>
      </c>
      <c r="BF37" s="49" t="n"/>
      <c r="BG37" s="52">
        <f>Tab_Process_TCs2527[[#This Row],[TC O_6_'[%']]]+Tab_Process_TCs2527[[#This Row],[TC O_5_'[%']]]+Tab_Process_TCs2527[[#This Row],[TC_O_4_'[%']]]+Tab_Process_TCs2527[[#This Row],[TC_O_3_'[%']]]+Tab_Process_TCs2527[[#This Row],[TC_O_2_'[%']]]+Tab_Process_TCs2527[[#This Row],[TC_O_1_'[%']]]</f>
        <v/>
      </c>
      <c r="BH37" s="273" t="n"/>
      <c r="BI37" s="273" t="n"/>
      <c r="BJ37" s="273" t="n"/>
      <c r="BK37" s="273" t="n"/>
      <c r="BL37" s="273" t="n"/>
    </row>
    <row r="38">
      <c r="A38" s="280" t="b">
        <v>0</v>
      </c>
      <c r="B38" s="272">
        <f>ROW()-1</f>
        <v/>
      </c>
      <c r="C38" s="286">
        <f>_xlfn.XLOOKUP($D38,Tab_Process_TCs[Name(EN)],Tab_Process_TCs[Process_ID],,0,)</f>
        <v/>
      </c>
      <c r="D38" s="189" t="inlineStr">
        <is>
          <t>N.A.</t>
        </is>
      </c>
      <c r="E38" s="189" t="inlineStr">
        <is>
          <t>N.A.</t>
        </is>
      </c>
      <c r="F38" s="286">
        <f>_xlfn.XLOOKUP($D38,Tab_Process_TCs[Name(EN)],Tab_Process_TCs[TC?],,0,)</f>
        <v/>
      </c>
      <c r="G38" s="286">
        <f>_xlfn.XLOOKUP($D38,Tab_Process_TCs[Name(EN)],Tab_Process_TCs[Dyn_TC?],,0,)</f>
        <v/>
      </c>
      <c r="H38" s="272">
        <f>_xlfn.XLOOKUP($E38,Tab_Def_Flows[Name(EN)],Tab_Def_Flows[Flow_ID],,0,1)</f>
        <v/>
      </c>
      <c r="I38" s="272">
        <f>IF(Tab_Process_TCs2527[[#This Row],[Name(EN)]]="N.A.","N.A.","TC"&amp;"_"&amp;RIGHT(H38,5))</f>
        <v/>
      </c>
      <c r="J38" s="273" t="n"/>
      <c r="K38" s="183" t="n"/>
      <c r="L38" s="272" t="n"/>
      <c r="M38" s="296">
        <f>_xlfn.XLOOKUP($D38,Tab_Def_Processes[Name(EN)],Tab_Def_Processes[Input_Flow_I_1],,0,)</f>
        <v/>
      </c>
      <c r="N38" s="272">
        <f>_xlfn.XLOOKUP($D38,Tab_Def_Processes[Name(EN)],Tab_Def_Processes[Flow_ID_I_1],,0,)</f>
        <v/>
      </c>
      <c r="O38" s="33" t="n"/>
      <c r="P38" s="29">
        <f>_xlfn.XLOOKUP($D38,Tab_Def_Processes[Name(EN)],Tab_Def_Processes[Input_Flow_I_2],,0,)</f>
        <v/>
      </c>
      <c r="Q38" s="272">
        <f>_xlfn.XLOOKUP($D38,Tab_Def_Processes[Name(EN)],Tab_Def_Processes[Flow_ID_I_2],,0,)</f>
        <v/>
      </c>
      <c r="R38" s="33" t="n"/>
      <c r="S38" s="29">
        <f>_xlfn.XLOOKUP($D38,Tab_Def_Processes[Name(EN)],Tab_Def_Processes[Input_Flow_I_3],,0,)</f>
        <v/>
      </c>
      <c r="T38" s="272">
        <f>_xlfn.XLOOKUP($D38,Tab_Def_Processes[Name(EN)],Tab_Def_Processes[Flow_ID_I_3],,0,)</f>
        <v/>
      </c>
      <c r="U38" s="33" t="n"/>
      <c r="V38" s="29">
        <f>_xlfn.XLOOKUP($D38,Tab_Def_Processes[Name(EN)],Tab_Def_Processes[Input_Flow_I_4],,0,)</f>
        <v/>
      </c>
      <c r="W38" s="272">
        <f>_xlfn.XLOOKUP($D38,Tab_Def_Processes[Name(EN)],Tab_Def_Processes[Flow_ID_I_4],,0,)</f>
        <v/>
      </c>
      <c r="X38" s="33" t="n"/>
      <c r="Y38" s="29">
        <f>_xlfn.XLOOKUP($D38,Tab_Def_Processes[Name(EN)],Tab_Def_Processes[Input_Flow_I_5],,0,)</f>
        <v/>
      </c>
      <c r="Z38" s="272">
        <f>_xlfn.XLOOKUP($D38,Tab_Def_Processes[Name(EN)],Tab_Def_Processes[Flow_ID_I_5],,0,)</f>
        <v/>
      </c>
      <c r="AA38" s="33" t="n"/>
      <c r="AB38" s="32">
        <f>Tab_Process_TCs2527[[#This Row],[Flow_TC_I_1_'[%']]]+Tab_Process_TCs2527[[#This Row],[Flow_TC_I_2_'[%']]]+Tab_Process_TCs2527[[#This Row],[Flow_TC_I_3_'[%']]]+Tab_Process_TCs2527[[#This Row],[Flow_TC_I_4_'[%']]]+Tab_Process_TCs2527[[#This Row],[Flow_TC_I_5_'[%']]]</f>
        <v/>
      </c>
      <c r="AC38" s="296">
        <f>_xlfn.XLOOKUP($D38,#REF!,#REF!,,0,)</f>
        <v/>
      </c>
      <c r="AD38" s="272">
        <f>_xlfn.XLOOKUP($D38,#REF!,#REF!,,0,)</f>
        <v/>
      </c>
      <c r="AE38" s="42">
        <f>Tab_Process_TCs2527[[#This Row],[Flow_ID]]</f>
        <v/>
      </c>
      <c r="AF38" s="272">
        <f>"TC"&amp;"_"&amp;RIGHT(AD38,5)</f>
        <v/>
      </c>
      <c r="AG38" s="49" t="n">
        <v>1</v>
      </c>
      <c r="AH38" s="169">
        <f>_xlfn.XLOOKUP($D38,#REF!,#REF!,,0,)</f>
        <v/>
      </c>
      <c r="AI38" s="53">
        <f>_xlfn.XLOOKUP($D38,#REF!,#REF!,,0,)</f>
        <v/>
      </c>
      <c r="AJ38" s="42">
        <f>Tab_Process_TCs2527[[#This Row],[Flow_ID]]</f>
        <v/>
      </c>
      <c r="AK38" s="272">
        <f>"TC"&amp;"_"&amp;RIGHT(AI38,5)</f>
        <v/>
      </c>
      <c r="AL38" s="168" t="n"/>
      <c r="AM38" s="296">
        <f>_xlfn.XLOOKUP($D38,#REF!,#REF!,,0,)</f>
        <v/>
      </c>
      <c r="AN38" s="272">
        <f>_xlfn.XLOOKUP($D38,#REF!,#REF!,,0,)</f>
        <v/>
      </c>
      <c r="AO38" s="42">
        <f>Tab_Process_TCs2527[[#This Row],[Flow_ID]]</f>
        <v/>
      </c>
      <c r="AP38" s="272">
        <f>"TC"&amp;"_"&amp;RIGHT(AN38,5)</f>
        <v/>
      </c>
      <c r="AQ38" s="168" t="n"/>
      <c r="AR38" s="296">
        <f>_xlfn.XLOOKUP($D38,#REF!,#REF!,,0,)</f>
        <v/>
      </c>
      <c r="AS38" s="272">
        <f>_xlfn.XLOOKUP($D38,#REF!,#REF!,,0,)</f>
        <v/>
      </c>
      <c r="AT38" s="42">
        <f>Tab_Process_TCs2527[[#This Row],[Flow_ID]]</f>
        <v/>
      </c>
      <c r="AU38" s="42">
        <f>"TC"&amp;"_"&amp;RIGHT(AN38,5)</f>
        <v/>
      </c>
      <c r="AV38" s="168" t="n"/>
      <c r="AW38" s="296">
        <f>_xlfn.XLOOKUP($D38,#REF!,#REF!,,0,)</f>
        <v/>
      </c>
      <c r="AX38" s="272">
        <f>_xlfn.XLOOKUP($D38,#REF!,#REF!,,0,)</f>
        <v/>
      </c>
      <c r="AY38" s="42">
        <f>Tab_Process_TCs2527[[#This Row],[Flow_ID]]</f>
        <v/>
      </c>
      <c r="AZ38" s="42">
        <f>"TC"&amp;"_"&amp;RIGHT(AX38,5)</f>
        <v/>
      </c>
      <c r="BA38" s="168" t="n"/>
      <c r="BB38" s="272">
        <f>_xlfn.XLOOKUP($D38,#REF!,#REF!,,0,)</f>
        <v/>
      </c>
      <c r="BC38" s="272">
        <f>_xlfn.XLOOKUP($D38,#REF!,#REF!,,0,)</f>
        <v/>
      </c>
      <c r="BD38" s="42">
        <f>Tab_Process_TCs2527[[#This Row],[Flow_ID]]</f>
        <v/>
      </c>
      <c r="BE38" s="42">
        <f>"TC"&amp;"_"&amp;RIGHT(BC38,5)</f>
        <v/>
      </c>
      <c r="BF38" s="49" t="n"/>
      <c r="BG38" s="52">
        <f>Tab_Process_TCs2527[[#This Row],[TC O_6_'[%']]]+Tab_Process_TCs2527[[#This Row],[TC O_5_'[%']]]+Tab_Process_TCs2527[[#This Row],[TC_O_4_'[%']]]+Tab_Process_TCs2527[[#This Row],[TC_O_3_'[%']]]+Tab_Process_TCs2527[[#This Row],[TC_O_2_'[%']]]+Tab_Process_TCs2527[[#This Row],[TC_O_1_'[%']]]</f>
        <v/>
      </c>
      <c r="BH38" s="273" t="n"/>
      <c r="BI38" s="273" t="n"/>
      <c r="BJ38" s="273" t="n"/>
      <c r="BK38" s="273" t="n"/>
      <c r="BL38" s="273" t="n"/>
    </row>
    <row r="39">
      <c r="A39" s="280" t="b">
        <v>0</v>
      </c>
      <c r="B39" s="272">
        <f>ROW()-1</f>
        <v/>
      </c>
      <c r="C39" s="286">
        <f>_xlfn.XLOOKUP($D39,Tab_Process_TCs[Name(EN)],Tab_Process_TCs[Process_ID],,0,)</f>
        <v/>
      </c>
      <c r="D39" s="189" t="inlineStr">
        <is>
          <t>N.A.</t>
        </is>
      </c>
      <c r="E39" s="189" t="inlineStr">
        <is>
          <t>N.A.</t>
        </is>
      </c>
      <c r="F39" s="286">
        <f>_xlfn.XLOOKUP($D39,Tab_Process_TCs[Name(EN)],Tab_Process_TCs[TC?],,0,)</f>
        <v/>
      </c>
      <c r="G39" s="286">
        <f>_xlfn.XLOOKUP($D39,Tab_Process_TCs[Name(EN)],Tab_Process_TCs[Dyn_TC?],,0,)</f>
        <v/>
      </c>
      <c r="H39" s="272">
        <f>_xlfn.XLOOKUP($E39,Tab_Def_Flows[Name(EN)],Tab_Def_Flows[Flow_ID],,0,1)</f>
        <v/>
      </c>
      <c r="I39" s="272">
        <f>IF(Tab_Process_TCs2527[[#This Row],[Name(EN)]]="N.A.","N.A.","TC"&amp;"_"&amp;RIGHT(H39,5))</f>
        <v/>
      </c>
      <c r="J39" s="273" t="n"/>
      <c r="K39" s="183" t="n"/>
      <c r="L39" s="272" t="n"/>
      <c r="M39" s="296">
        <f>_xlfn.XLOOKUP($D39,Tab_Def_Processes[Name(EN)],Tab_Def_Processes[Input_Flow_I_1],,0,)</f>
        <v/>
      </c>
      <c r="N39" s="272">
        <f>_xlfn.XLOOKUP($D39,Tab_Def_Processes[Name(EN)],Tab_Def_Processes[Flow_ID_I_1],,0,)</f>
        <v/>
      </c>
      <c r="O39" s="33" t="n"/>
      <c r="P39" s="29">
        <f>_xlfn.XLOOKUP($D39,Tab_Def_Processes[Name(EN)],Tab_Def_Processes[Input_Flow_I_2],,0,)</f>
        <v/>
      </c>
      <c r="Q39" s="272">
        <f>_xlfn.XLOOKUP($D39,Tab_Def_Processes[Name(EN)],Tab_Def_Processes[Flow_ID_I_2],,0,)</f>
        <v/>
      </c>
      <c r="R39" s="33" t="n"/>
      <c r="S39" s="29">
        <f>_xlfn.XLOOKUP($D39,Tab_Def_Processes[Name(EN)],Tab_Def_Processes[Input_Flow_I_3],,0,)</f>
        <v/>
      </c>
      <c r="T39" s="272">
        <f>_xlfn.XLOOKUP($D39,Tab_Def_Processes[Name(EN)],Tab_Def_Processes[Flow_ID_I_3],,0,)</f>
        <v/>
      </c>
      <c r="U39" s="33" t="n"/>
      <c r="V39" s="29">
        <f>_xlfn.XLOOKUP($D39,Tab_Def_Processes[Name(EN)],Tab_Def_Processes[Input_Flow_I_4],,0,)</f>
        <v/>
      </c>
      <c r="W39" s="272">
        <f>_xlfn.XLOOKUP($D39,Tab_Def_Processes[Name(EN)],Tab_Def_Processes[Flow_ID_I_4],,0,)</f>
        <v/>
      </c>
      <c r="X39" s="33" t="n"/>
      <c r="Y39" s="29">
        <f>_xlfn.XLOOKUP($D39,Tab_Def_Processes[Name(EN)],Tab_Def_Processes[Input_Flow_I_5],,0,)</f>
        <v/>
      </c>
      <c r="Z39" s="272">
        <f>_xlfn.XLOOKUP($D39,Tab_Def_Processes[Name(EN)],Tab_Def_Processes[Flow_ID_I_5],,0,)</f>
        <v/>
      </c>
      <c r="AA39" s="33" t="n"/>
      <c r="AB39" s="32">
        <f>Tab_Process_TCs2527[[#This Row],[Flow_TC_I_1_'[%']]]+Tab_Process_TCs2527[[#This Row],[Flow_TC_I_2_'[%']]]+Tab_Process_TCs2527[[#This Row],[Flow_TC_I_3_'[%']]]+Tab_Process_TCs2527[[#This Row],[Flow_TC_I_4_'[%']]]+Tab_Process_TCs2527[[#This Row],[Flow_TC_I_5_'[%']]]</f>
        <v/>
      </c>
      <c r="AC39" s="296">
        <f>_xlfn.XLOOKUP($D39,#REF!,#REF!,,0,)</f>
        <v/>
      </c>
      <c r="AD39" s="272">
        <f>_xlfn.XLOOKUP($D39,#REF!,#REF!,,0,)</f>
        <v/>
      </c>
      <c r="AE39" s="42">
        <f>Tab_Process_TCs2527[[#This Row],[Flow_ID]]</f>
        <v/>
      </c>
      <c r="AF39" s="272">
        <f>"TC"&amp;"_"&amp;RIGHT(AD39,5)</f>
        <v/>
      </c>
      <c r="AG39" s="49" t="n">
        <v>1</v>
      </c>
      <c r="AH39" s="169">
        <f>_xlfn.XLOOKUP($D39,#REF!,#REF!,,0,)</f>
        <v/>
      </c>
      <c r="AI39" s="53">
        <f>_xlfn.XLOOKUP($D39,#REF!,#REF!,,0,)</f>
        <v/>
      </c>
      <c r="AJ39" s="42">
        <f>Tab_Process_TCs2527[[#This Row],[Flow_ID]]</f>
        <v/>
      </c>
      <c r="AK39" s="272">
        <f>"TC"&amp;"_"&amp;RIGHT(AI39,5)</f>
        <v/>
      </c>
      <c r="AL39" s="168" t="n"/>
      <c r="AM39" s="296">
        <f>_xlfn.XLOOKUP($D39,#REF!,#REF!,,0,)</f>
        <v/>
      </c>
      <c r="AN39" s="272">
        <f>_xlfn.XLOOKUP($D39,#REF!,#REF!,,0,)</f>
        <v/>
      </c>
      <c r="AO39" s="42">
        <f>Tab_Process_TCs2527[[#This Row],[Flow_ID]]</f>
        <v/>
      </c>
      <c r="AP39" s="272">
        <f>"TC"&amp;"_"&amp;RIGHT(AN39,5)</f>
        <v/>
      </c>
      <c r="AQ39" s="168" t="n"/>
      <c r="AR39" s="296">
        <f>_xlfn.XLOOKUP($D39,#REF!,#REF!,,0,)</f>
        <v/>
      </c>
      <c r="AS39" s="272">
        <f>_xlfn.XLOOKUP($D39,#REF!,#REF!,,0,)</f>
        <v/>
      </c>
      <c r="AT39" s="42">
        <f>Tab_Process_TCs2527[[#This Row],[Flow_ID]]</f>
        <v/>
      </c>
      <c r="AU39" s="42">
        <f>"TC"&amp;"_"&amp;RIGHT(AN39,5)</f>
        <v/>
      </c>
      <c r="AV39" s="168" t="n"/>
      <c r="AW39" s="296">
        <f>_xlfn.XLOOKUP($D39,#REF!,#REF!,,0,)</f>
        <v/>
      </c>
      <c r="AX39" s="272">
        <f>_xlfn.XLOOKUP($D39,#REF!,#REF!,,0,)</f>
        <v/>
      </c>
      <c r="AY39" s="42">
        <f>Tab_Process_TCs2527[[#This Row],[Flow_ID]]</f>
        <v/>
      </c>
      <c r="AZ39" s="42">
        <f>"TC"&amp;"_"&amp;RIGHT(AX39,5)</f>
        <v/>
      </c>
      <c r="BA39" s="168" t="n"/>
      <c r="BB39" s="272">
        <f>_xlfn.XLOOKUP($D39,#REF!,#REF!,,0,)</f>
        <v/>
      </c>
      <c r="BC39" s="272">
        <f>_xlfn.XLOOKUP($D39,#REF!,#REF!,,0,)</f>
        <v/>
      </c>
      <c r="BD39" s="42">
        <f>Tab_Process_TCs2527[[#This Row],[Flow_ID]]</f>
        <v/>
      </c>
      <c r="BE39" s="42">
        <f>"TC"&amp;"_"&amp;RIGHT(BC39,5)</f>
        <v/>
      </c>
      <c r="BF39" s="49" t="n"/>
      <c r="BG39" s="52">
        <f>Tab_Process_TCs2527[[#This Row],[TC O_6_'[%']]]+Tab_Process_TCs2527[[#This Row],[TC O_5_'[%']]]+Tab_Process_TCs2527[[#This Row],[TC_O_4_'[%']]]+Tab_Process_TCs2527[[#This Row],[TC_O_3_'[%']]]+Tab_Process_TCs2527[[#This Row],[TC_O_2_'[%']]]+Tab_Process_TCs2527[[#This Row],[TC_O_1_'[%']]]</f>
        <v/>
      </c>
      <c r="BH39" s="273" t="n"/>
      <c r="BI39" s="273" t="n"/>
      <c r="BJ39" s="273" t="n"/>
      <c r="BK39" s="273" t="n"/>
      <c r="BL39" s="273" t="n"/>
    </row>
    <row r="40">
      <c r="A40" s="280" t="b">
        <v>0</v>
      </c>
      <c r="B40" s="272">
        <f>ROW()-1</f>
        <v/>
      </c>
      <c r="C40" s="286">
        <f>_xlfn.XLOOKUP($D40,Tab_Process_TCs[Name(EN)],Tab_Process_TCs[Process_ID],,0,)</f>
        <v/>
      </c>
      <c r="D40" s="189" t="inlineStr">
        <is>
          <t>N.A.</t>
        </is>
      </c>
      <c r="E40" s="189" t="inlineStr">
        <is>
          <t>N.A.</t>
        </is>
      </c>
      <c r="F40" s="286">
        <f>_xlfn.XLOOKUP($D40,Tab_Process_TCs[Name(EN)],Tab_Process_TCs[TC?],,0,)</f>
        <v/>
      </c>
      <c r="G40" s="286">
        <f>_xlfn.XLOOKUP($D40,Tab_Process_TCs[Name(EN)],Tab_Process_TCs[Dyn_TC?],,0,)</f>
        <v/>
      </c>
      <c r="H40" s="272">
        <f>_xlfn.XLOOKUP($E40,Tab_Def_Flows[Name(EN)],Tab_Def_Flows[Flow_ID],,0,1)</f>
        <v/>
      </c>
      <c r="I40" s="272">
        <f>IF(Tab_Process_TCs2527[[#This Row],[Name(EN)]]="N.A.","N.A.","TC"&amp;"_"&amp;RIGHT(H40,5))</f>
        <v/>
      </c>
      <c r="J40" s="273" t="n"/>
      <c r="K40" s="183" t="n"/>
      <c r="L40" s="272" t="n"/>
      <c r="M40" s="296">
        <f>_xlfn.XLOOKUP($D40,Tab_Def_Processes[Name(EN)],Tab_Def_Processes[Input_Flow_I_1],,0,)</f>
        <v/>
      </c>
      <c r="N40" s="272">
        <f>_xlfn.XLOOKUP($D40,Tab_Def_Processes[Name(EN)],Tab_Def_Processes[Flow_ID_I_1],,0,)</f>
        <v/>
      </c>
      <c r="O40" s="33" t="n"/>
      <c r="P40" s="29">
        <f>_xlfn.XLOOKUP($D40,Tab_Def_Processes[Name(EN)],Tab_Def_Processes[Input_Flow_I_2],,0,)</f>
        <v/>
      </c>
      <c r="Q40" s="272">
        <f>_xlfn.XLOOKUP($D40,Tab_Def_Processes[Name(EN)],Tab_Def_Processes[Flow_ID_I_2],,0,)</f>
        <v/>
      </c>
      <c r="R40" s="33" t="n"/>
      <c r="S40" s="29">
        <f>_xlfn.XLOOKUP($D40,Tab_Def_Processes[Name(EN)],Tab_Def_Processes[Input_Flow_I_3],,0,)</f>
        <v/>
      </c>
      <c r="T40" s="272">
        <f>_xlfn.XLOOKUP($D40,Tab_Def_Processes[Name(EN)],Tab_Def_Processes[Flow_ID_I_3],,0,)</f>
        <v/>
      </c>
      <c r="U40" s="33" t="n"/>
      <c r="V40" s="29">
        <f>_xlfn.XLOOKUP($D40,Tab_Def_Processes[Name(EN)],Tab_Def_Processes[Input_Flow_I_4],,0,)</f>
        <v/>
      </c>
      <c r="W40" s="272">
        <f>_xlfn.XLOOKUP($D40,Tab_Def_Processes[Name(EN)],Tab_Def_Processes[Flow_ID_I_4],,0,)</f>
        <v/>
      </c>
      <c r="X40" s="33" t="n"/>
      <c r="Y40" s="29">
        <f>_xlfn.XLOOKUP($D40,Tab_Def_Processes[Name(EN)],Tab_Def_Processes[Input_Flow_I_5],,0,)</f>
        <v/>
      </c>
      <c r="Z40" s="272">
        <f>_xlfn.XLOOKUP($D40,Tab_Def_Processes[Name(EN)],Tab_Def_Processes[Flow_ID_I_5],,0,)</f>
        <v/>
      </c>
      <c r="AA40" s="33" t="n"/>
      <c r="AB40" s="32">
        <f>Tab_Process_TCs2527[[#This Row],[Flow_TC_I_1_'[%']]]+Tab_Process_TCs2527[[#This Row],[Flow_TC_I_2_'[%']]]+Tab_Process_TCs2527[[#This Row],[Flow_TC_I_3_'[%']]]+Tab_Process_TCs2527[[#This Row],[Flow_TC_I_4_'[%']]]+Tab_Process_TCs2527[[#This Row],[Flow_TC_I_5_'[%']]]</f>
        <v/>
      </c>
      <c r="AC40" s="296">
        <f>_xlfn.XLOOKUP($D40,#REF!,#REF!,,0,)</f>
        <v/>
      </c>
      <c r="AD40" s="272">
        <f>_xlfn.XLOOKUP($D40,#REF!,#REF!,,0,)</f>
        <v/>
      </c>
      <c r="AE40" s="42">
        <f>Tab_Process_TCs2527[[#This Row],[Flow_ID]]</f>
        <v/>
      </c>
      <c r="AF40" s="272">
        <f>"TC"&amp;"_"&amp;RIGHT(AD40,5)</f>
        <v/>
      </c>
      <c r="AG40" s="49" t="n">
        <v>1</v>
      </c>
      <c r="AH40" s="169">
        <f>_xlfn.XLOOKUP($D40,#REF!,#REF!,,0,)</f>
        <v/>
      </c>
      <c r="AI40" s="53">
        <f>_xlfn.XLOOKUP($D40,#REF!,#REF!,,0,)</f>
        <v/>
      </c>
      <c r="AJ40" s="42">
        <f>Tab_Process_TCs2527[[#This Row],[Flow_ID]]</f>
        <v/>
      </c>
      <c r="AK40" s="272">
        <f>"TC"&amp;"_"&amp;RIGHT(AI40,5)</f>
        <v/>
      </c>
      <c r="AL40" s="168" t="n"/>
      <c r="AM40" s="296">
        <f>_xlfn.XLOOKUP($D40,#REF!,#REF!,,0,)</f>
        <v/>
      </c>
      <c r="AN40" s="272">
        <f>_xlfn.XLOOKUP($D40,#REF!,#REF!,,0,)</f>
        <v/>
      </c>
      <c r="AO40" s="42">
        <f>Tab_Process_TCs2527[[#This Row],[Flow_ID]]</f>
        <v/>
      </c>
      <c r="AP40" s="272">
        <f>"TC"&amp;"_"&amp;RIGHT(AN40,5)</f>
        <v/>
      </c>
      <c r="AQ40" s="168" t="n"/>
      <c r="AR40" s="296">
        <f>_xlfn.XLOOKUP($D40,#REF!,#REF!,,0,)</f>
        <v/>
      </c>
      <c r="AS40" s="272">
        <f>_xlfn.XLOOKUP($D40,#REF!,#REF!,,0,)</f>
        <v/>
      </c>
      <c r="AT40" s="42">
        <f>Tab_Process_TCs2527[[#This Row],[Flow_ID]]</f>
        <v/>
      </c>
      <c r="AU40" s="42">
        <f>"TC"&amp;"_"&amp;RIGHT(AN40,5)</f>
        <v/>
      </c>
      <c r="AV40" s="168" t="n"/>
      <c r="AW40" s="296">
        <f>_xlfn.XLOOKUP($D40,#REF!,#REF!,,0,)</f>
        <v/>
      </c>
      <c r="AX40" s="272">
        <f>_xlfn.XLOOKUP($D40,#REF!,#REF!,,0,)</f>
        <v/>
      </c>
      <c r="AY40" s="42">
        <f>Tab_Process_TCs2527[[#This Row],[Flow_ID]]</f>
        <v/>
      </c>
      <c r="AZ40" s="42">
        <f>"TC"&amp;"_"&amp;RIGHT(AX40,5)</f>
        <v/>
      </c>
      <c r="BA40" s="168" t="n"/>
      <c r="BB40" s="272">
        <f>_xlfn.XLOOKUP($D40,#REF!,#REF!,,0,)</f>
        <v/>
      </c>
      <c r="BC40" s="272">
        <f>_xlfn.XLOOKUP($D40,#REF!,#REF!,,0,)</f>
        <v/>
      </c>
      <c r="BD40" s="42">
        <f>Tab_Process_TCs2527[[#This Row],[Flow_ID]]</f>
        <v/>
      </c>
      <c r="BE40" s="42">
        <f>"TC"&amp;"_"&amp;RIGHT(BC40,5)</f>
        <v/>
      </c>
      <c r="BF40" s="49" t="n"/>
      <c r="BG40" s="52">
        <f>Tab_Process_TCs2527[[#This Row],[TC O_6_'[%']]]+Tab_Process_TCs2527[[#This Row],[TC O_5_'[%']]]+Tab_Process_TCs2527[[#This Row],[TC_O_4_'[%']]]+Tab_Process_TCs2527[[#This Row],[TC_O_3_'[%']]]+Tab_Process_TCs2527[[#This Row],[TC_O_2_'[%']]]+Tab_Process_TCs2527[[#This Row],[TC_O_1_'[%']]]</f>
        <v/>
      </c>
      <c r="BH40" s="273" t="n"/>
      <c r="BI40" s="273" t="n"/>
      <c r="BJ40" s="273" t="n"/>
      <c r="BK40" s="273" t="n"/>
      <c r="BL40" s="273" t="n"/>
    </row>
    <row r="41">
      <c r="A41" s="280" t="b">
        <v>0</v>
      </c>
      <c r="B41" s="272">
        <f>ROW()-1</f>
        <v/>
      </c>
      <c r="C41" s="286">
        <f>_xlfn.XLOOKUP($D41,Tab_Process_TCs[Name(EN)],Tab_Process_TCs[Process_ID],,0,)</f>
        <v/>
      </c>
      <c r="D41" s="189" t="inlineStr">
        <is>
          <t>N.A.</t>
        </is>
      </c>
      <c r="E41" s="189" t="inlineStr">
        <is>
          <t>N.A.</t>
        </is>
      </c>
      <c r="F41" s="286">
        <f>_xlfn.XLOOKUP($D41,Tab_Process_TCs[Name(EN)],Tab_Process_TCs[TC?],,0,)</f>
        <v/>
      </c>
      <c r="G41" s="286">
        <f>_xlfn.XLOOKUP($D41,Tab_Process_TCs[Name(EN)],Tab_Process_TCs[Dyn_TC?],,0,)</f>
        <v/>
      </c>
      <c r="H41" s="272">
        <f>_xlfn.XLOOKUP($E41,Tab_Def_Flows[Name(EN)],Tab_Def_Flows[Flow_ID],,0,1)</f>
        <v/>
      </c>
      <c r="I41" s="272">
        <f>IF(Tab_Process_TCs2527[[#This Row],[Name(EN)]]="N.A.","N.A.","TC"&amp;"_"&amp;RIGHT(H41,5))</f>
        <v/>
      </c>
      <c r="J41" s="273" t="n"/>
      <c r="K41" s="183" t="n"/>
      <c r="L41" s="272" t="n"/>
      <c r="M41" s="296">
        <f>_xlfn.XLOOKUP($D41,Tab_Def_Processes[Name(EN)],Tab_Def_Processes[Input_Flow_I_1],,0,)</f>
        <v/>
      </c>
      <c r="N41" s="272">
        <f>_xlfn.XLOOKUP($D41,Tab_Def_Processes[Name(EN)],Tab_Def_Processes[Flow_ID_I_1],,0,)</f>
        <v/>
      </c>
      <c r="O41" s="33" t="n"/>
      <c r="P41" s="29">
        <f>_xlfn.XLOOKUP($D41,Tab_Def_Processes[Name(EN)],Tab_Def_Processes[Input_Flow_I_2],,0,)</f>
        <v/>
      </c>
      <c r="Q41" s="272">
        <f>_xlfn.XLOOKUP($D41,Tab_Def_Processes[Name(EN)],Tab_Def_Processes[Flow_ID_I_2],,0,)</f>
        <v/>
      </c>
      <c r="R41" s="33" t="n"/>
      <c r="S41" s="29">
        <f>_xlfn.XLOOKUP($D41,Tab_Def_Processes[Name(EN)],Tab_Def_Processes[Input_Flow_I_3],,0,)</f>
        <v/>
      </c>
      <c r="T41" s="272">
        <f>_xlfn.XLOOKUP($D41,Tab_Def_Processes[Name(EN)],Tab_Def_Processes[Flow_ID_I_3],,0,)</f>
        <v/>
      </c>
      <c r="U41" s="33" t="n"/>
      <c r="V41" s="29">
        <f>_xlfn.XLOOKUP($D41,Tab_Def_Processes[Name(EN)],Tab_Def_Processes[Input_Flow_I_4],,0,)</f>
        <v/>
      </c>
      <c r="W41" s="272">
        <f>_xlfn.XLOOKUP($D41,Tab_Def_Processes[Name(EN)],Tab_Def_Processes[Flow_ID_I_4],,0,)</f>
        <v/>
      </c>
      <c r="X41" s="33" t="n"/>
      <c r="Y41" s="29">
        <f>_xlfn.XLOOKUP($D41,Tab_Def_Processes[Name(EN)],Tab_Def_Processes[Input_Flow_I_5],,0,)</f>
        <v/>
      </c>
      <c r="Z41" s="272">
        <f>_xlfn.XLOOKUP($D41,Tab_Def_Processes[Name(EN)],Tab_Def_Processes[Flow_ID_I_5],,0,)</f>
        <v/>
      </c>
      <c r="AA41" s="33" t="n"/>
      <c r="AB41" s="32">
        <f>Tab_Process_TCs2527[[#This Row],[Flow_TC_I_1_'[%']]]+Tab_Process_TCs2527[[#This Row],[Flow_TC_I_2_'[%']]]+Tab_Process_TCs2527[[#This Row],[Flow_TC_I_3_'[%']]]+Tab_Process_TCs2527[[#This Row],[Flow_TC_I_4_'[%']]]+Tab_Process_TCs2527[[#This Row],[Flow_TC_I_5_'[%']]]</f>
        <v/>
      </c>
      <c r="AC41" s="296">
        <f>_xlfn.XLOOKUP($D41,#REF!,#REF!,,0,)</f>
        <v/>
      </c>
      <c r="AD41" s="272">
        <f>_xlfn.XLOOKUP($D41,#REF!,#REF!,,0,)</f>
        <v/>
      </c>
      <c r="AE41" s="42">
        <f>Tab_Process_TCs2527[[#This Row],[Flow_ID]]</f>
        <v/>
      </c>
      <c r="AF41" s="272">
        <f>"TC"&amp;"_"&amp;RIGHT(AD41,5)</f>
        <v/>
      </c>
      <c r="AG41" s="49" t="n">
        <v>1</v>
      </c>
      <c r="AH41" s="169">
        <f>_xlfn.XLOOKUP($D41,#REF!,#REF!,,0,)</f>
        <v/>
      </c>
      <c r="AI41" s="53">
        <f>_xlfn.XLOOKUP($D41,#REF!,#REF!,,0,)</f>
        <v/>
      </c>
      <c r="AJ41" s="42">
        <f>Tab_Process_TCs2527[[#This Row],[Flow_ID]]</f>
        <v/>
      </c>
      <c r="AK41" s="272">
        <f>"TC"&amp;"_"&amp;RIGHT(AI41,5)</f>
        <v/>
      </c>
      <c r="AL41" s="168" t="n"/>
      <c r="AM41" s="296">
        <f>_xlfn.XLOOKUP($D41,#REF!,#REF!,,0,)</f>
        <v/>
      </c>
      <c r="AN41" s="272">
        <f>_xlfn.XLOOKUP($D41,#REF!,#REF!,,0,)</f>
        <v/>
      </c>
      <c r="AO41" s="42">
        <f>Tab_Process_TCs2527[[#This Row],[Flow_ID]]</f>
        <v/>
      </c>
      <c r="AP41" s="272">
        <f>"TC"&amp;"_"&amp;RIGHT(AN41,5)</f>
        <v/>
      </c>
      <c r="AQ41" s="168" t="n"/>
      <c r="AR41" s="296">
        <f>_xlfn.XLOOKUP($D41,#REF!,#REF!,,0,)</f>
        <v/>
      </c>
      <c r="AS41" s="272">
        <f>_xlfn.XLOOKUP($D41,#REF!,#REF!,,0,)</f>
        <v/>
      </c>
      <c r="AT41" s="42">
        <f>Tab_Process_TCs2527[[#This Row],[Flow_ID]]</f>
        <v/>
      </c>
      <c r="AU41" s="42">
        <f>"TC"&amp;"_"&amp;RIGHT(AN41,5)</f>
        <v/>
      </c>
      <c r="AV41" s="168" t="n"/>
      <c r="AW41" s="296">
        <f>_xlfn.XLOOKUP($D41,#REF!,#REF!,,0,)</f>
        <v/>
      </c>
      <c r="AX41" s="272">
        <f>_xlfn.XLOOKUP($D41,#REF!,#REF!,,0,)</f>
        <v/>
      </c>
      <c r="AY41" s="42">
        <f>Tab_Process_TCs2527[[#This Row],[Flow_ID]]</f>
        <v/>
      </c>
      <c r="AZ41" s="42">
        <f>"TC"&amp;"_"&amp;RIGHT(AX41,5)</f>
        <v/>
      </c>
      <c r="BA41" s="168" t="n"/>
      <c r="BB41" s="272">
        <f>_xlfn.XLOOKUP($D41,#REF!,#REF!,,0,)</f>
        <v/>
      </c>
      <c r="BC41" s="272">
        <f>_xlfn.XLOOKUP($D41,#REF!,#REF!,,0,)</f>
        <v/>
      </c>
      <c r="BD41" s="42">
        <f>Tab_Process_TCs2527[[#This Row],[Flow_ID]]</f>
        <v/>
      </c>
      <c r="BE41" s="42">
        <f>"TC"&amp;"_"&amp;RIGHT(BC41,5)</f>
        <v/>
      </c>
      <c r="BF41" s="49" t="n"/>
      <c r="BG41" s="52">
        <f>Tab_Process_TCs2527[[#This Row],[TC O_6_'[%']]]+Tab_Process_TCs2527[[#This Row],[TC O_5_'[%']]]+Tab_Process_TCs2527[[#This Row],[TC_O_4_'[%']]]+Tab_Process_TCs2527[[#This Row],[TC_O_3_'[%']]]+Tab_Process_TCs2527[[#This Row],[TC_O_2_'[%']]]+Tab_Process_TCs2527[[#This Row],[TC_O_1_'[%']]]</f>
        <v/>
      </c>
      <c r="BH41" s="273" t="n"/>
      <c r="BI41" s="273" t="n"/>
      <c r="BJ41" s="273" t="n"/>
      <c r="BK41" s="273" t="n"/>
      <c r="BL41" s="273" t="n"/>
    </row>
    <row r="42">
      <c r="A42" s="280" t="b">
        <v>0</v>
      </c>
      <c r="B42" s="272">
        <f>ROW()-1</f>
        <v/>
      </c>
      <c r="C42" s="286">
        <f>_xlfn.XLOOKUP($D42,Tab_Process_TCs[Name(EN)],Tab_Process_TCs[Process_ID],,0,)</f>
        <v/>
      </c>
      <c r="D42" s="189" t="inlineStr">
        <is>
          <t>N.A.</t>
        </is>
      </c>
      <c r="E42" s="189" t="inlineStr">
        <is>
          <t>N.A.</t>
        </is>
      </c>
      <c r="F42" s="286">
        <f>_xlfn.XLOOKUP($D42,Tab_Process_TCs[Name(EN)],Tab_Process_TCs[TC?],,0,)</f>
        <v/>
      </c>
      <c r="G42" s="286">
        <f>_xlfn.XLOOKUP($D42,Tab_Process_TCs[Name(EN)],Tab_Process_TCs[Dyn_TC?],,0,)</f>
        <v/>
      </c>
      <c r="H42" s="272">
        <f>_xlfn.XLOOKUP($E42,Tab_Def_Flows[Name(EN)],Tab_Def_Flows[Flow_ID],,0,1)</f>
        <v/>
      </c>
      <c r="I42" s="272">
        <f>IF(Tab_Process_TCs2527[[#This Row],[Name(EN)]]="N.A.","N.A.","TC"&amp;"_"&amp;RIGHT(H42,5))</f>
        <v/>
      </c>
      <c r="J42" s="273" t="n"/>
      <c r="K42" s="183" t="n"/>
      <c r="L42" s="272" t="n"/>
      <c r="M42" s="296">
        <f>_xlfn.XLOOKUP($D42,Tab_Def_Processes[Name(EN)],Tab_Def_Processes[Input_Flow_I_1],,0,)</f>
        <v/>
      </c>
      <c r="N42" s="272">
        <f>_xlfn.XLOOKUP($D42,Tab_Def_Processes[Name(EN)],Tab_Def_Processes[Flow_ID_I_1],,0,)</f>
        <v/>
      </c>
      <c r="O42" s="33" t="n"/>
      <c r="P42" s="29">
        <f>_xlfn.XLOOKUP($D42,Tab_Def_Processes[Name(EN)],Tab_Def_Processes[Input_Flow_I_2],,0,)</f>
        <v/>
      </c>
      <c r="Q42" s="272">
        <f>_xlfn.XLOOKUP($D42,Tab_Def_Processes[Name(EN)],Tab_Def_Processes[Flow_ID_I_2],,0,)</f>
        <v/>
      </c>
      <c r="R42" s="33" t="n"/>
      <c r="S42" s="29">
        <f>_xlfn.XLOOKUP($D42,Tab_Def_Processes[Name(EN)],Tab_Def_Processes[Input_Flow_I_3],,0,)</f>
        <v/>
      </c>
      <c r="T42" s="272">
        <f>_xlfn.XLOOKUP($D42,Tab_Def_Processes[Name(EN)],Tab_Def_Processes[Flow_ID_I_3],,0,)</f>
        <v/>
      </c>
      <c r="U42" s="33" t="n"/>
      <c r="V42" s="29">
        <f>_xlfn.XLOOKUP($D42,Tab_Def_Processes[Name(EN)],Tab_Def_Processes[Input_Flow_I_4],,0,)</f>
        <v/>
      </c>
      <c r="W42" s="272">
        <f>_xlfn.XLOOKUP($D42,Tab_Def_Processes[Name(EN)],Tab_Def_Processes[Flow_ID_I_4],,0,)</f>
        <v/>
      </c>
      <c r="X42" s="33" t="n"/>
      <c r="Y42" s="29">
        <f>_xlfn.XLOOKUP($D42,Tab_Def_Processes[Name(EN)],Tab_Def_Processes[Input_Flow_I_5],,0,)</f>
        <v/>
      </c>
      <c r="Z42" s="272">
        <f>_xlfn.XLOOKUP($D42,Tab_Def_Processes[Name(EN)],Tab_Def_Processes[Flow_ID_I_5],,0,)</f>
        <v/>
      </c>
      <c r="AA42" s="33" t="n"/>
      <c r="AB42" s="32">
        <f>Tab_Process_TCs2527[[#This Row],[Flow_TC_I_1_'[%']]]+Tab_Process_TCs2527[[#This Row],[Flow_TC_I_2_'[%']]]+Tab_Process_TCs2527[[#This Row],[Flow_TC_I_3_'[%']]]+Tab_Process_TCs2527[[#This Row],[Flow_TC_I_4_'[%']]]+Tab_Process_TCs2527[[#This Row],[Flow_TC_I_5_'[%']]]</f>
        <v/>
      </c>
      <c r="AC42" s="296">
        <f>_xlfn.XLOOKUP($D42,#REF!,#REF!,,0,)</f>
        <v/>
      </c>
      <c r="AD42" s="272">
        <f>_xlfn.XLOOKUP($D42,#REF!,#REF!,,0,)</f>
        <v/>
      </c>
      <c r="AE42" s="42">
        <f>Tab_Process_TCs2527[[#This Row],[Flow_ID]]</f>
        <v/>
      </c>
      <c r="AF42" s="272">
        <f>"TC"&amp;"_"&amp;RIGHT(AD42,5)</f>
        <v/>
      </c>
      <c r="AG42" s="49" t="n">
        <v>1</v>
      </c>
      <c r="AH42" s="169">
        <f>_xlfn.XLOOKUP($D42,#REF!,#REF!,,0,)</f>
        <v/>
      </c>
      <c r="AI42" s="53">
        <f>_xlfn.XLOOKUP($D42,#REF!,#REF!,,0,)</f>
        <v/>
      </c>
      <c r="AJ42" s="42">
        <f>Tab_Process_TCs2527[[#This Row],[Flow_ID]]</f>
        <v/>
      </c>
      <c r="AK42" s="272">
        <f>"TC"&amp;"_"&amp;RIGHT(AI42,5)</f>
        <v/>
      </c>
      <c r="AL42" s="168" t="n"/>
      <c r="AM42" s="296">
        <f>_xlfn.XLOOKUP($D42,#REF!,#REF!,,0,)</f>
        <v/>
      </c>
      <c r="AN42" s="272">
        <f>_xlfn.XLOOKUP($D42,#REF!,#REF!,,0,)</f>
        <v/>
      </c>
      <c r="AO42" s="42">
        <f>Tab_Process_TCs2527[[#This Row],[Flow_ID]]</f>
        <v/>
      </c>
      <c r="AP42" s="272">
        <f>"TC"&amp;"_"&amp;RIGHT(AN42,5)</f>
        <v/>
      </c>
      <c r="AQ42" s="168" t="n"/>
      <c r="AR42" s="296">
        <f>_xlfn.XLOOKUP($D42,#REF!,#REF!,,0,)</f>
        <v/>
      </c>
      <c r="AS42" s="272">
        <f>_xlfn.XLOOKUP($D42,#REF!,#REF!,,0,)</f>
        <v/>
      </c>
      <c r="AT42" s="42">
        <f>Tab_Process_TCs2527[[#This Row],[Flow_ID]]</f>
        <v/>
      </c>
      <c r="AU42" s="42">
        <f>"TC"&amp;"_"&amp;RIGHT(AN42,5)</f>
        <v/>
      </c>
      <c r="AV42" s="168" t="n"/>
      <c r="AW42" s="296">
        <f>_xlfn.XLOOKUP($D42,#REF!,#REF!,,0,)</f>
        <v/>
      </c>
      <c r="AX42" s="272">
        <f>_xlfn.XLOOKUP($D42,#REF!,#REF!,,0,)</f>
        <v/>
      </c>
      <c r="AY42" s="42">
        <f>Tab_Process_TCs2527[[#This Row],[Flow_ID]]</f>
        <v/>
      </c>
      <c r="AZ42" s="42">
        <f>"TC"&amp;"_"&amp;RIGHT(AX42,5)</f>
        <v/>
      </c>
      <c r="BA42" s="168" t="n"/>
      <c r="BB42" s="272">
        <f>_xlfn.XLOOKUP($D42,#REF!,#REF!,,0,)</f>
        <v/>
      </c>
      <c r="BC42" s="272">
        <f>_xlfn.XLOOKUP($D42,#REF!,#REF!,,0,)</f>
        <v/>
      </c>
      <c r="BD42" s="42">
        <f>Tab_Process_TCs2527[[#This Row],[Flow_ID]]</f>
        <v/>
      </c>
      <c r="BE42" s="42">
        <f>"TC"&amp;"_"&amp;RIGHT(BC42,5)</f>
        <v/>
      </c>
      <c r="BF42" s="49" t="n"/>
      <c r="BG42" s="52">
        <f>Tab_Process_TCs2527[[#This Row],[TC O_6_'[%']]]+Tab_Process_TCs2527[[#This Row],[TC O_5_'[%']]]+Tab_Process_TCs2527[[#This Row],[TC_O_4_'[%']]]+Tab_Process_TCs2527[[#This Row],[TC_O_3_'[%']]]+Tab_Process_TCs2527[[#This Row],[TC_O_2_'[%']]]+Tab_Process_TCs2527[[#This Row],[TC_O_1_'[%']]]</f>
        <v/>
      </c>
      <c r="BH42" s="273" t="n"/>
      <c r="BI42" s="273" t="n"/>
      <c r="BJ42" s="273" t="n"/>
      <c r="BK42" s="273" t="n"/>
      <c r="BL42" s="273" t="n"/>
    </row>
    <row r="43">
      <c r="A43" s="280" t="b">
        <v>0</v>
      </c>
      <c r="B43" s="272">
        <f>ROW()-1</f>
        <v/>
      </c>
      <c r="C43" s="286">
        <f>_xlfn.XLOOKUP($D43,Tab_Process_TCs[Name(EN)],Tab_Process_TCs[Process_ID],,0,)</f>
        <v/>
      </c>
      <c r="D43" s="189" t="inlineStr">
        <is>
          <t>N.A.</t>
        </is>
      </c>
      <c r="E43" s="189" t="inlineStr">
        <is>
          <t>N.A.</t>
        </is>
      </c>
      <c r="F43" s="286">
        <f>_xlfn.XLOOKUP($D43,Tab_Process_TCs[Name(EN)],Tab_Process_TCs[TC?],,0,)</f>
        <v/>
      </c>
      <c r="G43" s="286">
        <f>_xlfn.XLOOKUP($D43,Tab_Process_TCs[Name(EN)],Tab_Process_TCs[Dyn_TC?],,0,)</f>
        <v/>
      </c>
      <c r="H43" s="272">
        <f>_xlfn.XLOOKUP($E43,Tab_Def_Flows[Name(EN)],Tab_Def_Flows[Flow_ID],,0,1)</f>
        <v/>
      </c>
      <c r="I43" s="272">
        <f>IF(Tab_Process_TCs2527[[#This Row],[Name(EN)]]="N.A.","N.A.","TC"&amp;"_"&amp;RIGHT(H43,5))</f>
        <v/>
      </c>
      <c r="J43" s="273" t="n"/>
      <c r="K43" s="183" t="n"/>
      <c r="L43" s="272" t="n"/>
      <c r="M43" s="296">
        <f>_xlfn.XLOOKUP($D43,Tab_Def_Processes[Name(EN)],Tab_Def_Processes[Input_Flow_I_1],,0,)</f>
        <v/>
      </c>
      <c r="N43" s="272">
        <f>_xlfn.XLOOKUP($D43,Tab_Def_Processes[Name(EN)],Tab_Def_Processes[Flow_ID_I_1],,0,)</f>
        <v/>
      </c>
      <c r="O43" s="33" t="n"/>
      <c r="P43" s="29">
        <f>_xlfn.XLOOKUP($D43,Tab_Def_Processes[Name(EN)],Tab_Def_Processes[Input_Flow_I_2],,0,)</f>
        <v/>
      </c>
      <c r="Q43" s="272">
        <f>_xlfn.XLOOKUP($D43,Tab_Def_Processes[Name(EN)],Tab_Def_Processes[Flow_ID_I_2],,0,)</f>
        <v/>
      </c>
      <c r="R43" s="33" t="n"/>
      <c r="S43" s="29">
        <f>_xlfn.XLOOKUP($D43,Tab_Def_Processes[Name(EN)],Tab_Def_Processes[Input_Flow_I_3],,0,)</f>
        <v/>
      </c>
      <c r="T43" s="272">
        <f>_xlfn.XLOOKUP($D43,Tab_Def_Processes[Name(EN)],Tab_Def_Processes[Flow_ID_I_3],,0,)</f>
        <v/>
      </c>
      <c r="U43" s="33" t="n"/>
      <c r="V43" s="29">
        <f>_xlfn.XLOOKUP($D43,Tab_Def_Processes[Name(EN)],Tab_Def_Processes[Input_Flow_I_4],,0,)</f>
        <v/>
      </c>
      <c r="W43" s="272">
        <f>_xlfn.XLOOKUP($D43,Tab_Def_Processes[Name(EN)],Tab_Def_Processes[Flow_ID_I_4],,0,)</f>
        <v/>
      </c>
      <c r="X43" s="33" t="n"/>
      <c r="Y43" s="29">
        <f>_xlfn.XLOOKUP($D43,Tab_Def_Processes[Name(EN)],Tab_Def_Processes[Input_Flow_I_5],,0,)</f>
        <v/>
      </c>
      <c r="Z43" s="272">
        <f>_xlfn.XLOOKUP($D43,Tab_Def_Processes[Name(EN)],Tab_Def_Processes[Flow_ID_I_5],,0,)</f>
        <v/>
      </c>
      <c r="AA43" s="33" t="n"/>
      <c r="AB43" s="32">
        <f>Tab_Process_TCs2527[[#This Row],[Flow_TC_I_1_'[%']]]+Tab_Process_TCs2527[[#This Row],[Flow_TC_I_2_'[%']]]+Tab_Process_TCs2527[[#This Row],[Flow_TC_I_3_'[%']]]+Tab_Process_TCs2527[[#This Row],[Flow_TC_I_4_'[%']]]+Tab_Process_TCs2527[[#This Row],[Flow_TC_I_5_'[%']]]</f>
        <v/>
      </c>
      <c r="AC43" s="296">
        <f>_xlfn.XLOOKUP($D43,#REF!,#REF!,,0,)</f>
        <v/>
      </c>
      <c r="AD43" s="272">
        <f>_xlfn.XLOOKUP($D43,#REF!,#REF!,,0,)</f>
        <v/>
      </c>
      <c r="AE43" s="42">
        <f>Tab_Process_TCs2527[[#This Row],[Flow_ID]]</f>
        <v/>
      </c>
      <c r="AF43" s="272">
        <f>"TC"&amp;"_"&amp;RIGHT(AD43,5)</f>
        <v/>
      </c>
      <c r="AG43" s="49" t="n">
        <v>1</v>
      </c>
      <c r="AH43" s="169">
        <f>_xlfn.XLOOKUP($D43,#REF!,#REF!,,0,)</f>
        <v/>
      </c>
      <c r="AI43" s="53">
        <f>_xlfn.XLOOKUP($D43,#REF!,#REF!,,0,)</f>
        <v/>
      </c>
      <c r="AJ43" s="42">
        <f>Tab_Process_TCs2527[[#This Row],[Flow_ID]]</f>
        <v/>
      </c>
      <c r="AK43" s="272">
        <f>"TC"&amp;"_"&amp;RIGHT(AI43,5)</f>
        <v/>
      </c>
      <c r="AL43" s="168" t="n"/>
      <c r="AM43" s="296">
        <f>_xlfn.XLOOKUP($D43,#REF!,#REF!,,0,)</f>
        <v/>
      </c>
      <c r="AN43" s="272">
        <f>_xlfn.XLOOKUP($D43,#REF!,#REF!,,0,)</f>
        <v/>
      </c>
      <c r="AO43" s="42">
        <f>Tab_Process_TCs2527[[#This Row],[Flow_ID]]</f>
        <v/>
      </c>
      <c r="AP43" s="272">
        <f>"TC"&amp;"_"&amp;RIGHT(AN43,5)</f>
        <v/>
      </c>
      <c r="AQ43" s="168" t="n"/>
      <c r="AR43" s="296">
        <f>_xlfn.XLOOKUP($D43,#REF!,#REF!,,0,)</f>
        <v/>
      </c>
      <c r="AS43" s="272">
        <f>_xlfn.XLOOKUP($D43,#REF!,#REF!,,0,)</f>
        <v/>
      </c>
      <c r="AT43" s="42">
        <f>Tab_Process_TCs2527[[#This Row],[Flow_ID]]</f>
        <v/>
      </c>
      <c r="AU43" s="42">
        <f>"TC"&amp;"_"&amp;RIGHT(AN43,5)</f>
        <v/>
      </c>
      <c r="AV43" s="168" t="n"/>
      <c r="AW43" s="296">
        <f>_xlfn.XLOOKUP($D43,#REF!,#REF!,,0,)</f>
        <v/>
      </c>
      <c r="AX43" s="272">
        <f>_xlfn.XLOOKUP($D43,#REF!,#REF!,,0,)</f>
        <v/>
      </c>
      <c r="AY43" s="42">
        <f>Tab_Process_TCs2527[[#This Row],[Flow_ID]]</f>
        <v/>
      </c>
      <c r="AZ43" s="42">
        <f>"TC"&amp;"_"&amp;RIGHT(AX43,5)</f>
        <v/>
      </c>
      <c r="BA43" s="168" t="n"/>
      <c r="BB43" s="272">
        <f>_xlfn.XLOOKUP($D43,#REF!,#REF!,,0,)</f>
        <v/>
      </c>
      <c r="BC43" s="272">
        <f>_xlfn.XLOOKUP($D43,#REF!,#REF!,,0,)</f>
        <v/>
      </c>
      <c r="BD43" s="42">
        <f>Tab_Process_TCs2527[[#This Row],[Flow_ID]]</f>
        <v/>
      </c>
      <c r="BE43" s="42">
        <f>"TC"&amp;"_"&amp;RIGHT(BC43,5)</f>
        <v/>
      </c>
      <c r="BF43" s="49" t="n"/>
      <c r="BG43" s="52">
        <f>Tab_Process_TCs2527[[#This Row],[TC O_6_'[%']]]+Tab_Process_TCs2527[[#This Row],[TC O_5_'[%']]]+Tab_Process_TCs2527[[#This Row],[TC_O_4_'[%']]]+Tab_Process_TCs2527[[#This Row],[TC_O_3_'[%']]]+Tab_Process_TCs2527[[#This Row],[TC_O_2_'[%']]]+Tab_Process_TCs2527[[#This Row],[TC_O_1_'[%']]]</f>
        <v/>
      </c>
      <c r="BH43" s="273" t="n"/>
      <c r="BI43" s="273" t="n"/>
      <c r="BJ43" s="273" t="n"/>
      <c r="BK43" s="273" t="n"/>
      <c r="BL43" s="273" t="n"/>
    </row>
    <row r="44">
      <c r="A44" s="280" t="b">
        <v>0</v>
      </c>
      <c r="B44" s="272">
        <f>ROW()-1</f>
        <v/>
      </c>
      <c r="C44" s="286">
        <f>_xlfn.XLOOKUP($D44,Tab_Process_TCs[Name(EN)],Tab_Process_TCs[Process_ID],,0,)</f>
        <v/>
      </c>
      <c r="D44" s="189" t="inlineStr">
        <is>
          <t>N.A.</t>
        </is>
      </c>
      <c r="E44" s="189" t="inlineStr">
        <is>
          <t>N.A.</t>
        </is>
      </c>
      <c r="F44" s="286">
        <f>_xlfn.XLOOKUP($D44,Tab_Process_TCs[Name(EN)],Tab_Process_TCs[TC?],,0,)</f>
        <v/>
      </c>
      <c r="G44" s="286">
        <f>_xlfn.XLOOKUP($D44,Tab_Process_TCs[Name(EN)],Tab_Process_TCs[Dyn_TC?],,0,)</f>
        <v/>
      </c>
      <c r="H44" s="272">
        <f>_xlfn.XLOOKUP($E44,Tab_Def_Flows[Name(EN)],Tab_Def_Flows[Flow_ID],,0,1)</f>
        <v/>
      </c>
      <c r="I44" s="272">
        <f>IF(Tab_Process_TCs2527[[#This Row],[Name(EN)]]="N.A.","N.A.","TC"&amp;"_"&amp;RIGHT(H44,5))</f>
        <v/>
      </c>
      <c r="J44" s="273" t="n"/>
      <c r="K44" s="183" t="n"/>
      <c r="L44" s="272" t="n"/>
      <c r="M44" s="296">
        <f>_xlfn.XLOOKUP($D44,Tab_Def_Processes[Name(EN)],Tab_Def_Processes[Input_Flow_I_1],,0,)</f>
        <v/>
      </c>
      <c r="N44" s="272">
        <f>_xlfn.XLOOKUP($D44,Tab_Def_Processes[Name(EN)],Tab_Def_Processes[Flow_ID_I_1],,0,)</f>
        <v/>
      </c>
      <c r="O44" s="33" t="n"/>
      <c r="P44" s="29">
        <f>_xlfn.XLOOKUP($D44,Tab_Def_Processes[Name(EN)],Tab_Def_Processes[Input_Flow_I_2],,0,)</f>
        <v/>
      </c>
      <c r="Q44" s="272">
        <f>_xlfn.XLOOKUP($D44,Tab_Def_Processes[Name(EN)],Tab_Def_Processes[Flow_ID_I_2],,0,)</f>
        <v/>
      </c>
      <c r="R44" s="33" t="n"/>
      <c r="S44" s="29">
        <f>_xlfn.XLOOKUP($D44,Tab_Def_Processes[Name(EN)],Tab_Def_Processes[Input_Flow_I_3],,0,)</f>
        <v/>
      </c>
      <c r="T44" s="272">
        <f>_xlfn.XLOOKUP($D44,Tab_Def_Processes[Name(EN)],Tab_Def_Processes[Flow_ID_I_3],,0,)</f>
        <v/>
      </c>
      <c r="U44" s="33" t="n"/>
      <c r="V44" s="29">
        <f>_xlfn.XLOOKUP($D44,Tab_Def_Processes[Name(EN)],Tab_Def_Processes[Input_Flow_I_4],,0,)</f>
        <v/>
      </c>
      <c r="W44" s="272">
        <f>_xlfn.XLOOKUP($D44,Tab_Def_Processes[Name(EN)],Tab_Def_Processes[Flow_ID_I_4],,0,)</f>
        <v/>
      </c>
      <c r="X44" s="33" t="n"/>
      <c r="Y44" s="29">
        <f>_xlfn.XLOOKUP($D44,Tab_Def_Processes[Name(EN)],Tab_Def_Processes[Input_Flow_I_5],,0,)</f>
        <v/>
      </c>
      <c r="Z44" s="272">
        <f>_xlfn.XLOOKUP($D44,Tab_Def_Processes[Name(EN)],Tab_Def_Processes[Flow_ID_I_5],,0,)</f>
        <v/>
      </c>
      <c r="AA44" s="33" t="n"/>
      <c r="AB44" s="32">
        <f>Tab_Process_TCs2527[[#This Row],[Flow_TC_I_1_'[%']]]+Tab_Process_TCs2527[[#This Row],[Flow_TC_I_2_'[%']]]+Tab_Process_TCs2527[[#This Row],[Flow_TC_I_3_'[%']]]+Tab_Process_TCs2527[[#This Row],[Flow_TC_I_4_'[%']]]+Tab_Process_TCs2527[[#This Row],[Flow_TC_I_5_'[%']]]</f>
        <v/>
      </c>
      <c r="AC44" s="296">
        <f>_xlfn.XLOOKUP($D44,#REF!,#REF!,,0,)</f>
        <v/>
      </c>
      <c r="AD44" s="272">
        <f>_xlfn.XLOOKUP($D44,#REF!,#REF!,,0,)</f>
        <v/>
      </c>
      <c r="AE44" s="42">
        <f>Tab_Process_TCs2527[[#This Row],[Flow_ID]]</f>
        <v/>
      </c>
      <c r="AF44" s="272">
        <f>"TC"&amp;"_"&amp;RIGHT(AD44,5)</f>
        <v/>
      </c>
      <c r="AG44" s="49" t="n">
        <v>1</v>
      </c>
      <c r="AH44" s="169">
        <f>_xlfn.XLOOKUP($D44,#REF!,#REF!,,0,)</f>
        <v/>
      </c>
      <c r="AI44" s="53">
        <f>_xlfn.XLOOKUP($D44,#REF!,#REF!,,0,)</f>
        <v/>
      </c>
      <c r="AJ44" s="42">
        <f>Tab_Process_TCs2527[[#This Row],[Flow_ID]]</f>
        <v/>
      </c>
      <c r="AK44" s="272">
        <f>"TC"&amp;"_"&amp;RIGHT(AI44,5)</f>
        <v/>
      </c>
      <c r="AL44" s="168" t="n"/>
      <c r="AM44" s="296">
        <f>_xlfn.XLOOKUP($D44,#REF!,#REF!,,0,)</f>
        <v/>
      </c>
      <c r="AN44" s="272">
        <f>_xlfn.XLOOKUP($D44,#REF!,#REF!,,0,)</f>
        <v/>
      </c>
      <c r="AO44" s="42">
        <f>Tab_Process_TCs2527[[#This Row],[Flow_ID]]</f>
        <v/>
      </c>
      <c r="AP44" s="272">
        <f>"TC"&amp;"_"&amp;RIGHT(AN44,5)</f>
        <v/>
      </c>
      <c r="AQ44" s="168" t="n"/>
      <c r="AR44" s="296">
        <f>_xlfn.XLOOKUP($D44,#REF!,#REF!,,0,)</f>
        <v/>
      </c>
      <c r="AS44" s="272">
        <f>_xlfn.XLOOKUP($D44,#REF!,#REF!,,0,)</f>
        <v/>
      </c>
      <c r="AT44" s="42">
        <f>Tab_Process_TCs2527[[#This Row],[Flow_ID]]</f>
        <v/>
      </c>
      <c r="AU44" s="42">
        <f>"TC"&amp;"_"&amp;RIGHT(AN44,5)</f>
        <v/>
      </c>
      <c r="AV44" s="168" t="n"/>
      <c r="AW44" s="296">
        <f>_xlfn.XLOOKUP($D44,#REF!,#REF!,,0,)</f>
        <v/>
      </c>
      <c r="AX44" s="272">
        <f>_xlfn.XLOOKUP($D44,#REF!,#REF!,,0,)</f>
        <v/>
      </c>
      <c r="AY44" s="42">
        <f>Tab_Process_TCs2527[[#This Row],[Flow_ID]]</f>
        <v/>
      </c>
      <c r="AZ44" s="42">
        <f>"TC"&amp;"_"&amp;RIGHT(AX44,5)</f>
        <v/>
      </c>
      <c r="BA44" s="168" t="n"/>
      <c r="BB44" s="272">
        <f>_xlfn.XLOOKUP($D44,#REF!,#REF!,,0,)</f>
        <v/>
      </c>
      <c r="BC44" s="272">
        <f>_xlfn.XLOOKUP($D44,#REF!,#REF!,,0,)</f>
        <v/>
      </c>
      <c r="BD44" s="42">
        <f>Tab_Process_TCs2527[[#This Row],[Flow_ID]]</f>
        <v/>
      </c>
      <c r="BE44" s="42">
        <f>"TC"&amp;"_"&amp;RIGHT(BC44,5)</f>
        <v/>
      </c>
      <c r="BF44" s="49" t="n"/>
      <c r="BG44" s="52">
        <f>Tab_Process_TCs2527[[#This Row],[TC O_6_'[%']]]+Tab_Process_TCs2527[[#This Row],[TC O_5_'[%']]]+Tab_Process_TCs2527[[#This Row],[TC_O_4_'[%']]]+Tab_Process_TCs2527[[#This Row],[TC_O_3_'[%']]]+Tab_Process_TCs2527[[#This Row],[TC_O_2_'[%']]]+Tab_Process_TCs2527[[#This Row],[TC_O_1_'[%']]]</f>
        <v/>
      </c>
      <c r="BH44" s="273" t="n"/>
      <c r="BI44" s="273" t="n"/>
      <c r="BJ44" s="273" t="n"/>
      <c r="BK44" s="273" t="n"/>
      <c r="BL44" s="273" t="n"/>
    </row>
    <row r="45">
      <c r="A45" s="280" t="b">
        <v>0</v>
      </c>
      <c r="B45" s="272">
        <f>ROW()-1</f>
        <v/>
      </c>
      <c r="C45" s="286">
        <f>_xlfn.XLOOKUP($D45,Tab_Process_TCs[Name(EN)],Tab_Process_TCs[Process_ID],,0,)</f>
        <v/>
      </c>
      <c r="D45" s="189" t="inlineStr">
        <is>
          <t>N.A.</t>
        </is>
      </c>
      <c r="E45" s="189" t="inlineStr">
        <is>
          <t>N.A.</t>
        </is>
      </c>
      <c r="F45" s="286">
        <f>_xlfn.XLOOKUP($D45,Tab_Process_TCs[Name(EN)],Tab_Process_TCs[TC?],,0,)</f>
        <v/>
      </c>
      <c r="G45" s="286">
        <f>_xlfn.XLOOKUP($D45,Tab_Process_TCs[Name(EN)],Tab_Process_TCs[Dyn_TC?],,0,)</f>
        <v/>
      </c>
      <c r="H45" s="272">
        <f>_xlfn.XLOOKUP($E45,Tab_Def_Flows[Name(EN)],Tab_Def_Flows[Flow_ID],,0,1)</f>
        <v/>
      </c>
      <c r="I45" s="272">
        <f>IF(Tab_Process_TCs2527[[#This Row],[Name(EN)]]="N.A.","N.A.","TC"&amp;"_"&amp;RIGHT(H45,5))</f>
        <v/>
      </c>
      <c r="J45" s="273" t="n"/>
      <c r="K45" s="183" t="n"/>
      <c r="L45" s="272" t="n"/>
      <c r="M45" s="296">
        <f>_xlfn.XLOOKUP($D45,Tab_Def_Processes[Name(EN)],Tab_Def_Processes[Input_Flow_I_1],,0,)</f>
        <v/>
      </c>
      <c r="N45" s="272">
        <f>_xlfn.XLOOKUP($D45,Tab_Def_Processes[Name(EN)],Tab_Def_Processes[Flow_ID_I_1],,0,)</f>
        <v/>
      </c>
      <c r="O45" s="33" t="n"/>
      <c r="P45" s="29">
        <f>_xlfn.XLOOKUP($D45,Tab_Def_Processes[Name(EN)],Tab_Def_Processes[Input_Flow_I_2],,0,)</f>
        <v/>
      </c>
      <c r="Q45" s="272">
        <f>_xlfn.XLOOKUP($D45,Tab_Def_Processes[Name(EN)],Tab_Def_Processes[Flow_ID_I_2],,0,)</f>
        <v/>
      </c>
      <c r="R45" s="33" t="n"/>
      <c r="S45" s="29">
        <f>_xlfn.XLOOKUP($D45,Tab_Def_Processes[Name(EN)],Tab_Def_Processes[Input_Flow_I_3],,0,)</f>
        <v/>
      </c>
      <c r="T45" s="272">
        <f>_xlfn.XLOOKUP($D45,Tab_Def_Processes[Name(EN)],Tab_Def_Processes[Flow_ID_I_3],,0,)</f>
        <v/>
      </c>
      <c r="U45" s="33" t="n"/>
      <c r="V45" s="29">
        <f>_xlfn.XLOOKUP($D45,Tab_Def_Processes[Name(EN)],Tab_Def_Processes[Input_Flow_I_4],,0,)</f>
        <v/>
      </c>
      <c r="W45" s="272">
        <f>_xlfn.XLOOKUP($D45,Tab_Def_Processes[Name(EN)],Tab_Def_Processes[Flow_ID_I_4],,0,)</f>
        <v/>
      </c>
      <c r="X45" s="33" t="n"/>
      <c r="Y45" s="29">
        <f>_xlfn.XLOOKUP($D45,Tab_Def_Processes[Name(EN)],Tab_Def_Processes[Input_Flow_I_5],,0,)</f>
        <v/>
      </c>
      <c r="Z45" s="272">
        <f>_xlfn.XLOOKUP($D45,Tab_Def_Processes[Name(EN)],Tab_Def_Processes[Flow_ID_I_5],,0,)</f>
        <v/>
      </c>
      <c r="AA45" s="33" t="n"/>
      <c r="AB45" s="32">
        <f>Tab_Process_TCs2527[[#This Row],[Flow_TC_I_1_'[%']]]+Tab_Process_TCs2527[[#This Row],[Flow_TC_I_2_'[%']]]+Tab_Process_TCs2527[[#This Row],[Flow_TC_I_3_'[%']]]+Tab_Process_TCs2527[[#This Row],[Flow_TC_I_4_'[%']]]+Tab_Process_TCs2527[[#This Row],[Flow_TC_I_5_'[%']]]</f>
        <v/>
      </c>
      <c r="AC45" s="296">
        <f>_xlfn.XLOOKUP($D45,#REF!,#REF!,,0,)</f>
        <v/>
      </c>
      <c r="AD45" s="272">
        <f>_xlfn.XLOOKUP($D45,#REF!,#REF!,,0,)</f>
        <v/>
      </c>
      <c r="AE45" s="42">
        <f>Tab_Process_TCs2527[[#This Row],[Flow_ID]]</f>
        <v/>
      </c>
      <c r="AF45" s="272">
        <f>"TC"&amp;"_"&amp;RIGHT(AD45,5)</f>
        <v/>
      </c>
      <c r="AG45" s="49" t="n">
        <v>1</v>
      </c>
      <c r="AH45" s="169">
        <f>_xlfn.XLOOKUP($D45,#REF!,#REF!,,0,)</f>
        <v/>
      </c>
      <c r="AI45" s="53">
        <f>_xlfn.XLOOKUP($D45,#REF!,#REF!,,0,)</f>
        <v/>
      </c>
      <c r="AJ45" s="42">
        <f>Tab_Process_TCs2527[[#This Row],[Flow_ID]]</f>
        <v/>
      </c>
      <c r="AK45" s="272">
        <f>"TC"&amp;"_"&amp;RIGHT(AI45,5)</f>
        <v/>
      </c>
      <c r="AL45" s="168" t="n"/>
      <c r="AM45" s="296">
        <f>_xlfn.XLOOKUP($D45,#REF!,#REF!,,0,)</f>
        <v/>
      </c>
      <c r="AN45" s="272">
        <f>_xlfn.XLOOKUP($D45,#REF!,#REF!,,0,)</f>
        <v/>
      </c>
      <c r="AO45" s="42">
        <f>Tab_Process_TCs2527[[#This Row],[Flow_ID]]</f>
        <v/>
      </c>
      <c r="AP45" s="272">
        <f>"TC"&amp;"_"&amp;RIGHT(AN45,5)</f>
        <v/>
      </c>
      <c r="AQ45" s="168" t="n"/>
      <c r="AR45" s="296">
        <f>_xlfn.XLOOKUP($D45,#REF!,#REF!,,0,)</f>
        <v/>
      </c>
      <c r="AS45" s="272">
        <f>_xlfn.XLOOKUP($D45,#REF!,#REF!,,0,)</f>
        <v/>
      </c>
      <c r="AT45" s="42">
        <f>Tab_Process_TCs2527[[#This Row],[Flow_ID]]</f>
        <v/>
      </c>
      <c r="AU45" s="42">
        <f>"TC"&amp;"_"&amp;RIGHT(AN45,5)</f>
        <v/>
      </c>
      <c r="AV45" s="168" t="n"/>
      <c r="AW45" s="296">
        <f>_xlfn.XLOOKUP($D45,#REF!,#REF!,,0,)</f>
        <v/>
      </c>
      <c r="AX45" s="272">
        <f>_xlfn.XLOOKUP($D45,#REF!,#REF!,,0,)</f>
        <v/>
      </c>
      <c r="AY45" s="42">
        <f>Tab_Process_TCs2527[[#This Row],[Flow_ID]]</f>
        <v/>
      </c>
      <c r="AZ45" s="42">
        <f>"TC"&amp;"_"&amp;RIGHT(AX45,5)</f>
        <v/>
      </c>
      <c r="BA45" s="168" t="n"/>
      <c r="BB45" s="272">
        <f>_xlfn.XLOOKUP($D45,#REF!,#REF!,,0,)</f>
        <v/>
      </c>
      <c r="BC45" s="272">
        <f>_xlfn.XLOOKUP($D45,#REF!,#REF!,,0,)</f>
        <v/>
      </c>
      <c r="BD45" s="42">
        <f>Tab_Process_TCs2527[[#This Row],[Flow_ID]]</f>
        <v/>
      </c>
      <c r="BE45" s="42">
        <f>"TC"&amp;"_"&amp;RIGHT(BC45,5)</f>
        <v/>
      </c>
      <c r="BF45" s="49" t="n"/>
      <c r="BG45" s="52">
        <f>Tab_Process_TCs2527[[#This Row],[TC O_6_'[%']]]+Tab_Process_TCs2527[[#This Row],[TC O_5_'[%']]]+Tab_Process_TCs2527[[#This Row],[TC_O_4_'[%']]]+Tab_Process_TCs2527[[#This Row],[TC_O_3_'[%']]]+Tab_Process_TCs2527[[#This Row],[TC_O_2_'[%']]]+Tab_Process_TCs2527[[#This Row],[TC_O_1_'[%']]]</f>
        <v/>
      </c>
      <c r="BH45" s="273" t="n"/>
      <c r="BI45" s="273" t="n"/>
      <c r="BJ45" s="273" t="n"/>
      <c r="BK45" s="273" t="n"/>
      <c r="BL45" s="273" t="n"/>
    </row>
    <row r="46">
      <c r="A46" s="280" t="b">
        <v>0</v>
      </c>
      <c r="B46" s="272">
        <f>ROW()-1</f>
        <v/>
      </c>
      <c r="C46" s="286">
        <f>_xlfn.XLOOKUP($D46,Tab_Process_TCs[Name(EN)],Tab_Process_TCs[Process_ID],,0,)</f>
        <v/>
      </c>
      <c r="D46" s="189" t="inlineStr">
        <is>
          <t>N.A.</t>
        </is>
      </c>
      <c r="E46" s="189" t="inlineStr">
        <is>
          <t>N.A.</t>
        </is>
      </c>
      <c r="F46" s="286">
        <f>_xlfn.XLOOKUP($D46,Tab_Process_TCs[Name(EN)],Tab_Process_TCs[TC?],,0,)</f>
        <v/>
      </c>
      <c r="G46" s="286">
        <f>_xlfn.XLOOKUP($D46,Tab_Process_TCs[Name(EN)],Tab_Process_TCs[Dyn_TC?],,0,)</f>
        <v/>
      </c>
      <c r="H46" s="272">
        <f>_xlfn.XLOOKUP($E46,Tab_Def_Flows[Name(EN)],Tab_Def_Flows[Flow_ID],,0,1)</f>
        <v/>
      </c>
      <c r="I46" s="272">
        <f>IF(Tab_Process_TCs2527[[#This Row],[Name(EN)]]="N.A.","N.A.","TC"&amp;"_"&amp;RIGHT(H46,5))</f>
        <v/>
      </c>
      <c r="J46" s="273" t="n"/>
      <c r="K46" s="183" t="n"/>
      <c r="L46" s="272" t="n"/>
      <c r="M46" s="296">
        <f>_xlfn.XLOOKUP($D46,Tab_Def_Processes[Name(EN)],Tab_Def_Processes[Input_Flow_I_1],,0,)</f>
        <v/>
      </c>
      <c r="N46" s="272">
        <f>_xlfn.XLOOKUP($D46,Tab_Def_Processes[Name(EN)],Tab_Def_Processes[Flow_ID_I_1],,0,)</f>
        <v/>
      </c>
      <c r="O46" s="33" t="n"/>
      <c r="P46" s="29">
        <f>_xlfn.XLOOKUP($D46,Tab_Def_Processes[Name(EN)],Tab_Def_Processes[Input_Flow_I_2],,0,)</f>
        <v/>
      </c>
      <c r="Q46" s="272">
        <f>_xlfn.XLOOKUP($D46,Tab_Def_Processes[Name(EN)],Tab_Def_Processes[Flow_ID_I_2],,0,)</f>
        <v/>
      </c>
      <c r="R46" s="33" t="n"/>
      <c r="S46" s="29">
        <f>_xlfn.XLOOKUP($D46,Tab_Def_Processes[Name(EN)],Tab_Def_Processes[Input_Flow_I_3],,0,)</f>
        <v/>
      </c>
      <c r="T46" s="272">
        <f>_xlfn.XLOOKUP($D46,Tab_Def_Processes[Name(EN)],Tab_Def_Processes[Flow_ID_I_3],,0,)</f>
        <v/>
      </c>
      <c r="U46" s="33" t="n"/>
      <c r="V46" s="29">
        <f>_xlfn.XLOOKUP($D46,Tab_Def_Processes[Name(EN)],Tab_Def_Processes[Input_Flow_I_4],,0,)</f>
        <v/>
      </c>
      <c r="W46" s="272">
        <f>_xlfn.XLOOKUP($D46,Tab_Def_Processes[Name(EN)],Tab_Def_Processes[Flow_ID_I_4],,0,)</f>
        <v/>
      </c>
      <c r="X46" s="33" t="n"/>
      <c r="Y46" s="29">
        <f>_xlfn.XLOOKUP($D46,Tab_Def_Processes[Name(EN)],Tab_Def_Processes[Input_Flow_I_5],,0,)</f>
        <v/>
      </c>
      <c r="Z46" s="272">
        <f>_xlfn.XLOOKUP($D46,Tab_Def_Processes[Name(EN)],Tab_Def_Processes[Flow_ID_I_5],,0,)</f>
        <v/>
      </c>
      <c r="AA46" s="33" t="n"/>
      <c r="AB46" s="32">
        <f>Tab_Process_TCs2527[[#This Row],[Flow_TC_I_1_'[%']]]+Tab_Process_TCs2527[[#This Row],[Flow_TC_I_2_'[%']]]+Tab_Process_TCs2527[[#This Row],[Flow_TC_I_3_'[%']]]+Tab_Process_TCs2527[[#This Row],[Flow_TC_I_4_'[%']]]+Tab_Process_TCs2527[[#This Row],[Flow_TC_I_5_'[%']]]</f>
        <v/>
      </c>
      <c r="AC46" s="296">
        <f>_xlfn.XLOOKUP($D46,#REF!,#REF!,,0,)</f>
        <v/>
      </c>
      <c r="AD46" s="272">
        <f>_xlfn.XLOOKUP($D46,#REF!,#REF!,,0,)</f>
        <v/>
      </c>
      <c r="AE46" s="42">
        <f>Tab_Process_TCs2527[[#This Row],[Flow_ID]]</f>
        <v/>
      </c>
      <c r="AF46" s="272">
        <f>"TC"&amp;"_"&amp;RIGHT(AD46,5)</f>
        <v/>
      </c>
      <c r="AG46" s="49" t="n">
        <v>1</v>
      </c>
      <c r="AH46" s="169">
        <f>_xlfn.XLOOKUP($D46,#REF!,#REF!,,0,)</f>
        <v/>
      </c>
      <c r="AI46" s="53">
        <f>_xlfn.XLOOKUP($D46,#REF!,#REF!,,0,)</f>
        <v/>
      </c>
      <c r="AJ46" s="42">
        <f>Tab_Process_TCs2527[[#This Row],[Flow_ID]]</f>
        <v/>
      </c>
      <c r="AK46" s="272">
        <f>"TC"&amp;"_"&amp;RIGHT(AI46,5)</f>
        <v/>
      </c>
      <c r="AL46" s="168" t="n"/>
      <c r="AM46" s="296">
        <f>_xlfn.XLOOKUP($D46,#REF!,#REF!,,0,)</f>
        <v/>
      </c>
      <c r="AN46" s="272">
        <f>_xlfn.XLOOKUP($D46,#REF!,#REF!,,0,)</f>
        <v/>
      </c>
      <c r="AO46" s="42">
        <f>Tab_Process_TCs2527[[#This Row],[Flow_ID]]</f>
        <v/>
      </c>
      <c r="AP46" s="272">
        <f>"TC"&amp;"_"&amp;RIGHT(AN46,5)</f>
        <v/>
      </c>
      <c r="AQ46" s="168" t="n"/>
      <c r="AR46" s="296">
        <f>_xlfn.XLOOKUP($D46,#REF!,#REF!,,0,)</f>
        <v/>
      </c>
      <c r="AS46" s="272">
        <f>_xlfn.XLOOKUP($D46,#REF!,#REF!,,0,)</f>
        <v/>
      </c>
      <c r="AT46" s="42">
        <f>Tab_Process_TCs2527[[#This Row],[Flow_ID]]</f>
        <v/>
      </c>
      <c r="AU46" s="42">
        <f>"TC"&amp;"_"&amp;RIGHT(AN46,5)</f>
        <v/>
      </c>
      <c r="AV46" s="168" t="n"/>
      <c r="AW46" s="296">
        <f>_xlfn.XLOOKUP($D46,#REF!,#REF!,,0,)</f>
        <v/>
      </c>
      <c r="AX46" s="272">
        <f>_xlfn.XLOOKUP($D46,#REF!,#REF!,,0,)</f>
        <v/>
      </c>
      <c r="AY46" s="42">
        <f>Tab_Process_TCs2527[[#This Row],[Flow_ID]]</f>
        <v/>
      </c>
      <c r="AZ46" s="42">
        <f>"TC"&amp;"_"&amp;RIGHT(AX46,5)</f>
        <v/>
      </c>
      <c r="BA46" s="168" t="n"/>
      <c r="BB46" s="272">
        <f>_xlfn.XLOOKUP($D46,#REF!,#REF!,,0,)</f>
        <v/>
      </c>
      <c r="BC46" s="272">
        <f>_xlfn.XLOOKUP($D46,#REF!,#REF!,,0,)</f>
        <v/>
      </c>
      <c r="BD46" s="42">
        <f>Tab_Process_TCs2527[[#This Row],[Flow_ID]]</f>
        <v/>
      </c>
      <c r="BE46" s="42">
        <f>"TC"&amp;"_"&amp;RIGHT(BC46,5)</f>
        <v/>
      </c>
      <c r="BF46" s="49" t="n"/>
      <c r="BG46" s="52">
        <f>Tab_Process_TCs2527[[#This Row],[TC O_6_'[%']]]+Tab_Process_TCs2527[[#This Row],[TC O_5_'[%']]]+Tab_Process_TCs2527[[#This Row],[TC_O_4_'[%']]]+Tab_Process_TCs2527[[#This Row],[TC_O_3_'[%']]]+Tab_Process_TCs2527[[#This Row],[TC_O_2_'[%']]]+Tab_Process_TCs2527[[#This Row],[TC_O_1_'[%']]]</f>
        <v/>
      </c>
      <c r="BH46" s="273" t="n"/>
      <c r="BI46" s="273" t="n"/>
      <c r="BJ46" s="273" t="n"/>
      <c r="BK46" s="273" t="n"/>
      <c r="BL46" s="273" t="n"/>
    </row>
    <row r="47">
      <c r="A47" s="280" t="b">
        <v>0</v>
      </c>
      <c r="B47" s="272">
        <f>ROW()-1</f>
        <v/>
      </c>
      <c r="C47" s="286">
        <f>_xlfn.XLOOKUP($D47,Tab_Process_TCs[Name(EN)],Tab_Process_TCs[Process_ID],,0,)</f>
        <v/>
      </c>
      <c r="D47" s="189" t="inlineStr">
        <is>
          <t>N.A.</t>
        </is>
      </c>
      <c r="E47" s="189" t="inlineStr">
        <is>
          <t>N.A.</t>
        </is>
      </c>
      <c r="F47" s="286">
        <f>_xlfn.XLOOKUP($D47,Tab_Process_TCs[Name(EN)],Tab_Process_TCs[TC?],,0,)</f>
        <v/>
      </c>
      <c r="G47" s="286">
        <f>_xlfn.XLOOKUP($D47,Tab_Process_TCs[Name(EN)],Tab_Process_TCs[Dyn_TC?],,0,)</f>
        <v/>
      </c>
      <c r="H47" s="272">
        <f>_xlfn.XLOOKUP($E47,Tab_Def_Flows[Name(EN)],Tab_Def_Flows[Flow_ID],,0,1)</f>
        <v/>
      </c>
      <c r="I47" s="272">
        <f>IF(Tab_Process_TCs2527[[#This Row],[Name(EN)]]="N.A.","N.A.","TC"&amp;"_"&amp;RIGHT(H47,5))</f>
        <v/>
      </c>
      <c r="J47" s="273" t="n"/>
      <c r="K47" s="183" t="n"/>
      <c r="L47" s="272" t="n"/>
      <c r="M47" s="296">
        <f>_xlfn.XLOOKUP($D47,Tab_Def_Processes[Name(EN)],Tab_Def_Processes[Input_Flow_I_1],,0,)</f>
        <v/>
      </c>
      <c r="N47" s="272">
        <f>_xlfn.XLOOKUP($D47,Tab_Def_Processes[Name(EN)],Tab_Def_Processes[Flow_ID_I_1],,0,)</f>
        <v/>
      </c>
      <c r="O47" s="33" t="n"/>
      <c r="P47" s="29">
        <f>_xlfn.XLOOKUP($D47,Tab_Def_Processes[Name(EN)],Tab_Def_Processes[Input_Flow_I_2],,0,)</f>
        <v/>
      </c>
      <c r="Q47" s="272">
        <f>_xlfn.XLOOKUP($D47,Tab_Def_Processes[Name(EN)],Tab_Def_Processes[Flow_ID_I_2],,0,)</f>
        <v/>
      </c>
      <c r="R47" s="33" t="n"/>
      <c r="S47" s="29">
        <f>_xlfn.XLOOKUP($D47,Tab_Def_Processes[Name(EN)],Tab_Def_Processes[Input_Flow_I_3],,0,)</f>
        <v/>
      </c>
      <c r="T47" s="272">
        <f>_xlfn.XLOOKUP($D47,Tab_Def_Processes[Name(EN)],Tab_Def_Processes[Flow_ID_I_3],,0,)</f>
        <v/>
      </c>
      <c r="U47" s="33" t="n"/>
      <c r="V47" s="29">
        <f>_xlfn.XLOOKUP($D47,Tab_Def_Processes[Name(EN)],Tab_Def_Processes[Input_Flow_I_4],,0,)</f>
        <v/>
      </c>
      <c r="W47" s="272">
        <f>_xlfn.XLOOKUP($D47,Tab_Def_Processes[Name(EN)],Tab_Def_Processes[Flow_ID_I_4],,0,)</f>
        <v/>
      </c>
      <c r="X47" s="33" t="n"/>
      <c r="Y47" s="29">
        <f>_xlfn.XLOOKUP($D47,Tab_Def_Processes[Name(EN)],Tab_Def_Processes[Input_Flow_I_5],,0,)</f>
        <v/>
      </c>
      <c r="Z47" s="272">
        <f>_xlfn.XLOOKUP($D47,Tab_Def_Processes[Name(EN)],Tab_Def_Processes[Flow_ID_I_5],,0,)</f>
        <v/>
      </c>
      <c r="AA47" s="33" t="n"/>
      <c r="AB47" s="32">
        <f>Tab_Process_TCs2527[[#This Row],[Flow_TC_I_1_'[%']]]+Tab_Process_TCs2527[[#This Row],[Flow_TC_I_2_'[%']]]+Tab_Process_TCs2527[[#This Row],[Flow_TC_I_3_'[%']]]+Tab_Process_TCs2527[[#This Row],[Flow_TC_I_4_'[%']]]+Tab_Process_TCs2527[[#This Row],[Flow_TC_I_5_'[%']]]</f>
        <v/>
      </c>
      <c r="AC47" s="296">
        <f>_xlfn.XLOOKUP($D47,#REF!,#REF!,,0,)</f>
        <v/>
      </c>
      <c r="AD47" s="272">
        <f>_xlfn.XLOOKUP($D47,#REF!,#REF!,,0,)</f>
        <v/>
      </c>
      <c r="AE47" s="42">
        <f>Tab_Process_TCs2527[[#This Row],[Flow_ID]]</f>
        <v/>
      </c>
      <c r="AF47" s="272">
        <f>"TC"&amp;"_"&amp;RIGHT(AD47,5)</f>
        <v/>
      </c>
      <c r="AG47" s="49" t="n">
        <v>1</v>
      </c>
      <c r="AH47" s="169">
        <f>_xlfn.XLOOKUP($D47,#REF!,#REF!,,0,)</f>
        <v/>
      </c>
      <c r="AI47" s="53">
        <f>_xlfn.XLOOKUP($D47,#REF!,#REF!,,0,)</f>
        <v/>
      </c>
      <c r="AJ47" s="42">
        <f>Tab_Process_TCs2527[[#This Row],[Flow_ID]]</f>
        <v/>
      </c>
      <c r="AK47" s="272">
        <f>"TC"&amp;"_"&amp;RIGHT(AI47,5)</f>
        <v/>
      </c>
      <c r="AL47" s="168" t="n"/>
      <c r="AM47" s="296">
        <f>_xlfn.XLOOKUP($D47,#REF!,#REF!,,0,)</f>
        <v/>
      </c>
      <c r="AN47" s="272">
        <f>_xlfn.XLOOKUP($D47,#REF!,#REF!,,0,)</f>
        <v/>
      </c>
      <c r="AO47" s="42">
        <f>Tab_Process_TCs2527[[#This Row],[Flow_ID]]</f>
        <v/>
      </c>
      <c r="AP47" s="272">
        <f>"TC"&amp;"_"&amp;RIGHT(AN47,5)</f>
        <v/>
      </c>
      <c r="AQ47" s="168" t="n"/>
      <c r="AR47" s="296">
        <f>_xlfn.XLOOKUP($D47,#REF!,#REF!,,0,)</f>
        <v/>
      </c>
      <c r="AS47" s="272">
        <f>_xlfn.XLOOKUP($D47,#REF!,#REF!,,0,)</f>
        <v/>
      </c>
      <c r="AT47" s="42">
        <f>Tab_Process_TCs2527[[#This Row],[Flow_ID]]</f>
        <v/>
      </c>
      <c r="AU47" s="42">
        <f>"TC"&amp;"_"&amp;RIGHT(AN47,5)</f>
        <v/>
      </c>
      <c r="AV47" s="168" t="n"/>
      <c r="AW47" s="296">
        <f>_xlfn.XLOOKUP($D47,#REF!,#REF!,,0,)</f>
        <v/>
      </c>
      <c r="AX47" s="272">
        <f>_xlfn.XLOOKUP($D47,#REF!,#REF!,,0,)</f>
        <v/>
      </c>
      <c r="AY47" s="42">
        <f>Tab_Process_TCs2527[[#This Row],[Flow_ID]]</f>
        <v/>
      </c>
      <c r="AZ47" s="42">
        <f>"TC"&amp;"_"&amp;RIGHT(AX47,5)</f>
        <v/>
      </c>
      <c r="BA47" s="168" t="n"/>
      <c r="BB47" s="272">
        <f>_xlfn.XLOOKUP($D47,#REF!,#REF!,,0,)</f>
        <v/>
      </c>
      <c r="BC47" s="272">
        <f>_xlfn.XLOOKUP($D47,#REF!,#REF!,,0,)</f>
        <v/>
      </c>
      <c r="BD47" s="42">
        <f>Tab_Process_TCs2527[[#This Row],[Flow_ID]]</f>
        <v/>
      </c>
      <c r="BE47" s="42">
        <f>"TC"&amp;"_"&amp;RIGHT(BC47,5)</f>
        <v/>
      </c>
      <c r="BF47" s="49" t="n"/>
      <c r="BG47" s="52">
        <f>Tab_Process_TCs2527[[#This Row],[TC O_6_'[%']]]+Tab_Process_TCs2527[[#This Row],[TC O_5_'[%']]]+Tab_Process_TCs2527[[#This Row],[TC_O_4_'[%']]]+Tab_Process_TCs2527[[#This Row],[TC_O_3_'[%']]]+Tab_Process_TCs2527[[#This Row],[TC_O_2_'[%']]]+Tab_Process_TCs2527[[#This Row],[TC_O_1_'[%']]]</f>
        <v/>
      </c>
      <c r="BH47" s="273" t="n"/>
      <c r="BI47" s="273" t="n"/>
      <c r="BJ47" s="273" t="n"/>
      <c r="BK47" s="273" t="n"/>
      <c r="BL47" s="273" t="n"/>
    </row>
    <row r="48">
      <c r="A48" s="280" t="b">
        <v>0</v>
      </c>
      <c r="B48" s="272">
        <f>ROW()-1</f>
        <v/>
      </c>
      <c r="C48" s="286">
        <f>_xlfn.XLOOKUP($D48,Tab_Process_TCs[Name(EN)],Tab_Process_TCs[Process_ID],,0,)</f>
        <v/>
      </c>
      <c r="D48" s="189" t="inlineStr">
        <is>
          <t>N.A.</t>
        </is>
      </c>
      <c r="E48" s="189" t="inlineStr">
        <is>
          <t>N.A.</t>
        </is>
      </c>
      <c r="F48" s="286">
        <f>_xlfn.XLOOKUP($D48,Tab_Process_TCs[Name(EN)],Tab_Process_TCs[TC?],,0,)</f>
        <v/>
      </c>
      <c r="G48" s="286">
        <f>_xlfn.XLOOKUP($D48,Tab_Process_TCs[Name(EN)],Tab_Process_TCs[Dyn_TC?],,0,)</f>
        <v/>
      </c>
      <c r="H48" s="272">
        <f>_xlfn.XLOOKUP($E48,Tab_Def_Flows[Name(EN)],Tab_Def_Flows[Flow_ID],,0,1)</f>
        <v/>
      </c>
      <c r="I48" s="272">
        <f>IF(Tab_Process_TCs2527[[#This Row],[Name(EN)]]="N.A.","N.A.","TC"&amp;"_"&amp;RIGHT(H48,5))</f>
        <v/>
      </c>
      <c r="J48" s="273" t="n"/>
      <c r="K48" s="183" t="n"/>
      <c r="L48" s="272" t="n"/>
      <c r="M48" s="296">
        <f>_xlfn.XLOOKUP($D48,Tab_Def_Processes[Name(EN)],Tab_Def_Processes[Input_Flow_I_1],,0,)</f>
        <v/>
      </c>
      <c r="N48" s="272">
        <f>_xlfn.XLOOKUP($D48,Tab_Def_Processes[Name(EN)],Tab_Def_Processes[Flow_ID_I_1],,0,)</f>
        <v/>
      </c>
      <c r="O48" s="33" t="n"/>
      <c r="P48" s="29">
        <f>_xlfn.XLOOKUP($D48,Tab_Def_Processes[Name(EN)],Tab_Def_Processes[Input_Flow_I_2],,0,)</f>
        <v/>
      </c>
      <c r="Q48" s="272">
        <f>_xlfn.XLOOKUP($D48,Tab_Def_Processes[Name(EN)],Tab_Def_Processes[Flow_ID_I_2],,0,)</f>
        <v/>
      </c>
      <c r="R48" s="33" t="n"/>
      <c r="S48" s="29">
        <f>_xlfn.XLOOKUP($D48,Tab_Def_Processes[Name(EN)],Tab_Def_Processes[Input_Flow_I_3],,0,)</f>
        <v/>
      </c>
      <c r="T48" s="272">
        <f>_xlfn.XLOOKUP($D48,Tab_Def_Processes[Name(EN)],Tab_Def_Processes[Flow_ID_I_3],,0,)</f>
        <v/>
      </c>
      <c r="U48" s="33" t="n"/>
      <c r="V48" s="29">
        <f>_xlfn.XLOOKUP($D48,Tab_Def_Processes[Name(EN)],Tab_Def_Processes[Input_Flow_I_4],,0,)</f>
        <v/>
      </c>
      <c r="W48" s="272">
        <f>_xlfn.XLOOKUP($D48,Tab_Def_Processes[Name(EN)],Tab_Def_Processes[Flow_ID_I_4],,0,)</f>
        <v/>
      </c>
      <c r="X48" s="33" t="n"/>
      <c r="Y48" s="29">
        <f>_xlfn.XLOOKUP($D48,Tab_Def_Processes[Name(EN)],Tab_Def_Processes[Input_Flow_I_5],,0,)</f>
        <v/>
      </c>
      <c r="Z48" s="272">
        <f>_xlfn.XLOOKUP($D48,Tab_Def_Processes[Name(EN)],Tab_Def_Processes[Flow_ID_I_5],,0,)</f>
        <v/>
      </c>
      <c r="AA48" s="33" t="n"/>
      <c r="AB48" s="32">
        <f>Tab_Process_TCs2527[[#This Row],[Flow_TC_I_1_'[%']]]+Tab_Process_TCs2527[[#This Row],[Flow_TC_I_2_'[%']]]+Tab_Process_TCs2527[[#This Row],[Flow_TC_I_3_'[%']]]+Tab_Process_TCs2527[[#This Row],[Flow_TC_I_4_'[%']]]+Tab_Process_TCs2527[[#This Row],[Flow_TC_I_5_'[%']]]</f>
        <v/>
      </c>
      <c r="AC48" s="296">
        <f>_xlfn.XLOOKUP($D48,#REF!,#REF!,,0,)</f>
        <v/>
      </c>
      <c r="AD48" s="272">
        <f>_xlfn.XLOOKUP($D48,#REF!,#REF!,,0,)</f>
        <v/>
      </c>
      <c r="AE48" s="42">
        <f>Tab_Process_TCs2527[[#This Row],[Flow_ID]]</f>
        <v/>
      </c>
      <c r="AF48" s="272">
        <f>"TC"&amp;"_"&amp;RIGHT(AD48,5)</f>
        <v/>
      </c>
      <c r="AG48" s="49" t="n">
        <v>1</v>
      </c>
      <c r="AH48" s="169">
        <f>_xlfn.XLOOKUP($D48,#REF!,#REF!,,0,)</f>
        <v/>
      </c>
      <c r="AI48" s="53">
        <f>_xlfn.XLOOKUP($D48,#REF!,#REF!,,0,)</f>
        <v/>
      </c>
      <c r="AJ48" s="42">
        <f>Tab_Process_TCs2527[[#This Row],[Flow_ID]]</f>
        <v/>
      </c>
      <c r="AK48" s="272">
        <f>"TC"&amp;"_"&amp;RIGHT(AI48,5)</f>
        <v/>
      </c>
      <c r="AL48" s="168" t="n"/>
      <c r="AM48" s="296">
        <f>_xlfn.XLOOKUP($D48,#REF!,#REF!,,0,)</f>
        <v/>
      </c>
      <c r="AN48" s="272">
        <f>_xlfn.XLOOKUP($D48,#REF!,#REF!,,0,)</f>
        <v/>
      </c>
      <c r="AO48" s="42">
        <f>Tab_Process_TCs2527[[#This Row],[Flow_ID]]</f>
        <v/>
      </c>
      <c r="AP48" s="272">
        <f>"TC"&amp;"_"&amp;RIGHT(AN48,5)</f>
        <v/>
      </c>
      <c r="AQ48" s="168" t="n"/>
      <c r="AR48" s="296">
        <f>_xlfn.XLOOKUP($D48,#REF!,#REF!,,0,)</f>
        <v/>
      </c>
      <c r="AS48" s="272">
        <f>_xlfn.XLOOKUP($D48,#REF!,#REF!,,0,)</f>
        <v/>
      </c>
      <c r="AT48" s="42">
        <f>Tab_Process_TCs2527[[#This Row],[Flow_ID]]</f>
        <v/>
      </c>
      <c r="AU48" s="42">
        <f>"TC"&amp;"_"&amp;RIGHT(AN48,5)</f>
        <v/>
      </c>
      <c r="AV48" s="168" t="n"/>
      <c r="AW48" s="296">
        <f>_xlfn.XLOOKUP($D48,#REF!,#REF!,,0,)</f>
        <v/>
      </c>
      <c r="AX48" s="272">
        <f>_xlfn.XLOOKUP($D48,#REF!,#REF!,,0,)</f>
        <v/>
      </c>
      <c r="AY48" s="42">
        <f>Tab_Process_TCs2527[[#This Row],[Flow_ID]]</f>
        <v/>
      </c>
      <c r="AZ48" s="42">
        <f>"TC"&amp;"_"&amp;RIGHT(AX48,5)</f>
        <v/>
      </c>
      <c r="BA48" s="168" t="n"/>
      <c r="BB48" s="272">
        <f>_xlfn.XLOOKUP($D48,#REF!,#REF!,,0,)</f>
        <v/>
      </c>
      <c r="BC48" s="272">
        <f>_xlfn.XLOOKUP($D48,#REF!,#REF!,,0,)</f>
        <v/>
      </c>
      <c r="BD48" s="42">
        <f>Tab_Process_TCs2527[[#This Row],[Flow_ID]]</f>
        <v/>
      </c>
      <c r="BE48" s="42">
        <f>"TC"&amp;"_"&amp;RIGHT(BC48,5)</f>
        <v/>
      </c>
      <c r="BF48" s="49" t="n"/>
      <c r="BG48" s="52">
        <f>Tab_Process_TCs2527[[#This Row],[TC O_6_'[%']]]+Tab_Process_TCs2527[[#This Row],[TC O_5_'[%']]]+Tab_Process_TCs2527[[#This Row],[TC_O_4_'[%']]]+Tab_Process_TCs2527[[#This Row],[TC_O_3_'[%']]]+Tab_Process_TCs2527[[#This Row],[TC_O_2_'[%']]]+Tab_Process_TCs2527[[#This Row],[TC_O_1_'[%']]]</f>
        <v/>
      </c>
      <c r="BH48" s="273" t="n"/>
      <c r="BI48" s="273" t="n"/>
      <c r="BJ48" s="273" t="n"/>
      <c r="BK48" s="273" t="n"/>
      <c r="BL48" s="273" t="n"/>
    </row>
    <row r="49">
      <c r="A49" s="280" t="b">
        <v>0</v>
      </c>
      <c r="B49" s="272">
        <f>ROW()-1</f>
        <v/>
      </c>
      <c r="C49" s="286">
        <f>_xlfn.XLOOKUP($D49,Tab_Process_TCs[Name(EN)],Tab_Process_TCs[Process_ID],,0,)</f>
        <v/>
      </c>
      <c r="D49" s="189" t="inlineStr">
        <is>
          <t>N.A.</t>
        </is>
      </c>
      <c r="E49" s="189" t="inlineStr">
        <is>
          <t>N.A.</t>
        </is>
      </c>
      <c r="F49" s="286">
        <f>_xlfn.XLOOKUP($D49,Tab_Process_TCs[Name(EN)],Tab_Process_TCs[TC?],,0,)</f>
        <v/>
      </c>
      <c r="G49" s="286">
        <f>_xlfn.XLOOKUP($D49,Tab_Process_TCs[Name(EN)],Tab_Process_TCs[Dyn_TC?],,0,)</f>
        <v/>
      </c>
      <c r="H49" s="272">
        <f>_xlfn.XLOOKUP($E49,Tab_Def_Flows[Name(EN)],Tab_Def_Flows[Flow_ID],,0,1)</f>
        <v/>
      </c>
      <c r="I49" s="272">
        <f>IF(Tab_Process_TCs2527[[#This Row],[Name(EN)]]="N.A.","N.A.","TC"&amp;"_"&amp;RIGHT(H49,5))</f>
        <v/>
      </c>
      <c r="J49" s="273" t="n"/>
      <c r="K49" s="183" t="n"/>
      <c r="L49" s="272" t="n"/>
      <c r="M49" s="296">
        <f>_xlfn.XLOOKUP($D49,Tab_Def_Processes[Name(EN)],Tab_Def_Processes[Input_Flow_I_1],,0,)</f>
        <v/>
      </c>
      <c r="N49" s="272">
        <f>_xlfn.XLOOKUP($D49,Tab_Def_Processes[Name(EN)],Tab_Def_Processes[Flow_ID_I_1],,0,)</f>
        <v/>
      </c>
      <c r="O49" s="33" t="n"/>
      <c r="P49" s="29">
        <f>_xlfn.XLOOKUP($D49,Tab_Def_Processes[Name(EN)],Tab_Def_Processes[Input_Flow_I_2],,0,)</f>
        <v/>
      </c>
      <c r="Q49" s="272">
        <f>_xlfn.XLOOKUP($D49,Tab_Def_Processes[Name(EN)],Tab_Def_Processes[Flow_ID_I_2],,0,)</f>
        <v/>
      </c>
      <c r="R49" s="33" t="n"/>
      <c r="S49" s="29">
        <f>_xlfn.XLOOKUP($D49,Tab_Def_Processes[Name(EN)],Tab_Def_Processes[Input_Flow_I_3],,0,)</f>
        <v/>
      </c>
      <c r="T49" s="272">
        <f>_xlfn.XLOOKUP($D49,Tab_Def_Processes[Name(EN)],Tab_Def_Processes[Flow_ID_I_3],,0,)</f>
        <v/>
      </c>
      <c r="U49" s="33" t="n"/>
      <c r="V49" s="29">
        <f>_xlfn.XLOOKUP($D49,Tab_Def_Processes[Name(EN)],Tab_Def_Processes[Input_Flow_I_4],,0,)</f>
        <v/>
      </c>
      <c r="W49" s="272">
        <f>_xlfn.XLOOKUP($D49,Tab_Def_Processes[Name(EN)],Tab_Def_Processes[Flow_ID_I_4],,0,)</f>
        <v/>
      </c>
      <c r="X49" s="33" t="n"/>
      <c r="Y49" s="29">
        <f>_xlfn.XLOOKUP($D49,Tab_Def_Processes[Name(EN)],Tab_Def_Processes[Input_Flow_I_5],,0,)</f>
        <v/>
      </c>
      <c r="Z49" s="272">
        <f>_xlfn.XLOOKUP($D49,Tab_Def_Processes[Name(EN)],Tab_Def_Processes[Flow_ID_I_5],,0,)</f>
        <v/>
      </c>
      <c r="AA49" s="33" t="n"/>
      <c r="AB49" s="32">
        <f>Tab_Process_TCs2527[[#This Row],[Flow_TC_I_1_'[%']]]+Tab_Process_TCs2527[[#This Row],[Flow_TC_I_2_'[%']]]+Tab_Process_TCs2527[[#This Row],[Flow_TC_I_3_'[%']]]+Tab_Process_TCs2527[[#This Row],[Flow_TC_I_4_'[%']]]+Tab_Process_TCs2527[[#This Row],[Flow_TC_I_5_'[%']]]</f>
        <v/>
      </c>
      <c r="AC49" s="296">
        <f>_xlfn.XLOOKUP($D49,#REF!,#REF!,,0,)</f>
        <v/>
      </c>
      <c r="AD49" s="272">
        <f>_xlfn.XLOOKUP($D49,#REF!,#REF!,,0,)</f>
        <v/>
      </c>
      <c r="AE49" s="42">
        <f>Tab_Process_TCs2527[[#This Row],[Flow_ID]]</f>
        <v/>
      </c>
      <c r="AF49" s="272">
        <f>"TC"&amp;"_"&amp;RIGHT(AD49,5)</f>
        <v/>
      </c>
      <c r="AG49" s="49" t="n">
        <v>1</v>
      </c>
      <c r="AH49" s="169">
        <f>_xlfn.XLOOKUP($D49,#REF!,#REF!,,0,)</f>
        <v/>
      </c>
      <c r="AI49" s="53">
        <f>_xlfn.XLOOKUP($D49,#REF!,#REF!,,0,)</f>
        <v/>
      </c>
      <c r="AJ49" s="42">
        <f>Tab_Process_TCs2527[[#This Row],[Flow_ID]]</f>
        <v/>
      </c>
      <c r="AK49" s="272">
        <f>"TC"&amp;"_"&amp;RIGHT(AI49,5)</f>
        <v/>
      </c>
      <c r="AL49" s="168" t="n"/>
      <c r="AM49" s="296">
        <f>_xlfn.XLOOKUP($D49,#REF!,#REF!,,0,)</f>
        <v/>
      </c>
      <c r="AN49" s="272">
        <f>_xlfn.XLOOKUP($D49,#REF!,#REF!,,0,)</f>
        <v/>
      </c>
      <c r="AO49" s="42">
        <f>Tab_Process_TCs2527[[#This Row],[Flow_ID]]</f>
        <v/>
      </c>
      <c r="AP49" s="272">
        <f>"TC"&amp;"_"&amp;RIGHT(AN49,5)</f>
        <v/>
      </c>
      <c r="AQ49" s="168" t="n"/>
      <c r="AR49" s="296">
        <f>_xlfn.XLOOKUP($D49,#REF!,#REF!,,0,)</f>
        <v/>
      </c>
      <c r="AS49" s="272">
        <f>_xlfn.XLOOKUP($D49,#REF!,#REF!,,0,)</f>
        <v/>
      </c>
      <c r="AT49" s="42">
        <f>Tab_Process_TCs2527[[#This Row],[Flow_ID]]</f>
        <v/>
      </c>
      <c r="AU49" s="42">
        <f>"TC"&amp;"_"&amp;RIGHT(AN49,5)</f>
        <v/>
      </c>
      <c r="AV49" s="168" t="n"/>
      <c r="AW49" s="296">
        <f>_xlfn.XLOOKUP($D49,#REF!,#REF!,,0,)</f>
        <v/>
      </c>
      <c r="AX49" s="272">
        <f>_xlfn.XLOOKUP($D49,#REF!,#REF!,,0,)</f>
        <v/>
      </c>
      <c r="AY49" s="42">
        <f>Tab_Process_TCs2527[[#This Row],[Flow_ID]]</f>
        <v/>
      </c>
      <c r="AZ49" s="42">
        <f>"TC"&amp;"_"&amp;RIGHT(AX49,5)</f>
        <v/>
      </c>
      <c r="BA49" s="168" t="n"/>
      <c r="BB49" s="272">
        <f>_xlfn.XLOOKUP($D49,#REF!,#REF!,,0,)</f>
        <v/>
      </c>
      <c r="BC49" s="272">
        <f>_xlfn.XLOOKUP($D49,#REF!,#REF!,,0,)</f>
        <v/>
      </c>
      <c r="BD49" s="42">
        <f>Tab_Process_TCs2527[[#This Row],[Flow_ID]]</f>
        <v/>
      </c>
      <c r="BE49" s="42">
        <f>"TC"&amp;"_"&amp;RIGHT(BC49,5)</f>
        <v/>
      </c>
      <c r="BF49" s="49" t="n"/>
      <c r="BG49" s="52">
        <f>Tab_Process_TCs2527[[#This Row],[TC O_6_'[%']]]+Tab_Process_TCs2527[[#This Row],[TC O_5_'[%']]]+Tab_Process_TCs2527[[#This Row],[TC_O_4_'[%']]]+Tab_Process_TCs2527[[#This Row],[TC_O_3_'[%']]]+Tab_Process_TCs2527[[#This Row],[TC_O_2_'[%']]]+Tab_Process_TCs2527[[#This Row],[TC_O_1_'[%']]]</f>
        <v/>
      </c>
      <c r="BH49" s="273" t="n"/>
      <c r="BI49" s="273" t="n"/>
      <c r="BJ49" s="273" t="n"/>
      <c r="BK49" s="273" t="n"/>
      <c r="BL49" s="273" t="n"/>
    </row>
    <row r="50">
      <c r="A50" s="280" t="b">
        <v>0</v>
      </c>
      <c r="B50" s="272">
        <f>ROW()-1</f>
        <v/>
      </c>
      <c r="C50" s="286">
        <f>_xlfn.XLOOKUP($D50,Tab_Process_TCs[Name(EN)],Tab_Process_TCs[Process_ID],,0,)</f>
        <v/>
      </c>
      <c r="D50" s="189" t="inlineStr">
        <is>
          <t>N.A.</t>
        </is>
      </c>
      <c r="E50" s="189" t="inlineStr">
        <is>
          <t>N.A.</t>
        </is>
      </c>
      <c r="F50" s="286">
        <f>_xlfn.XLOOKUP($D50,Tab_Process_TCs[Name(EN)],Tab_Process_TCs[TC?],,0,)</f>
        <v/>
      </c>
      <c r="G50" s="286">
        <f>_xlfn.XLOOKUP($D50,Tab_Process_TCs[Name(EN)],Tab_Process_TCs[Dyn_TC?],,0,)</f>
        <v/>
      </c>
      <c r="H50" s="272">
        <f>_xlfn.XLOOKUP($E50,Tab_Def_Flows[Name(EN)],Tab_Def_Flows[Flow_ID],,0,1)</f>
        <v/>
      </c>
      <c r="I50" s="272">
        <f>IF(Tab_Process_TCs2527[[#This Row],[Name(EN)]]="N.A.","N.A.","TC"&amp;"_"&amp;RIGHT(H50,5))</f>
        <v/>
      </c>
      <c r="J50" s="273" t="n"/>
      <c r="K50" s="183" t="n"/>
      <c r="L50" s="272" t="n"/>
      <c r="M50" s="296">
        <f>_xlfn.XLOOKUP($D50,Tab_Def_Processes[Name(EN)],Tab_Def_Processes[Input_Flow_I_1],,0,)</f>
        <v/>
      </c>
      <c r="N50" s="272">
        <f>_xlfn.XLOOKUP($D50,Tab_Def_Processes[Name(EN)],Tab_Def_Processes[Flow_ID_I_1],,0,)</f>
        <v/>
      </c>
      <c r="O50" s="33" t="n"/>
      <c r="P50" s="29">
        <f>_xlfn.XLOOKUP($D50,Tab_Def_Processes[Name(EN)],Tab_Def_Processes[Input_Flow_I_2],,0,)</f>
        <v/>
      </c>
      <c r="Q50" s="272">
        <f>_xlfn.XLOOKUP($D50,Tab_Def_Processes[Name(EN)],Tab_Def_Processes[Flow_ID_I_2],,0,)</f>
        <v/>
      </c>
      <c r="R50" s="33" t="n"/>
      <c r="S50" s="29">
        <f>_xlfn.XLOOKUP($D50,Tab_Def_Processes[Name(EN)],Tab_Def_Processes[Input_Flow_I_3],,0,)</f>
        <v/>
      </c>
      <c r="T50" s="272">
        <f>_xlfn.XLOOKUP($D50,Tab_Def_Processes[Name(EN)],Tab_Def_Processes[Flow_ID_I_3],,0,)</f>
        <v/>
      </c>
      <c r="U50" s="33" t="n"/>
      <c r="V50" s="29">
        <f>_xlfn.XLOOKUP($D50,Tab_Def_Processes[Name(EN)],Tab_Def_Processes[Input_Flow_I_4],,0,)</f>
        <v/>
      </c>
      <c r="W50" s="272">
        <f>_xlfn.XLOOKUP($D50,Tab_Def_Processes[Name(EN)],Tab_Def_Processes[Flow_ID_I_4],,0,)</f>
        <v/>
      </c>
      <c r="X50" s="33" t="n"/>
      <c r="Y50" s="29">
        <f>_xlfn.XLOOKUP($D50,Tab_Def_Processes[Name(EN)],Tab_Def_Processes[Input_Flow_I_5],,0,)</f>
        <v/>
      </c>
      <c r="Z50" s="272">
        <f>_xlfn.XLOOKUP($D50,Tab_Def_Processes[Name(EN)],Tab_Def_Processes[Flow_ID_I_5],,0,)</f>
        <v/>
      </c>
      <c r="AA50" s="33" t="n"/>
      <c r="AB50" s="32">
        <f>Tab_Process_TCs2527[[#This Row],[Flow_TC_I_1_'[%']]]+Tab_Process_TCs2527[[#This Row],[Flow_TC_I_2_'[%']]]+Tab_Process_TCs2527[[#This Row],[Flow_TC_I_3_'[%']]]+Tab_Process_TCs2527[[#This Row],[Flow_TC_I_4_'[%']]]+Tab_Process_TCs2527[[#This Row],[Flow_TC_I_5_'[%']]]</f>
        <v/>
      </c>
      <c r="AC50" s="296">
        <f>_xlfn.XLOOKUP($D50,#REF!,#REF!,,0,)</f>
        <v/>
      </c>
      <c r="AD50" s="272">
        <f>_xlfn.XLOOKUP($D50,#REF!,#REF!,,0,)</f>
        <v/>
      </c>
      <c r="AE50" s="42">
        <f>Tab_Process_TCs2527[[#This Row],[Flow_ID]]</f>
        <v/>
      </c>
      <c r="AF50" s="272">
        <f>"TC"&amp;"_"&amp;RIGHT(AD50,5)</f>
        <v/>
      </c>
      <c r="AG50" s="49" t="n">
        <v>1</v>
      </c>
      <c r="AH50" s="169">
        <f>_xlfn.XLOOKUP($D50,#REF!,#REF!,,0,)</f>
        <v/>
      </c>
      <c r="AI50" s="53">
        <f>_xlfn.XLOOKUP($D50,#REF!,#REF!,,0,)</f>
        <v/>
      </c>
      <c r="AJ50" s="42">
        <f>Tab_Process_TCs2527[[#This Row],[Flow_ID]]</f>
        <v/>
      </c>
      <c r="AK50" s="272">
        <f>"TC"&amp;"_"&amp;RIGHT(AI50,5)</f>
        <v/>
      </c>
      <c r="AL50" s="168" t="n"/>
      <c r="AM50" s="296">
        <f>_xlfn.XLOOKUP($D50,#REF!,#REF!,,0,)</f>
        <v/>
      </c>
      <c r="AN50" s="272">
        <f>_xlfn.XLOOKUP($D50,#REF!,#REF!,,0,)</f>
        <v/>
      </c>
      <c r="AO50" s="42">
        <f>Tab_Process_TCs2527[[#This Row],[Flow_ID]]</f>
        <v/>
      </c>
      <c r="AP50" s="272">
        <f>"TC"&amp;"_"&amp;RIGHT(AN50,5)</f>
        <v/>
      </c>
      <c r="AQ50" s="168" t="n"/>
      <c r="AR50" s="296">
        <f>_xlfn.XLOOKUP($D50,#REF!,#REF!,,0,)</f>
        <v/>
      </c>
      <c r="AS50" s="272">
        <f>_xlfn.XLOOKUP($D50,#REF!,#REF!,,0,)</f>
        <v/>
      </c>
      <c r="AT50" s="42">
        <f>Tab_Process_TCs2527[[#This Row],[Flow_ID]]</f>
        <v/>
      </c>
      <c r="AU50" s="42">
        <f>"TC"&amp;"_"&amp;RIGHT(AN50,5)</f>
        <v/>
      </c>
      <c r="AV50" s="168" t="n"/>
      <c r="AW50" s="296">
        <f>_xlfn.XLOOKUP($D50,#REF!,#REF!,,0,)</f>
        <v/>
      </c>
      <c r="AX50" s="272">
        <f>_xlfn.XLOOKUP($D50,#REF!,#REF!,,0,)</f>
        <v/>
      </c>
      <c r="AY50" s="42">
        <f>Tab_Process_TCs2527[[#This Row],[Flow_ID]]</f>
        <v/>
      </c>
      <c r="AZ50" s="42">
        <f>"TC"&amp;"_"&amp;RIGHT(AX50,5)</f>
        <v/>
      </c>
      <c r="BA50" s="168" t="n"/>
      <c r="BB50" s="272">
        <f>_xlfn.XLOOKUP($D50,#REF!,#REF!,,0,)</f>
        <v/>
      </c>
      <c r="BC50" s="272">
        <f>_xlfn.XLOOKUP($D50,#REF!,#REF!,,0,)</f>
        <v/>
      </c>
      <c r="BD50" s="42">
        <f>Tab_Process_TCs2527[[#This Row],[Flow_ID]]</f>
        <v/>
      </c>
      <c r="BE50" s="42">
        <f>"TC"&amp;"_"&amp;RIGHT(BC50,5)</f>
        <v/>
      </c>
      <c r="BF50" s="49" t="n"/>
      <c r="BG50" s="52">
        <f>Tab_Process_TCs2527[[#This Row],[TC O_6_'[%']]]+Tab_Process_TCs2527[[#This Row],[TC O_5_'[%']]]+Tab_Process_TCs2527[[#This Row],[TC_O_4_'[%']]]+Tab_Process_TCs2527[[#This Row],[TC_O_3_'[%']]]+Tab_Process_TCs2527[[#This Row],[TC_O_2_'[%']]]+Tab_Process_TCs2527[[#This Row],[TC_O_1_'[%']]]</f>
        <v/>
      </c>
      <c r="BH50" s="273" t="n"/>
      <c r="BI50" s="273" t="n"/>
      <c r="BJ50" s="273" t="n"/>
      <c r="BK50" s="273" t="n"/>
      <c r="BL50" s="273" t="n"/>
    </row>
    <row r="51">
      <c r="A51" s="280" t="b">
        <v>0</v>
      </c>
      <c r="B51" s="272">
        <f>ROW()-1</f>
        <v/>
      </c>
      <c r="C51" s="286">
        <f>_xlfn.XLOOKUP($D51,Tab_Process_TCs[Name(EN)],Tab_Process_TCs[Process_ID],,0,)</f>
        <v/>
      </c>
      <c r="D51" s="189" t="inlineStr">
        <is>
          <t>N.A.</t>
        </is>
      </c>
      <c r="E51" s="189" t="inlineStr">
        <is>
          <t>N.A.</t>
        </is>
      </c>
      <c r="F51" s="286">
        <f>_xlfn.XLOOKUP($D51,Tab_Process_TCs[Name(EN)],Tab_Process_TCs[TC?],,0,)</f>
        <v/>
      </c>
      <c r="G51" s="286">
        <f>_xlfn.XLOOKUP($D51,Tab_Process_TCs[Name(EN)],Tab_Process_TCs[Dyn_TC?],,0,)</f>
        <v/>
      </c>
      <c r="H51" s="272">
        <f>_xlfn.XLOOKUP($E51,Tab_Def_Flows[Name(EN)],Tab_Def_Flows[Flow_ID],,0,1)</f>
        <v/>
      </c>
      <c r="I51" s="272">
        <f>IF(Tab_Process_TCs2527[[#This Row],[Name(EN)]]="N.A.","N.A.","TC"&amp;"_"&amp;RIGHT(H51,5))</f>
        <v/>
      </c>
      <c r="J51" s="273" t="n"/>
      <c r="K51" s="183" t="n"/>
      <c r="L51" s="272" t="n"/>
      <c r="M51" s="296">
        <f>_xlfn.XLOOKUP($D51,Tab_Def_Processes[Name(EN)],Tab_Def_Processes[Input_Flow_I_1],,0,)</f>
        <v/>
      </c>
      <c r="N51" s="272">
        <f>_xlfn.XLOOKUP($D51,Tab_Def_Processes[Name(EN)],Tab_Def_Processes[Flow_ID_I_1],,0,)</f>
        <v/>
      </c>
      <c r="O51" s="33" t="n"/>
      <c r="P51" s="29">
        <f>_xlfn.XLOOKUP($D51,Tab_Def_Processes[Name(EN)],Tab_Def_Processes[Input_Flow_I_2],,0,)</f>
        <v/>
      </c>
      <c r="Q51" s="272">
        <f>_xlfn.XLOOKUP($D51,Tab_Def_Processes[Name(EN)],Tab_Def_Processes[Flow_ID_I_2],,0,)</f>
        <v/>
      </c>
      <c r="R51" s="33" t="n"/>
      <c r="S51" s="29">
        <f>_xlfn.XLOOKUP($D51,Tab_Def_Processes[Name(EN)],Tab_Def_Processes[Input_Flow_I_3],,0,)</f>
        <v/>
      </c>
      <c r="T51" s="272">
        <f>_xlfn.XLOOKUP($D51,Tab_Def_Processes[Name(EN)],Tab_Def_Processes[Flow_ID_I_3],,0,)</f>
        <v/>
      </c>
      <c r="U51" s="33" t="n"/>
      <c r="V51" s="29">
        <f>_xlfn.XLOOKUP($D51,Tab_Def_Processes[Name(EN)],Tab_Def_Processes[Input_Flow_I_4],,0,)</f>
        <v/>
      </c>
      <c r="W51" s="272">
        <f>_xlfn.XLOOKUP($D51,Tab_Def_Processes[Name(EN)],Tab_Def_Processes[Flow_ID_I_4],,0,)</f>
        <v/>
      </c>
      <c r="X51" s="33" t="n"/>
      <c r="Y51" s="29">
        <f>_xlfn.XLOOKUP($D51,Tab_Def_Processes[Name(EN)],Tab_Def_Processes[Input_Flow_I_5],,0,)</f>
        <v/>
      </c>
      <c r="Z51" s="272">
        <f>_xlfn.XLOOKUP($D51,Tab_Def_Processes[Name(EN)],Tab_Def_Processes[Flow_ID_I_5],,0,)</f>
        <v/>
      </c>
      <c r="AA51" s="33" t="n"/>
      <c r="AB51" s="32">
        <f>Tab_Process_TCs2527[[#This Row],[Flow_TC_I_1_'[%']]]+Tab_Process_TCs2527[[#This Row],[Flow_TC_I_2_'[%']]]+Tab_Process_TCs2527[[#This Row],[Flow_TC_I_3_'[%']]]+Tab_Process_TCs2527[[#This Row],[Flow_TC_I_4_'[%']]]+Tab_Process_TCs2527[[#This Row],[Flow_TC_I_5_'[%']]]</f>
        <v/>
      </c>
      <c r="AC51" s="296">
        <f>_xlfn.XLOOKUP($D51,#REF!,#REF!,,0,)</f>
        <v/>
      </c>
      <c r="AD51" s="272">
        <f>_xlfn.XLOOKUP($D51,#REF!,#REF!,,0,)</f>
        <v/>
      </c>
      <c r="AE51" s="42">
        <f>Tab_Process_TCs2527[[#This Row],[Flow_ID]]</f>
        <v/>
      </c>
      <c r="AF51" s="272">
        <f>"TC"&amp;"_"&amp;RIGHT(AD51,5)</f>
        <v/>
      </c>
      <c r="AG51" s="49" t="n">
        <v>1</v>
      </c>
      <c r="AH51" s="169">
        <f>_xlfn.XLOOKUP($D51,#REF!,#REF!,,0,)</f>
        <v/>
      </c>
      <c r="AI51" s="53">
        <f>_xlfn.XLOOKUP($D51,#REF!,#REF!,,0,)</f>
        <v/>
      </c>
      <c r="AJ51" s="42">
        <f>Tab_Process_TCs2527[[#This Row],[Flow_ID]]</f>
        <v/>
      </c>
      <c r="AK51" s="272">
        <f>"TC"&amp;"_"&amp;RIGHT(AI51,5)</f>
        <v/>
      </c>
      <c r="AL51" s="168" t="n"/>
      <c r="AM51" s="296">
        <f>_xlfn.XLOOKUP($D51,#REF!,#REF!,,0,)</f>
        <v/>
      </c>
      <c r="AN51" s="272">
        <f>_xlfn.XLOOKUP($D51,#REF!,#REF!,,0,)</f>
        <v/>
      </c>
      <c r="AO51" s="42">
        <f>Tab_Process_TCs2527[[#This Row],[Flow_ID]]</f>
        <v/>
      </c>
      <c r="AP51" s="272">
        <f>"TC"&amp;"_"&amp;RIGHT(AN51,5)</f>
        <v/>
      </c>
      <c r="AQ51" s="168" t="n"/>
      <c r="AR51" s="296">
        <f>_xlfn.XLOOKUP($D51,#REF!,#REF!,,0,)</f>
        <v/>
      </c>
      <c r="AS51" s="272">
        <f>_xlfn.XLOOKUP($D51,#REF!,#REF!,,0,)</f>
        <v/>
      </c>
      <c r="AT51" s="42">
        <f>Tab_Process_TCs2527[[#This Row],[Flow_ID]]</f>
        <v/>
      </c>
      <c r="AU51" s="42">
        <f>"TC"&amp;"_"&amp;RIGHT(AN51,5)</f>
        <v/>
      </c>
      <c r="AV51" s="168" t="n"/>
      <c r="AW51" s="296">
        <f>_xlfn.XLOOKUP($D51,#REF!,#REF!,,0,)</f>
        <v/>
      </c>
      <c r="AX51" s="272">
        <f>_xlfn.XLOOKUP($D51,#REF!,#REF!,,0,)</f>
        <v/>
      </c>
      <c r="AY51" s="42">
        <f>Tab_Process_TCs2527[[#This Row],[Flow_ID]]</f>
        <v/>
      </c>
      <c r="AZ51" s="42">
        <f>"TC"&amp;"_"&amp;RIGHT(AX51,5)</f>
        <v/>
      </c>
      <c r="BA51" s="168" t="n"/>
      <c r="BB51" s="272">
        <f>_xlfn.XLOOKUP($D51,#REF!,#REF!,,0,)</f>
        <v/>
      </c>
      <c r="BC51" s="272">
        <f>_xlfn.XLOOKUP($D51,#REF!,#REF!,,0,)</f>
        <v/>
      </c>
      <c r="BD51" s="42">
        <f>Tab_Process_TCs2527[[#This Row],[Flow_ID]]</f>
        <v/>
      </c>
      <c r="BE51" s="42">
        <f>"TC"&amp;"_"&amp;RIGHT(BC51,5)</f>
        <v/>
      </c>
      <c r="BF51" s="49" t="n"/>
      <c r="BG51" s="52">
        <f>Tab_Process_TCs2527[[#This Row],[TC O_6_'[%']]]+Tab_Process_TCs2527[[#This Row],[TC O_5_'[%']]]+Tab_Process_TCs2527[[#This Row],[TC_O_4_'[%']]]+Tab_Process_TCs2527[[#This Row],[TC_O_3_'[%']]]+Tab_Process_TCs2527[[#This Row],[TC_O_2_'[%']]]+Tab_Process_TCs2527[[#This Row],[TC_O_1_'[%']]]</f>
        <v/>
      </c>
      <c r="BH51" s="273" t="n"/>
      <c r="BI51" s="273" t="n"/>
      <c r="BJ51" s="273" t="n"/>
      <c r="BK51" s="273" t="n"/>
      <c r="BL51" s="273" t="n"/>
    </row>
    <row r="52">
      <c r="A52" s="280" t="b">
        <v>0</v>
      </c>
      <c r="B52" s="272">
        <f>ROW()-1</f>
        <v/>
      </c>
      <c r="C52" s="286">
        <f>_xlfn.XLOOKUP($D52,Tab_Process_TCs[Name(EN)],Tab_Process_TCs[Process_ID],,0,)</f>
        <v/>
      </c>
      <c r="D52" s="189" t="inlineStr">
        <is>
          <t>N.A.</t>
        </is>
      </c>
      <c r="E52" s="189" t="inlineStr">
        <is>
          <t>N.A.</t>
        </is>
      </c>
      <c r="F52" s="286">
        <f>_xlfn.XLOOKUP($D52,Tab_Process_TCs[Name(EN)],Tab_Process_TCs[TC?],,0,)</f>
        <v/>
      </c>
      <c r="G52" s="286">
        <f>_xlfn.XLOOKUP($D52,Tab_Process_TCs[Name(EN)],Tab_Process_TCs[Dyn_TC?],,0,)</f>
        <v/>
      </c>
      <c r="H52" s="272">
        <f>_xlfn.XLOOKUP($E52,Tab_Def_Flows[Name(EN)],Tab_Def_Flows[Flow_ID],,0,1)</f>
        <v/>
      </c>
      <c r="I52" s="272">
        <f>IF(Tab_Process_TCs2527[[#This Row],[Name(EN)]]="N.A.","N.A.","TC"&amp;"_"&amp;RIGHT(H52,5))</f>
        <v/>
      </c>
      <c r="J52" s="273" t="n"/>
      <c r="K52" s="183" t="n"/>
      <c r="L52" s="272" t="n"/>
      <c r="M52" s="296">
        <f>_xlfn.XLOOKUP($D52,Tab_Def_Processes[Name(EN)],Tab_Def_Processes[Input_Flow_I_1],,0,)</f>
        <v/>
      </c>
      <c r="N52" s="272">
        <f>_xlfn.XLOOKUP($D52,Tab_Def_Processes[Name(EN)],Tab_Def_Processes[Flow_ID_I_1],,0,)</f>
        <v/>
      </c>
      <c r="O52" s="33" t="n"/>
      <c r="P52" s="29">
        <f>_xlfn.XLOOKUP($D52,Tab_Def_Processes[Name(EN)],Tab_Def_Processes[Input_Flow_I_2],,0,)</f>
        <v/>
      </c>
      <c r="Q52" s="272">
        <f>_xlfn.XLOOKUP($D52,Tab_Def_Processes[Name(EN)],Tab_Def_Processes[Flow_ID_I_2],,0,)</f>
        <v/>
      </c>
      <c r="R52" s="33" t="n"/>
      <c r="S52" s="29">
        <f>_xlfn.XLOOKUP($D52,Tab_Def_Processes[Name(EN)],Tab_Def_Processes[Input_Flow_I_3],,0,)</f>
        <v/>
      </c>
      <c r="T52" s="272">
        <f>_xlfn.XLOOKUP($D52,Tab_Def_Processes[Name(EN)],Tab_Def_Processes[Flow_ID_I_3],,0,)</f>
        <v/>
      </c>
      <c r="U52" s="33" t="n"/>
      <c r="V52" s="29">
        <f>_xlfn.XLOOKUP($D52,Tab_Def_Processes[Name(EN)],Tab_Def_Processes[Input_Flow_I_4],,0,)</f>
        <v/>
      </c>
      <c r="W52" s="272">
        <f>_xlfn.XLOOKUP($D52,Tab_Def_Processes[Name(EN)],Tab_Def_Processes[Flow_ID_I_4],,0,)</f>
        <v/>
      </c>
      <c r="X52" s="33" t="n"/>
      <c r="Y52" s="29">
        <f>_xlfn.XLOOKUP($D52,Tab_Def_Processes[Name(EN)],Tab_Def_Processes[Input_Flow_I_5],,0,)</f>
        <v/>
      </c>
      <c r="Z52" s="272">
        <f>_xlfn.XLOOKUP($D52,Tab_Def_Processes[Name(EN)],Tab_Def_Processes[Flow_ID_I_5],,0,)</f>
        <v/>
      </c>
      <c r="AA52" s="33" t="n"/>
      <c r="AB52" s="32">
        <f>Tab_Process_TCs2527[[#This Row],[Flow_TC_I_1_'[%']]]+Tab_Process_TCs2527[[#This Row],[Flow_TC_I_2_'[%']]]+Tab_Process_TCs2527[[#This Row],[Flow_TC_I_3_'[%']]]+Tab_Process_TCs2527[[#This Row],[Flow_TC_I_4_'[%']]]+Tab_Process_TCs2527[[#This Row],[Flow_TC_I_5_'[%']]]</f>
        <v/>
      </c>
      <c r="AC52" s="296">
        <f>_xlfn.XLOOKUP($D52,#REF!,#REF!,,0,)</f>
        <v/>
      </c>
      <c r="AD52" s="272">
        <f>_xlfn.XLOOKUP($D52,#REF!,#REF!,,0,)</f>
        <v/>
      </c>
      <c r="AE52" s="42">
        <f>Tab_Process_TCs2527[[#This Row],[Flow_ID]]</f>
        <v/>
      </c>
      <c r="AF52" s="272">
        <f>"TC"&amp;"_"&amp;RIGHT(AD52,5)</f>
        <v/>
      </c>
      <c r="AG52" s="49" t="n">
        <v>1</v>
      </c>
      <c r="AH52" s="169">
        <f>_xlfn.XLOOKUP($D52,#REF!,#REF!,,0,)</f>
        <v/>
      </c>
      <c r="AI52" s="53">
        <f>_xlfn.XLOOKUP($D52,#REF!,#REF!,,0,)</f>
        <v/>
      </c>
      <c r="AJ52" s="42">
        <f>Tab_Process_TCs2527[[#This Row],[Flow_ID]]</f>
        <v/>
      </c>
      <c r="AK52" s="272">
        <f>"TC"&amp;"_"&amp;RIGHT(AI52,5)</f>
        <v/>
      </c>
      <c r="AL52" s="168" t="n"/>
      <c r="AM52" s="296">
        <f>_xlfn.XLOOKUP($D52,#REF!,#REF!,,0,)</f>
        <v/>
      </c>
      <c r="AN52" s="272">
        <f>_xlfn.XLOOKUP($D52,#REF!,#REF!,,0,)</f>
        <v/>
      </c>
      <c r="AO52" s="42">
        <f>Tab_Process_TCs2527[[#This Row],[Flow_ID]]</f>
        <v/>
      </c>
      <c r="AP52" s="272">
        <f>"TC"&amp;"_"&amp;RIGHT(AN52,5)</f>
        <v/>
      </c>
      <c r="AQ52" s="168" t="n"/>
      <c r="AR52" s="296">
        <f>_xlfn.XLOOKUP($D52,#REF!,#REF!,,0,)</f>
        <v/>
      </c>
      <c r="AS52" s="272">
        <f>_xlfn.XLOOKUP($D52,#REF!,#REF!,,0,)</f>
        <v/>
      </c>
      <c r="AT52" s="42">
        <f>Tab_Process_TCs2527[[#This Row],[Flow_ID]]</f>
        <v/>
      </c>
      <c r="AU52" s="42">
        <f>"TC"&amp;"_"&amp;RIGHT(AN52,5)</f>
        <v/>
      </c>
      <c r="AV52" s="168" t="n"/>
      <c r="AW52" s="296">
        <f>_xlfn.XLOOKUP($D52,#REF!,#REF!,,0,)</f>
        <v/>
      </c>
      <c r="AX52" s="272">
        <f>_xlfn.XLOOKUP($D52,#REF!,#REF!,,0,)</f>
        <v/>
      </c>
      <c r="AY52" s="42">
        <f>Tab_Process_TCs2527[[#This Row],[Flow_ID]]</f>
        <v/>
      </c>
      <c r="AZ52" s="42">
        <f>"TC"&amp;"_"&amp;RIGHT(AX52,5)</f>
        <v/>
      </c>
      <c r="BA52" s="168" t="n"/>
      <c r="BB52" s="272">
        <f>_xlfn.XLOOKUP($D52,#REF!,#REF!,,0,)</f>
        <v/>
      </c>
      <c r="BC52" s="272">
        <f>_xlfn.XLOOKUP($D52,#REF!,#REF!,,0,)</f>
        <v/>
      </c>
      <c r="BD52" s="42">
        <f>Tab_Process_TCs2527[[#This Row],[Flow_ID]]</f>
        <v/>
      </c>
      <c r="BE52" s="42">
        <f>"TC"&amp;"_"&amp;RIGHT(BC52,5)</f>
        <v/>
      </c>
      <c r="BF52" s="49" t="n"/>
      <c r="BG52" s="52">
        <f>Tab_Process_TCs2527[[#This Row],[TC O_6_'[%']]]+Tab_Process_TCs2527[[#This Row],[TC O_5_'[%']]]+Tab_Process_TCs2527[[#This Row],[TC_O_4_'[%']]]+Tab_Process_TCs2527[[#This Row],[TC_O_3_'[%']]]+Tab_Process_TCs2527[[#This Row],[TC_O_2_'[%']]]+Tab_Process_TCs2527[[#This Row],[TC_O_1_'[%']]]</f>
        <v/>
      </c>
      <c r="BH52" s="273" t="n"/>
      <c r="BI52" s="273" t="n"/>
      <c r="BJ52" s="273" t="n"/>
      <c r="BK52" s="273" t="n"/>
      <c r="BL52" s="273" t="n"/>
    </row>
    <row r="53">
      <c r="A53" s="280" t="b">
        <v>0</v>
      </c>
      <c r="B53" s="272">
        <f>ROW()-1</f>
        <v/>
      </c>
      <c r="C53" s="286">
        <f>_xlfn.XLOOKUP($D53,Tab_Process_TCs[Name(EN)],Tab_Process_TCs[Process_ID],,0,)</f>
        <v/>
      </c>
      <c r="D53" s="189" t="inlineStr">
        <is>
          <t>N.A.</t>
        </is>
      </c>
      <c r="E53" s="189" t="inlineStr">
        <is>
          <t>N.A.</t>
        </is>
      </c>
      <c r="F53" s="286">
        <f>_xlfn.XLOOKUP($D53,Tab_Process_TCs[Name(EN)],Tab_Process_TCs[TC?],,0,)</f>
        <v/>
      </c>
      <c r="G53" s="286">
        <f>_xlfn.XLOOKUP($D53,Tab_Process_TCs[Name(EN)],Tab_Process_TCs[Dyn_TC?],,0,)</f>
        <v/>
      </c>
      <c r="H53" s="272">
        <f>_xlfn.XLOOKUP($E53,Tab_Def_Flows[Name(EN)],Tab_Def_Flows[Flow_ID],,0,1)</f>
        <v/>
      </c>
      <c r="I53" s="272">
        <f>IF(Tab_Process_TCs2527[[#This Row],[Name(EN)]]="N.A.","N.A.","TC"&amp;"_"&amp;RIGHT(H53,5))</f>
        <v/>
      </c>
      <c r="J53" s="273" t="n"/>
      <c r="K53" s="183" t="n"/>
      <c r="L53" s="272" t="n"/>
      <c r="M53" s="296">
        <f>_xlfn.XLOOKUP($D53,Tab_Def_Processes[Name(EN)],Tab_Def_Processes[Input_Flow_I_1],,0,)</f>
        <v/>
      </c>
      <c r="N53" s="272">
        <f>_xlfn.XLOOKUP($D53,Tab_Def_Processes[Name(EN)],Tab_Def_Processes[Flow_ID_I_1],,0,)</f>
        <v/>
      </c>
      <c r="O53" s="33" t="n"/>
      <c r="P53" s="29">
        <f>_xlfn.XLOOKUP($D53,Tab_Def_Processes[Name(EN)],Tab_Def_Processes[Input_Flow_I_2],,0,)</f>
        <v/>
      </c>
      <c r="Q53" s="272">
        <f>_xlfn.XLOOKUP($D53,Tab_Def_Processes[Name(EN)],Tab_Def_Processes[Flow_ID_I_2],,0,)</f>
        <v/>
      </c>
      <c r="R53" s="33" t="n"/>
      <c r="S53" s="29">
        <f>_xlfn.XLOOKUP($D53,Tab_Def_Processes[Name(EN)],Tab_Def_Processes[Input_Flow_I_3],,0,)</f>
        <v/>
      </c>
      <c r="T53" s="272">
        <f>_xlfn.XLOOKUP($D53,Tab_Def_Processes[Name(EN)],Tab_Def_Processes[Flow_ID_I_3],,0,)</f>
        <v/>
      </c>
      <c r="U53" s="33" t="n"/>
      <c r="V53" s="29">
        <f>_xlfn.XLOOKUP($D53,Tab_Def_Processes[Name(EN)],Tab_Def_Processes[Input_Flow_I_4],,0,)</f>
        <v/>
      </c>
      <c r="W53" s="272">
        <f>_xlfn.XLOOKUP($D53,Tab_Def_Processes[Name(EN)],Tab_Def_Processes[Flow_ID_I_4],,0,)</f>
        <v/>
      </c>
      <c r="X53" s="33" t="n"/>
      <c r="Y53" s="29">
        <f>_xlfn.XLOOKUP($D53,Tab_Def_Processes[Name(EN)],Tab_Def_Processes[Input_Flow_I_5],,0,)</f>
        <v/>
      </c>
      <c r="Z53" s="272">
        <f>_xlfn.XLOOKUP($D53,Tab_Def_Processes[Name(EN)],Tab_Def_Processes[Flow_ID_I_5],,0,)</f>
        <v/>
      </c>
      <c r="AA53" s="33" t="n"/>
      <c r="AB53" s="32">
        <f>Tab_Process_TCs2527[[#This Row],[Flow_TC_I_1_'[%']]]+Tab_Process_TCs2527[[#This Row],[Flow_TC_I_2_'[%']]]+Tab_Process_TCs2527[[#This Row],[Flow_TC_I_3_'[%']]]+Tab_Process_TCs2527[[#This Row],[Flow_TC_I_4_'[%']]]+Tab_Process_TCs2527[[#This Row],[Flow_TC_I_5_'[%']]]</f>
        <v/>
      </c>
      <c r="AC53" s="296">
        <f>_xlfn.XLOOKUP($D53,#REF!,#REF!,,0,)</f>
        <v/>
      </c>
      <c r="AD53" s="272">
        <f>_xlfn.XLOOKUP($D53,#REF!,#REF!,,0,)</f>
        <v/>
      </c>
      <c r="AE53" s="42">
        <f>Tab_Process_TCs2527[[#This Row],[Flow_ID]]</f>
        <v/>
      </c>
      <c r="AF53" s="272">
        <f>"TC"&amp;"_"&amp;RIGHT(AD53,5)</f>
        <v/>
      </c>
      <c r="AG53" s="49" t="n">
        <v>1</v>
      </c>
      <c r="AH53" s="169">
        <f>_xlfn.XLOOKUP($D53,#REF!,#REF!,,0,)</f>
        <v/>
      </c>
      <c r="AI53" s="53">
        <f>_xlfn.XLOOKUP($D53,#REF!,#REF!,,0,)</f>
        <v/>
      </c>
      <c r="AJ53" s="42">
        <f>Tab_Process_TCs2527[[#This Row],[Flow_ID]]</f>
        <v/>
      </c>
      <c r="AK53" s="272">
        <f>"TC"&amp;"_"&amp;RIGHT(AI53,5)</f>
        <v/>
      </c>
      <c r="AL53" s="168" t="n"/>
      <c r="AM53" s="296">
        <f>_xlfn.XLOOKUP($D53,#REF!,#REF!,,0,)</f>
        <v/>
      </c>
      <c r="AN53" s="272">
        <f>_xlfn.XLOOKUP($D53,#REF!,#REF!,,0,)</f>
        <v/>
      </c>
      <c r="AO53" s="42">
        <f>Tab_Process_TCs2527[[#This Row],[Flow_ID]]</f>
        <v/>
      </c>
      <c r="AP53" s="272">
        <f>"TC"&amp;"_"&amp;RIGHT(AN53,5)</f>
        <v/>
      </c>
      <c r="AQ53" s="168" t="n"/>
      <c r="AR53" s="296">
        <f>_xlfn.XLOOKUP($D53,#REF!,#REF!,,0,)</f>
        <v/>
      </c>
      <c r="AS53" s="272">
        <f>_xlfn.XLOOKUP($D53,#REF!,#REF!,,0,)</f>
        <v/>
      </c>
      <c r="AT53" s="42">
        <f>Tab_Process_TCs2527[[#This Row],[Flow_ID]]</f>
        <v/>
      </c>
      <c r="AU53" s="42">
        <f>"TC"&amp;"_"&amp;RIGHT(AN53,5)</f>
        <v/>
      </c>
      <c r="AV53" s="168" t="n"/>
      <c r="AW53" s="296">
        <f>_xlfn.XLOOKUP($D53,#REF!,#REF!,,0,)</f>
        <v/>
      </c>
      <c r="AX53" s="272">
        <f>_xlfn.XLOOKUP($D53,#REF!,#REF!,,0,)</f>
        <v/>
      </c>
      <c r="AY53" s="42">
        <f>Tab_Process_TCs2527[[#This Row],[Flow_ID]]</f>
        <v/>
      </c>
      <c r="AZ53" s="42">
        <f>"TC"&amp;"_"&amp;RIGHT(AX53,5)</f>
        <v/>
      </c>
      <c r="BA53" s="168" t="n"/>
      <c r="BB53" s="272">
        <f>_xlfn.XLOOKUP($D53,#REF!,#REF!,,0,)</f>
        <v/>
      </c>
      <c r="BC53" s="272">
        <f>_xlfn.XLOOKUP($D53,#REF!,#REF!,,0,)</f>
        <v/>
      </c>
      <c r="BD53" s="42">
        <f>Tab_Process_TCs2527[[#This Row],[Flow_ID]]</f>
        <v/>
      </c>
      <c r="BE53" s="42">
        <f>"TC"&amp;"_"&amp;RIGHT(BC53,5)</f>
        <v/>
      </c>
      <c r="BF53" s="49" t="n"/>
      <c r="BG53" s="52">
        <f>Tab_Process_TCs2527[[#This Row],[TC O_6_'[%']]]+Tab_Process_TCs2527[[#This Row],[TC O_5_'[%']]]+Tab_Process_TCs2527[[#This Row],[TC_O_4_'[%']]]+Tab_Process_TCs2527[[#This Row],[TC_O_3_'[%']]]+Tab_Process_TCs2527[[#This Row],[TC_O_2_'[%']]]+Tab_Process_TCs2527[[#This Row],[TC_O_1_'[%']]]</f>
        <v/>
      </c>
      <c r="BH53" s="273" t="n"/>
      <c r="BI53" s="273" t="n"/>
      <c r="BJ53" s="273" t="n"/>
      <c r="BK53" s="273" t="n"/>
      <c r="BL53" s="273" t="n"/>
    </row>
    <row r="54">
      <c r="A54" s="280" t="b">
        <v>0</v>
      </c>
      <c r="B54" s="272">
        <f>ROW()-1</f>
        <v/>
      </c>
      <c r="C54" s="286">
        <f>_xlfn.XLOOKUP($D54,Tab_Process_TCs[Name(EN)],Tab_Process_TCs[Process_ID],,0,)</f>
        <v/>
      </c>
      <c r="D54" s="189" t="inlineStr">
        <is>
          <t>N.A.</t>
        </is>
      </c>
      <c r="E54" s="189" t="inlineStr">
        <is>
          <t>N.A.</t>
        </is>
      </c>
      <c r="F54" s="286">
        <f>_xlfn.XLOOKUP($D54,Tab_Process_TCs[Name(EN)],Tab_Process_TCs[TC?],,0,)</f>
        <v/>
      </c>
      <c r="G54" s="286">
        <f>_xlfn.XLOOKUP($D54,Tab_Process_TCs[Name(EN)],Tab_Process_TCs[Dyn_TC?],,0,)</f>
        <v/>
      </c>
      <c r="H54" s="272">
        <f>_xlfn.XLOOKUP($E54,Tab_Def_Flows[Name(EN)],Tab_Def_Flows[Flow_ID],,0,1)</f>
        <v/>
      </c>
      <c r="I54" s="272">
        <f>IF(Tab_Process_TCs2527[[#This Row],[Name(EN)]]="N.A.","N.A.","TC"&amp;"_"&amp;RIGHT(H54,5))</f>
        <v/>
      </c>
      <c r="J54" s="273" t="n"/>
      <c r="K54" s="183" t="n"/>
      <c r="L54" s="272" t="n"/>
      <c r="M54" s="296">
        <f>_xlfn.XLOOKUP($D54,Tab_Def_Processes[Name(EN)],Tab_Def_Processes[Input_Flow_I_1],,0,)</f>
        <v/>
      </c>
      <c r="N54" s="272">
        <f>_xlfn.XLOOKUP($D54,Tab_Def_Processes[Name(EN)],Tab_Def_Processes[Flow_ID_I_1],,0,)</f>
        <v/>
      </c>
      <c r="O54" s="33" t="n"/>
      <c r="P54" s="29">
        <f>_xlfn.XLOOKUP($D54,Tab_Def_Processes[Name(EN)],Tab_Def_Processes[Input_Flow_I_2],,0,)</f>
        <v/>
      </c>
      <c r="Q54" s="272">
        <f>_xlfn.XLOOKUP($D54,Tab_Def_Processes[Name(EN)],Tab_Def_Processes[Flow_ID_I_2],,0,)</f>
        <v/>
      </c>
      <c r="R54" s="33" t="n"/>
      <c r="S54" s="29">
        <f>_xlfn.XLOOKUP($D54,Tab_Def_Processes[Name(EN)],Tab_Def_Processes[Input_Flow_I_3],,0,)</f>
        <v/>
      </c>
      <c r="T54" s="272">
        <f>_xlfn.XLOOKUP($D54,Tab_Def_Processes[Name(EN)],Tab_Def_Processes[Flow_ID_I_3],,0,)</f>
        <v/>
      </c>
      <c r="U54" s="33" t="n"/>
      <c r="V54" s="29">
        <f>_xlfn.XLOOKUP($D54,Tab_Def_Processes[Name(EN)],Tab_Def_Processes[Input_Flow_I_4],,0,)</f>
        <v/>
      </c>
      <c r="W54" s="272">
        <f>_xlfn.XLOOKUP($D54,Tab_Def_Processes[Name(EN)],Tab_Def_Processes[Flow_ID_I_4],,0,)</f>
        <v/>
      </c>
      <c r="X54" s="33" t="n"/>
      <c r="Y54" s="29">
        <f>_xlfn.XLOOKUP($D54,Tab_Def_Processes[Name(EN)],Tab_Def_Processes[Input_Flow_I_5],,0,)</f>
        <v/>
      </c>
      <c r="Z54" s="272">
        <f>_xlfn.XLOOKUP($D54,Tab_Def_Processes[Name(EN)],Tab_Def_Processes[Flow_ID_I_5],,0,)</f>
        <v/>
      </c>
      <c r="AA54" s="33" t="n"/>
      <c r="AB54" s="32">
        <f>Tab_Process_TCs2527[[#This Row],[Flow_TC_I_1_'[%']]]+Tab_Process_TCs2527[[#This Row],[Flow_TC_I_2_'[%']]]+Tab_Process_TCs2527[[#This Row],[Flow_TC_I_3_'[%']]]+Tab_Process_TCs2527[[#This Row],[Flow_TC_I_4_'[%']]]+Tab_Process_TCs2527[[#This Row],[Flow_TC_I_5_'[%']]]</f>
        <v/>
      </c>
      <c r="AC54" s="296">
        <f>_xlfn.XLOOKUP($D54,#REF!,#REF!,,0,)</f>
        <v/>
      </c>
      <c r="AD54" s="272">
        <f>_xlfn.XLOOKUP($D54,#REF!,#REF!,,0,)</f>
        <v/>
      </c>
      <c r="AE54" s="42">
        <f>Tab_Process_TCs2527[[#This Row],[Flow_ID]]</f>
        <v/>
      </c>
      <c r="AF54" s="272">
        <f>"TC"&amp;"_"&amp;RIGHT(AD54,5)</f>
        <v/>
      </c>
      <c r="AG54" s="49" t="n">
        <v>1</v>
      </c>
      <c r="AH54" s="169">
        <f>_xlfn.XLOOKUP($D54,#REF!,#REF!,,0,)</f>
        <v/>
      </c>
      <c r="AI54" s="53">
        <f>_xlfn.XLOOKUP($D54,#REF!,#REF!,,0,)</f>
        <v/>
      </c>
      <c r="AJ54" s="42">
        <f>Tab_Process_TCs2527[[#This Row],[Flow_ID]]</f>
        <v/>
      </c>
      <c r="AK54" s="272">
        <f>"TC"&amp;"_"&amp;RIGHT(AI54,5)</f>
        <v/>
      </c>
      <c r="AL54" s="168" t="n"/>
      <c r="AM54" s="296">
        <f>_xlfn.XLOOKUP($D54,#REF!,#REF!,,0,)</f>
        <v/>
      </c>
      <c r="AN54" s="272">
        <f>_xlfn.XLOOKUP($D54,#REF!,#REF!,,0,)</f>
        <v/>
      </c>
      <c r="AO54" s="42">
        <f>Tab_Process_TCs2527[[#This Row],[Flow_ID]]</f>
        <v/>
      </c>
      <c r="AP54" s="272">
        <f>"TC"&amp;"_"&amp;RIGHT(AN54,5)</f>
        <v/>
      </c>
      <c r="AQ54" s="168" t="n"/>
      <c r="AR54" s="296">
        <f>_xlfn.XLOOKUP($D54,#REF!,#REF!,,0,)</f>
        <v/>
      </c>
      <c r="AS54" s="272">
        <f>_xlfn.XLOOKUP($D54,#REF!,#REF!,,0,)</f>
        <v/>
      </c>
      <c r="AT54" s="42">
        <f>Tab_Process_TCs2527[[#This Row],[Flow_ID]]</f>
        <v/>
      </c>
      <c r="AU54" s="42">
        <f>"TC"&amp;"_"&amp;RIGHT(AN54,5)</f>
        <v/>
      </c>
      <c r="AV54" s="168" t="n"/>
      <c r="AW54" s="296">
        <f>_xlfn.XLOOKUP($D54,#REF!,#REF!,,0,)</f>
        <v/>
      </c>
      <c r="AX54" s="272">
        <f>_xlfn.XLOOKUP($D54,#REF!,#REF!,,0,)</f>
        <v/>
      </c>
      <c r="AY54" s="42">
        <f>Tab_Process_TCs2527[[#This Row],[Flow_ID]]</f>
        <v/>
      </c>
      <c r="AZ54" s="42">
        <f>"TC"&amp;"_"&amp;RIGHT(AX54,5)</f>
        <v/>
      </c>
      <c r="BA54" s="168" t="n"/>
      <c r="BB54" s="272">
        <f>_xlfn.XLOOKUP($D54,#REF!,#REF!,,0,)</f>
        <v/>
      </c>
      <c r="BC54" s="272">
        <f>_xlfn.XLOOKUP($D54,#REF!,#REF!,,0,)</f>
        <v/>
      </c>
      <c r="BD54" s="42">
        <f>Tab_Process_TCs2527[[#This Row],[Flow_ID]]</f>
        <v/>
      </c>
      <c r="BE54" s="42">
        <f>"TC"&amp;"_"&amp;RIGHT(BC54,5)</f>
        <v/>
      </c>
      <c r="BF54" s="49" t="n"/>
      <c r="BG54" s="52">
        <f>Tab_Process_TCs2527[[#This Row],[TC O_6_'[%']]]+Tab_Process_TCs2527[[#This Row],[TC O_5_'[%']]]+Tab_Process_TCs2527[[#This Row],[TC_O_4_'[%']]]+Tab_Process_TCs2527[[#This Row],[TC_O_3_'[%']]]+Tab_Process_TCs2527[[#This Row],[TC_O_2_'[%']]]+Tab_Process_TCs2527[[#This Row],[TC_O_1_'[%']]]</f>
        <v/>
      </c>
      <c r="BH54" s="273" t="n"/>
      <c r="BI54" s="273" t="n"/>
      <c r="BJ54" s="273" t="n"/>
      <c r="BK54" s="273" t="n"/>
      <c r="BL54" s="273" t="n"/>
    </row>
    <row r="55">
      <c r="A55" s="280" t="b">
        <v>0</v>
      </c>
      <c r="B55" s="272">
        <f>ROW()-1</f>
        <v/>
      </c>
      <c r="C55" s="286">
        <f>_xlfn.XLOOKUP($D55,Tab_Process_TCs[Name(EN)],Tab_Process_TCs[Process_ID],,0,)</f>
        <v/>
      </c>
      <c r="D55" s="189" t="inlineStr">
        <is>
          <t>N.A.</t>
        </is>
      </c>
      <c r="E55" s="189" t="inlineStr">
        <is>
          <t>N.A.</t>
        </is>
      </c>
      <c r="F55" s="286">
        <f>_xlfn.XLOOKUP($D55,Tab_Process_TCs[Name(EN)],Tab_Process_TCs[TC?],,0,)</f>
        <v/>
      </c>
      <c r="G55" s="286">
        <f>_xlfn.XLOOKUP($D55,Tab_Process_TCs[Name(EN)],Tab_Process_TCs[Dyn_TC?],,0,)</f>
        <v/>
      </c>
      <c r="H55" s="272">
        <f>_xlfn.XLOOKUP($E55,Tab_Def_Flows[Name(EN)],Tab_Def_Flows[Flow_ID],,0,1)</f>
        <v/>
      </c>
      <c r="I55" s="272">
        <f>IF(Tab_Process_TCs2527[[#This Row],[Name(EN)]]="N.A.","N.A.","TC"&amp;"_"&amp;RIGHT(H55,5))</f>
        <v/>
      </c>
      <c r="J55" s="273" t="n"/>
      <c r="K55" s="183" t="n"/>
      <c r="L55" s="272" t="n"/>
      <c r="M55" s="296">
        <f>_xlfn.XLOOKUP($D55,Tab_Def_Processes[Name(EN)],Tab_Def_Processes[Input_Flow_I_1],,0,)</f>
        <v/>
      </c>
      <c r="N55" s="272">
        <f>_xlfn.XLOOKUP($D55,Tab_Def_Processes[Name(EN)],Tab_Def_Processes[Flow_ID_I_1],,0,)</f>
        <v/>
      </c>
      <c r="O55" s="33" t="n"/>
      <c r="P55" s="29">
        <f>_xlfn.XLOOKUP($D55,Tab_Def_Processes[Name(EN)],Tab_Def_Processes[Input_Flow_I_2],,0,)</f>
        <v/>
      </c>
      <c r="Q55" s="272">
        <f>_xlfn.XLOOKUP($D55,Tab_Def_Processes[Name(EN)],Tab_Def_Processes[Flow_ID_I_2],,0,)</f>
        <v/>
      </c>
      <c r="R55" s="33" t="n"/>
      <c r="S55" s="29">
        <f>_xlfn.XLOOKUP($D55,Tab_Def_Processes[Name(EN)],Tab_Def_Processes[Input_Flow_I_3],,0,)</f>
        <v/>
      </c>
      <c r="T55" s="272">
        <f>_xlfn.XLOOKUP($D55,Tab_Def_Processes[Name(EN)],Tab_Def_Processes[Flow_ID_I_3],,0,)</f>
        <v/>
      </c>
      <c r="U55" s="33" t="n"/>
      <c r="V55" s="29">
        <f>_xlfn.XLOOKUP($D55,Tab_Def_Processes[Name(EN)],Tab_Def_Processes[Input_Flow_I_4],,0,)</f>
        <v/>
      </c>
      <c r="W55" s="272">
        <f>_xlfn.XLOOKUP($D55,Tab_Def_Processes[Name(EN)],Tab_Def_Processes[Flow_ID_I_4],,0,)</f>
        <v/>
      </c>
      <c r="X55" s="33" t="n"/>
      <c r="Y55" s="29">
        <f>_xlfn.XLOOKUP($D55,Tab_Def_Processes[Name(EN)],Tab_Def_Processes[Input_Flow_I_5],,0,)</f>
        <v/>
      </c>
      <c r="Z55" s="272">
        <f>_xlfn.XLOOKUP($D55,Tab_Def_Processes[Name(EN)],Tab_Def_Processes[Flow_ID_I_5],,0,)</f>
        <v/>
      </c>
      <c r="AA55" s="33" t="n"/>
      <c r="AB55" s="32">
        <f>Tab_Process_TCs2527[[#This Row],[Flow_TC_I_1_'[%']]]+Tab_Process_TCs2527[[#This Row],[Flow_TC_I_2_'[%']]]+Tab_Process_TCs2527[[#This Row],[Flow_TC_I_3_'[%']]]+Tab_Process_TCs2527[[#This Row],[Flow_TC_I_4_'[%']]]+Tab_Process_TCs2527[[#This Row],[Flow_TC_I_5_'[%']]]</f>
        <v/>
      </c>
      <c r="AC55" s="296">
        <f>_xlfn.XLOOKUP($D55,#REF!,#REF!,,0,)</f>
        <v/>
      </c>
      <c r="AD55" s="272">
        <f>_xlfn.XLOOKUP($D55,#REF!,#REF!,,0,)</f>
        <v/>
      </c>
      <c r="AE55" s="42">
        <f>Tab_Process_TCs2527[[#This Row],[Flow_ID]]</f>
        <v/>
      </c>
      <c r="AF55" s="272">
        <f>"TC"&amp;"_"&amp;RIGHT(AD55,5)</f>
        <v/>
      </c>
      <c r="AG55" s="49" t="n">
        <v>1</v>
      </c>
      <c r="AH55" s="169">
        <f>_xlfn.XLOOKUP($D55,#REF!,#REF!,,0,)</f>
        <v/>
      </c>
      <c r="AI55" s="53">
        <f>_xlfn.XLOOKUP($D55,#REF!,#REF!,,0,)</f>
        <v/>
      </c>
      <c r="AJ55" s="42">
        <f>Tab_Process_TCs2527[[#This Row],[Flow_ID]]</f>
        <v/>
      </c>
      <c r="AK55" s="272">
        <f>"TC"&amp;"_"&amp;RIGHT(AI55,5)</f>
        <v/>
      </c>
      <c r="AL55" s="168" t="n"/>
      <c r="AM55" s="296">
        <f>_xlfn.XLOOKUP($D55,#REF!,#REF!,,0,)</f>
        <v/>
      </c>
      <c r="AN55" s="272">
        <f>_xlfn.XLOOKUP($D55,#REF!,#REF!,,0,)</f>
        <v/>
      </c>
      <c r="AO55" s="42">
        <f>Tab_Process_TCs2527[[#This Row],[Flow_ID]]</f>
        <v/>
      </c>
      <c r="AP55" s="272">
        <f>"TC"&amp;"_"&amp;RIGHT(AN55,5)</f>
        <v/>
      </c>
      <c r="AQ55" s="168" t="n"/>
      <c r="AR55" s="296">
        <f>_xlfn.XLOOKUP($D55,#REF!,#REF!,,0,)</f>
        <v/>
      </c>
      <c r="AS55" s="272">
        <f>_xlfn.XLOOKUP($D55,#REF!,#REF!,,0,)</f>
        <v/>
      </c>
      <c r="AT55" s="42">
        <f>Tab_Process_TCs2527[[#This Row],[Flow_ID]]</f>
        <v/>
      </c>
      <c r="AU55" s="42">
        <f>"TC"&amp;"_"&amp;RIGHT(AN55,5)</f>
        <v/>
      </c>
      <c r="AV55" s="168" t="n"/>
      <c r="AW55" s="296">
        <f>_xlfn.XLOOKUP($D55,#REF!,#REF!,,0,)</f>
        <v/>
      </c>
      <c r="AX55" s="272">
        <f>_xlfn.XLOOKUP($D55,#REF!,#REF!,,0,)</f>
        <v/>
      </c>
      <c r="AY55" s="42">
        <f>Tab_Process_TCs2527[[#This Row],[Flow_ID]]</f>
        <v/>
      </c>
      <c r="AZ55" s="42">
        <f>"TC"&amp;"_"&amp;RIGHT(AX55,5)</f>
        <v/>
      </c>
      <c r="BA55" s="168" t="n"/>
      <c r="BB55" s="272">
        <f>_xlfn.XLOOKUP($D55,#REF!,#REF!,,0,)</f>
        <v/>
      </c>
      <c r="BC55" s="272">
        <f>_xlfn.XLOOKUP($D55,#REF!,#REF!,,0,)</f>
        <v/>
      </c>
      <c r="BD55" s="42">
        <f>Tab_Process_TCs2527[[#This Row],[Flow_ID]]</f>
        <v/>
      </c>
      <c r="BE55" s="42">
        <f>"TC"&amp;"_"&amp;RIGHT(BC55,5)</f>
        <v/>
      </c>
      <c r="BF55" s="49" t="n"/>
      <c r="BG55" s="52">
        <f>Tab_Process_TCs2527[[#This Row],[TC O_6_'[%']]]+Tab_Process_TCs2527[[#This Row],[TC O_5_'[%']]]+Tab_Process_TCs2527[[#This Row],[TC_O_4_'[%']]]+Tab_Process_TCs2527[[#This Row],[TC_O_3_'[%']]]+Tab_Process_TCs2527[[#This Row],[TC_O_2_'[%']]]+Tab_Process_TCs2527[[#This Row],[TC_O_1_'[%']]]</f>
        <v/>
      </c>
      <c r="BH55" s="273" t="n"/>
      <c r="BI55" s="273" t="n"/>
      <c r="BJ55" s="273" t="n"/>
      <c r="BK55" s="273" t="n"/>
      <c r="BL55" s="273" t="n"/>
    </row>
    <row r="56">
      <c r="A56" s="280" t="b">
        <v>0</v>
      </c>
      <c r="B56" s="272">
        <f>ROW()-1</f>
        <v/>
      </c>
      <c r="C56" s="286">
        <f>_xlfn.XLOOKUP($D56,Tab_Process_TCs[Name(EN)],Tab_Process_TCs[Process_ID],,0,)</f>
        <v/>
      </c>
      <c r="D56" s="189" t="inlineStr">
        <is>
          <t>N.A.</t>
        </is>
      </c>
      <c r="E56" s="189" t="inlineStr">
        <is>
          <t>N.A.</t>
        </is>
      </c>
      <c r="F56" s="286">
        <f>_xlfn.XLOOKUP($D56,Tab_Process_TCs[Name(EN)],Tab_Process_TCs[TC?],,0,)</f>
        <v/>
      </c>
      <c r="G56" s="286">
        <f>_xlfn.XLOOKUP($D56,Tab_Process_TCs[Name(EN)],Tab_Process_TCs[Dyn_TC?],,0,)</f>
        <v/>
      </c>
      <c r="H56" s="272">
        <f>_xlfn.XLOOKUP($E56,Tab_Def_Flows[Name(EN)],Tab_Def_Flows[Flow_ID],,0,1)</f>
        <v/>
      </c>
      <c r="I56" s="272">
        <f>IF(Tab_Process_TCs2527[[#This Row],[Name(EN)]]="N.A.","N.A.","TC"&amp;"_"&amp;RIGHT(H56,5))</f>
        <v/>
      </c>
      <c r="J56" s="273" t="n"/>
      <c r="K56" s="183" t="n"/>
      <c r="L56" s="272" t="n"/>
      <c r="M56" s="296">
        <f>_xlfn.XLOOKUP($D56,Tab_Def_Processes[Name(EN)],Tab_Def_Processes[Input_Flow_I_1],,0,)</f>
        <v/>
      </c>
      <c r="N56" s="272">
        <f>_xlfn.XLOOKUP($D56,Tab_Def_Processes[Name(EN)],Tab_Def_Processes[Flow_ID_I_1],,0,)</f>
        <v/>
      </c>
      <c r="O56" s="33" t="n"/>
      <c r="P56" s="29">
        <f>_xlfn.XLOOKUP($D56,Tab_Def_Processes[Name(EN)],Tab_Def_Processes[Input_Flow_I_2],,0,)</f>
        <v/>
      </c>
      <c r="Q56" s="272">
        <f>_xlfn.XLOOKUP($D56,Tab_Def_Processes[Name(EN)],Tab_Def_Processes[Flow_ID_I_2],,0,)</f>
        <v/>
      </c>
      <c r="R56" s="33" t="n"/>
      <c r="S56" s="29">
        <f>_xlfn.XLOOKUP($D56,Tab_Def_Processes[Name(EN)],Tab_Def_Processes[Input_Flow_I_3],,0,)</f>
        <v/>
      </c>
      <c r="T56" s="272">
        <f>_xlfn.XLOOKUP($D56,Tab_Def_Processes[Name(EN)],Tab_Def_Processes[Flow_ID_I_3],,0,)</f>
        <v/>
      </c>
      <c r="U56" s="33" t="n"/>
      <c r="V56" s="29">
        <f>_xlfn.XLOOKUP($D56,Tab_Def_Processes[Name(EN)],Tab_Def_Processes[Input_Flow_I_4],,0,)</f>
        <v/>
      </c>
      <c r="W56" s="272">
        <f>_xlfn.XLOOKUP($D56,Tab_Def_Processes[Name(EN)],Tab_Def_Processes[Flow_ID_I_4],,0,)</f>
        <v/>
      </c>
      <c r="X56" s="33" t="n"/>
      <c r="Y56" s="29">
        <f>_xlfn.XLOOKUP($D56,Tab_Def_Processes[Name(EN)],Tab_Def_Processes[Input_Flow_I_5],,0,)</f>
        <v/>
      </c>
      <c r="Z56" s="272">
        <f>_xlfn.XLOOKUP($D56,Tab_Def_Processes[Name(EN)],Tab_Def_Processes[Flow_ID_I_5],,0,)</f>
        <v/>
      </c>
      <c r="AA56" s="33" t="n"/>
      <c r="AB56" s="32">
        <f>Tab_Process_TCs2527[[#This Row],[Flow_TC_I_1_'[%']]]+Tab_Process_TCs2527[[#This Row],[Flow_TC_I_2_'[%']]]+Tab_Process_TCs2527[[#This Row],[Flow_TC_I_3_'[%']]]+Tab_Process_TCs2527[[#This Row],[Flow_TC_I_4_'[%']]]+Tab_Process_TCs2527[[#This Row],[Flow_TC_I_5_'[%']]]</f>
        <v/>
      </c>
      <c r="AC56" s="296">
        <f>_xlfn.XLOOKUP($D56,#REF!,#REF!,,0,)</f>
        <v/>
      </c>
      <c r="AD56" s="272">
        <f>_xlfn.XLOOKUP($D56,#REF!,#REF!,,0,)</f>
        <v/>
      </c>
      <c r="AE56" s="42">
        <f>Tab_Process_TCs2527[[#This Row],[Flow_ID]]</f>
        <v/>
      </c>
      <c r="AF56" s="272">
        <f>"TC"&amp;"_"&amp;RIGHT(AD56,5)</f>
        <v/>
      </c>
      <c r="AG56" s="49" t="n">
        <v>1</v>
      </c>
      <c r="AH56" s="169">
        <f>_xlfn.XLOOKUP($D56,#REF!,#REF!,,0,)</f>
        <v/>
      </c>
      <c r="AI56" s="53">
        <f>_xlfn.XLOOKUP($D56,#REF!,#REF!,,0,)</f>
        <v/>
      </c>
      <c r="AJ56" s="42">
        <f>Tab_Process_TCs2527[[#This Row],[Flow_ID]]</f>
        <v/>
      </c>
      <c r="AK56" s="272">
        <f>"TC"&amp;"_"&amp;RIGHT(AI56,5)</f>
        <v/>
      </c>
      <c r="AL56" s="168" t="n"/>
      <c r="AM56" s="296">
        <f>_xlfn.XLOOKUP($D56,#REF!,#REF!,,0,)</f>
        <v/>
      </c>
      <c r="AN56" s="272">
        <f>_xlfn.XLOOKUP($D56,#REF!,#REF!,,0,)</f>
        <v/>
      </c>
      <c r="AO56" s="42">
        <f>Tab_Process_TCs2527[[#This Row],[Flow_ID]]</f>
        <v/>
      </c>
      <c r="AP56" s="272">
        <f>"TC"&amp;"_"&amp;RIGHT(AN56,5)</f>
        <v/>
      </c>
      <c r="AQ56" s="168" t="n"/>
      <c r="AR56" s="296">
        <f>_xlfn.XLOOKUP($D56,#REF!,#REF!,,0,)</f>
        <v/>
      </c>
      <c r="AS56" s="272">
        <f>_xlfn.XLOOKUP($D56,#REF!,#REF!,,0,)</f>
        <v/>
      </c>
      <c r="AT56" s="42">
        <f>Tab_Process_TCs2527[[#This Row],[Flow_ID]]</f>
        <v/>
      </c>
      <c r="AU56" s="42">
        <f>"TC"&amp;"_"&amp;RIGHT(AN56,5)</f>
        <v/>
      </c>
      <c r="AV56" s="168" t="n"/>
      <c r="AW56" s="296">
        <f>_xlfn.XLOOKUP($D56,#REF!,#REF!,,0,)</f>
        <v/>
      </c>
      <c r="AX56" s="272">
        <f>_xlfn.XLOOKUP($D56,#REF!,#REF!,,0,)</f>
        <v/>
      </c>
      <c r="AY56" s="42">
        <f>Tab_Process_TCs2527[[#This Row],[Flow_ID]]</f>
        <v/>
      </c>
      <c r="AZ56" s="42">
        <f>"TC"&amp;"_"&amp;RIGHT(AX56,5)</f>
        <v/>
      </c>
      <c r="BA56" s="168" t="n"/>
      <c r="BB56" s="272">
        <f>_xlfn.XLOOKUP($D56,#REF!,#REF!,,0,)</f>
        <v/>
      </c>
      <c r="BC56" s="272">
        <f>_xlfn.XLOOKUP($D56,#REF!,#REF!,,0,)</f>
        <v/>
      </c>
      <c r="BD56" s="42">
        <f>Tab_Process_TCs2527[[#This Row],[Flow_ID]]</f>
        <v/>
      </c>
      <c r="BE56" s="42">
        <f>"TC"&amp;"_"&amp;RIGHT(BC56,5)</f>
        <v/>
      </c>
      <c r="BF56" s="49" t="n"/>
      <c r="BG56" s="52">
        <f>Tab_Process_TCs2527[[#This Row],[TC O_6_'[%']]]+Tab_Process_TCs2527[[#This Row],[TC O_5_'[%']]]+Tab_Process_TCs2527[[#This Row],[TC_O_4_'[%']]]+Tab_Process_TCs2527[[#This Row],[TC_O_3_'[%']]]+Tab_Process_TCs2527[[#This Row],[TC_O_2_'[%']]]+Tab_Process_TCs2527[[#This Row],[TC_O_1_'[%']]]</f>
        <v/>
      </c>
      <c r="BH56" s="273" t="n"/>
      <c r="BI56" s="273" t="n"/>
      <c r="BJ56" s="273" t="n"/>
      <c r="BK56" s="273" t="n"/>
      <c r="BL56" s="273" t="n"/>
    </row>
    <row r="57">
      <c r="A57" s="280" t="b">
        <v>0</v>
      </c>
      <c r="B57" s="272">
        <f>ROW()-1</f>
        <v/>
      </c>
      <c r="C57" s="286">
        <f>_xlfn.XLOOKUP($D57,Tab_Process_TCs[Name(EN)],Tab_Process_TCs[Process_ID],,0,)</f>
        <v/>
      </c>
      <c r="D57" s="189" t="inlineStr">
        <is>
          <t>N.A.</t>
        </is>
      </c>
      <c r="E57" s="189" t="inlineStr">
        <is>
          <t>N.A.</t>
        </is>
      </c>
      <c r="F57" s="286">
        <f>_xlfn.XLOOKUP($D57,Tab_Process_TCs[Name(EN)],Tab_Process_TCs[TC?],,0,)</f>
        <v/>
      </c>
      <c r="G57" s="286">
        <f>_xlfn.XLOOKUP($D57,Tab_Process_TCs[Name(EN)],Tab_Process_TCs[Dyn_TC?],,0,)</f>
        <v/>
      </c>
      <c r="H57" s="272">
        <f>_xlfn.XLOOKUP($E57,Tab_Def_Flows[Name(EN)],Tab_Def_Flows[Flow_ID],,0,1)</f>
        <v/>
      </c>
      <c r="I57" s="272">
        <f>IF(Tab_Process_TCs2527[[#This Row],[Name(EN)]]="N.A.","N.A.","TC"&amp;"_"&amp;RIGHT(H57,5))</f>
        <v/>
      </c>
      <c r="J57" s="273" t="n"/>
      <c r="K57" s="183" t="n"/>
      <c r="L57" s="272" t="n"/>
      <c r="M57" s="296">
        <f>_xlfn.XLOOKUP($D57,Tab_Def_Processes[Name(EN)],Tab_Def_Processes[Input_Flow_I_1],,0,)</f>
        <v/>
      </c>
      <c r="N57" s="272">
        <f>_xlfn.XLOOKUP($D57,Tab_Def_Processes[Name(EN)],Tab_Def_Processes[Flow_ID_I_1],,0,)</f>
        <v/>
      </c>
      <c r="O57" s="33" t="n"/>
      <c r="P57" s="29">
        <f>_xlfn.XLOOKUP($D57,Tab_Def_Processes[Name(EN)],Tab_Def_Processes[Input_Flow_I_2],,0,)</f>
        <v/>
      </c>
      <c r="Q57" s="272">
        <f>_xlfn.XLOOKUP($D57,Tab_Def_Processes[Name(EN)],Tab_Def_Processes[Flow_ID_I_2],,0,)</f>
        <v/>
      </c>
      <c r="R57" s="33" t="n"/>
      <c r="S57" s="29">
        <f>_xlfn.XLOOKUP($D57,Tab_Def_Processes[Name(EN)],Tab_Def_Processes[Input_Flow_I_3],,0,)</f>
        <v/>
      </c>
      <c r="T57" s="272">
        <f>_xlfn.XLOOKUP($D57,Tab_Def_Processes[Name(EN)],Tab_Def_Processes[Flow_ID_I_3],,0,)</f>
        <v/>
      </c>
      <c r="U57" s="33" t="n"/>
      <c r="V57" s="29">
        <f>_xlfn.XLOOKUP($D57,Tab_Def_Processes[Name(EN)],Tab_Def_Processes[Input_Flow_I_4],,0,)</f>
        <v/>
      </c>
      <c r="W57" s="272">
        <f>_xlfn.XLOOKUP($D57,Tab_Def_Processes[Name(EN)],Tab_Def_Processes[Flow_ID_I_4],,0,)</f>
        <v/>
      </c>
      <c r="X57" s="33" t="n"/>
      <c r="Y57" s="29">
        <f>_xlfn.XLOOKUP($D57,Tab_Def_Processes[Name(EN)],Tab_Def_Processes[Input_Flow_I_5],,0,)</f>
        <v/>
      </c>
      <c r="Z57" s="272">
        <f>_xlfn.XLOOKUP($D57,Tab_Def_Processes[Name(EN)],Tab_Def_Processes[Flow_ID_I_5],,0,)</f>
        <v/>
      </c>
      <c r="AA57" s="33" t="n"/>
      <c r="AB57" s="32">
        <f>Tab_Process_TCs2527[[#This Row],[Flow_TC_I_1_'[%']]]+Tab_Process_TCs2527[[#This Row],[Flow_TC_I_2_'[%']]]+Tab_Process_TCs2527[[#This Row],[Flow_TC_I_3_'[%']]]+Tab_Process_TCs2527[[#This Row],[Flow_TC_I_4_'[%']]]+Tab_Process_TCs2527[[#This Row],[Flow_TC_I_5_'[%']]]</f>
        <v/>
      </c>
      <c r="AC57" s="296">
        <f>_xlfn.XLOOKUP($D57,#REF!,#REF!,,0,)</f>
        <v/>
      </c>
      <c r="AD57" s="272">
        <f>_xlfn.XLOOKUP($D57,#REF!,#REF!,,0,)</f>
        <v/>
      </c>
      <c r="AE57" s="42">
        <f>Tab_Process_TCs2527[[#This Row],[Flow_ID]]</f>
        <v/>
      </c>
      <c r="AF57" s="272">
        <f>"TC"&amp;"_"&amp;RIGHT(AD57,5)</f>
        <v/>
      </c>
      <c r="AG57" s="49" t="n">
        <v>1</v>
      </c>
      <c r="AH57" s="169">
        <f>_xlfn.XLOOKUP($D57,#REF!,#REF!,,0,)</f>
        <v/>
      </c>
      <c r="AI57" s="53">
        <f>_xlfn.XLOOKUP($D57,#REF!,#REF!,,0,)</f>
        <v/>
      </c>
      <c r="AJ57" s="42">
        <f>Tab_Process_TCs2527[[#This Row],[Flow_ID]]</f>
        <v/>
      </c>
      <c r="AK57" s="272">
        <f>"TC"&amp;"_"&amp;RIGHT(AI57,5)</f>
        <v/>
      </c>
      <c r="AL57" s="168" t="n"/>
      <c r="AM57" s="296">
        <f>_xlfn.XLOOKUP($D57,#REF!,#REF!,,0,)</f>
        <v/>
      </c>
      <c r="AN57" s="272">
        <f>_xlfn.XLOOKUP($D57,#REF!,#REF!,,0,)</f>
        <v/>
      </c>
      <c r="AO57" s="42">
        <f>Tab_Process_TCs2527[[#This Row],[Flow_ID]]</f>
        <v/>
      </c>
      <c r="AP57" s="272">
        <f>"TC"&amp;"_"&amp;RIGHT(AN57,5)</f>
        <v/>
      </c>
      <c r="AQ57" s="168" t="n"/>
      <c r="AR57" s="296">
        <f>_xlfn.XLOOKUP($D57,#REF!,#REF!,,0,)</f>
        <v/>
      </c>
      <c r="AS57" s="272">
        <f>_xlfn.XLOOKUP($D57,#REF!,#REF!,,0,)</f>
        <v/>
      </c>
      <c r="AT57" s="42">
        <f>Tab_Process_TCs2527[[#This Row],[Flow_ID]]</f>
        <v/>
      </c>
      <c r="AU57" s="42">
        <f>"TC"&amp;"_"&amp;RIGHT(AN57,5)</f>
        <v/>
      </c>
      <c r="AV57" s="168" t="n"/>
      <c r="AW57" s="296">
        <f>_xlfn.XLOOKUP($D57,#REF!,#REF!,,0,)</f>
        <v/>
      </c>
      <c r="AX57" s="272">
        <f>_xlfn.XLOOKUP($D57,#REF!,#REF!,,0,)</f>
        <v/>
      </c>
      <c r="AY57" s="42">
        <f>Tab_Process_TCs2527[[#This Row],[Flow_ID]]</f>
        <v/>
      </c>
      <c r="AZ57" s="42">
        <f>"TC"&amp;"_"&amp;RIGHT(AX57,5)</f>
        <v/>
      </c>
      <c r="BA57" s="168" t="n"/>
      <c r="BB57" s="272">
        <f>_xlfn.XLOOKUP($D57,#REF!,#REF!,,0,)</f>
        <v/>
      </c>
      <c r="BC57" s="272">
        <f>_xlfn.XLOOKUP($D57,#REF!,#REF!,,0,)</f>
        <v/>
      </c>
      <c r="BD57" s="42">
        <f>Tab_Process_TCs2527[[#This Row],[Flow_ID]]</f>
        <v/>
      </c>
      <c r="BE57" s="42">
        <f>"TC"&amp;"_"&amp;RIGHT(BC57,5)</f>
        <v/>
      </c>
      <c r="BF57" s="49" t="n"/>
      <c r="BG57" s="52">
        <f>Tab_Process_TCs2527[[#This Row],[TC O_6_'[%']]]+Tab_Process_TCs2527[[#This Row],[TC O_5_'[%']]]+Tab_Process_TCs2527[[#This Row],[TC_O_4_'[%']]]+Tab_Process_TCs2527[[#This Row],[TC_O_3_'[%']]]+Tab_Process_TCs2527[[#This Row],[TC_O_2_'[%']]]+Tab_Process_TCs2527[[#This Row],[TC_O_1_'[%']]]</f>
        <v/>
      </c>
      <c r="BH57" s="273" t="n"/>
      <c r="BI57" s="273" t="n"/>
      <c r="BJ57" s="273" t="n"/>
      <c r="BK57" s="273" t="n"/>
      <c r="BL57" s="273" t="n"/>
    </row>
    <row r="58">
      <c r="A58" s="280" t="b">
        <v>0</v>
      </c>
      <c r="B58" s="272">
        <f>ROW()-1</f>
        <v/>
      </c>
      <c r="C58" s="286">
        <f>_xlfn.XLOOKUP($D58,Tab_Process_TCs[Name(EN)],Tab_Process_TCs[Process_ID],,0,)</f>
        <v/>
      </c>
      <c r="D58" s="189" t="inlineStr">
        <is>
          <t>N.A.</t>
        </is>
      </c>
      <c r="E58" s="189" t="inlineStr">
        <is>
          <t>N.A.</t>
        </is>
      </c>
      <c r="F58" s="286">
        <f>_xlfn.XLOOKUP($D58,Tab_Process_TCs[Name(EN)],Tab_Process_TCs[TC?],,0,)</f>
        <v/>
      </c>
      <c r="G58" s="286">
        <f>_xlfn.XLOOKUP($D58,Tab_Process_TCs[Name(EN)],Tab_Process_TCs[Dyn_TC?],,0,)</f>
        <v/>
      </c>
      <c r="H58" s="272">
        <f>_xlfn.XLOOKUP($E58,Tab_Def_Flows[Name(EN)],Tab_Def_Flows[Flow_ID],,0,1)</f>
        <v/>
      </c>
      <c r="I58" s="272">
        <f>IF(Tab_Process_TCs2527[[#This Row],[Name(EN)]]="N.A.","N.A.","TC"&amp;"_"&amp;RIGHT(H58,5))</f>
        <v/>
      </c>
      <c r="J58" s="273" t="n"/>
      <c r="K58" s="183" t="n"/>
      <c r="L58" s="272" t="n"/>
      <c r="M58" s="296">
        <f>_xlfn.XLOOKUP($D58,Tab_Def_Processes[Name(EN)],Tab_Def_Processes[Input_Flow_I_1],,0,)</f>
        <v/>
      </c>
      <c r="N58" s="272">
        <f>_xlfn.XLOOKUP($D58,Tab_Def_Processes[Name(EN)],Tab_Def_Processes[Flow_ID_I_1],,0,)</f>
        <v/>
      </c>
      <c r="O58" s="33" t="n"/>
      <c r="P58" s="29">
        <f>_xlfn.XLOOKUP($D58,Tab_Def_Processes[Name(EN)],Tab_Def_Processes[Input_Flow_I_2],,0,)</f>
        <v/>
      </c>
      <c r="Q58" s="272">
        <f>_xlfn.XLOOKUP($D58,Tab_Def_Processes[Name(EN)],Tab_Def_Processes[Flow_ID_I_2],,0,)</f>
        <v/>
      </c>
      <c r="R58" s="33" t="n"/>
      <c r="S58" s="29">
        <f>_xlfn.XLOOKUP($D58,Tab_Def_Processes[Name(EN)],Tab_Def_Processes[Input_Flow_I_3],,0,)</f>
        <v/>
      </c>
      <c r="T58" s="272">
        <f>_xlfn.XLOOKUP($D58,Tab_Def_Processes[Name(EN)],Tab_Def_Processes[Flow_ID_I_3],,0,)</f>
        <v/>
      </c>
      <c r="U58" s="33" t="n"/>
      <c r="V58" s="29">
        <f>_xlfn.XLOOKUP($D58,Tab_Def_Processes[Name(EN)],Tab_Def_Processes[Input_Flow_I_4],,0,)</f>
        <v/>
      </c>
      <c r="W58" s="272">
        <f>_xlfn.XLOOKUP($D58,Tab_Def_Processes[Name(EN)],Tab_Def_Processes[Flow_ID_I_4],,0,)</f>
        <v/>
      </c>
      <c r="X58" s="33" t="n"/>
      <c r="Y58" s="29">
        <f>_xlfn.XLOOKUP($D58,Tab_Def_Processes[Name(EN)],Tab_Def_Processes[Input_Flow_I_5],,0,)</f>
        <v/>
      </c>
      <c r="Z58" s="272">
        <f>_xlfn.XLOOKUP($D58,Tab_Def_Processes[Name(EN)],Tab_Def_Processes[Flow_ID_I_5],,0,)</f>
        <v/>
      </c>
      <c r="AA58" s="33" t="n"/>
      <c r="AB58" s="32">
        <f>Tab_Process_TCs2527[[#This Row],[Flow_TC_I_1_'[%']]]+Tab_Process_TCs2527[[#This Row],[Flow_TC_I_2_'[%']]]+Tab_Process_TCs2527[[#This Row],[Flow_TC_I_3_'[%']]]+Tab_Process_TCs2527[[#This Row],[Flow_TC_I_4_'[%']]]+Tab_Process_TCs2527[[#This Row],[Flow_TC_I_5_'[%']]]</f>
        <v/>
      </c>
      <c r="AC58" s="296">
        <f>_xlfn.XLOOKUP($D58,#REF!,#REF!,,0,)</f>
        <v/>
      </c>
      <c r="AD58" s="272">
        <f>_xlfn.XLOOKUP($D58,#REF!,#REF!,,0,)</f>
        <v/>
      </c>
      <c r="AE58" s="42">
        <f>Tab_Process_TCs2527[[#This Row],[Flow_ID]]</f>
        <v/>
      </c>
      <c r="AF58" s="272">
        <f>"TC"&amp;"_"&amp;RIGHT(AD58,5)</f>
        <v/>
      </c>
      <c r="AG58" s="49" t="n">
        <v>1</v>
      </c>
      <c r="AH58" s="169">
        <f>_xlfn.XLOOKUP($D58,#REF!,#REF!,,0,)</f>
        <v/>
      </c>
      <c r="AI58" s="53">
        <f>_xlfn.XLOOKUP($D58,#REF!,#REF!,,0,)</f>
        <v/>
      </c>
      <c r="AJ58" s="42">
        <f>Tab_Process_TCs2527[[#This Row],[Flow_ID]]</f>
        <v/>
      </c>
      <c r="AK58" s="272">
        <f>"TC"&amp;"_"&amp;RIGHT(AI58,5)</f>
        <v/>
      </c>
      <c r="AL58" s="168" t="n"/>
      <c r="AM58" s="296">
        <f>_xlfn.XLOOKUP($D58,#REF!,#REF!,,0,)</f>
        <v/>
      </c>
      <c r="AN58" s="272">
        <f>_xlfn.XLOOKUP($D58,#REF!,#REF!,,0,)</f>
        <v/>
      </c>
      <c r="AO58" s="42">
        <f>Tab_Process_TCs2527[[#This Row],[Flow_ID]]</f>
        <v/>
      </c>
      <c r="AP58" s="272">
        <f>"TC"&amp;"_"&amp;RIGHT(AN58,5)</f>
        <v/>
      </c>
      <c r="AQ58" s="168" t="n"/>
      <c r="AR58" s="296">
        <f>_xlfn.XLOOKUP($D58,#REF!,#REF!,,0,)</f>
        <v/>
      </c>
      <c r="AS58" s="272">
        <f>_xlfn.XLOOKUP($D58,#REF!,#REF!,,0,)</f>
        <v/>
      </c>
      <c r="AT58" s="42">
        <f>Tab_Process_TCs2527[[#This Row],[Flow_ID]]</f>
        <v/>
      </c>
      <c r="AU58" s="42">
        <f>"TC"&amp;"_"&amp;RIGHT(AN58,5)</f>
        <v/>
      </c>
      <c r="AV58" s="168" t="n"/>
      <c r="AW58" s="296">
        <f>_xlfn.XLOOKUP($D58,#REF!,#REF!,,0,)</f>
        <v/>
      </c>
      <c r="AX58" s="272">
        <f>_xlfn.XLOOKUP($D58,#REF!,#REF!,,0,)</f>
        <v/>
      </c>
      <c r="AY58" s="42">
        <f>Tab_Process_TCs2527[[#This Row],[Flow_ID]]</f>
        <v/>
      </c>
      <c r="AZ58" s="42">
        <f>"TC"&amp;"_"&amp;RIGHT(AX58,5)</f>
        <v/>
      </c>
      <c r="BA58" s="168" t="n"/>
      <c r="BB58" s="272">
        <f>_xlfn.XLOOKUP($D58,#REF!,#REF!,,0,)</f>
        <v/>
      </c>
      <c r="BC58" s="272">
        <f>_xlfn.XLOOKUP($D58,#REF!,#REF!,,0,)</f>
        <v/>
      </c>
      <c r="BD58" s="42">
        <f>Tab_Process_TCs2527[[#This Row],[Flow_ID]]</f>
        <v/>
      </c>
      <c r="BE58" s="42">
        <f>"TC"&amp;"_"&amp;RIGHT(BC58,5)</f>
        <v/>
      </c>
      <c r="BF58" s="49" t="n"/>
      <c r="BG58" s="52">
        <f>Tab_Process_TCs2527[[#This Row],[TC O_6_'[%']]]+Tab_Process_TCs2527[[#This Row],[TC O_5_'[%']]]+Tab_Process_TCs2527[[#This Row],[TC_O_4_'[%']]]+Tab_Process_TCs2527[[#This Row],[TC_O_3_'[%']]]+Tab_Process_TCs2527[[#This Row],[TC_O_2_'[%']]]+Tab_Process_TCs2527[[#This Row],[TC_O_1_'[%']]]</f>
        <v/>
      </c>
      <c r="BH58" s="273" t="n"/>
      <c r="BI58" s="273" t="n"/>
      <c r="BJ58" s="273" t="n"/>
      <c r="BK58" s="273" t="n"/>
      <c r="BL58" s="273" t="n"/>
    </row>
    <row r="59">
      <c r="A59" s="280" t="b">
        <v>0</v>
      </c>
      <c r="B59" s="272">
        <f>ROW()-1</f>
        <v/>
      </c>
      <c r="C59" s="286">
        <f>_xlfn.XLOOKUP($D59,Tab_Process_TCs[Name(EN)],Tab_Process_TCs[Process_ID],,0,)</f>
        <v/>
      </c>
      <c r="D59" s="189" t="inlineStr">
        <is>
          <t>N.A.</t>
        </is>
      </c>
      <c r="E59" s="189" t="inlineStr">
        <is>
          <t>N.A.</t>
        </is>
      </c>
      <c r="F59" s="286">
        <f>_xlfn.XLOOKUP($D59,Tab_Process_TCs[Name(EN)],Tab_Process_TCs[TC?],,0,)</f>
        <v/>
      </c>
      <c r="G59" s="286">
        <f>_xlfn.XLOOKUP($D59,Tab_Process_TCs[Name(EN)],Tab_Process_TCs[Dyn_TC?],,0,)</f>
        <v/>
      </c>
      <c r="H59" s="272">
        <f>_xlfn.XLOOKUP($E59,Tab_Def_Flows[Name(EN)],Tab_Def_Flows[Flow_ID],,0,1)</f>
        <v/>
      </c>
      <c r="I59" s="272">
        <f>IF(Tab_Process_TCs2527[[#This Row],[Name(EN)]]="N.A.","N.A.","TC"&amp;"_"&amp;RIGHT(H59,5))</f>
        <v/>
      </c>
      <c r="J59" s="273" t="n"/>
      <c r="K59" s="183" t="n"/>
      <c r="L59" s="272" t="n"/>
      <c r="M59" s="296">
        <f>_xlfn.XLOOKUP($D59,Tab_Def_Processes[Name(EN)],Tab_Def_Processes[Input_Flow_I_1],,0,)</f>
        <v/>
      </c>
      <c r="N59" s="272">
        <f>_xlfn.XLOOKUP($D59,Tab_Def_Processes[Name(EN)],Tab_Def_Processes[Flow_ID_I_1],,0,)</f>
        <v/>
      </c>
      <c r="O59" s="33" t="n"/>
      <c r="P59" s="29">
        <f>_xlfn.XLOOKUP($D59,Tab_Def_Processes[Name(EN)],Tab_Def_Processes[Input_Flow_I_2],,0,)</f>
        <v/>
      </c>
      <c r="Q59" s="272">
        <f>_xlfn.XLOOKUP($D59,Tab_Def_Processes[Name(EN)],Tab_Def_Processes[Flow_ID_I_2],,0,)</f>
        <v/>
      </c>
      <c r="R59" s="33" t="n"/>
      <c r="S59" s="29">
        <f>_xlfn.XLOOKUP($D59,Tab_Def_Processes[Name(EN)],Tab_Def_Processes[Input_Flow_I_3],,0,)</f>
        <v/>
      </c>
      <c r="T59" s="272">
        <f>_xlfn.XLOOKUP($D59,Tab_Def_Processes[Name(EN)],Tab_Def_Processes[Flow_ID_I_3],,0,)</f>
        <v/>
      </c>
      <c r="U59" s="33" t="n"/>
      <c r="V59" s="29">
        <f>_xlfn.XLOOKUP($D59,Tab_Def_Processes[Name(EN)],Tab_Def_Processes[Input_Flow_I_4],,0,)</f>
        <v/>
      </c>
      <c r="W59" s="272">
        <f>_xlfn.XLOOKUP($D59,Tab_Def_Processes[Name(EN)],Tab_Def_Processes[Flow_ID_I_4],,0,)</f>
        <v/>
      </c>
      <c r="X59" s="33" t="n"/>
      <c r="Y59" s="29">
        <f>_xlfn.XLOOKUP($D59,Tab_Def_Processes[Name(EN)],Tab_Def_Processes[Input_Flow_I_5],,0,)</f>
        <v/>
      </c>
      <c r="Z59" s="272">
        <f>_xlfn.XLOOKUP($D59,Tab_Def_Processes[Name(EN)],Tab_Def_Processes[Flow_ID_I_5],,0,)</f>
        <v/>
      </c>
      <c r="AA59" s="33" t="n"/>
      <c r="AB59" s="32">
        <f>Tab_Process_TCs2527[[#This Row],[Flow_TC_I_1_'[%']]]+Tab_Process_TCs2527[[#This Row],[Flow_TC_I_2_'[%']]]+Tab_Process_TCs2527[[#This Row],[Flow_TC_I_3_'[%']]]+Tab_Process_TCs2527[[#This Row],[Flow_TC_I_4_'[%']]]+Tab_Process_TCs2527[[#This Row],[Flow_TC_I_5_'[%']]]</f>
        <v/>
      </c>
      <c r="AC59" s="296">
        <f>_xlfn.XLOOKUP($D59,#REF!,#REF!,,0,)</f>
        <v/>
      </c>
      <c r="AD59" s="272">
        <f>_xlfn.XLOOKUP($D59,#REF!,#REF!,,0,)</f>
        <v/>
      </c>
      <c r="AE59" s="42">
        <f>Tab_Process_TCs2527[[#This Row],[Flow_ID]]</f>
        <v/>
      </c>
      <c r="AF59" s="272">
        <f>"TC"&amp;"_"&amp;RIGHT(AD59,5)</f>
        <v/>
      </c>
      <c r="AG59" s="49" t="n">
        <v>1</v>
      </c>
      <c r="AH59" s="169">
        <f>_xlfn.XLOOKUP($D59,#REF!,#REF!,,0,)</f>
        <v/>
      </c>
      <c r="AI59" s="53">
        <f>_xlfn.XLOOKUP($D59,#REF!,#REF!,,0,)</f>
        <v/>
      </c>
      <c r="AJ59" s="42">
        <f>Tab_Process_TCs2527[[#This Row],[Flow_ID]]</f>
        <v/>
      </c>
      <c r="AK59" s="272">
        <f>"TC"&amp;"_"&amp;RIGHT(AI59,5)</f>
        <v/>
      </c>
      <c r="AL59" s="168" t="n"/>
      <c r="AM59" s="296">
        <f>_xlfn.XLOOKUP($D59,#REF!,#REF!,,0,)</f>
        <v/>
      </c>
      <c r="AN59" s="272">
        <f>_xlfn.XLOOKUP($D59,#REF!,#REF!,,0,)</f>
        <v/>
      </c>
      <c r="AO59" s="42">
        <f>Tab_Process_TCs2527[[#This Row],[Flow_ID]]</f>
        <v/>
      </c>
      <c r="AP59" s="272">
        <f>"TC"&amp;"_"&amp;RIGHT(AN59,5)</f>
        <v/>
      </c>
      <c r="AQ59" s="168" t="n"/>
      <c r="AR59" s="296">
        <f>_xlfn.XLOOKUP($D59,#REF!,#REF!,,0,)</f>
        <v/>
      </c>
      <c r="AS59" s="272">
        <f>_xlfn.XLOOKUP($D59,#REF!,#REF!,,0,)</f>
        <v/>
      </c>
      <c r="AT59" s="42">
        <f>Tab_Process_TCs2527[[#This Row],[Flow_ID]]</f>
        <v/>
      </c>
      <c r="AU59" s="42">
        <f>"TC"&amp;"_"&amp;RIGHT(AN59,5)</f>
        <v/>
      </c>
      <c r="AV59" s="168" t="n"/>
      <c r="AW59" s="296">
        <f>_xlfn.XLOOKUP($D59,#REF!,#REF!,,0,)</f>
        <v/>
      </c>
      <c r="AX59" s="272">
        <f>_xlfn.XLOOKUP($D59,#REF!,#REF!,,0,)</f>
        <v/>
      </c>
      <c r="AY59" s="42">
        <f>Tab_Process_TCs2527[[#This Row],[Flow_ID]]</f>
        <v/>
      </c>
      <c r="AZ59" s="42">
        <f>"TC"&amp;"_"&amp;RIGHT(AX59,5)</f>
        <v/>
      </c>
      <c r="BA59" s="168" t="n"/>
      <c r="BB59" s="272">
        <f>_xlfn.XLOOKUP($D59,#REF!,#REF!,,0,)</f>
        <v/>
      </c>
      <c r="BC59" s="272">
        <f>_xlfn.XLOOKUP($D59,#REF!,#REF!,,0,)</f>
        <v/>
      </c>
      <c r="BD59" s="42">
        <f>Tab_Process_TCs2527[[#This Row],[Flow_ID]]</f>
        <v/>
      </c>
      <c r="BE59" s="42">
        <f>"TC"&amp;"_"&amp;RIGHT(BC59,5)</f>
        <v/>
      </c>
      <c r="BF59" s="49" t="n"/>
      <c r="BG59" s="52">
        <f>Tab_Process_TCs2527[[#This Row],[TC O_6_'[%']]]+Tab_Process_TCs2527[[#This Row],[TC O_5_'[%']]]+Tab_Process_TCs2527[[#This Row],[TC_O_4_'[%']]]+Tab_Process_TCs2527[[#This Row],[TC_O_3_'[%']]]+Tab_Process_TCs2527[[#This Row],[TC_O_2_'[%']]]+Tab_Process_TCs2527[[#This Row],[TC_O_1_'[%']]]</f>
        <v/>
      </c>
      <c r="BH59" s="273" t="n"/>
      <c r="BI59" s="273" t="n"/>
      <c r="BJ59" s="273" t="n"/>
      <c r="BK59" s="273" t="n"/>
      <c r="BL59" s="273" t="n"/>
    </row>
    <row r="60">
      <c r="A60" s="280" t="b">
        <v>0</v>
      </c>
      <c r="B60" s="272">
        <f>ROW()-1</f>
        <v/>
      </c>
      <c r="C60" s="286">
        <f>_xlfn.XLOOKUP($D60,Tab_Process_TCs[Name(EN)],Tab_Process_TCs[Process_ID],,0,)</f>
        <v/>
      </c>
      <c r="D60" s="189" t="inlineStr">
        <is>
          <t>N.A.</t>
        </is>
      </c>
      <c r="E60" s="189" t="inlineStr">
        <is>
          <t>N.A.</t>
        </is>
      </c>
      <c r="F60" s="286">
        <f>_xlfn.XLOOKUP($D60,Tab_Process_TCs[Name(EN)],Tab_Process_TCs[TC?],,0,)</f>
        <v/>
      </c>
      <c r="G60" s="286">
        <f>_xlfn.XLOOKUP($D60,Tab_Process_TCs[Name(EN)],Tab_Process_TCs[Dyn_TC?],,0,)</f>
        <v/>
      </c>
      <c r="H60" s="272">
        <f>_xlfn.XLOOKUP($E60,Tab_Def_Flows[Name(EN)],Tab_Def_Flows[Flow_ID],,0,1)</f>
        <v/>
      </c>
      <c r="I60" s="272">
        <f>IF(Tab_Process_TCs2527[[#This Row],[Name(EN)]]="N.A.","N.A.","TC"&amp;"_"&amp;RIGHT(H60,5))</f>
        <v/>
      </c>
      <c r="J60" s="273" t="n"/>
      <c r="K60" s="183" t="n"/>
      <c r="L60" s="272" t="n"/>
      <c r="M60" s="296">
        <f>_xlfn.XLOOKUP($D60,Tab_Def_Processes[Name(EN)],Tab_Def_Processes[Input_Flow_I_1],,0,)</f>
        <v/>
      </c>
      <c r="N60" s="272">
        <f>_xlfn.XLOOKUP($D60,Tab_Def_Processes[Name(EN)],Tab_Def_Processes[Flow_ID_I_1],,0,)</f>
        <v/>
      </c>
      <c r="O60" s="33" t="n"/>
      <c r="P60" s="29">
        <f>_xlfn.XLOOKUP($D60,Tab_Def_Processes[Name(EN)],Tab_Def_Processes[Input_Flow_I_2],,0,)</f>
        <v/>
      </c>
      <c r="Q60" s="272">
        <f>_xlfn.XLOOKUP($D60,Tab_Def_Processes[Name(EN)],Tab_Def_Processes[Flow_ID_I_2],,0,)</f>
        <v/>
      </c>
      <c r="R60" s="33" t="n"/>
      <c r="S60" s="29">
        <f>_xlfn.XLOOKUP($D60,Tab_Def_Processes[Name(EN)],Tab_Def_Processes[Input_Flow_I_3],,0,)</f>
        <v/>
      </c>
      <c r="T60" s="272">
        <f>_xlfn.XLOOKUP($D60,Tab_Def_Processes[Name(EN)],Tab_Def_Processes[Flow_ID_I_3],,0,)</f>
        <v/>
      </c>
      <c r="U60" s="33" t="n"/>
      <c r="V60" s="29">
        <f>_xlfn.XLOOKUP($D60,Tab_Def_Processes[Name(EN)],Tab_Def_Processes[Input_Flow_I_4],,0,)</f>
        <v/>
      </c>
      <c r="W60" s="272">
        <f>_xlfn.XLOOKUP($D60,Tab_Def_Processes[Name(EN)],Tab_Def_Processes[Flow_ID_I_4],,0,)</f>
        <v/>
      </c>
      <c r="X60" s="33" t="n"/>
      <c r="Y60" s="29">
        <f>_xlfn.XLOOKUP($D60,Tab_Def_Processes[Name(EN)],Tab_Def_Processes[Input_Flow_I_5],,0,)</f>
        <v/>
      </c>
      <c r="Z60" s="272">
        <f>_xlfn.XLOOKUP($D60,Tab_Def_Processes[Name(EN)],Tab_Def_Processes[Flow_ID_I_5],,0,)</f>
        <v/>
      </c>
      <c r="AA60" s="33" t="n"/>
      <c r="AB60" s="32">
        <f>Tab_Process_TCs2527[[#This Row],[Flow_TC_I_1_'[%']]]+Tab_Process_TCs2527[[#This Row],[Flow_TC_I_2_'[%']]]+Tab_Process_TCs2527[[#This Row],[Flow_TC_I_3_'[%']]]+Tab_Process_TCs2527[[#This Row],[Flow_TC_I_4_'[%']]]+Tab_Process_TCs2527[[#This Row],[Flow_TC_I_5_'[%']]]</f>
        <v/>
      </c>
      <c r="AC60" s="296">
        <f>_xlfn.XLOOKUP($D60,#REF!,#REF!,,0,)</f>
        <v/>
      </c>
      <c r="AD60" s="272">
        <f>_xlfn.XLOOKUP($D60,#REF!,#REF!,,0,)</f>
        <v/>
      </c>
      <c r="AE60" s="42">
        <f>Tab_Process_TCs2527[[#This Row],[Flow_ID]]</f>
        <v/>
      </c>
      <c r="AF60" s="272">
        <f>"TC"&amp;"_"&amp;RIGHT(AD60,5)</f>
        <v/>
      </c>
      <c r="AG60" s="49" t="n">
        <v>0.3</v>
      </c>
      <c r="AH60" s="169">
        <f>_xlfn.XLOOKUP($D60,#REF!,#REF!,,0,)</f>
        <v/>
      </c>
      <c r="AI60" s="53">
        <f>_xlfn.XLOOKUP($D60,#REF!,#REF!,,0,)</f>
        <v/>
      </c>
      <c r="AJ60" s="42">
        <f>Tab_Process_TCs2527[[#This Row],[Flow_ID]]</f>
        <v/>
      </c>
      <c r="AK60" s="272">
        <f>"TC"&amp;"_"&amp;RIGHT(AI60,5)</f>
        <v/>
      </c>
      <c r="AL60" s="168" t="n">
        <v>0.45</v>
      </c>
      <c r="AM60" s="296">
        <f>_xlfn.XLOOKUP($D60,#REF!,#REF!,,0,)</f>
        <v/>
      </c>
      <c r="AN60" s="272">
        <f>_xlfn.XLOOKUP($D60,#REF!,#REF!,,0,)</f>
        <v/>
      </c>
      <c r="AO60" s="42">
        <f>Tab_Process_TCs2527[[#This Row],[Flow_ID]]</f>
        <v/>
      </c>
      <c r="AP60" s="272">
        <f>"TC"&amp;"_"&amp;RIGHT(AN60,5)</f>
        <v/>
      </c>
      <c r="AQ60" s="168" t="n">
        <v>0.25</v>
      </c>
      <c r="AR60" s="296">
        <f>_xlfn.XLOOKUP($D60,#REF!,#REF!,,0,)</f>
        <v/>
      </c>
      <c r="AS60" s="272">
        <f>_xlfn.XLOOKUP($D60,#REF!,#REF!,,0,)</f>
        <v/>
      </c>
      <c r="AT60" s="42">
        <f>Tab_Process_TCs2527[[#This Row],[Flow_ID]]</f>
        <v/>
      </c>
      <c r="AU60" s="42">
        <f>"TC"&amp;"_"&amp;RIGHT(AN60,5)</f>
        <v/>
      </c>
      <c r="AV60" s="168" t="n"/>
      <c r="AW60" s="296">
        <f>_xlfn.XLOOKUP($D60,#REF!,#REF!,,0,)</f>
        <v/>
      </c>
      <c r="AX60" s="272">
        <f>_xlfn.XLOOKUP($D60,#REF!,#REF!,,0,)</f>
        <v/>
      </c>
      <c r="AY60" s="42">
        <f>Tab_Process_TCs2527[[#This Row],[Flow_ID]]</f>
        <v/>
      </c>
      <c r="AZ60" s="42">
        <f>"TC"&amp;"_"&amp;RIGHT(AX60,5)</f>
        <v/>
      </c>
      <c r="BA60" s="168" t="n"/>
      <c r="BB60" s="272">
        <f>_xlfn.XLOOKUP($D60,#REF!,#REF!,,0,)</f>
        <v/>
      </c>
      <c r="BC60" s="272">
        <f>_xlfn.XLOOKUP($D60,#REF!,#REF!,,0,)</f>
        <v/>
      </c>
      <c r="BD60" s="42">
        <f>Tab_Process_TCs2527[[#This Row],[Flow_ID]]</f>
        <v/>
      </c>
      <c r="BE60" s="42">
        <f>"TC"&amp;"_"&amp;RIGHT(BC60,5)</f>
        <v/>
      </c>
      <c r="BF60" s="49" t="n"/>
      <c r="BG60" s="52">
        <f>Tab_Process_TCs2527[[#This Row],[TC O_6_'[%']]]+Tab_Process_TCs2527[[#This Row],[TC O_5_'[%']]]+Tab_Process_TCs2527[[#This Row],[TC_O_4_'[%']]]+Tab_Process_TCs2527[[#This Row],[TC_O_3_'[%']]]+Tab_Process_TCs2527[[#This Row],[TC_O_2_'[%']]]+Tab_Process_TCs2527[[#This Row],[TC_O_1_'[%']]]</f>
        <v/>
      </c>
      <c r="BH60" s="273" t="n"/>
      <c r="BI60" s="273" t="n"/>
      <c r="BJ60" s="273" t="n"/>
      <c r="BK60" s="273" t="n"/>
      <c r="BL60" s="273" t="n"/>
    </row>
    <row r="61">
      <c r="A61" s="280" t="b">
        <v>0</v>
      </c>
      <c r="B61" s="272">
        <f>ROW()-1</f>
        <v/>
      </c>
      <c r="C61" s="286">
        <f>_xlfn.XLOOKUP($D61,Tab_Process_TCs[Name(EN)],Tab_Process_TCs[Process_ID],,0,)</f>
        <v/>
      </c>
      <c r="D61" s="189" t="inlineStr">
        <is>
          <t>N.A.</t>
        </is>
      </c>
      <c r="E61" s="189" t="inlineStr">
        <is>
          <t>N.A.</t>
        </is>
      </c>
      <c r="F61" s="286">
        <f>_xlfn.XLOOKUP($D61,Tab_Process_TCs[Name(EN)],Tab_Process_TCs[TC?],,0,)</f>
        <v/>
      </c>
      <c r="G61" s="286">
        <f>_xlfn.XLOOKUP($D61,Tab_Process_TCs[Name(EN)],Tab_Process_TCs[Dyn_TC?],,0,)</f>
        <v/>
      </c>
      <c r="H61" s="272">
        <f>_xlfn.XLOOKUP($E61,Tab_Def_Flows[Name(EN)],Tab_Def_Flows[Flow_ID],,0,1)</f>
        <v/>
      </c>
      <c r="I61" s="272">
        <f>IF(Tab_Process_TCs2527[[#This Row],[Name(EN)]]="N.A.","N.A.","TC"&amp;"_"&amp;RIGHT(H61,5))</f>
        <v/>
      </c>
      <c r="J61" s="273" t="n"/>
      <c r="K61" s="183" t="n"/>
      <c r="L61" s="272" t="n"/>
      <c r="M61" s="296">
        <f>_xlfn.XLOOKUP($D61,Tab_Def_Processes[Name(EN)],Tab_Def_Processes[Input_Flow_I_1],,0,)</f>
        <v/>
      </c>
      <c r="N61" s="272">
        <f>_xlfn.XLOOKUP($D61,Tab_Def_Processes[Name(EN)],Tab_Def_Processes[Flow_ID_I_1],,0,)</f>
        <v/>
      </c>
      <c r="O61" s="33" t="n"/>
      <c r="P61" s="29">
        <f>_xlfn.XLOOKUP($D61,Tab_Def_Processes[Name(EN)],Tab_Def_Processes[Input_Flow_I_2],,0,)</f>
        <v/>
      </c>
      <c r="Q61" s="272">
        <f>_xlfn.XLOOKUP($D61,Tab_Def_Processes[Name(EN)],Tab_Def_Processes[Flow_ID_I_2],,0,)</f>
        <v/>
      </c>
      <c r="R61" s="33" t="n"/>
      <c r="S61" s="29">
        <f>_xlfn.XLOOKUP($D61,Tab_Def_Processes[Name(EN)],Tab_Def_Processes[Input_Flow_I_3],,0,)</f>
        <v/>
      </c>
      <c r="T61" s="272">
        <f>_xlfn.XLOOKUP($D61,Tab_Def_Processes[Name(EN)],Tab_Def_Processes[Flow_ID_I_3],,0,)</f>
        <v/>
      </c>
      <c r="U61" s="33" t="n"/>
      <c r="V61" s="29">
        <f>_xlfn.XLOOKUP($D61,Tab_Def_Processes[Name(EN)],Tab_Def_Processes[Input_Flow_I_4],,0,)</f>
        <v/>
      </c>
      <c r="W61" s="272">
        <f>_xlfn.XLOOKUP($D61,Tab_Def_Processes[Name(EN)],Tab_Def_Processes[Flow_ID_I_4],,0,)</f>
        <v/>
      </c>
      <c r="X61" s="33" t="n"/>
      <c r="Y61" s="29">
        <f>_xlfn.XLOOKUP($D61,Tab_Def_Processes[Name(EN)],Tab_Def_Processes[Input_Flow_I_5],,0,)</f>
        <v/>
      </c>
      <c r="Z61" s="272">
        <f>_xlfn.XLOOKUP($D61,Tab_Def_Processes[Name(EN)],Tab_Def_Processes[Flow_ID_I_5],,0,)</f>
        <v/>
      </c>
      <c r="AA61" s="33" t="n"/>
      <c r="AB61" s="32">
        <f>Tab_Process_TCs2527[[#This Row],[Flow_TC_I_1_'[%']]]+Tab_Process_TCs2527[[#This Row],[Flow_TC_I_2_'[%']]]+Tab_Process_TCs2527[[#This Row],[Flow_TC_I_3_'[%']]]+Tab_Process_TCs2527[[#This Row],[Flow_TC_I_4_'[%']]]+Tab_Process_TCs2527[[#This Row],[Flow_TC_I_5_'[%']]]</f>
        <v/>
      </c>
      <c r="AC61" s="296">
        <f>_xlfn.XLOOKUP($D61,#REF!,#REF!,,0,)</f>
        <v/>
      </c>
      <c r="AD61" s="272">
        <f>_xlfn.XLOOKUP($D61,#REF!,#REF!,,0,)</f>
        <v/>
      </c>
      <c r="AE61" s="42">
        <f>Tab_Process_TCs2527[[#This Row],[Flow_ID]]</f>
        <v/>
      </c>
      <c r="AF61" s="272">
        <f>"TC"&amp;"_"&amp;RIGHT(AD61,5)</f>
        <v/>
      </c>
      <c r="AG61" s="49">
        <f>AG60+0.01</f>
        <v/>
      </c>
      <c r="AH61" s="169">
        <f>_xlfn.XLOOKUP($D61,#REF!,#REF!,,0,)</f>
        <v/>
      </c>
      <c r="AI61" s="53">
        <f>_xlfn.XLOOKUP($D61,#REF!,#REF!,,0,)</f>
        <v/>
      </c>
      <c r="AJ61" s="42">
        <f>Tab_Process_TCs2527[[#This Row],[Flow_ID]]</f>
        <v/>
      </c>
      <c r="AK61" s="272">
        <f>"TC"&amp;"_"&amp;RIGHT(AI61,5)</f>
        <v/>
      </c>
      <c r="AL61" s="168">
        <f>AL60-0.01</f>
        <v/>
      </c>
      <c r="AM61" s="296">
        <f>_xlfn.XLOOKUP($D61,#REF!,#REF!,,0,)</f>
        <v/>
      </c>
      <c r="AN61" s="272">
        <f>_xlfn.XLOOKUP($D61,#REF!,#REF!,,0,)</f>
        <v/>
      </c>
      <c r="AO61" s="42">
        <f>Tab_Process_TCs2527[[#This Row],[Flow_ID]]</f>
        <v/>
      </c>
      <c r="AP61" s="272">
        <f>"TC"&amp;"_"&amp;RIGHT(AN61,5)</f>
        <v/>
      </c>
      <c r="AQ61" s="168" t="n">
        <v>0.25</v>
      </c>
      <c r="AR61" s="296">
        <f>_xlfn.XLOOKUP($D61,#REF!,#REF!,,0,)</f>
        <v/>
      </c>
      <c r="AS61" s="272">
        <f>_xlfn.XLOOKUP($D61,#REF!,#REF!,,0,)</f>
        <v/>
      </c>
      <c r="AT61" s="42">
        <f>Tab_Process_TCs2527[[#This Row],[Flow_ID]]</f>
        <v/>
      </c>
      <c r="AU61" s="42">
        <f>"TC"&amp;"_"&amp;RIGHT(AN61,5)</f>
        <v/>
      </c>
      <c r="AV61" s="168" t="n"/>
      <c r="AW61" s="296">
        <f>_xlfn.XLOOKUP($D61,#REF!,#REF!,,0,)</f>
        <v/>
      </c>
      <c r="AX61" s="272">
        <f>_xlfn.XLOOKUP($D61,#REF!,#REF!,,0,)</f>
        <v/>
      </c>
      <c r="AY61" s="42">
        <f>Tab_Process_TCs2527[[#This Row],[Flow_ID]]</f>
        <v/>
      </c>
      <c r="AZ61" s="42">
        <f>"TC"&amp;"_"&amp;RIGHT(AX61,5)</f>
        <v/>
      </c>
      <c r="BA61" s="168" t="n"/>
      <c r="BB61" s="272">
        <f>_xlfn.XLOOKUP($D61,#REF!,#REF!,,0,)</f>
        <v/>
      </c>
      <c r="BC61" s="272">
        <f>_xlfn.XLOOKUP($D61,#REF!,#REF!,,0,)</f>
        <v/>
      </c>
      <c r="BD61" s="42">
        <f>Tab_Process_TCs2527[[#This Row],[Flow_ID]]</f>
        <v/>
      </c>
      <c r="BE61" s="42">
        <f>"TC"&amp;"_"&amp;RIGHT(BC61,5)</f>
        <v/>
      </c>
      <c r="BF61" s="49" t="n"/>
      <c r="BG61" s="52">
        <f>Tab_Process_TCs2527[[#This Row],[TC O_6_'[%']]]+Tab_Process_TCs2527[[#This Row],[TC O_5_'[%']]]+Tab_Process_TCs2527[[#This Row],[TC_O_4_'[%']]]+Tab_Process_TCs2527[[#This Row],[TC_O_3_'[%']]]+Tab_Process_TCs2527[[#This Row],[TC_O_2_'[%']]]+Tab_Process_TCs2527[[#This Row],[TC_O_1_'[%']]]</f>
        <v/>
      </c>
      <c r="BH61" s="273" t="n"/>
      <c r="BI61" s="273" t="n"/>
      <c r="BJ61" s="273" t="n"/>
      <c r="BK61" s="273" t="n"/>
      <c r="BL61" s="273" t="n"/>
    </row>
    <row r="62">
      <c r="A62" s="280" t="b">
        <v>0</v>
      </c>
      <c r="B62" s="272">
        <f>ROW()-1</f>
        <v/>
      </c>
      <c r="C62" s="286">
        <f>_xlfn.XLOOKUP($D62,Tab_Process_TCs[Name(EN)],Tab_Process_TCs[Process_ID],,0,)</f>
        <v/>
      </c>
      <c r="D62" s="189" t="inlineStr">
        <is>
          <t>N.A.</t>
        </is>
      </c>
      <c r="E62" s="189" t="inlineStr">
        <is>
          <t>N.A.</t>
        </is>
      </c>
      <c r="F62" s="286">
        <f>_xlfn.XLOOKUP($D62,Tab_Process_TCs[Name(EN)],Tab_Process_TCs[TC?],,0,)</f>
        <v/>
      </c>
      <c r="G62" s="286">
        <f>_xlfn.XLOOKUP($D62,Tab_Process_TCs[Name(EN)],Tab_Process_TCs[Dyn_TC?],,0,)</f>
        <v/>
      </c>
      <c r="H62" s="272">
        <f>_xlfn.XLOOKUP($E62,Tab_Def_Flows[Name(EN)],Tab_Def_Flows[Flow_ID],,0,1)</f>
        <v/>
      </c>
      <c r="I62" s="272">
        <f>IF(Tab_Process_TCs2527[[#This Row],[Name(EN)]]="N.A.","N.A.","TC"&amp;"_"&amp;RIGHT(H62,5))</f>
        <v/>
      </c>
      <c r="J62" s="273" t="n"/>
      <c r="K62" s="183" t="n"/>
      <c r="L62" s="272" t="n"/>
      <c r="M62" s="296">
        <f>_xlfn.XLOOKUP($D62,Tab_Def_Processes[Name(EN)],Tab_Def_Processes[Input_Flow_I_1],,0,)</f>
        <v/>
      </c>
      <c r="N62" s="272">
        <f>_xlfn.XLOOKUP($D62,Tab_Def_Processes[Name(EN)],Tab_Def_Processes[Flow_ID_I_1],,0,)</f>
        <v/>
      </c>
      <c r="O62" s="33" t="n"/>
      <c r="P62" s="29">
        <f>_xlfn.XLOOKUP($D62,Tab_Def_Processes[Name(EN)],Tab_Def_Processes[Input_Flow_I_2],,0,)</f>
        <v/>
      </c>
      <c r="Q62" s="272">
        <f>_xlfn.XLOOKUP($D62,Tab_Def_Processes[Name(EN)],Tab_Def_Processes[Flow_ID_I_2],,0,)</f>
        <v/>
      </c>
      <c r="R62" s="33" t="n"/>
      <c r="S62" s="29">
        <f>_xlfn.XLOOKUP($D62,Tab_Def_Processes[Name(EN)],Tab_Def_Processes[Input_Flow_I_3],,0,)</f>
        <v/>
      </c>
      <c r="T62" s="272">
        <f>_xlfn.XLOOKUP($D62,Tab_Def_Processes[Name(EN)],Tab_Def_Processes[Flow_ID_I_3],,0,)</f>
        <v/>
      </c>
      <c r="U62" s="33" t="n"/>
      <c r="V62" s="29">
        <f>_xlfn.XLOOKUP($D62,Tab_Def_Processes[Name(EN)],Tab_Def_Processes[Input_Flow_I_4],,0,)</f>
        <v/>
      </c>
      <c r="W62" s="272">
        <f>_xlfn.XLOOKUP($D62,Tab_Def_Processes[Name(EN)],Tab_Def_Processes[Flow_ID_I_4],,0,)</f>
        <v/>
      </c>
      <c r="X62" s="33" t="n"/>
      <c r="Y62" s="29">
        <f>_xlfn.XLOOKUP($D62,Tab_Def_Processes[Name(EN)],Tab_Def_Processes[Input_Flow_I_5],,0,)</f>
        <v/>
      </c>
      <c r="Z62" s="272">
        <f>_xlfn.XLOOKUP($D62,Tab_Def_Processes[Name(EN)],Tab_Def_Processes[Flow_ID_I_5],,0,)</f>
        <v/>
      </c>
      <c r="AA62" s="33" t="n"/>
      <c r="AB62" s="32">
        <f>Tab_Process_TCs2527[[#This Row],[Flow_TC_I_1_'[%']]]+Tab_Process_TCs2527[[#This Row],[Flow_TC_I_2_'[%']]]+Tab_Process_TCs2527[[#This Row],[Flow_TC_I_3_'[%']]]+Tab_Process_TCs2527[[#This Row],[Flow_TC_I_4_'[%']]]+Tab_Process_TCs2527[[#This Row],[Flow_TC_I_5_'[%']]]</f>
        <v/>
      </c>
      <c r="AC62" s="296">
        <f>_xlfn.XLOOKUP($D62,#REF!,#REF!,,0,)</f>
        <v/>
      </c>
      <c r="AD62" s="272">
        <f>_xlfn.XLOOKUP($D62,#REF!,#REF!,,0,)</f>
        <v/>
      </c>
      <c r="AE62" s="42">
        <f>Tab_Process_TCs2527[[#This Row],[Flow_ID]]</f>
        <v/>
      </c>
      <c r="AF62" s="272">
        <f>"TC"&amp;"_"&amp;RIGHT(AD62,5)</f>
        <v/>
      </c>
      <c r="AG62" s="49">
        <f>AG61+0.01</f>
        <v/>
      </c>
      <c r="AH62" s="169">
        <f>_xlfn.XLOOKUP($D62,#REF!,#REF!,,0,)</f>
        <v/>
      </c>
      <c r="AI62" s="53">
        <f>_xlfn.XLOOKUP($D62,#REF!,#REF!,,0,)</f>
        <v/>
      </c>
      <c r="AJ62" s="42">
        <f>Tab_Process_TCs2527[[#This Row],[Flow_ID]]</f>
        <v/>
      </c>
      <c r="AK62" s="272">
        <f>"TC"&amp;"_"&amp;RIGHT(AI62,5)</f>
        <v/>
      </c>
      <c r="AL62" s="168">
        <f>AL61-0.01</f>
        <v/>
      </c>
      <c r="AM62" s="296">
        <f>_xlfn.XLOOKUP($D62,#REF!,#REF!,,0,)</f>
        <v/>
      </c>
      <c r="AN62" s="272">
        <f>_xlfn.XLOOKUP($D62,#REF!,#REF!,,0,)</f>
        <v/>
      </c>
      <c r="AO62" s="42">
        <f>Tab_Process_TCs2527[[#This Row],[Flow_ID]]</f>
        <v/>
      </c>
      <c r="AP62" s="272">
        <f>"TC"&amp;"_"&amp;RIGHT(AN62,5)</f>
        <v/>
      </c>
      <c r="AQ62" s="168" t="n">
        <v>0.25</v>
      </c>
      <c r="AR62" s="296">
        <f>_xlfn.XLOOKUP($D62,#REF!,#REF!,,0,)</f>
        <v/>
      </c>
      <c r="AS62" s="272">
        <f>_xlfn.XLOOKUP($D62,#REF!,#REF!,,0,)</f>
        <v/>
      </c>
      <c r="AT62" s="42">
        <f>Tab_Process_TCs2527[[#This Row],[Flow_ID]]</f>
        <v/>
      </c>
      <c r="AU62" s="42">
        <f>"TC"&amp;"_"&amp;RIGHT(AN62,5)</f>
        <v/>
      </c>
      <c r="AV62" s="168" t="n"/>
      <c r="AW62" s="296">
        <f>_xlfn.XLOOKUP($D62,#REF!,#REF!,,0,)</f>
        <v/>
      </c>
      <c r="AX62" s="272">
        <f>_xlfn.XLOOKUP($D62,#REF!,#REF!,,0,)</f>
        <v/>
      </c>
      <c r="AY62" s="42">
        <f>Tab_Process_TCs2527[[#This Row],[Flow_ID]]</f>
        <v/>
      </c>
      <c r="AZ62" s="42">
        <f>"TC"&amp;"_"&amp;RIGHT(AX62,5)</f>
        <v/>
      </c>
      <c r="BA62" s="168" t="n"/>
      <c r="BB62" s="272">
        <f>_xlfn.XLOOKUP($D62,#REF!,#REF!,,0,)</f>
        <v/>
      </c>
      <c r="BC62" s="272">
        <f>_xlfn.XLOOKUP($D62,#REF!,#REF!,,0,)</f>
        <v/>
      </c>
      <c r="BD62" s="42">
        <f>Tab_Process_TCs2527[[#This Row],[Flow_ID]]</f>
        <v/>
      </c>
      <c r="BE62" s="42">
        <f>"TC"&amp;"_"&amp;RIGHT(BC62,5)</f>
        <v/>
      </c>
      <c r="BF62" s="49" t="n"/>
      <c r="BG62" s="52">
        <f>Tab_Process_TCs2527[[#This Row],[TC O_6_'[%']]]+Tab_Process_TCs2527[[#This Row],[TC O_5_'[%']]]+Tab_Process_TCs2527[[#This Row],[TC_O_4_'[%']]]+Tab_Process_TCs2527[[#This Row],[TC_O_3_'[%']]]+Tab_Process_TCs2527[[#This Row],[TC_O_2_'[%']]]+Tab_Process_TCs2527[[#This Row],[TC_O_1_'[%']]]</f>
        <v/>
      </c>
      <c r="BH62" s="273" t="n"/>
      <c r="BI62" s="273" t="n"/>
      <c r="BJ62" s="273" t="n"/>
      <c r="BK62" s="273" t="n"/>
      <c r="BL62" s="273" t="n"/>
    </row>
    <row r="63">
      <c r="A63" s="280" t="b">
        <v>0</v>
      </c>
      <c r="B63" s="272">
        <f>ROW()-1</f>
        <v/>
      </c>
      <c r="C63" s="286">
        <f>_xlfn.XLOOKUP($D63,Tab_Process_TCs[Name(EN)],Tab_Process_TCs[Process_ID],,0,)</f>
        <v/>
      </c>
      <c r="D63" s="189" t="inlineStr">
        <is>
          <t>N.A.</t>
        </is>
      </c>
      <c r="E63" s="189" t="inlineStr">
        <is>
          <t>N.A.</t>
        </is>
      </c>
      <c r="F63" s="286">
        <f>_xlfn.XLOOKUP($D63,Tab_Process_TCs[Name(EN)],Tab_Process_TCs[TC?],,0,)</f>
        <v/>
      </c>
      <c r="G63" s="286">
        <f>_xlfn.XLOOKUP($D63,Tab_Process_TCs[Name(EN)],Tab_Process_TCs[Dyn_TC?],,0,)</f>
        <v/>
      </c>
      <c r="H63" s="272">
        <f>_xlfn.XLOOKUP($E63,Tab_Def_Flows[Name(EN)],Tab_Def_Flows[Flow_ID],,0,1)</f>
        <v/>
      </c>
      <c r="I63" s="272">
        <f>IF(Tab_Process_TCs2527[[#This Row],[Name(EN)]]="N.A.","N.A.","TC"&amp;"_"&amp;RIGHT(H63,5))</f>
        <v/>
      </c>
      <c r="J63" s="273" t="n"/>
      <c r="K63" s="183" t="n"/>
      <c r="L63" s="272" t="n"/>
      <c r="M63" s="296">
        <f>_xlfn.XLOOKUP($D63,Tab_Def_Processes[Name(EN)],Tab_Def_Processes[Input_Flow_I_1],,0,)</f>
        <v/>
      </c>
      <c r="N63" s="272">
        <f>_xlfn.XLOOKUP($D63,Tab_Def_Processes[Name(EN)],Tab_Def_Processes[Flow_ID_I_1],,0,)</f>
        <v/>
      </c>
      <c r="O63" s="33" t="n"/>
      <c r="P63" s="29">
        <f>_xlfn.XLOOKUP($D63,Tab_Def_Processes[Name(EN)],Tab_Def_Processes[Input_Flow_I_2],,0,)</f>
        <v/>
      </c>
      <c r="Q63" s="272">
        <f>_xlfn.XLOOKUP($D63,Tab_Def_Processes[Name(EN)],Tab_Def_Processes[Flow_ID_I_2],,0,)</f>
        <v/>
      </c>
      <c r="R63" s="33" t="n"/>
      <c r="S63" s="29">
        <f>_xlfn.XLOOKUP($D63,Tab_Def_Processes[Name(EN)],Tab_Def_Processes[Input_Flow_I_3],,0,)</f>
        <v/>
      </c>
      <c r="T63" s="272">
        <f>_xlfn.XLOOKUP($D63,Tab_Def_Processes[Name(EN)],Tab_Def_Processes[Flow_ID_I_3],,0,)</f>
        <v/>
      </c>
      <c r="U63" s="33" t="n"/>
      <c r="V63" s="29">
        <f>_xlfn.XLOOKUP($D63,Tab_Def_Processes[Name(EN)],Tab_Def_Processes[Input_Flow_I_4],,0,)</f>
        <v/>
      </c>
      <c r="W63" s="272">
        <f>_xlfn.XLOOKUP($D63,Tab_Def_Processes[Name(EN)],Tab_Def_Processes[Flow_ID_I_4],,0,)</f>
        <v/>
      </c>
      <c r="X63" s="33" t="n"/>
      <c r="Y63" s="29">
        <f>_xlfn.XLOOKUP($D63,Tab_Def_Processes[Name(EN)],Tab_Def_Processes[Input_Flow_I_5],,0,)</f>
        <v/>
      </c>
      <c r="Z63" s="272">
        <f>_xlfn.XLOOKUP($D63,Tab_Def_Processes[Name(EN)],Tab_Def_Processes[Flow_ID_I_5],,0,)</f>
        <v/>
      </c>
      <c r="AA63" s="33" t="n"/>
      <c r="AB63" s="32">
        <f>Tab_Process_TCs2527[[#This Row],[Flow_TC_I_1_'[%']]]+Tab_Process_TCs2527[[#This Row],[Flow_TC_I_2_'[%']]]+Tab_Process_TCs2527[[#This Row],[Flow_TC_I_3_'[%']]]+Tab_Process_TCs2527[[#This Row],[Flow_TC_I_4_'[%']]]+Tab_Process_TCs2527[[#This Row],[Flow_TC_I_5_'[%']]]</f>
        <v/>
      </c>
      <c r="AC63" s="296">
        <f>_xlfn.XLOOKUP($D63,#REF!,#REF!,,0,)</f>
        <v/>
      </c>
      <c r="AD63" s="272">
        <f>_xlfn.XLOOKUP($D63,#REF!,#REF!,,0,)</f>
        <v/>
      </c>
      <c r="AE63" s="42">
        <f>Tab_Process_TCs2527[[#This Row],[Flow_ID]]</f>
        <v/>
      </c>
      <c r="AF63" s="272">
        <f>"TC"&amp;"_"&amp;RIGHT(AD63,5)</f>
        <v/>
      </c>
      <c r="AG63" s="49">
        <f>AG62+0.01</f>
        <v/>
      </c>
      <c r="AH63" s="169">
        <f>_xlfn.XLOOKUP($D63,#REF!,#REF!,,0,)</f>
        <v/>
      </c>
      <c r="AI63" s="53">
        <f>_xlfn.XLOOKUP($D63,#REF!,#REF!,,0,)</f>
        <v/>
      </c>
      <c r="AJ63" s="42">
        <f>Tab_Process_TCs2527[[#This Row],[Flow_ID]]</f>
        <v/>
      </c>
      <c r="AK63" s="272">
        <f>"TC"&amp;"_"&amp;RIGHT(AI63,5)</f>
        <v/>
      </c>
      <c r="AL63" s="168">
        <f>AL62-0.01</f>
        <v/>
      </c>
      <c r="AM63" s="296">
        <f>_xlfn.XLOOKUP($D63,#REF!,#REF!,,0,)</f>
        <v/>
      </c>
      <c r="AN63" s="272">
        <f>_xlfn.XLOOKUP($D63,#REF!,#REF!,,0,)</f>
        <v/>
      </c>
      <c r="AO63" s="42">
        <f>Tab_Process_TCs2527[[#This Row],[Flow_ID]]</f>
        <v/>
      </c>
      <c r="AP63" s="272">
        <f>"TC"&amp;"_"&amp;RIGHT(AN63,5)</f>
        <v/>
      </c>
      <c r="AQ63" s="168" t="n">
        <v>0.25</v>
      </c>
      <c r="AR63" s="296">
        <f>_xlfn.XLOOKUP($D63,#REF!,#REF!,,0,)</f>
        <v/>
      </c>
      <c r="AS63" s="272">
        <f>_xlfn.XLOOKUP($D63,#REF!,#REF!,,0,)</f>
        <v/>
      </c>
      <c r="AT63" s="42">
        <f>Tab_Process_TCs2527[[#This Row],[Flow_ID]]</f>
        <v/>
      </c>
      <c r="AU63" s="42">
        <f>"TC"&amp;"_"&amp;RIGHT(AN63,5)</f>
        <v/>
      </c>
      <c r="AV63" s="168" t="n"/>
      <c r="AW63" s="296">
        <f>_xlfn.XLOOKUP($D63,#REF!,#REF!,,0,)</f>
        <v/>
      </c>
      <c r="AX63" s="272">
        <f>_xlfn.XLOOKUP($D63,#REF!,#REF!,,0,)</f>
        <v/>
      </c>
      <c r="AY63" s="42">
        <f>Tab_Process_TCs2527[[#This Row],[Flow_ID]]</f>
        <v/>
      </c>
      <c r="AZ63" s="42">
        <f>"TC"&amp;"_"&amp;RIGHT(AX63,5)</f>
        <v/>
      </c>
      <c r="BA63" s="168" t="n"/>
      <c r="BB63" s="272">
        <f>_xlfn.XLOOKUP($D63,#REF!,#REF!,,0,)</f>
        <v/>
      </c>
      <c r="BC63" s="272">
        <f>_xlfn.XLOOKUP($D63,#REF!,#REF!,,0,)</f>
        <v/>
      </c>
      <c r="BD63" s="42">
        <f>Tab_Process_TCs2527[[#This Row],[Flow_ID]]</f>
        <v/>
      </c>
      <c r="BE63" s="42">
        <f>"TC"&amp;"_"&amp;RIGHT(BC63,5)</f>
        <v/>
      </c>
      <c r="BF63" s="49" t="n"/>
      <c r="BG63" s="52">
        <f>Tab_Process_TCs2527[[#This Row],[TC O_6_'[%']]]+Tab_Process_TCs2527[[#This Row],[TC O_5_'[%']]]+Tab_Process_TCs2527[[#This Row],[TC_O_4_'[%']]]+Tab_Process_TCs2527[[#This Row],[TC_O_3_'[%']]]+Tab_Process_TCs2527[[#This Row],[TC_O_2_'[%']]]+Tab_Process_TCs2527[[#This Row],[TC_O_1_'[%']]]</f>
        <v/>
      </c>
      <c r="BH63" s="273" t="n"/>
      <c r="BI63" s="273" t="n"/>
      <c r="BJ63" s="273" t="n"/>
      <c r="BK63" s="273" t="n"/>
      <c r="BL63" s="273" t="n"/>
    </row>
    <row r="64">
      <c r="A64" s="280" t="b">
        <v>0</v>
      </c>
      <c r="B64" s="272">
        <f>ROW()-1</f>
        <v/>
      </c>
      <c r="C64" s="286">
        <f>_xlfn.XLOOKUP($D64,Tab_Process_TCs[Name(EN)],Tab_Process_TCs[Process_ID],,0,)</f>
        <v/>
      </c>
      <c r="D64" s="189" t="inlineStr">
        <is>
          <t>N.A.</t>
        </is>
      </c>
      <c r="E64" s="189" t="inlineStr">
        <is>
          <t>N.A.</t>
        </is>
      </c>
      <c r="F64" s="286">
        <f>_xlfn.XLOOKUP($D64,Tab_Process_TCs[Name(EN)],Tab_Process_TCs[TC?],,0,)</f>
        <v/>
      </c>
      <c r="G64" s="286">
        <f>_xlfn.XLOOKUP($D64,Tab_Process_TCs[Name(EN)],Tab_Process_TCs[Dyn_TC?],,0,)</f>
        <v/>
      </c>
      <c r="H64" s="272">
        <f>_xlfn.XLOOKUP($E64,Tab_Def_Flows[Name(EN)],Tab_Def_Flows[Flow_ID],,0,1)</f>
        <v/>
      </c>
      <c r="I64" s="272">
        <f>IF(Tab_Process_TCs2527[[#This Row],[Name(EN)]]="N.A.","N.A.","TC"&amp;"_"&amp;RIGHT(H64,5))</f>
        <v/>
      </c>
      <c r="J64" s="273" t="n"/>
      <c r="K64" s="183" t="n"/>
      <c r="L64" s="272" t="n"/>
      <c r="M64" s="296">
        <f>_xlfn.XLOOKUP($D64,Tab_Def_Processes[Name(EN)],Tab_Def_Processes[Input_Flow_I_1],,0,)</f>
        <v/>
      </c>
      <c r="N64" s="272">
        <f>_xlfn.XLOOKUP($D64,Tab_Def_Processes[Name(EN)],Tab_Def_Processes[Flow_ID_I_1],,0,)</f>
        <v/>
      </c>
      <c r="O64" s="33" t="n"/>
      <c r="P64" s="29">
        <f>_xlfn.XLOOKUP($D64,Tab_Def_Processes[Name(EN)],Tab_Def_Processes[Input_Flow_I_2],,0,)</f>
        <v/>
      </c>
      <c r="Q64" s="272">
        <f>_xlfn.XLOOKUP($D64,Tab_Def_Processes[Name(EN)],Tab_Def_Processes[Flow_ID_I_2],,0,)</f>
        <v/>
      </c>
      <c r="R64" s="33" t="n"/>
      <c r="S64" s="29">
        <f>_xlfn.XLOOKUP($D64,Tab_Def_Processes[Name(EN)],Tab_Def_Processes[Input_Flow_I_3],,0,)</f>
        <v/>
      </c>
      <c r="T64" s="272">
        <f>_xlfn.XLOOKUP($D64,Tab_Def_Processes[Name(EN)],Tab_Def_Processes[Flow_ID_I_3],,0,)</f>
        <v/>
      </c>
      <c r="U64" s="33" t="n"/>
      <c r="V64" s="29">
        <f>_xlfn.XLOOKUP($D64,Tab_Def_Processes[Name(EN)],Tab_Def_Processes[Input_Flow_I_4],,0,)</f>
        <v/>
      </c>
      <c r="W64" s="272">
        <f>_xlfn.XLOOKUP($D64,Tab_Def_Processes[Name(EN)],Tab_Def_Processes[Flow_ID_I_4],,0,)</f>
        <v/>
      </c>
      <c r="X64" s="33" t="n"/>
      <c r="Y64" s="29">
        <f>_xlfn.XLOOKUP($D64,Tab_Def_Processes[Name(EN)],Tab_Def_Processes[Input_Flow_I_5],,0,)</f>
        <v/>
      </c>
      <c r="Z64" s="272">
        <f>_xlfn.XLOOKUP($D64,Tab_Def_Processes[Name(EN)],Tab_Def_Processes[Flow_ID_I_5],,0,)</f>
        <v/>
      </c>
      <c r="AA64" s="33" t="n"/>
      <c r="AB64" s="32">
        <f>Tab_Process_TCs2527[[#This Row],[Flow_TC_I_1_'[%']]]+Tab_Process_TCs2527[[#This Row],[Flow_TC_I_2_'[%']]]+Tab_Process_TCs2527[[#This Row],[Flow_TC_I_3_'[%']]]+Tab_Process_TCs2527[[#This Row],[Flow_TC_I_4_'[%']]]+Tab_Process_TCs2527[[#This Row],[Flow_TC_I_5_'[%']]]</f>
        <v/>
      </c>
      <c r="AC64" s="296">
        <f>_xlfn.XLOOKUP($D64,#REF!,#REF!,,0,)</f>
        <v/>
      </c>
      <c r="AD64" s="272">
        <f>_xlfn.XLOOKUP($D64,#REF!,#REF!,,0,)</f>
        <v/>
      </c>
      <c r="AE64" s="42">
        <f>Tab_Process_TCs2527[[#This Row],[Flow_ID]]</f>
        <v/>
      </c>
      <c r="AF64" s="272">
        <f>"TC"&amp;"_"&amp;RIGHT(AD64,5)</f>
        <v/>
      </c>
      <c r="AG64" s="49">
        <f>AG63+0.01</f>
        <v/>
      </c>
      <c r="AH64" s="169">
        <f>_xlfn.XLOOKUP($D64,#REF!,#REF!,,0,)</f>
        <v/>
      </c>
      <c r="AI64" s="53">
        <f>_xlfn.XLOOKUP($D64,#REF!,#REF!,,0,)</f>
        <v/>
      </c>
      <c r="AJ64" s="42">
        <f>Tab_Process_TCs2527[[#This Row],[Flow_ID]]</f>
        <v/>
      </c>
      <c r="AK64" s="272">
        <f>"TC"&amp;"_"&amp;RIGHT(AI64,5)</f>
        <v/>
      </c>
      <c r="AL64" s="168">
        <f>AL63-0.01</f>
        <v/>
      </c>
      <c r="AM64" s="296">
        <f>_xlfn.XLOOKUP($D64,#REF!,#REF!,,0,)</f>
        <v/>
      </c>
      <c r="AN64" s="272">
        <f>_xlfn.XLOOKUP($D64,#REF!,#REF!,,0,)</f>
        <v/>
      </c>
      <c r="AO64" s="42">
        <f>Tab_Process_TCs2527[[#This Row],[Flow_ID]]</f>
        <v/>
      </c>
      <c r="AP64" s="272">
        <f>"TC"&amp;"_"&amp;RIGHT(AN64,5)</f>
        <v/>
      </c>
      <c r="AQ64" s="168" t="n">
        <v>0.25</v>
      </c>
      <c r="AR64" s="296">
        <f>_xlfn.XLOOKUP($D64,#REF!,#REF!,,0,)</f>
        <v/>
      </c>
      <c r="AS64" s="272">
        <f>_xlfn.XLOOKUP($D64,#REF!,#REF!,,0,)</f>
        <v/>
      </c>
      <c r="AT64" s="42">
        <f>Tab_Process_TCs2527[[#This Row],[Flow_ID]]</f>
        <v/>
      </c>
      <c r="AU64" s="42">
        <f>"TC"&amp;"_"&amp;RIGHT(AN64,5)</f>
        <v/>
      </c>
      <c r="AV64" s="168" t="n"/>
      <c r="AW64" s="296">
        <f>_xlfn.XLOOKUP($D64,#REF!,#REF!,,0,)</f>
        <v/>
      </c>
      <c r="AX64" s="272">
        <f>_xlfn.XLOOKUP($D64,#REF!,#REF!,,0,)</f>
        <v/>
      </c>
      <c r="AY64" s="42">
        <f>Tab_Process_TCs2527[[#This Row],[Flow_ID]]</f>
        <v/>
      </c>
      <c r="AZ64" s="42">
        <f>"TC"&amp;"_"&amp;RIGHT(AX64,5)</f>
        <v/>
      </c>
      <c r="BA64" s="168" t="n"/>
      <c r="BB64" s="272">
        <f>_xlfn.XLOOKUP($D64,#REF!,#REF!,,0,)</f>
        <v/>
      </c>
      <c r="BC64" s="272">
        <f>_xlfn.XLOOKUP($D64,#REF!,#REF!,,0,)</f>
        <v/>
      </c>
      <c r="BD64" s="42">
        <f>Tab_Process_TCs2527[[#This Row],[Flow_ID]]</f>
        <v/>
      </c>
      <c r="BE64" s="42">
        <f>"TC"&amp;"_"&amp;RIGHT(BC64,5)</f>
        <v/>
      </c>
      <c r="BF64" s="49" t="n"/>
      <c r="BG64" s="52">
        <f>Tab_Process_TCs2527[[#This Row],[TC O_6_'[%']]]+Tab_Process_TCs2527[[#This Row],[TC O_5_'[%']]]+Tab_Process_TCs2527[[#This Row],[TC_O_4_'[%']]]+Tab_Process_TCs2527[[#This Row],[TC_O_3_'[%']]]+Tab_Process_TCs2527[[#This Row],[TC_O_2_'[%']]]+Tab_Process_TCs2527[[#This Row],[TC_O_1_'[%']]]</f>
        <v/>
      </c>
      <c r="BH64" s="273" t="n"/>
      <c r="BI64" s="273" t="n"/>
      <c r="BJ64" s="273" t="n"/>
      <c r="BK64" s="273" t="n"/>
      <c r="BL64" s="273" t="n"/>
    </row>
    <row r="65">
      <c r="A65" s="280" t="b">
        <v>0</v>
      </c>
      <c r="B65" s="272">
        <f>ROW()-1</f>
        <v/>
      </c>
      <c r="C65" s="286">
        <f>_xlfn.XLOOKUP($D65,Tab_Process_TCs[Name(EN)],Tab_Process_TCs[Process_ID],,0,)</f>
        <v/>
      </c>
      <c r="D65" s="189" t="inlineStr">
        <is>
          <t>N.A.</t>
        </is>
      </c>
      <c r="E65" s="189" t="inlineStr">
        <is>
          <t>N.A.</t>
        </is>
      </c>
      <c r="F65" s="286">
        <f>_xlfn.XLOOKUP($D65,Tab_Process_TCs[Name(EN)],Tab_Process_TCs[TC?],,0,)</f>
        <v/>
      </c>
      <c r="G65" s="286">
        <f>_xlfn.XLOOKUP($D65,Tab_Process_TCs[Name(EN)],Tab_Process_TCs[Dyn_TC?],,0,)</f>
        <v/>
      </c>
      <c r="H65" s="272">
        <f>_xlfn.XLOOKUP($E65,Tab_Def_Flows[Name(EN)],Tab_Def_Flows[Flow_ID],,0,1)</f>
        <v/>
      </c>
      <c r="I65" s="272">
        <f>IF(Tab_Process_TCs2527[[#This Row],[Name(EN)]]="N.A.","N.A.","TC"&amp;"_"&amp;RIGHT(H65,5))</f>
        <v/>
      </c>
      <c r="J65" s="273" t="n"/>
      <c r="K65" s="183" t="n"/>
      <c r="L65" s="272" t="n"/>
      <c r="M65" s="296">
        <f>_xlfn.XLOOKUP($D65,Tab_Def_Processes[Name(EN)],Tab_Def_Processes[Input_Flow_I_1],,0,)</f>
        <v/>
      </c>
      <c r="N65" s="272">
        <f>_xlfn.XLOOKUP($D65,Tab_Def_Processes[Name(EN)],Tab_Def_Processes[Flow_ID_I_1],,0,)</f>
        <v/>
      </c>
      <c r="O65" s="33" t="n"/>
      <c r="P65" s="29">
        <f>_xlfn.XLOOKUP($D65,Tab_Def_Processes[Name(EN)],Tab_Def_Processes[Input_Flow_I_2],,0,)</f>
        <v/>
      </c>
      <c r="Q65" s="272">
        <f>_xlfn.XLOOKUP($D65,Tab_Def_Processes[Name(EN)],Tab_Def_Processes[Flow_ID_I_2],,0,)</f>
        <v/>
      </c>
      <c r="R65" s="33" t="n"/>
      <c r="S65" s="29">
        <f>_xlfn.XLOOKUP($D65,Tab_Def_Processes[Name(EN)],Tab_Def_Processes[Input_Flow_I_3],,0,)</f>
        <v/>
      </c>
      <c r="T65" s="272">
        <f>_xlfn.XLOOKUP($D65,Tab_Def_Processes[Name(EN)],Tab_Def_Processes[Flow_ID_I_3],,0,)</f>
        <v/>
      </c>
      <c r="U65" s="33" t="n"/>
      <c r="V65" s="29">
        <f>_xlfn.XLOOKUP($D65,Tab_Def_Processes[Name(EN)],Tab_Def_Processes[Input_Flow_I_4],,0,)</f>
        <v/>
      </c>
      <c r="W65" s="272">
        <f>_xlfn.XLOOKUP($D65,Tab_Def_Processes[Name(EN)],Tab_Def_Processes[Flow_ID_I_4],,0,)</f>
        <v/>
      </c>
      <c r="X65" s="33" t="n"/>
      <c r="Y65" s="29">
        <f>_xlfn.XLOOKUP($D65,Tab_Def_Processes[Name(EN)],Tab_Def_Processes[Input_Flow_I_5],,0,)</f>
        <v/>
      </c>
      <c r="Z65" s="272">
        <f>_xlfn.XLOOKUP($D65,Tab_Def_Processes[Name(EN)],Tab_Def_Processes[Flow_ID_I_5],,0,)</f>
        <v/>
      </c>
      <c r="AA65" s="33" t="n"/>
      <c r="AB65" s="32">
        <f>Tab_Process_TCs2527[[#This Row],[Flow_TC_I_1_'[%']]]+Tab_Process_TCs2527[[#This Row],[Flow_TC_I_2_'[%']]]+Tab_Process_TCs2527[[#This Row],[Flow_TC_I_3_'[%']]]+Tab_Process_TCs2527[[#This Row],[Flow_TC_I_4_'[%']]]+Tab_Process_TCs2527[[#This Row],[Flow_TC_I_5_'[%']]]</f>
        <v/>
      </c>
      <c r="AC65" s="296">
        <f>_xlfn.XLOOKUP($D65,#REF!,#REF!,,0,)</f>
        <v/>
      </c>
      <c r="AD65" s="272">
        <f>_xlfn.XLOOKUP($D65,#REF!,#REF!,,0,)</f>
        <v/>
      </c>
      <c r="AE65" s="42">
        <f>Tab_Process_TCs2527[[#This Row],[Flow_ID]]</f>
        <v/>
      </c>
      <c r="AF65" s="272">
        <f>"TC"&amp;"_"&amp;RIGHT(AD65,5)</f>
        <v/>
      </c>
      <c r="AG65" s="49">
        <f>AG64+0.01</f>
        <v/>
      </c>
      <c r="AH65" s="169">
        <f>_xlfn.XLOOKUP($D65,#REF!,#REF!,,0,)</f>
        <v/>
      </c>
      <c r="AI65" s="53">
        <f>_xlfn.XLOOKUP($D65,#REF!,#REF!,,0,)</f>
        <v/>
      </c>
      <c r="AJ65" s="42">
        <f>Tab_Process_TCs2527[[#This Row],[Flow_ID]]</f>
        <v/>
      </c>
      <c r="AK65" s="272">
        <f>"TC"&amp;"_"&amp;RIGHT(AI65,5)</f>
        <v/>
      </c>
      <c r="AL65" s="168">
        <f>AL64-0.01</f>
        <v/>
      </c>
      <c r="AM65" s="296">
        <f>_xlfn.XLOOKUP($D65,#REF!,#REF!,,0,)</f>
        <v/>
      </c>
      <c r="AN65" s="272">
        <f>_xlfn.XLOOKUP($D65,#REF!,#REF!,,0,)</f>
        <v/>
      </c>
      <c r="AO65" s="42">
        <f>Tab_Process_TCs2527[[#This Row],[Flow_ID]]</f>
        <v/>
      </c>
      <c r="AP65" s="272">
        <f>"TC"&amp;"_"&amp;RIGHT(AN65,5)</f>
        <v/>
      </c>
      <c r="AQ65" s="168" t="n">
        <v>0.25</v>
      </c>
      <c r="AR65" s="296">
        <f>_xlfn.XLOOKUP($D65,#REF!,#REF!,,0,)</f>
        <v/>
      </c>
      <c r="AS65" s="272">
        <f>_xlfn.XLOOKUP($D65,#REF!,#REF!,,0,)</f>
        <v/>
      </c>
      <c r="AT65" s="42">
        <f>Tab_Process_TCs2527[[#This Row],[Flow_ID]]</f>
        <v/>
      </c>
      <c r="AU65" s="42">
        <f>"TC"&amp;"_"&amp;RIGHT(AN65,5)</f>
        <v/>
      </c>
      <c r="AV65" s="168" t="n"/>
      <c r="AW65" s="296">
        <f>_xlfn.XLOOKUP($D65,#REF!,#REF!,,0,)</f>
        <v/>
      </c>
      <c r="AX65" s="272">
        <f>_xlfn.XLOOKUP($D65,#REF!,#REF!,,0,)</f>
        <v/>
      </c>
      <c r="AY65" s="42">
        <f>Tab_Process_TCs2527[[#This Row],[Flow_ID]]</f>
        <v/>
      </c>
      <c r="AZ65" s="42">
        <f>"TC"&amp;"_"&amp;RIGHT(AX65,5)</f>
        <v/>
      </c>
      <c r="BA65" s="168" t="n"/>
      <c r="BB65" s="272">
        <f>_xlfn.XLOOKUP($D65,#REF!,#REF!,,0,)</f>
        <v/>
      </c>
      <c r="BC65" s="272">
        <f>_xlfn.XLOOKUP($D65,#REF!,#REF!,,0,)</f>
        <v/>
      </c>
      <c r="BD65" s="42">
        <f>Tab_Process_TCs2527[[#This Row],[Flow_ID]]</f>
        <v/>
      </c>
      <c r="BE65" s="42">
        <f>"TC"&amp;"_"&amp;RIGHT(BC65,5)</f>
        <v/>
      </c>
      <c r="BF65" s="49" t="n"/>
      <c r="BG65" s="52">
        <f>Tab_Process_TCs2527[[#This Row],[TC O_6_'[%']]]+Tab_Process_TCs2527[[#This Row],[TC O_5_'[%']]]+Tab_Process_TCs2527[[#This Row],[TC_O_4_'[%']]]+Tab_Process_TCs2527[[#This Row],[TC_O_3_'[%']]]+Tab_Process_TCs2527[[#This Row],[TC_O_2_'[%']]]+Tab_Process_TCs2527[[#This Row],[TC_O_1_'[%']]]</f>
        <v/>
      </c>
      <c r="BH65" s="273" t="n"/>
      <c r="BI65" s="273" t="n"/>
      <c r="BJ65" s="273" t="n"/>
      <c r="BK65" s="273" t="n"/>
      <c r="BL65" s="273" t="n"/>
    </row>
    <row r="66">
      <c r="A66" s="280" t="b">
        <v>0</v>
      </c>
      <c r="B66" s="272">
        <f>ROW()-1</f>
        <v/>
      </c>
      <c r="C66" s="286">
        <f>_xlfn.XLOOKUP($D66,Tab_Process_TCs[Name(EN)],Tab_Process_TCs[Process_ID],,0,)</f>
        <v/>
      </c>
      <c r="D66" s="189" t="inlineStr">
        <is>
          <t>N.A.</t>
        </is>
      </c>
      <c r="E66" s="189" t="inlineStr">
        <is>
          <t>N.A.</t>
        </is>
      </c>
      <c r="F66" s="286">
        <f>_xlfn.XLOOKUP($D66,Tab_Process_TCs[Name(EN)],Tab_Process_TCs[TC?],,0,)</f>
        <v/>
      </c>
      <c r="G66" s="286">
        <f>_xlfn.XLOOKUP($D66,Tab_Process_TCs[Name(EN)],Tab_Process_TCs[Dyn_TC?],,0,)</f>
        <v/>
      </c>
      <c r="H66" s="272">
        <f>_xlfn.XLOOKUP($E66,Tab_Def_Flows[Name(EN)],Tab_Def_Flows[Flow_ID],,0,1)</f>
        <v/>
      </c>
      <c r="I66" s="272">
        <f>IF(Tab_Process_TCs2527[[#This Row],[Name(EN)]]="N.A.","N.A.","TC"&amp;"_"&amp;RIGHT(H66,5))</f>
        <v/>
      </c>
      <c r="J66" s="273" t="n"/>
      <c r="K66" s="183" t="n"/>
      <c r="L66" s="272" t="n"/>
      <c r="M66" s="296">
        <f>_xlfn.XLOOKUP($D66,Tab_Def_Processes[Name(EN)],Tab_Def_Processes[Input_Flow_I_1],,0,)</f>
        <v/>
      </c>
      <c r="N66" s="272">
        <f>_xlfn.XLOOKUP($D66,Tab_Def_Processes[Name(EN)],Tab_Def_Processes[Flow_ID_I_1],,0,)</f>
        <v/>
      </c>
      <c r="O66" s="33" t="n"/>
      <c r="P66" s="29">
        <f>_xlfn.XLOOKUP($D66,Tab_Def_Processes[Name(EN)],Tab_Def_Processes[Input_Flow_I_2],,0,)</f>
        <v/>
      </c>
      <c r="Q66" s="272">
        <f>_xlfn.XLOOKUP($D66,Tab_Def_Processes[Name(EN)],Tab_Def_Processes[Flow_ID_I_2],,0,)</f>
        <v/>
      </c>
      <c r="R66" s="33" t="n"/>
      <c r="S66" s="29">
        <f>_xlfn.XLOOKUP($D66,Tab_Def_Processes[Name(EN)],Tab_Def_Processes[Input_Flow_I_3],,0,)</f>
        <v/>
      </c>
      <c r="T66" s="272">
        <f>_xlfn.XLOOKUP($D66,Tab_Def_Processes[Name(EN)],Tab_Def_Processes[Flow_ID_I_3],,0,)</f>
        <v/>
      </c>
      <c r="U66" s="33" t="n"/>
      <c r="V66" s="29">
        <f>_xlfn.XLOOKUP($D66,Tab_Def_Processes[Name(EN)],Tab_Def_Processes[Input_Flow_I_4],,0,)</f>
        <v/>
      </c>
      <c r="W66" s="272">
        <f>_xlfn.XLOOKUP($D66,Tab_Def_Processes[Name(EN)],Tab_Def_Processes[Flow_ID_I_4],,0,)</f>
        <v/>
      </c>
      <c r="X66" s="33" t="n"/>
      <c r="Y66" s="29">
        <f>_xlfn.XLOOKUP($D66,Tab_Def_Processes[Name(EN)],Tab_Def_Processes[Input_Flow_I_5],,0,)</f>
        <v/>
      </c>
      <c r="Z66" s="272">
        <f>_xlfn.XLOOKUP($D66,Tab_Def_Processes[Name(EN)],Tab_Def_Processes[Flow_ID_I_5],,0,)</f>
        <v/>
      </c>
      <c r="AA66" s="33" t="n"/>
      <c r="AB66" s="32">
        <f>Tab_Process_TCs2527[[#This Row],[Flow_TC_I_1_'[%']]]+Tab_Process_TCs2527[[#This Row],[Flow_TC_I_2_'[%']]]+Tab_Process_TCs2527[[#This Row],[Flow_TC_I_3_'[%']]]+Tab_Process_TCs2527[[#This Row],[Flow_TC_I_4_'[%']]]+Tab_Process_TCs2527[[#This Row],[Flow_TC_I_5_'[%']]]</f>
        <v/>
      </c>
      <c r="AC66" s="296">
        <f>_xlfn.XLOOKUP($D66,#REF!,#REF!,,0,)</f>
        <v/>
      </c>
      <c r="AD66" s="272">
        <f>_xlfn.XLOOKUP($D66,#REF!,#REF!,,0,)</f>
        <v/>
      </c>
      <c r="AE66" s="42">
        <f>Tab_Process_TCs2527[[#This Row],[Flow_ID]]</f>
        <v/>
      </c>
      <c r="AF66" s="272">
        <f>"TC"&amp;"_"&amp;RIGHT(AD66,5)</f>
        <v/>
      </c>
      <c r="AG66" s="49">
        <f>AG65+0.01</f>
        <v/>
      </c>
      <c r="AH66" s="169">
        <f>_xlfn.XLOOKUP($D66,#REF!,#REF!,,0,)</f>
        <v/>
      </c>
      <c r="AI66" s="53">
        <f>_xlfn.XLOOKUP($D66,#REF!,#REF!,,0,)</f>
        <v/>
      </c>
      <c r="AJ66" s="42">
        <f>Tab_Process_TCs2527[[#This Row],[Flow_ID]]</f>
        <v/>
      </c>
      <c r="AK66" s="272">
        <f>"TC"&amp;"_"&amp;RIGHT(AI66,5)</f>
        <v/>
      </c>
      <c r="AL66" s="168">
        <f>AL65-0.01</f>
        <v/>
      </c>
      <c r="AM66" s="296">
        <f>_xlfn.XLOOKUP($D66,#REF!,#REF!,,0,)</f>
        <v/>
      </c>
      <c r="AN66" s="272">
        <f>_xlfn.XLOOKUP($D66,#REF!,#REF!,,0,)</f>
        <v/>
      </c>
      <c r="AO66" s="42">
        <f>Tab_Process_TCs2527[[#This Row],[Flow_ID]]</f>
        <v/>
      </c>
      <c r="AP66" s="272">
        <f>"TC"&amp;"_"&amp;RIGHT(AN66,5)</f>
        <v/>
      </c>
      <c r="AQ66" s="168" t="n">
        <v>0.25</v>
      </c>
      <c r="AR66" s="296">
        <f>_xlfn.XLOOKUP($D66,#REF!,#REF!,,0,)</f>
        <v/>
      </c>
      <c r="AS66" s="272">
        <f>_xlfn.XLOOKUP($D66,#REF!,#REF!,,0,)</f>
        <v/>
      </c>
      <c r="AT66" s="42">
        <f>Tab_Process_TCs2527[[#This Row],[Flow_ID]]</f>
        <v/>
      </c>
      <c r="AU66" s="42">
        <f>"TC"&amp;"_"&amp;RIGHT(AN66,5)</f>
        <v/>
      </c>
      <c r="AV66" s="168" t="n"/>
      <c r="AW66" s="296">
        <f>_xlfn.XLOOKUP($D66,#REF!,#REF!,,0,)</f>
        <v/>
      </c>
      <c r="AX66" s="272">
        <f>_xlfn.XLOOKUP($D66,#REF!,#REF!,,0,)</f>
        <v/>
      </c>
      <c r="AY66" s="42">
        <f>Tab_Process_TCs2527[[#This Row],[Flow_ID]]</f>
        <v/>
      </c>
      <c r="AZ66" s="42">
        <f>"TC"&amp;"_"&amp;RIGHT(AX66,5)</f>
        <v/>
      </c>
      <c r="BA66" s="168" t="n"/>
      <c r="BB66" s="272">
        <f>_xlfn.XLOOKUP($D66,#REF!,#REF!,,0,)</f>
        <v/>
      </c>
      <c r="BC66" s="272">
        <f>_xlfn.XLOOKUP($D66,#REF!,#REF!,,0,)</f>
        <v/>
      </c>
      <c r="BD66" s="42">
        <f>Tab_Process_TCs2527[[#This Row],[Flow_ID]]</f>
        <v/>
      </c>
      <c r="BE66" s="42">
        <f>"TC"&amp;"_"&amp;RIGHT(BC66,5)</f>
        <v/>
      </c>
      <c r="BF66" s="49" t="n"/>
      <c r="BG66" s="52">
        <f>Tab_Process_TCs2527[[#This Row],[TC O_6_'[%']]]+Tab_Process_TCs2527[[#This Row],[TC O_5_'[%']]]+Tab_Process_TCs2527[[#This Row],[TC_O_4_'[%']]]+Tab_Process_TCs2527[[#This Row],[TC_O_3_'[%']]]+Tab_Process_TCs2527[[#This Row],[TC_O_2_'[%']]]+Tab_Process_TCs2527[[#This Row],[TC_O_1_'[%']]]</f>
        <v/>
      </c>
      <c r="BH66" s="273" t="n"/>
      <c r="BI66" s="273" t="n"/>
      <c r="BJ66" s="273" t="n"/>
      <c r="BK66" s="273" t="n"/>
      <c r="BL66" s="273" t="n"/>
    </row>
    <row r="67">
      <c r="A67" s="280" t="b">
        <v>0</v>
      </c>
      <c r="B67" s="272">
        <f>ROW()-1</f>
        <v/>
      </c>
      <c r="C67" s="286">
        <f>_xlfn.XLOOKUP($D67,Tab_Process_TCs[Name(EN)],Tab_Process_TCs[Process_ID],,0,)</f>
        <v/>
      </c>
      <c r="D67" s="189" t="inlineStr">
        <is>
          <t>N.A.</t>
        </is>
      </c>
      <c r="E67" s="189" t="inlineStr">
        <is>
          <t>N.A.</t>
        </is>
      </c>
      <c r="F67" s="286">
        <f>_xlfn.XLOOKUP($D67,Tab_Process_TCs[Name(EN)],Tab_Process_TCs[TC?],,0,)</f>
        <v/>
      </c>
      <c r="G67" s="286">
        <f>_xlfn.XLOOKUP($D67,Tab_Process_TCs[Name(EN)],Tab_Process_TCs[Dyn_TC?],,0,)</f>
        <v/>
      </c>
      <c r="H67" s="272">
        <f>_xlfn.XLOOKUP($E67,Tab_Def_Flows[Name(EN)],Tab_Def_Flows[Flow_ID],,0,1)</f>
        <v/>
      </c>
      <c r="I67" s="272">
        <f>IF(Tab_Process_TCs2527[[#This Row],[Name(EN)]]="N.A.","N.A.","TC"&amp;"_"&amp;RIGHT(H67,5))</f>
        <v/>
      </c>
      <c r="J67" s="273" t="n"/>
      <c r="K67" s="183" t="n"/>
      <c r="L67" s="272" t="n"/>
      <c r="M67" s="296">
        <f>_xlfn.XLOOKUP($D67,Tab_Def_Processes[Name(EN)],Tab_Def_Processes[Input_Flow_I_1],,0,)</f>
        <v/>
      </c>
      <c r="N67" s="272">
        <f>_xlfn.XLOOKUP($D67,Tab_Def_Processes[Name(EN)],Tab_Def_Processes[Flow_ID_I_1],,0,)</f>
        <v/>
      </c>
      <c r="O67" s="33" t="n"/>
      <c r="P67" s="29">
        <f>_xlfn.XLOOKUP($D67,Tab_Def_Processes[Name(EN)],Tab_Def_Processes[Input_Flow_I_2],,0,)</f>
        <v/>
      </c>
      <c r="Q67" s="272">
        <f>_xlfn.XLOOKUP($D67,Tab_Def_Processes[Name(EN)],Tab_Def_Processes[Flow_ID_I_2],,0,)</f>
        <v/>
      </c>
      <c r="R67" s="33" t="n"/>
      <c r="S67" s="29">
        <f>_xlfn.XLOOKUP($D67,Tab_Def_Processes[Name(EN)],Tab_Def_Processes[Input_Flow_I_3],,0,)</f>
        <v/>
      </c>
      <c r="T67" s="272">
        <f>_xlfn.XLOOKUP($D67,Tab_Def_Processes[Name(EN)],Tab_Def_Processes[Flow_ID_I_3],,0,)</f>
        <v/>
      </c>
      <c r="U67" s="33" t="n"/>
      <c r="V67" s="29">
        <f>_xlfn.XLOOKUP($D67,Tab_Def_Processes[Name(EN)],Tab_Def_Processes[Input_Flow_I_4],,0,)</f>
        <v/>
      </c>
      <c r="W67" s="272">
        <f>_xlfn.XLOOKUP($D67,Tab_Def_Processes[Name(EN)],Tab_Def_Processes[Flow_ID_I_4],,0,)</f>
        <v/>
      </c>
      <c r="X67" s="33" t="n"/>
      <c r="Y67" s="29">
        <f>_xlfn.XLOOKUP($D67,Tab_Def_Processes[Name(EN)],Tab_Def_Processes[Input_Flow_I_5],,0,)</f>
        <v/>
      </c>
      <c r="Z67" s="272">
        <f>_xlfn.XLOOKUP($D67,Tab_Def_Processes[Name(EN)],Tab_Def_Processes[Flow_ID_I_5],,0,)</f>
        <v/>
      </c>
      <c r="AA67" s="33" t="n"/>
      <c r="AB67" s="32">
        <f>Tab_Process_TCs2527[[#This Row],[Flow_TC_I_1_'[%']]]+Tab_Process_TCs2527[[#This Row],[Flow_TC_I_2_'[%']]]+Tab_Process_TCs2527[[#This Row],[Flow_TC_I_3_'[%']]]+Tab_Process_TCs2527[[#This Row],[Flow_TC_I_4_'[%']]]+Tab_Process_TCs2527[[#This Row],[Flow_TC_I_5_'[%']]]</f>
        <v/>
      </c>
      <c r="AC67" s="296">
        <f>_xlfn.XLOOKUP($D67,#REF!,#REF!,,0,)</f>
        <v/>
      </c>
      <c r="AD67" s="272">
        <f>_xlfn.XLOOKUP($D67,#REF!,#REF!,,0,)</f>
        <v/>
      </c>
      <c r="AE67" s="42">
        <f>Tab_Process_TCs2527[[#This Row],[Flow_ID]]</f>
        <v/>
      </c>
      <c r="AF67" s="272">
        <f>"TC"&amp;"_"&amp;RIGHT(AD67,5)</f>
        <v/>
      </c>
      <c r="AG67" s="49">
        <f>AG66+0.01</f>
        <v/>
      </c>
      <c r="AH67" s="169">
        <f>_xlfn.XLOOKUP($D67,#REF!,#REF!,,0,)</f>
        <v/>
      </c>
      <c r="AI67" s="53">
        <f>_xlfn.XLOOKUP($D67,#REF!,#REF!,,0,)</f>
        <v/>
      </c>
      <c r="AJ67" s="42">
        <f>Tab_Process_TCs2527[[#This Row],[Flow_ID]]</f>
        <v/>
      </c>
      <c r="AK67" s="272">
        <f>"TC"&amp;"_"&amp;RIGHT(AI67,5)</f>
        <v/>
      </c>
      <c r="AL67" s="168">
        <f>AL66-0.01</f>
        <v/>
      </c>
      <c r="AM67" s="296">
        <f>_xlfn.XLOOKUP($D67,#REF!,#REF!,,0,)</f>
        <v/>
      </c>
      <c r="AN67" s="272">
        <f>_xlfn.XLOOKUP($D67,#REF!,#REF!,,0,)</f>
        <v/>
      </c>
      <c r="AO67" s="42">
        <f>Tab_Process_TCs2527[[#This Row],[Flow_ID]]</f>
        <v/>
      </c>
      <c r="AP67" s="272">
        <f>"TC"&amp;"_"&amp;RIGHT(AN67,5)</f>
        <v/>
      </c>
      <c r="AQ67" s="168" t="n">
        <v>0.25</v>
      </c>
      <c r="AR67" s="296">
        <f>_xlfn.XLOOKUP($D67,#REF!,#REF!,,0,)</f>
        <v/>
      </c>
      <c r="AS67" s="272">
        <f>_xlfn.XLOOKUP($D67,#REF!,#REF!,,0,)</f>
        <v/>
      </c>
      <c r="AT67" s="42">
        <f>Tab_Process_TCs2527[[#This Row],[Flow_ID]]</f>
        <v/>
      </c>
      <c r="AU67" s="42">
        <f>"TC"&amp;"_"&amp;RIGHT(AN67,5)</f>
        <v/>
      </c>
      <c r="AV67" s="168" t="n"/>
      <c r="AW67" s="296">
        <f>_xlfn.XLOOKUP($D67,#REF!,#REF!,,0,)</f>
        <v/>
      </c>
      <c r="AX67" s="272">
        <f>_xlfn.XLOOKUP($D67,#REF!,#REF!,,0,)</f>
        <v/>
      </c>
      <c r="AY67" s="42">
        <f>Tab_Process_TCs2527[[#This Row],[Flow_ID]]</f>
        <v/>
      </c>
      <c r="AZ67" s="42">
        <f>"TC"&amp;"_"&amp;RIGHT(AX67,5)</f>
        <v/>
      </c>
      <c r="BA67" s="168" t="n"/>
      <c r="BB67" s="272">
        <f>_xlfn.XLOOKUP($D67,#REF!,#REF!,,0,)</f>
        <v/>
      </c>
      <c r="BC67" s="272">
        <f>_xlfn.XLOOKUP($D67,#REF!,#REF!,,0,)</f>
        <v/>
      </c>
      <c r="BD67" s="42">
        <f>Tab_Process_TCs2527[[#This Row],[Flow_ID]]</f>
        <v/>
      </c>
      <c r="BE67" s="42">
        <f>"TC"&amp;"_"&amp;RIGHT(BC67,5)</f>
        <v/>
      </c>
      <c r="BF67" s="49" t="n"/>
      <c r="BG67" s="52">
        <f>Tab_Process_TCs2527[[#This Row],[TC O_6_'[%']]]+Tab_Process_TCs2527[[#This Row],[TC O_5_'[%']]]+Tab_Process_TCs2527[[#This Row],[TC_O_4_'[%']]]+Tab_Process_TCs2527[[#This Row],[TC_O_3_'[%']]]+Tab_Process_TCs2527[[#This Row],[TC_O_2_'[%']]]+Tab_Process_TCs2527[[#This Row],[TC_O_1_'[%']]]</f>
        <v/>
      </c>
      <c r="BH67" s="273" t="n"/>
      <c r="BI67" s="273" t="n"/>
      <c r="BJ67" s="273" t="n"/>
      <c r="BK67" s="273" t="n"/>
      <c r="BL67" s="273" t="n"/>
    </row>
    <row r="68">
      <c r="A68" s="280" t="b">
        <v>0</v>
      </c>
      <c r="B68" s="272">
        <f>ROW()-1</f>
        <v/>
      </c>
      <c r="C68" s="286">
        <f>_xlfn.XLOOKUP($D68,Tab_Process_TCs[Name(EN)],Tab_Process_TCs[Process_ID],,0,)</f>
        <v/>
      </c>
      <c r="D68" s="189" t="inlineStr">
        <is>
          <t>N.A.</t>
        </is>
      </c>
      <c r="E68" s="189" t="inlineStr">
        <is>
          <t>N.A.</t>
        </is>
      </c>
      <c r="F68" s="286">
        <f>_xlfn.XLOOKUP($D68,Tab_Process_TCs[Name(EN)],Tab_Process_TCs[TC?],,0,)</f>
        <v/>
      </c>
      <c r="G68" s="286">
        <f>_xlfn.XLOOKUP($D68,Tab_Process_TCs[Name(EN)],Tab_Process_TCs[Dyn_TC?],,0,)</f>
        <v/>
      </c>
      <c r="H68" s="272">
        <f>_xlfn.XLOOKUP($E68,Tab_Def_Flows[Name(EN)],Tab_Def_Flows[Flow_ID],,0,1)</f>
        <v/>
      </c>
      <c r="I68" s="272">
        <f>IF(Tab_Process_TCs2527[[#This Row],[Name(EN)]]="N.A.","N.A.","TC"&amp;"_"&amp;RIGHT(H68,5))</f>
        <v/>
      </c>
      <c r="J68" s="273" t="n"/>
      <c r="K68" s="183" t="n"/>
      <c r="L68" s="272" t="n"/>
      <c r="M68" s="296">
        <f>_xlfn.XLOOKUP($D68,Tab_Def_Processes[Name(EN)],Tab_Def_Processes[Input_Flow_I_1],,0,)</f>
        <v/>
      </c>
      <c r="N68" s="272">
        <f>_xlfn.XLOOKUP($D68,Tab_Def_Processes[Name(EN)],Tab_Def_Processes[Flow_ID_I_1],,0,)</f>
        <v/>
      </c>
      <c r="O68" s="33" t="n"/>
      <c r="P68" s="29">
        <f>_xlfn.XLOOKUP($D68,Tab_Def_Processes[Name(EN)],Tab_Def_Processes[Input_Flow_I_2],,0,)</f>
        <v/>
      </c>
      <c r="Q68" s="272">
        <f>_xlfn.XLOOKUP($D68,Tab_Def_Processes[Name(EN)],Tab_Def_Processes[Flow_ID_I_2],,0,)</f>
        <v/>
      </c>
      <c r="R68" s="33" t="n"/>
      <c r="S68" s="29">
        <f>_xlfn.XLOOKUP($D68,Tab_Def_Processes[Name(EN)],Tab_Def_Processes[Input_Flow_I_3],,0,)</f>
        <v/>
      </c>
      <c r="T68" s="272">
        <f>_xlfn.XLOOKUP($D68,Tab_Def_Processes[Name(EN)],Tab_Def_Processes[Flow_ID_I_3],,0,)</f>
        <v/>
      </c>
      <c r="U68" s="33" t="n"/>
      <c r="V68" s="29">
        <f>_xlfn.XLOOKUP($D68,Tab_Def_Processes[Name(EN)],Tab_Def_Processes[Input_Flow_I_4],,0,)</f>
        <v/>
      </c>
      <c r="W68" s="272">
        <f>_xlfn.XLOOKUP($D68,Tab_Def_Processes[Name(EN)],Tab_Def_Processes[Flow_ID_I_4],,0,)</f>
        <v/>
      </c>
      <c r="X68" s="33" t="n"/>
      <c r="Y68" s="29">
        <f>_xlfn.XLOOKUP($D68,Tab_Def_Processes[Name(EN)],Tab_Def_Processes[Input_Flow_I_5],,0,)</f>
        <v/>
      </c>
      <c r="Z68" s="272">
        <f>_xlfn.XLOOKUP($D68,Tab_Def_Processes[Name(EN)],Tab_Def_Processes[Flow_ID_I_5],,0,)</f>
        <v/>
      </c>
      <c r="AA68" s="33" t="n"/>
      <c r="AB68" s="32">
        <f>Tab_Process_TCs2527[[#This Row],[Flow_TC_I_1_'[%']]]+Tab_Process_TCs2527[[#This Row],[Flow_TC_I_2_'[%']]]+Tab_Process_TCs2527[[#This Row],[Flow_TC_I_3_'[%']]]+Tab_Process_TCs2527[[#This Row],[Flow_TC_I_4_'[%']]]+Tab_Process_TCs2527[[#This Row],[Flow_TC_I_5_'[%']]]</f>
        <v/>
      </c>
      <c r="AC68" s="296">
        <f>_xlfn.XLOOKUP($D68,#REF!,#REF!,,0,)</f>
        <v/>
      </c>
      <c r="AD68" s="272">
        <f>_xlfn.XLOOKUP($D68,#REF!,#REF!,,0,)</f>
        <v/>
      </c>
      <c r="AE68" s="42">
        <f>Tab_Process_TCs2527[[#This Row],[Flow_ID]]</f>
        <v/>
      </c>
      <c r="AF68" s="272">
        <f>"TC"&amp;"_"&amp;RIGHT(AD68,5)</f>
        <v/>
      </c>
      <c r="AG68" s="49">
        <f>AG67+0.01</f>
        <v/>
      </c>
      <c r="AH68" s="169">
        <f>_xlfn.XLOOKUP($D68,#REF!,#REF!,,0,)</f>
        <v/>
      </c>
      <c r="AI68" s="53">
        <f>_xlfn.XLOOKUP($D68,#REF!,#REF!,,0,)</f>
        <v/>
      </c>
      <c r="AJ68" s="42">
        <f>Tab_Process_TCs2527[[#This Row],[Flow_ID]]</f>
        <v/>
      </c>
      <c r="AK68" s="272">
        <f>"TC"&amp;"_"&amp;RIGHT(AI68,5)</f>
        <v/>
      </c>
      <c r="AL68" s="168">
        <f>AL67-0.01</f>
        <v/>
      </c>
      <c r="AM68" s="296">
        <f>_xlfn.XLOOKUP($D68,#REF!,#REF!,,0,)</f>
        <v/>
      </c>
      <c r="AN68" s="272">
        <f>_xlfn.XLOOKUP($D68,#REF!,#REF!,,0,)</f>
        <v/>
      </c>
      <c r="AO68" s="42">
        <f>Tab_Process_TCs2527[[#This Row],[Flow_ID]]</f>
        <v/>
      </c>
      <c r="AP68" s="272">
        <f>"TC"&amp;"_"&amp;RIGHT(AN68,5)</f>
        <v/>
      </c>
      <c r="AQ68" s="168" t="n">
        <v>0.25</v>
      </c>
      <c r="AR68" s="296">
        <f>_xlfn.XLOOKUP($D68,#REF!,#REF!,,0,)</f>
        <v/>
      </c>
      <c r="AS68" s="272">
        <f>_xlfn.XLOOKUP($D68,#REF!,#REF!,,0,)</f>
        <v/>
      </c>
      <c r="AT68" s="42">
        <f>Tab_Process_TCs2527[[#This Row],[Flow_ID]]</f>
        <v/>
      </c>
      <c r="AU68" s="42">
        <f>"TC"&amp;"_"&amp;RIGHT(AN68,5)</f>
        <v/>
      </c>
      <c r="AV68" s="168" t="n"/>
      <c r="AW68" s="296">
        <f>_xlfn.XLOOKUP($D68,#REF!,#REF!,,0,)</f>
        <v/>
      </c>
      <c r="AX68" s="272">
        <f>_xlfn.XLOOKUP($D68,#REF!,#REF!,,0,)</f>
        <v/>
      </c>
      <c r="AY68" s="42">
        <f>Tab_Process_TCs2527[[#This Row],[Flow_ID]]</f>
        <v/>
      </c>
      <c r="AZ68" s="42">
        <f>"TC"&amp;"_"&amp;RIGHT(AX68,5)</f>
        <v/>
      </c>
      <c r="BA68" s="168" t="n"/>
      <c r="BB68" s="272">
        <f>_xlfn.XLOOKUP($D68,#REF!,#REF!,,0,)</f>
        <v/>
      </c>
      <c r="BC68" s="272">
        <f>_xlfn.XLOOKUP($D68,#REF!,#REF!,,0,)</f>
        <v/>
      </c>
      <c r="BD68" s="42">
        <f>Tab_Process_TCs2527[[#This Row],[Flow_ID]]</f>
        <v/>
      </c>
      <c r="BE68" s="42">
        <f>"TC"&amp;"_"&amp;RIGHT(BC68,5)</f>
        <v/>
      </c>
      <c r="BF68" s="49" t="n"/>
      <c r="BG68" s="52">
        <f>Tab_Process_TCs2527[[#This Row],[TC O_6_'[%']]]+Tab_Process_TCs2527[[#This Row],[TC O_5_'[%']]]+Tab_Process_TCs2527[[#This Row],[TC_O_4_'[%']]]+Tab_Process_TCs2527[[#This Row],[TC_O_3_'[%']]]+Tab_Process_TCs2527[[#This Row],[TC_O_2_'[%']]]+Tab_Process_TCs2527[[#This Row],[TC_O_1_'[%']]]</f>
        <v/>
      </c>
      <c r="BH68" s="273" t="n"/>
      <c r="BI68" s="273" t="n"/>
      <c r="BJ68" s="273" t="n"/>
      <c r="BK68" s="273" t="n"/>
      <c r="BL68" s="273" t="n"/>
    </row>
    <row r="69">
      <c r="A69" s="280" t="b">
        <v>0</v>
      </c>
      <c r="B69" s="272">
        <f>ROW()-1</f>
        <v/>
      </c>
      <c r="C69" s="286">
        <f>_xlfn.XLOOKUP($D69,Tab_Process_TCs[Name(EN)],Tab_Process_TCs[Process_ID],,0,)</f>
        <v/>
      </c>
      <c r="D69" s="189" t="inlineStr">
        <is>
          <t>N.A.</t>
        </is>
      </c>
      <c r="E69" s="189" t="inlineStr">
        <is>
          <t>N.A.</t>
        </is>
      </c>
      <c r="F69" s="286">
        <f>_xlfn.XLOOKUP($D69,Tab_Process_TCs[Name(EN)],Tab_Process_TCs[TC?],,0,)</f>
        <v/>
      </c>
      <c r="G69" s="286">
        <f>_xlfn.XLOOKUP($D69,Tab_Process_TCs[Name(EN)],Tab_Process_TCs[Dyn_TC?],,0,)</f>
        <v/>
      </c>
      <c r="H69" s="272">
        <f>_xlfn.XLOOKUP($E69,Tab_Def_Flows[Name(EN)],Tab_Def_Flows[Flow_ID],,0,1)</f>
        <v/>
      </c>
      <c r="I69" s="272">
        <f>IF(Tab_Process_TCs2527[[#This Row],[Name(EN)]]="N.A.","N.A.","TC"&amp;"_"&amp;RIGHT(H69,5))</f>
        <v/>
      </c>
      <c r="J69" s="273" t="n"/>
      <c r="K69" s="183" t="n"/>
      <c r="L69" s="272" t="n"/>
      <c r="M69" s="296">
        <f>_xlfn.XLOOKUP($D69,Tab_Def_Processes[Name(EN)],Tab_Def_Processes[Input_Flow_I_1],,0,)</f>
        <v/>
      </c>
      <c r="N69" s="272">
        <f>_xlfn.XLOOKUP($D69,Tab_Def_Processes[Name(EN)],Tab_Def_Processes[Flow_ID_I_1],,0,)</f>
        <v/>
      </c>
      <c r="O69" s="33" t="n"/>
      <c r="P69" s="29">
        <f>_xlfn.XLOOKUP($D69,Tab_Def_Processes[Name(EN)],Tab_Def_Processes[Input_Flow_I_2],,0,)</f>
        <v/>
      </c>
      <c r="Q69" s="272">
        <f>_xlfn.XLOOKUP($D69,Tab_Def_Processes[Name(EN)],Tab_Def_Processes[Flow_ID_I_2],,0,)</f>
        <v/>
      </c>
      <c r="R69" s="33" t="n"/>
      <c r="S69" s="29">
        <f>_xlfn.XLOOKUP($D69,Tab_Def_Processes[Name(EN)],Tab_Def_Processes[Input_Flow_I_3],,0,)</f>
        <v/>
      </c>
      <c r="T69" s="272">
        <f>_xlfn.XLOOKUP($D69,Tab_Def_Processes[Name(EN)],Tab_Def_Processes[Flow_ID_I_3],,0,)</f>
        <v/>
      </c>
      <c r="U69" s="33" t="n"/>
      <c r="V69" s="29">
        <f>_xlfn.XLOOKUP($D69,Tab_Def_Processes[Name(EN)],Tab_Def_Processes[Input_Flow_I_4],,0,)</f>
        <v/>
      </c>
      <c r="W69" s="272">
        <f>_xlfn.XLOOKUP($D69,Tab_Def_Processes[Name(EN)],Tab_Def_Processes[Flow_ID_I_4],,0,)</f>
        <v/>
      </c>
      <c r="X69" s="33" t="n"/>
      <c r="Y69" s="29">
        <f>_xlfn.XLOOKUP($D69,Tab_Def_Processes[Name(EN)],Tab_Def_Processes[Input_Flow_I_5],,0,)</f>
        <v/>
      </c>
      <c r="Z69" s="272">
        <f>_xlfn.XLOOKUP($D69,Tab_Def_Processes[Name(EN)],Tab_Def_Processes[Flow_ID_I_5],,0,)</f>
        <v/>
      </c>
      <c r="AA69" s="33" t="n"/>
      <c r="AB69" s="32">
        <f>Tab_Process_TCs2527[[#This Row],[Flow_TC_I_1_'[%']]]+Tab_Process_TCs2527[[#This Row],[Flow_TC_I_2_'[%']]]+Tab_Process_TCs2527[[#This Row],[Flow_TC_I_3_'[%']]]+Tab_Process_TCs2527[[#This Row],[Flow_TC_I_4_'[%']]]+Tab_Process_TCs2527[[#This Row],[Flow_TC_I_5_'[%']]]</f>
        <v/>
      </c>
      <c r="AC69" s="296">
        <f>_xlfn.XLOOKUP($D69,#REF!,#REF!,,0,)</f>
        <v/>
      </c>
      <c r="AD69" s="272">
        <f>_xlfn.XLOOKUP($D69,#REF!,#REF!,,0,)</f>
        <v/>
      </c>
      <c r="AE69" s="42">
        <f>Tab_Process_TCs2527[[#This Row],[Flow_ID]]</f>
        <v/>
      </c>
      <c r="AF69" s="272">
        <f>"TC"&amp;"_"&amp;RIGHT(AD69,5)</f>
        <v/>
      </c>
      <c r="AG69" s="49">
        <f>AG68+0.01</f>
        <v/>
      </c>
      <c r="AH69" s="169">
        <f>_xlfn.XLOOKUP($D69,#REF!,#REF!,,0,)</f>
        <v/>
      </c>
      <c r="AI69" s="53">
        <f>_xlfn.XLOOKUP($D69,#REF!,#REF!,,0,)</f>
        <v/>
      </c>
      <c r="AJ69" s="42">
        <f>Tab_Process_TCs2527[[#This Row],[Flow_ID]]</f>
        <v/>
      </c>
      <c r="AK69" s="272">
        <f>"TC"&amp;"_"&amp;RIGHT(AI69,5)</f>
        <v/>
      </c>
      <c r="AL69" s="168">
        <f>AL68-0.01</f>
        <v/>
      </c>
      <c r="AM69" s="296">
        <f>_xlfn.XLOOKUP($D69,#REF!,#REF!,,0,)</f>
        <v/>
      </c>
      <c r="AN69" s="272">
        <f>_xlfn.XLOOKUP($D69,#REF!,#REF!,,0,)</f>
        <v/>
      </c>
      <c r="AO69" s="42">
        <f>Tab_Process_TCs2527[[#This Row],[Flow_ID]]</f>
        <v/>
      </c>
      <c r="AP69" s="272">
        <f>"TC"&amp;"_"&amp;RIGHT(AN69,5)</f>
        <v/>
      </c>
      <c r="AQ69" s="168" t="n">
        <v>0.25</v>
      </c>
      <c r="AR69" s="296">
        <f>_xlfn.XLOOKUP($D69,#REF!,#REF!,,0,)</f>
        <v/>
      </c>
      <c r="AS69" s="272">
        <f>_xlfn.XLOOKUP($D69,#REF!,#REF!,,0,)</f>
        <v/>
      </c>
      <c r="AT69" s="42">
        <f>Tab_Process_TCs2527[[#This Row],[Flow_ID]]</f>
        <v/>
      </c>
      <c r="AU69" s="42">
        <f>"TC"&amp;"_"&amp;RIGHT(AN69,5)</f>
        <v/>
      </c>
      <c r="AV69" s="168" t="n"/>
      <c r="AW69" s="296">
        <f>_xlfn.XLOOKUP($D69,#REF!,#REF!,,0,)</f>
        <v/>
      </c>
      <c r="AX69" s="272">
        <f>_xlfn.XLOOKUP($D69,#REF!,#REF!,,0,)</f>
        <v/>
      </c>
      <c r="AY69" s="42">
        <f>Tab_Process_TCs2527[[#This Row],[Flow_ID]]</f>
        <v/>
      </c>
      <c r="AZ69" s="42">
        <f>"TC"&amp;"_"&amp;RIGHT(AX69,5)</f>
        <v/>
      </c>
      <c r="BA69" s="168" t="n"/>
      <c r="BB69" s="272">
        <f>_xlfn.XLOOKUP($D69,#REF!,#REF!,,0,)</f>
        <v/>
      </c>
      <c r="BC69" s="272">
        <f>_xlfn.XLOOKUP($D69,#REF!,#REF!,,0,)</f>
        <v/>
      </c>
      <c r="BD69" s="42">
        <f>Tab_Process_TCs2527[[#This Row],[Flow_ID]]</f>
        <v/>
      </c>
      <c r="BE69" s="42">
        <f>"TC"&amp;"_"&amp;RIGHT(BC69,5)</f>
        <v/>
      </c>
      <c r="BF69" s="49" t="n"/>
      <c r="BG69" s="52">
        <f>Tab_Process_TCs2527[[#This Row],[TC O_6_'[%']]]+Tab_Process_TCs2527[[#This Row],[TC O_5_'[%']]]+Tab_Process_TCs2527[[#This Row],[TC_O_4_'[%']]]+Tab_Process_TCs2527[[#This Row],[TC_O_3_'[%']]]+Tab_Process_TCs2527[[#This Row],[TC_O_2_'[%']]]+Tab_Process_TCs2527[[#This Row],[TC_O_1_'[%']]]</f>
        <v/>
      </c>
      <c r="BH69" s="273" t="n"/>
      <c r="BI69" s="273" t="n"/>
      <c r="BJ69" s="273" t="n"/>
      <c r="BK69" s="273" t="n"/>
      <c r="BL69" s="273" t="n"/>
    </row>
    <row r="70">
      <c r="A70" s="280" t="b">
        <v>0</v>
      </c>
      <c r="B70" s="272">
        <f>ROW()-1</f>
        <v/>
      </c>
      <c r="C70" s="286">
        <f>_xlfn.XLOOKUP($D70,Tab_Process_TCs[Name(EN)],Tab_Process_TCs[Process_ID],,0,)</f>
        <v/>
      </c>
      <c r="D70" s="189" t="inlineStr">
        <is>
          <t>N.A.</t>
        </is>
      </c>
      <c r="E70" s="189" t="inlineStr">
        <is>
          <t>N.A.</t>
        </is>
      </c>
      <c r="F70" s="286">
        <f>_xlfn.XLOOKUP($D70,Tab_Process_TCs[Name(EN)],Tab_Process_TCs[TC?],,0,)</f>
        <v/>
      </c>
      <c r="G70" s="286">
        <f>_xlfn.XLOOKUP($D70,Tab_Process_TCs[Name(EN)],Tab_Process_TCs[Dyn_TC?],,0,)</f>
        <v/>
      </c>
      <c r="H70" s="272">
        <f>_xlfn.XLOOKUP($E70,Tab_Def_Flows[Name(EN)],Tab_Def_Flows[Flow_ID],,0,1)</f>
        <v/>
      </c>
      <c r="I70" s="272">
        <f>IF(Tab_Process_TCs2527[[#This Row],[Name(EN)]]="N.A.","N.A.","TC"&amp;"_"&amp;RIGHT(H70,5))</f>
        <v/>
      </c>
      <c r="J70" s="273" t="n"/>
      <c r="K70" s="183" t="n"/>
      <c r="L70" s="272" t="n"/>
      <c r="M70" s="296">
        <f>_xlfn.XLOOKUP($D70,Tab_Def_Processes[Name(EN)],Tab_Def_Processes[Input_Flow_I_1],,0,)</f>
        <v/>
      </c>
      <c r="N70" s="272">
        <f>_xlfn.XLOOKUP($D70,Tab_Def_Processes[Name(EN)],Tab_Def_Processes[Flow_ID_I_1],,0,)</f>
        <v/>
      </c>
      <c r="O70" s="33" t="n"/>
      <c r="P70" s="29">
        <f>_xlfn.XLOOKUP($D70,Tab_Def_Processes[Name(EN)],Tab_Def_Processes[Input_Flow_I_2],,0,)</f>
        <v/>
      </c>
      <c r="Q70" s="272">
        <f>_xlfn.XLOOKUP($D70,Tab_Def_Processes[Name(EN)],Tab_Def_Processes[Flow_ID_I_2],,0,)</f>
        <v/>
      </c>
      <c r="R70" s="33" t="n"/>
      <c r="S70" s="29">
        <f>_xlfn.XLOOKUP($D70,Tab_Def_Processes[Name(EN)],Tab_Def_Processes[Input_Flow_I_3],,0,)</f>
        <v/>
      </c>
      <c r="T70" s="272">
        <f>_xlfn.XLOOKUP($D70,Tab_Def_Processes[Name(EN)],Tab_Def_Processes[Flow_ID_I_3],,0,)</f>
        <v/>
      </c>
      <c r="U70" s="33" t="n"/>
      <c r="V70" s="29">
        <f>_xlfn.XLOOKUP($D70,Tab_Def_Processes[Name(EN)],Tab_Def_Processes[Input_Flow_I_4],,0,)</f>
        <v/>
      </c>
      <c r="W70" s="272">
        <f>_xlfn.XLOOKUP($D70,Tab_Def_Processes[Name(EN)],Tab_Def_Processes[Flow_ID_I_4],,0,)</f>
        <v/>
      </c>
      <c r="X70" s="33" t="n"/>
      <c r="Y70" s="29">
        <f>_xlfn.XLOOKUP($D70,Tab_Def_Processes[Name(EN)],Tab_Def_Processes[Input_Flow_I_5],,0,)</f>
        <v/>
      </c>
      <c r="Z70" s="272">
        <f>_xlfn.XLOOKUP($D70,Tab_Def_Processes[Name(EN)],Tab_Def_Processes[Flow_ID_I_5],,0,)</f>
        <v/>
      </c>
      <c r="AA70" s="33" t="n"/>
      <c r="AB70" s="32">
        <f>Tab_Process_TCs2527[[#This Row],[Flow_TC_I_1_'[%']]]+Tab_Process_TCs2527[[#This Row],[Flow_TC_I_2_'[%']]]+Tab_Process_TCs2527[[#This Row],[Flow_TC_I_3_'[%']]]+Tab_Process_TCs2527[[#This Row],[Flow_TC_I_4_'[%']]]+Tab_Process_TCs2527[[#This Row],[Flow_TC_I_5_'[%']]]</f>
        <v/>
      </c>
      <c r="AC70" s="296">
        <f>_xlfn.XLOOKUP($D70,#REF!,#REF!,,0,)</f>
        <v/>
      </c>
      <c r="AD70" s="272">
        <f>_xlfn.XLOOKUP($D70,#REF!,#REF!,,0,)</f>
        <v/>
      </c>
      <c r="AE70" s="42">
        <f>Tab_Process_TCs2527[[#This Row],[Flow_ID]]</f>
        <v/>
      </c>
      <c r="AF70" s="272">
        <f>"TC"&amp;"_"&amp;RIGHT(AD70,5)</f>
        <v/>
      </c>
      <c r="AG70" s="49">
        <f>AG69+0.01</f>
        <v/>
      </c>
      <c r="AH70" s="169">
        <f>_xlfn.XLOOKUP($D70,#REF!,#REF!,,0,)</f>
        <v/>
      </c>
      <c r="AI70" s="53">
        <f>_xlfn.XLOOKUP($D70,#REF!,#REF!,,0,)</f>
        <v/>
      </c>
      <c r="AJ70" s="42">
        <f>Tab_Process_TCs2527[[#This Row],[Flow_ID]]</f>
        <v/>
      </c>
      <c r="AK70" s="272">
        <f>"TC"&amp;"_"&amp;RIGHT(AI70,5)</f>
        <v/>
      </c>
      <c r="AL70" s="168">
        <f>AL69-0.01</f>
        <v/>
      </c>
      <c r="AM70" s="296">
        <f>_xlfn.XLOOKUP($D70,#REF!,#REF!,,0,)</f>
        <v/>
      </c>
      <c r="AN70" s="272">
        <f>_xlfn.XLOOKUP($D70,#REF!,#REF!,,0,)</f>
        <v/>
      </c>
      <c r="AO70" s="42">
        <f>Tab_Process_TCs2527[[#This Row],[Flow_ID]]</f>
        <v/>
      </c>
      <c r="AP70" s="272">
        <f>"TC"&amp;"_"&amp;RIGHT(AN70,5)</f>
        <v/>
      </c>
      <c r="AQ70" s="168" t="n">
        <v>0.25</v>
      </c>
      <c r="AR70" s="296">
        <f>_xlfn.XLOOKUP($D70,#REF!,#REF!,,0,)</f>
        <v/>
      </c>
      <c r="AS70" s="272">
        <f>_xlfn.XLOOKUP($D70,#REF!,#REF!,,0,)</f>
        <v/>
      </c>
      <c r="AT70" s="42">
        <f>Tab_Process_TCs2527[[#This Row],[Flow_ID]]</f>
        <v/>
      </c>
      <c r="AU70" s="42">
        <f>"TC"&amp;"_"&amp;RIGHT(AN70,5)</f>
        <v/>
      </c>
      <c r="AV70" s="168" t="n"/>
      <c r="AW70" s="296">
        <f>_xlfn.XLOOKUP($D70,#REF!,#REF!,,0,)</f>
        <v/>
      </c>
      <c r="AX70" s="272">
        <f>_xlfn.XLOOKUP($D70,#REF!,#REF!,,0,)</f>
        <v/>
      </c>
      <c r="AY70" s="42">
        <f>Tab_Process_TCs2527[[#This Row],[Flow_ID]]</f>
        <v/>
      </c>
      <c r="AZ70" s="42">
        <f>"TC"&amp;"_"&amp;RIGHT(AX70,5)</f>
        <v/>
      </c>
      <c r="BA70" s="168" t="n"/>
      <c r="BB70" s="272">
        <f>_xlfn.XLOOKUP($D70,#REF!,#REF!,,0,)</f>
        <v/>
      </c>
      <c r="BC70" s="272">
        <f>_xlfn.XLOOKUP($D70,#REF!,#REF!,,0,)</f>
        <v/>
      </c>
      <c r="BD70" s="42">
        <f>Tab_Process_TCs2527[[#This Row],[Flow_ID]]</f>
        <v/>
      </c>
      <c r="BE70" s="42">
        <f>"TC"&amp;"_"&amp;RIGHT(BC70,5)</f>
        <v/>
      </c>
      <c r="BF70" s="49" t="n"/>
      <c r="BG70" s="52">
        <f>Tab_Process_TCs2527[[#This Row],[TC O_6_'[%']]]+Tab_Process_TCs2527[[#This Row],[TC O_5_'[%']]]+Tab_Process_TCs2527[[#This Row],[TC_O_4_'[%']]]+Tab_Process_TCs2527[[#This Row],[TC_O_3_'[%']]]+Tab_Process_TCs2527[[#This Row],[TC_O_2_'[%']]]+Tab_Process_TCs2527[[#This Row],[TC_O_1_'[%']]]</f>
        <v/>
      </c>
      <c r="BH70" s="273" t="n"/>
      <c r="BI70" s="273" t="n"/>
      <c r="BJ70" s="273" t="n"/>
      <c r="BK70" s="273" t="n"/>
      <c r="BL70" s="273" t="n"/>
    </row>
    <row r="71">
      <c r="A71" s="280" t="b">
        <v>0</v>
      </c>
      <c r="B71" s="272">
        <f>ROW()-1</f>
        <v/>
      </c>
      <c r="C71" s="286">
        <f>_xlfn.XLOOKUP($D71,Tab_Process_TCs[Name(EN)],Tab_Process_TCs[Process_ID],,0,)</f>
        <v/>
      </c>
      <c r="D71" s="189" t="inlineStr">
        <is>
          <t>N.A.</t>
        </is>
      </c>
      <c r="E71" s="189" t="inlineStr">
        <is>
          <t>N.A.</t>
        </is>
      </c>
      <c r="F71" s="286">
        <f>_xlfn.XLOOKUP($D71,Tab_Process_TCs[Name(EN)],Tab_Process_TCs[TC?],,0,)</f>
        <v/>
      </c>
      <c r="G71" s="286">
        <f>_xlfn.XLOOKUP($D71,Tab_Process_TCs[Name(EN)],Tab_Process_TCs[Dyn_TC?],,0,)</f>
        <v/>
      </c>
      <c r="H71" s="272">
        <f>_xlfn.XLOOKUP($E71,Tab_Def_Flows[Name(EN)],Tab_Def_Flows[Flow_ID],,0,1)</f>
        <v/>
      </c>
      <c r="I71" s="272">
        <f>IF(Tab_Process_TCs2527[[#This Row],[Name(EN)]]="N.A.","N.A.","TC"&amp;"_"&amp;RIGHT(H71,5))</f>
        <v/>
      </c>
      <c r="J71" s="273" t="n"/>
      <c r="K71" s="183" t="n"/>
      <c r="L71" s="272" t="n"/>
      <c r="M71" s="296">
        <f>_xlfn.XLOOKUP($D71,Tab_Def_Processes[Name(EN)],Tab_Def_Processes[Input_Flow_I_1],,0,)</f>
        <v/>
      </c>
      <c r="N71" s="272">
        <f>_xlfn.XLOOKUP($D71,Tab_Def_Processes[Name(EN)],Tab_Def_Processes[Flow_ID_I_1],,0,)</f>
        <v/>
      </c>
      <c r="O71" s="33" t="n"/>
      <c r="P71" s="29">
        <f>_xlfn.XLOOKUP($D71,Tab_Def_Processes[Name(EN)],Tab_Def_Processes[Input_Flow_I_2],,0,)</f>
        <v/>
      </c>
      <c r="Q71" s="272">
        <f>_xlfn.XLOOKUP($D71,Tab_Def_Processes[Name(EN)],Tab_Def_Processes[Flow_ID_I_2],,0,)</f>
        <v/>
      </c>
      <c r="R71" s="33" t="n"/>
      <c r="S71" s="29">
        <f>_xlfn.XLOOKUP($D71,Tab_Def_Processes[Name(EN)],Tab_Def_Processes[Input_Flow_I_3],,0,)</f>
        <v/>
      </c>
      <c r="T71" s="272">
        <f>_xlfn.XLOOKUP($D71,Tab_Def_Processes[Name(EN)],Tab_Def_Processes[Flow_ID_I_3],,0,)</f>
        <v/>
      </c>
      <c r="U71" s="33" t="n"/>
      <c r="V71" s="29">
        <f>_xlfn.XLOOKUP($D71,Tab_Def_Processes[Name(EN)],Tab_Def_Processes[Input_Flow_I_4],,0,)</f>
        <v/>
      </c>
      <c r="W71" s="272">
        <f>_xlfn.XLOOKUP($D71,Tab_Def_Processes[Name(EN)],Tab_Def_Processes[Flow_ID_I_4],,0,)</f>
        <v/>
      </c>
      <c r="X71" s="33" t="n"/>
      <c r="Y71" s="29">
        <f>_xlfn.XLOOKUP($D71,Tab_Def_Processes[Name(EN)],Tab_Def_Processes[Input_Flow_I_5],,0,)</f>
        <v/>
      </c>
      <c r="Z71" s="272">
        <f>_xlfn.XLOOKUP($D71,Tab_Def_Processes[Name(EN)],Tab_Def_Processes[Flow_ID_I_5],,0,)</f>
        <v/>
      </c>
      <c r="AA71" s="33" t="n"/>
      <c r="AB71" s="32">
        <f>Tab_Process_TCs2527[[#This Row],[Flow_TC_I_1_'[%']]]+Tab_Process_TCs2527[[#This Row],[Flow_TC_I_2_'[%']]]+Tab_Process_TCs2527[[#This Row],[Flow_TC_I_3_'[%']]]+Tab_Process_TCs2527[[#This Row],[Flow_TC_I_4_'[%']]]+Tab_Process_TCs2527[[#This Row],[Flow_TC_I_5_'[%']]]</f>
        <v/>
      </c>
      <c r="AC71" s="296">
        <f>_xlfn.XLOOKUP($D71,#REF!,#REF!,,0,)</f>
        <v/>
      </c>
      <c r="AD71" s="272">
        <f>_xlfn.XLOOKUP($D71,#REF!,#REF!,,0,)</f>
        <v/>
      </c>
      <c r="AE71" s="42">
        <f>Tab_Process_TCs2527[[#This Row],[Flow_ID]]</f>
        <v/>
      </c>
      <c r="AF71" s="272">
        <f>"TC"&amp;"_"&amp;RIGHT(AD71,5)</f>
        <v/>
      </c>
      <c r="AG71" s="49">
        <f>AG70+0.01</f>
        <v/>
      </c>
      <c r="AH71" s="169">
        <f>_xlfn.XLOOKUP($D71,#REF!,#REF!,,0,)</f>
        <v/>
      </c>
      <c r="AI71" s="53">
        <f>_xlfn.XLOOKUP($D71,#REF!,#REF!,,0,)</f>
        <v/>
      </c>
      <c r="AJ71" s="42">
        <f>Tab_Process_TCs2527[[#This Row],[Flow_ID]]</f>
        <v/>
      </c>
      <c r="AK71" s="272">
        <f>"TC"&amp;"_"&amp;RIGHT(AI71,5)</f>
        <v/>
      </c>
      <c r="AL71" s="168">
        <f>AL70-0.01</f>
        <v/>
      </c>
      <c r="AM71" s="296">
        <f>_xlfn.XLOOKUP($D71,#REF!,#REF!,,0,)</f>
        <v/>
      </c>
      <c r="AN71" s="272">
        <f>_xlfn.XLOOKUP($D71,#REF!,#REF!,,0,)</f>
        <v/>
      </c>
      <c r="AO71" s="42">
        <f>Tab_Process_TCs2527[[#This Row],[Flow_ID]]</f>
        <v/>
      </c>
      <c r="AP71" s="272">
        <f>"TC"&amp;"_"&amp;RIGHT(AN71,5)</f>
        <v/>
      </c>
      <c r="AQ71" s="168" t="n">
        <v>0.25</v>
      </c>
      <c r="AR71" s="296">
        <f>_xlfn.XLOOKUP($D71,#REF!,#REF!,,0,)</f>
        <v/>
      </c>
      <c r="AS71" s="272">
        <f>_xlfn.XLOOKUP($D71,#REF!,#REF!,,0,)</f>
        <v/>
      </c>
      <c r="AT71" s="42">
        <f>Tab_Process_TCs2527[[#This Row],[Flow_ID]]</f>
        <v/>
      </c>
      <c r="AU71" s="42">
        <f>"TC"&amp;"_"&amp;RIGHT(AN71,5)</f>
        <v/>
      </c>
      <c r="AV71" s="168" t="n"/>
      <c r="AW71" s="296">
        <f>_xlfn.XLOOKUP($D71,#REF!,#REF!,,0,)</f>
        <v/>
      </c>
      <c r="AX71" s="272">
        <f>_xlfn.XLOOKUP($D71,#REF!,#REF!,,0,)</f>
        <v/>
      </c>
      <c r="AY71" s="42">
        <f>Tab_Process_TCs2527[[#This Row],[Flow_ID]]</f>
        <v/>
      </c>
      <c r="AZ71" s="42">
        <f>"TC"&amp;"_"&amp;RIGHT(AX71,5)</f>
        <v/>
      </c>
      <c r="BA71" s="168" t="n"/>
      <c r="BB71" s="272">
        <f>_xlfn.XLOOKUP($D71,#REF!,#REF!,,0,)</f>
        <v/>
      </c>
      <c r="BC71" s="272">
        <f>_xlfn.XLOOKUP($D71,#REF!,#REF!,,0,)</f>
        <v/>
      </c>
      <c r="BD71" s="42">
        <f>Tab_Process_TCs2527[[#This Row],[Flow_ID]]</f>
        <v/>
      </c>
      <c r="BE71" s="42">
        <f>"TC"&amp;"_"&amp;RIGHT(BC71,5)</f>
        <v/>
      </c>
      <c r="BF71" s="49" t="n"/>
      <c r="BG71" s="52">
        <f>Tab_Process_TCs2527[[#This Row],[TC O_6_'[%']]]+Tab_Process_TCs2527[[#This Row],[TC O_5_'[%']]]+Tab_Process_TCs2527[[#This Row],[TC_O_4_'[%']]]+Tab_Process_TCs2527[[#This Row],[TC_O_3_'[%']]]+Tab_Process_TCs2527[[#This Row],[TC_O_2_'[%']]]+Tab_Process_TCs2527[[#This Row],[TC_O_1_'[%']]]</f>
        <v/>
      </c>
      <c r="BH71" s="273" t="n"/>
      <c r="BI71" s="273" t="n"/>
      <c r="BJ71" s="273" t="n"/>
      <c r="BK71" s="273" t="n"/>
      <c r="BL71" s="273" t="n"/>
    </row>
    <row r="72">
      <c r="A72" s="280" t="b">
        <v>0</v>
      </c>
      <c r="B72" s="272">
        <f>ROW()-1</f>
        <v/>
      </c>
      <c r="C72" s="286">
        <f>_xlfn.XLOOKUP($D72,Tab_Process_TCs[Name(EN)],Tab_Process_TCs[Process_ID],,0,)</f>
        <v/>
      </c>
      <c r="D72" s="189" t="inlineStr">
        <is>
          <t>N.A.</t>
        </is>
      </c>
      <c r="E72" s="189" t="inlineStr">
        <is>
          <t>N.A.</t>
        </is>
      </c>
      <c r="F72" s="286">
        <f>_xlfn.XLOOKUP($D72,Tab_Process_TCs[Name(EN)],Tab_Process_TCs[TC?],,0,)</f>
        <v/>
      </c>
      <c r="G72" s="286">
        <f>_xlfn.XLOOKUP($D72,Tab_Process_TCs[Name(EN)],Tab_Process_TCs[Dyn_TC?],,0,)</f>
        <v/>
      </c>
      <c r="H72" s="272">
        <f>_xlfn.XLOOKUP($E72,Tab_Def_Flows[Name(EN)],Tab_Def_Flows[Flow_ID],,0,1)</f>
        <v/>
      </c>
      <c r="I72" s="272">
        <f>IF(Tab_Process_TCs2527[[#This Row],[Name(EN)]]="N.A.","N.A.","TC"&amp;"_"&amp;RIGHT(H72,5))</f>
        <v/>
      </c>
      <c r="J72" s="273" t="n"/>
      <c r="K72" s="183" t="n"/>
      <c r="L72" s="272" t="n"/>
      <c r="M72" s="296">
        <f>_xlfn.XLOOKUP($D72,Tab_Def_Processes[Name(EN)],Tab_Def_Processes[Input_Flow_I_1],,0,)</f>
        <v/>
      </c>
      <c r="N72" s="272">
        <f>_xlfn.XLOOKUP($D72,Tab_Def_Processes[Name(EN)],Tab_Def_Processes[Flow_ID_I_1],,0,)</f>
        <v/>
      </c>
      <c r="O72" s="33" t="n"/>
      <c r="P72" s="29">
        <f>_xlfn.XLOOKUP($D72,Tab_Def_Processes[Name(EN)],Tab_Def_Processes[Input_Flow_I_2],,0,)</f>
        <v/>
      </c>
      <c r="Q72" s="272">
        <f>_xlfn.XLOOKUP($D72,Tab_Def_Processes[Name(EN)],Tab_Def_Processes[Flow_ID_I_2],,0,)</f>
        <v/>
      </c>
      <c r="R72" s="33" t="n"/>
      <c r="S72" s="29">
        <f>_xlfn.XLOOKUP($D72,Tab_Def_Processes[Name(EN)],Tab_Def_Processes[Input_Flow_I_3],,0,)</f>
        <v/>
      </c>
      <c r="T72" s="272">
        <f>_xlfn.XLOOKUP($D72,Tab_Def_Processes[Name(EN)],Tab_Def_Processes[Flow_ID_I_3],,0,)</f>
        <v/>
      </c>
      <c r="U72" s="33" t="n"/>
      <c r="V72" s="29">
        <f>_xlfn.XLOOKUP($D72,Tab_Def_Processes[Name(EN)],Tab_Def_Processes[Input_Flow_I_4],,0,)</f>
        <v/>
      </c>
      <c r="W72" s="272">
        <f>_xlfn.XLOOKUP($D72,Tab_Def_Processes[Name(EN)],Tab_Def_Processes[Flow_ID_I_4],,0,)</f>
        <v/>
      </c>
      <c r="X72" s="33" t="n"/>
      <c r="Y72" s="29">
        <f>_xlfn.XLOOKUP($D72,Tab_Def_Processes[Name(EN)],Tab_Def_Processes[Input_Flow_I_5],,0,)</f>
        <v/>
      </c>
      <c r="Z72" s="272">
        <f>_xlfn.XLOOKUP($D72,Tab_Def_Processes[Name(EN)],Tab_Def_Processes[Flow_ID_I_5],,0,)</f>
        <v/>
      </c>
      <c r="AA72" s="33" t="n"/>
      <c r="AB72" s="32">
        <f>Tab_Process_TCs2527[[#This Row],[Flow_TC_I_1_'[%']]]+Tab_Process_TCs2527[[#This Row],[Flow_TC_I_2_'[%']]]+Tab_Process_TCs2527[[#This Row],[Flow_TC_I_3_'[%']]]+Tab_Process_TCs2527[[#This Row],[Flow_TC_I_4_'[%']]]+Tab_Process_TCs2527[[#This Row],[Flow_TC_I_5_'[%']]]</f>
        <v/>
      </c>
      <c r="AC72" s="296">
        <f>_xlfn.XLOOKUP($D72,#REF!,#REF!,,0,)</f>
        <v/>
      </c>
      <c r="AD72" s="272">
        <f>_xlfn.XLOOKUP($D72,#REF!,#REF!,,0,)</f>
        <v/>
      </c>
      <c r="AE72" s="42">
        <f>Tab_Process_TCs2527[[#This Row],[Flow_ID]]</f>
        <v/>
      </c>
      <c r="AF72" s="272">
        <f>"TC"&amp;"_"&amp;RIGHT(AD72,5)</f>
        <v/>
      </c>
      <c r="AG72" s="49">
        <f>AG71+0.01</f>
        <v/>
      </c>
      <c r="AH72" s="169">
        <f>_xlfn.XLOOKUP($D72,#REF!,#REF!,,0,)</f>
        <v/>
      </c>
      <c r="AI72" s="53">
        <f>_xlfn.XLOOKUP($D72,#REF!,#REF!,,0,)</f>
        <v/>
      </c>
      <c r="AJ72" s="42">
        <f>Tab_Process_TCs2527[[#This Row],[Flow_ID]]</f>
        <v/>
      </c>
      <c r="AK72" s="272">
        <f>"TC"&amp;"_"&amp;RIGHT(AI72,5)</f>
        <v/>
      </c>
      <c r="AL72" s="168">
        <f>AL71-0.01</f>
        <v/>
      </c>
      <c r="AM72" s="296">
        <f>_xlfn.XLOOKUP($D72,#REF!,#REF!,,0,)</f>
        <v/>
      </c>
      <c r="AN72" s="272">
        <f>_xlfn.XLOOKUP($D72,#REF!,#REF!,,0,)</f>
        <v/>
      </c>
      <c r="AO72" s="42">
        <f>Tab_Process_TCs2527[[#This Row],[Flow_ID]]</f>
        <v/>
      </c>
      <c r="AP72" s="272">
        <f>"TC"&amp;"_"&amp;RIGHT(AN72,5)</f>
        <v/>
      </c>
      <c r="AQ72" s="168" t="n">
        <v>0.25</v>
      </c>
      <c r="AR72" s="296">
        <f>_xlfn.XLOOKUP($D72,#REF!,#REF!,,0,)</f>
        <v/>
      </c>
      <c r="AS72" s="272">
        <f>_xlfn.XLOOKUP($D72,#REF!,#REF!,,0,)</f>
        <v/>
      </c>
      <c r="AT72" s="42">
        <f>Tab_Process_TCs2527[[#This Row],[Flow_ID]]</f>
        <v/>
      </c>
      <c r="AU72" s="42">
        <f>"TC"&amp;"_"&amp;RIGHT(AN72,5)</f>
        <v/>
      </c>
      <c r="AV72" s="168" t="n"/>
      <c r="AW72" s="296">
        <f>_xlfn.XLOOKUP($D72,#REF!,#REF!,,0,)</f>
        <v/>
      </c>
      <c r="AX72" s="272">
        <f>_xlfn.XLOOKUP($D72,#REF!,#REF!,,0,)</f>
        <v/>
      </c>
      <c r="AY72" s="42">
        <f>Tab_Process_TCs2527[[#This Row],[Flow_ID]]</f>
        <v/>
      </c>
      <c r="AZ72" s="42">
        <f>"TC"&amp;"_"&amp;RIGHT(AX72,5)</f>
        <v/>
      </c>
      <c r="BA72" s="168" t="n"/>
      <c r="BB72" s="272">
        <f>_xlfn.XLOOKUP($D72,#REF!,#REF!,,0,)</f>
        <v/>
      </c>
      <c r="BC72" s="272">
        <f>_xlfn.XLOOKUP($D72,#REF!,#REF!,,0,)</f>
        <v/>
      </c>
      <c r="BD72" s="42">
        <f>Tab_Process_TCs2527[[#This Row],[Flow_ID]]</f>
        <v/>
      </c>
      <c r="BE72" s="42">
        <f>"TC"&amp;"_"&amp;RIGHT(BC72,5)</f>
        <v/>
      </c>
      <c r="BF72" s="49" t="n"/>
      <c r="BG72" s="52">
        <f>Tab_Process_TCs2527[[#This Row],[TC O_6_'[%']]]+Tab_Process_TCs2527[[#This Row],[TC O_5_'[%']]]+Tab_Process_TCs2527[[#This Row],[TC_O_4_'[%']]]+Tab_Process_TCs2527[[#This Row],[TC_O_3_'[%']]]+Tab_Process_TCs2527[[#This Row],[TC_O_2_'[%']]]+Tab_Process_TCs2527[[#This Row],[TC_O_1_'[%']]]</f>
        <v/>
      </c>
      <c r="BH72" s="273" t="n"/>
      <c r="BI72" s="273" t="n"/>
      <c r="BJ72" s="273" t="n"/>
      <c r="BK72" s="273" t="n"/>
      <c r="BL72" s="273" t="n"/>
    </row>
    <row r="73">
      <c r="A73" s="280" t="b">
        <v>0</v>
      </c>
      <c r="B73" s="272">
        <f>ROW()-1</f>
        <v/>
      </c>
      <c r="C73" s="286">
        <f>_xlfn.XLOOKUP($D73,Tab_Process_TCs[Name(EN)],Tab_Process_TCs[Process_ID],,0,)</f>
        <v/>
      </c>
      <c r="D73" s="189" t="inlineStr">
        <is>
          <t>N.A.</t>
        </is>
      </c>
      <c r="E73" s="189" t="inlineStr">
        <is>
          <t>N.A.</t>
        </is>
      </c>
      <c r="F73" s="286">
        <f>_xlfn.XLOOKUP($D73,Tab_Process_TCs[Name(EN)],Tab_Process_TCs[TC?],,0,)</f>
        <v/>
      </c>
      <c r="G73" s="286">
        <f>_xlfn.XLOOKUP($D73,Tab_Process_TCs[Name(EN)],Tab_Process_TCs[Dyn_TC?],,0,)</f>
        <v/>
      </c>
      <c r="H73" s="272">
        <f>_xlfn.XLOOKUP($E73,Tab_Def_Flows[Name(EN)],Tab_Def_Flows[Flow_ID],,0,1)</f>
        <v/>
      </c>
      <c r="I73" s="272">
        <f>IF(Tab_Process_TCs2527[[#This Row],[Name(EN)]]="N.A.","N.A.","TC"&amp;"_"&amp;RIGHT(H73,5))</f>
        <v/>
      </c>
      <c r="J73" s="273" t="n"/>
      <c r="K73" s="183" t="n"/>
      <c r="L73" s="272" t="n"/>
      <c r="M73" s="296">
        <f>_xlfn.XLOOKUP($D73,Tab_Def_Processes[Name(EN)],Tab_Def_Processes[Input_Flow_I_1],,0,)</f>
        <v/>
      </c>
      <c r="N73" s="272">
        <f>_xlfn.XLOOKUP($D73,Tab_Def_Processes[Name(EN)],Tab_Def_Processes[Flow_ID_I_1],,0,)</f>
        <v/>
      </c>
      <c r="O73" s="33" t="n"/>
      <c r="P73" s="29">
        <f>_xlfn.XLOOKUP($D73,Tab_Def_Processes[Name(EN)],Tab_Def_Processes[Input_Flow_I_2],,0,)</f>
        <v/>
      </c>
      <c r="Q73" s="272">
        <f>_xlfn.XLOOKUP($D73,Tab_Def_Processes[Name(EN)],Tab_Def_Processes[Flow_ID_I_2],,0,)</f>
        <v/>
      </c>
      <c r="R73" s="33" t="n"/>
      <c r="S73" s="29">
        <f>_xlfn.XLOOKUP($D73,Tab_Def_Processes[Name(EN)],Tab_Def_Processes[Input_Flow_I_3],,0,)</f>
        <v/>
      </c>
      <c r="T73" s="272">
        <f>_xlfn.XLOOKUP($D73,Tab_Def_Processes[Name(EN)],Tab_Def_Processes[Flow_ID_I_3],,0,)</f>
        <v/>
      </c>
      <c r="U73" s="33" t="n"/>
      <c r="V73" s="29">
        <f>_xlfn.XLOOKUP($D73,Tab_Def_Processes[Name(EN)],Tab_Def_Processes[Input_Flow_I_4],,0,)</f>
        <v/>
      </c>
      <c r="W73" s="272">
        <f>_xlfn.XLOOKUP($D73,Tab_Def_Processes[Name(EN)],Tab_Def_Processes[Flow_ID_I_4],,0,)</f>
        <v/>
      </c>
      <c r="X73" s="33" t="n"/>
      <c r="Y73" s="29">
        <f>_xlfn.XLOOKUP($D73,Tab_Def_Processes[Name(EN)],Tab_Def_Processes[Input_Flow_I_5],,0,)</f>
        <v/>
      </c>
      <c r="Z73" s="272">
        <f>_xlfn.XLOOKUP($D73,Tab_Def_Processes[Name(EN)],Tab_Def_Processes[Flow_ID_I_5],,0,)</f>
        <v/>
      </c>
      <c r="AA73" s="33" t="n"/>
      <c r="AB73" s="32">
        <f>Tab_Process_TCs2527[[#This Row],[Flow_TC_I_1_'[%']]]+Tab_Process_TCs2527[[#This Row],[Flow_TC_I_2_'[%']]]+Tab_Process_TCs2527[[#This Row],[Flow_TC_I_3_'[%']]]+Tab_Process_TCs2527[[#This Row],[Flow_TC_I_4_'[%']]]+Tab_Process_TCs2527[[#This Row],[Flow_TC_I_5_'[%']]]</f>
        <v/>
      </c>
      <c r="AC73" s="296">
        <f>_xlfn.XLOOKUP($D73,#REF!,#REF!,,0,)</f>
        <v/>
      </c>
      <c r="AD73" s="272">
        <f>_xlfn.XLOOKUP($D73,#REF!,#REF!,,0,)</f>
        <v/>
      </c>
      <c r="AE73" s="42">
        <f>Tab_Process_TCs2527[[#This Row],[Flow_ID]]</f>
        <v/>
      </c>
      <c r="AF73" s="272">
        <f>"TC"&amp;"_"&amp;RIGHT(AD73,5)</f>
        <v/>
      </c>
      <c r="AG73" s="49">
        <f>AG72+0.01</f>
        <v/>
      </c>
      <c r="AH73" s="169">
        <f>_xlfn.XLOOKUP($D73,#REF!,#REF!,,0,)</f>
        <v/>
      </c>
      <c r="AI73" s="53">
        <f>_xlfn.XLOOKUP($D73,#REF!,#REF!,,0,)</f>
        <v/>
      </c>
      <c r="AJ73" s="42">
        <f>Tab_Process_TCs2527[[#This Row],[Flow_ID]]</f>
        <v/>
      </c>
      <c r="AK73" s="272">
        <f>"TC"&amp;"_"&amp;RIGHT(AI73,5)</f>
        <v/>
      </c>
      <c r="AL73" s="168">
        <f>AL72-0.01</f>
        <v/>
      </c>
      <c r="AM73" s="296">
        <f>_xlfn.XLOOKUP($D73,#REF!,#REF!,,0,)</f>
        <v/>
      </c>
      <c r="AN73" s="272">
        <f>_xlfn.XLOOKUP($D73,#REF!,#REF!,,0,)</f>
        <v/>
      </c>
      <c r="AO73" s="42">
        <f>Tab_Process_TCs2527[[#This Row],[Flow_ID]]</f>
        <v/>
      </c>
      <c r="AP73" s="272">
        <f>"TC"&amp;"_"&amp;RIGHT(AN73,5)</f>
        <v/>
      </c>
      <c r="AQ73" s="168" t="n">
        <v>0.25</v>
      </c>
      <c r="AR73" s="296">
        <f>_xlfn.XLOOKUP($D73,#REF!,#REF!,,0,)</f>
        <v/>
      </c>
      <c r="AS73" s="272">
        <f>_xlfn.XLOOKUP($D73,#REF!,#REF!,,0,)</f>
        <v/>
      </c>
      <c r="AT73" s="42">
        <f>Tab_Process_TCs2527[[#This Row],[Flow_ID]]</f>
        <v/>
      </c>
      <c r="AU73" s="42">
        <f>"TC"&amp;"_"&amp;RIGHT(AN73,5)</f>
        <v/>
      </c>
      <c r="AV73" s="168" t="n"/>
      <c r="AW73" s="296">
        <f>_xlfn.XLOOKUP($D73,#REF!,#REF!,,0,)</f>
        <v/>
      </c>
      <c r="AX73" s="272">
        <f>_xlfn.XLOOKUP($D73,#REF!,#REF!,,0,)</f>
        <v/>
      </c>
      <c r="AY73" s="42">
        <f>Tab_Process_TCs2527[[#This Row],[Flow_ID]]</f>
        <v/>
      </c>
      <c r="AZ73" s="42">
        <f>"TC"&amp;"_"&amp;RIGHT(AX73,5)</f>
        <v/>
      </c>
      <c r="BA73" s="168" t="n"/>
      <c r="BB73" s="272">
        <f>_xlfn.XLOOKUP($D73,#REF!,#REF!,,0,)</f>
        <v/>
      </c>
      <c r="BC73" s="272">
        <f>_xlfn.XLOOKUP($D73,#REF!,#REF!,,0,)</f>
        <v/>
      </c>
      <c r="BD73" s="42">
        <f>Tab_Process_TCs2527[[#This Row],[Flow_ID]]</f>
        <v/>
      </c>
      <c r="BE73" s="42">
        <f>"TC"&amp;"_"&amp;RIGHT(BC73,5)</f>
        <v/>
      </c>
      <c r="BF73" s="49" t="n"/>
      <c r="BG73" s="52">
        <f>Tab_Process_TCs2527[[#This Row],[TC O_6_'[%']]]+Tab_Process_TCs2527[[#This Row],[TC O_5_'[%']]]+Tab_Process_TCs2527[[#This Row],[TC_O_4_'[%']]]+Tab_Process_TCs2527[[#This Row],[TC_O_3_'[%']]]+Tab_Process_TCs2527[[#This Row],[TC_O_2_'[%']]]+Tab_Process_TCs2527[[#This Row],[TC_O_1_'[%']]]</f>
        <v/>
      </c>
      <c r="BH73" s="273" t="n"/>
      <c r="BI73" s="273" t="n"/>
      <c r="BJ73" s="273" t="n"/>
      <c r="BK73" s="273" t="n"/>
      <c r="BL73" s="273" t="n"/>
    </row>
    <row r="74">
      <c r="A74" s="280" t="b">
        <v>0</v>
      </c>
      <c r="B74" s="272">
        <f>ROW()-1</f>
        <v/>
      </c>
      <c r="C74" s="286">
        <f>_xlfn.XLOOKUP($D74,Tab_Process_TCs[Name(EN)],Tab_Process_TCs[Process_ID],,0,)</f>
        <v/>
      </c>
      <c r="D74" s="189" t="inlineStr">
        <is>
          <t>N.A.</t>
        </is>
      </c>
      <c r="E74" s="189" t="inlineStr">
        <is>
          <t>N.A.</t>
        </is>
      </c>
      <c r="F74" s="286">
        <f>_xlfn.XLOOKUP($D74,Tab_Process_TCs[Name(EN)],Tab_Process_TCs[TC?],,0,)</f>
        <v/>
      </c>
      <c r="G74" s="286">
        <f>_xlfn.XLOOKUP($D74,Tab_Process_TCs[Name(EN)],Tab_Process_TCs[Dyn_TC?],,0,)</f>
        <v/>
      </c>
      <c r="H74" s="272">
        <f>_xlfn.XLOOKUP($E74,Tab_Def_Flows[Name(EN)],Tab_Def_Flows[Flow_ID],,0,1)</f>
        <v/>
      </c>
      <c r="I74" s="272">
        <f>IF(Tab_Process_TCs2527[[#This Row],[Name(EN)]]="N.A.","N.A.","TC"&amp;"_"&amp;RIGHT(H74,5))</f>
        <v/>
      </c>
      <c r="J74" s="273" t="n"/>
      <c r="K74" s="183" t="n"/>
      <c r="L74" s="272" t="n"/>
      <c r="M74" s="296">
        <f>_xlfn.XLOOKUP($D74,Tab_Def_Processes[Name(EN)],Tab_Def_Processes[Input_Flow_I_1],,0,)</f>
        <v/>
      </c>
      <c r="N74" s="272">
        <f>_xlfn.XLOOKUP($D74,Tab_Def_Processes[Name(EN)],Tab_Def_Processes[Flow_ID_I_1],,0,)</f>
        <v/>
      </c>
      <c r="O74" s="33" t="n"/>
      <c r="P74" s="29">
        <f>_xlfn.XLOOKUP($D74,Tab_Def_Processes[Name(EN)],Tab_Def_Processes[Input_Flow_I_2],,0,)</f>
        <v/>
      </c>
      <c r="Q74" s="272">
        <f>_xlfn.XLOOKUP($D74,Tab_Def_Processes[Name(EN)],Tab_Def_Processes[Flow_ID_I_2],,0,)</f>
        <v/>
      </c>
      <c r="R74" s="33" t="n"/>
      <c r="S74" s="29">
        <f>_xlfn.XLOOKUP($D74,Tab_Def_Processes[Name(EN)],Tab_Def_Processes[Input_Flow_I_3],,0,)</f>
        <v/>
      </c>
      <c r="T74" s="272">
        <f>_xlfn.XLOOKUP($D74,Tab_Def_Processes[Name(EN)],Tab_Def_Processes[Flow_ID_I_3],,0,)</f>
        <v/>
      </c>
      <c r="U74" s="33" t="n"/>
      <c r="V74" s="29">
        <f>_xlfn.XLOOKUP($D74,Tab_Def_Processes[Name(EN)],Tab_Def_Processes[Input_Flow_I_4],,0,)</f>
        <v/>
      </c>
      <c r="W74" s="272">
        <f>_xlfn.XLOOKUP($D74,Tab_Def_Processes[Name(EN)],Tab_Def_Processes[Flow_ID_I_4],,0,)</f>
        <v/>
      </c>
      <c r="X74" s="33" t="n"/>
      <c r="Y74" s="29">
        <f>_xlfn.XLOOKUP($D74,Tab_Def_Processes[Name(EN)],Tab_Def_Processes[Input_Flow_I_5],,0,)</f>
        <v/>
      </c>
      <c r="Z74" s="272">
        <f>_xlfn.XLOOKUP($D74,Tab_Def_Processes[Name(EN)],Tab_Def_Processes[Flow_ID_I_5],,0,)</f>
        <v/>
      </c>
      <c r="AA74" s="33" t="n"/>
      <c r="AB74" s="32">
        <f>Tab_Process_TCs2527[[#This Row],[Flow_TC_I_1_'[%']]]+Tab_Process_TCs2527[[#This Row],[Flow_TC_I_2_'[%']]]+Tab_Process_TCs2527[[#This Row],[Flow_TC_I_3_'[%']]]+Tab_Process_TCs2527[[#This Row],[Flow_TC_I_4_'[%']]]+Tab_Process_TCs2527[[#This Row],[Flow_TC_I_5_'[%']]]</f>
        <v/>
      </c>
      <c r="AC74" s="296">
        <f>_xlfn.XLOOKUP($D74,#REF!,#REF!,,0,)</f>
        <v/>
      </c>
      <c r="AD74" s="272">
        <f>_xlfn.XLOOKUP($D74,#REF!,#REF!,,0,)</f>
        <v/>
      </c>
      <c r="AE74" s="42">
        <f>Tab_Process_TCs2527[[#This Row],[Flow_ID]]</f>
        <v/>
      </c>
      <c r="AF74" s="272">
        <f>"TC"&amp;"_"&amp;RIGHT(AD74,5)</f>
        <v/>
      </c>
      <c r="AG74" s="49">
        <f>AG73+0.01</f>
        <v/>
      </c>
      <c r="AH74" s="169">
        <f>_xlfn.XLOOKUP($D74,#REF!,#REF!,,0,)</f>
        <v/>
      </c>
      <c r="AI74" s="53">
        <f>_xlfn.XLOOKUP($D74,#REF!,#REF!,,0,)</f>
        <v/>
      </c>
      <c r="AJ74" s="42">
        <f>Tab_Process_TCs2527[[#This Row],[Flow_ID]]</f>
        <v/>
      </c>
      <c r="AK74" s="272">
        <f>"TC"&amp;"_"&amp;RIGHT(AI74,5)</f>
        <v/>
      </c>
      <c r="AL74" s="168">
        <f>AL73-0.01</f>
        <v/>
      </c>
      <c r="AM74" s="296">
        <f>_xlfn.XLOOKUP($D74,#REF!,#REF!,,0,)</f>
        <v/>
      </c>
      <c r="AN74" s="272">
        <f>_xlfn.XLOOKUP($D74,#REF!,#REF!,,0,)</f>
        <v/>
      </c>
      <c r="AO74" s="42">
        <f>Tab_Process_TCs2527[[#This Row],[Flow_ID]]</f>
        <v/>
      </c>
      <c r="AP74" s="272">
        <f>"TC"&amp;"_"&amp;RIGHT(AN74,5)</f>
        <v/>
      </c>
      <c r="AQ74" s="168" t="n">
        <v>0.25</v>
      </c>
      <c r="AR74" s="296">
        <f>_xlfn.XLOOKUP($D74,#REF!,#REF!,,0,)</f>
        <v/>
      </c>
      <c r="AS74" s="272">
        <f>_xlfn.XLOOKUP($D74,#REF!,#REF!,,0,)</f>
        <v/>
      </c>
      <c r="AT74" s="42">
        <f>Tab_Process_TCs2527[[#This Row],[Flow_ID]]</f>
        <v/>
      </c>
      <c r="AU74" s="42">
        <f>"TC"&amp;"_"&amp;RIGHT(AN74,5)</f>
        <v/>
      </c>
      <c r="AV74" s="168" t="n"/>
      <c r="AW74" s="296">
        <f>_xlfn.XLOOKUP($D74,#REF!,#REF!,,0,)</f>
        <v/>
      </c>
      <c r="AX74" s="272">
        <f>_xlfn.XLOOKUP($D74,#REF!,#REF!,,0,)</f>
        <v/>
      </c>
      <c r="AY74" s="42">
        <f>Tab_Process_TCs2527[[#This Row],[Flow_ID]]</f>
        <v/>
      </c>
      <c r="AZ74" s="42">
        <f>"TC"&amp;"_"&amp;RIGHT(AX74,5)</f>
        <v/>
      </c>
      <c r="BA74" s="168" t="n"/>
      <c r="BB74" s="272">
        <f>_xlfn.XLOOKUP($D74,#REF!,#REF!,,0,)</f>
        <v/>
      </c>
      <c r="BC74" s="272">
        <f>_xlfn.XLOOKUP($D74,#REF!,#REF!,,0,)</f>
        <v/>
      </c>
      <c r="BD74" s="42">
        <f>Tab_Process_TCs2527[[#This Row],[Flow_ID]]</f>
        <v/>
      </c>
      <c r="BE74" s="42">
        <f>"TC"&amp;"_"&amp;RIGHT(BC74,5)</f>
        <v/>
      </c>
      <c r="BF74" s="49" t="n"/>
      <c r="BG74" s="52">
        <f>Tab_Process_TCs2527[[#This Row],[TC O_6_'[%']]]+Tab_Process_TCs2527[[#This Row],[TC O_5_'[%']]]+Tab_Process_TCs2527[[#This Row],[TC_O_4_'[%']]]+Tab_Process_TCs2527[[#This Row],[TC_O_3_'[%']]]+Tab_Process_TCs2527[[#This Row],[TC_O_2_'[%']]]+Tab_Process_TCs2527[[#This Row],[TC_O_1_'[%']]]</f>
        <v/>
      </c>
      <c r="BH74" s="273" t="n"/>
      <c r="BI74" s="273" t="n"/>
      <c r="BJ74" s="273" t="n"/>
      <c r="BK74" s="273" t="n"/>
      <c r="BL74" s="273" t="n"/>
    </row>
    <row r="75">
      <c r="A75" s="280" t="b">
        <v>0</v>
      </c>
      <c r="B75" s="272">
        <f>ROW()-1</f>
        <v/>
      </c>
      <c r="C75" s="286">
        <f>_xlfn.XLOOKUP($D75,Tab_Process_TCs[Name(EN)],Tab_Process_TCs[Process_ID],,0,)</f>
        <v/>
      </c>
      <c r="D75" s="189" t="inlineStr">
        <is>
          <t>N.A.</t>
        </is>
      </c>
      <c r="E75" s="189" t="inlineStr">
        <is>
          <t>N.A.</t>
        </is>
      </c>
      <c r="F75" s="286">
        <f>_xlfn.XLOOKUP($D75,Tab_Process_TCs[Name(EN)],Tab_Process_TCs[TC?],,0,)</f>
        <v/>
      </c>
      <c r="G75" s="286">
        <f>_xlfn.XLOOKUP($D75,Tab_Process_TCs[Name(EN)],Tab_Process_TCs[Dyn_TC?],,0,)</f>
        <v/>
      </c>
      <c r="H75" s="272">
        <f>_xlfn.XLOOKUP($E75,Tab_Def_Flows[Name(EN)],Tab_Def_Flows[Flow_ID],,0,1)</f>
        <v/>
      </c>
      <c r="I75" s="272">
        <f>IF(Tab_Process_TCs2527[[#This Row],[Name(EN)]]="N.A.","N.A.","TC"&amp;"_"&amp;RIGHT(H75,5))</f>
        <v/>
      </c>
      <c r="J75" s="273" t="n"/>
      <c r="K75" s="183" t="n"/>
      <c r="L75" s="272" t="n"/>
      <c r="M75" s="296">
        <f>_xlfn.XLOOKUP($D75,Tab_Def_Processes[Name(EN)],Tab_Def_Processes[Input_Flow_I_1],,0,)</f>
        <v/>
      </c>
      <c r="N75" s="272">
        <f>_xlfn.XLOOKUP($D75,Tab_Def_Processes[Name(EN)],Tab_Def_Processes[Flow_ID_I_1],,0,)</f>
        <v/>
      </c>
      <c r="O75" s="33" t="n"/>
      <c r="P75" s="29">
        <f>_xlfn.XLOOKUP($D75,Tab_Def_Processes[Name(EN)],Tab_Def_Processes[Input_Flow_I_2],,0,)</f>
        <v/>
      </c>
      <c r="Q75" s="272">
        <f>_xlfn.XLOOKUP($D75,Tab_Def_Processes[Name(EN)],Tab_Def_Processes[Flow_ID_I_2],,0,)</f>
        <v/>
      </c>
      <c r="R75" s="33" t="n"/>
      <c r="S75" s="29">
        <f>_xlfn.XLOOKUP($D75,Tab_Def_Processes[Name(EN)],Tab_Def_Processes[Input_Flow_I_3],,0,)</f>
        <v/>
      </c>
      <c r="T75" s="272">
        <f>_xlfn.XLOOKUP($D75,Tab_Def_Processes[Name(EN)],Tab_Def_Processes[Flow_ID_I_3],,0,)</f>
        <v/>
      </c>
      <c r="U75" s="33" t="n"/>
      <c r="V75" s="29">
        <f>_xlfn.XLOOKUP($D75,Tab_Def_Processes[Name(EN)],Tab_Def_Processes[Input_Flow_I_4],,0,)</f>
        <v/>
      </c>
      <c r="W75" s="272">
        <f>_xlfn.XLOOKUP($D75,Tab_Def_Processes[Name(EN)],Tab_Def_Processes[Flow_ID_I_4],,0,)</f>
        <v/>
      </c>
      <c r="X75" s="33" t="n"/>
      <c r="Y75" s="29">
        <f>_xlfn.XLOOKUP($D75,Tab_Def_Processes[Name(EN)],Tab_Def_Processes[Input_Flow_I_5],,0,)</f>
        <v/>
      </c>
      <c r="Z75" s="272">
        <f>_xlfn.XLOOKUP($D75,Tab_Def_Processes[Name(EN)],Tab_Def_Processes[Flow_ID_I_5],,0,)</f>
        <v/>
      </c>
      <c r="AA75" s="33" t="n"/>
      <c r="AB75" s="32">
        <f>Tab_Process_TCs2527[[#This Row],[Flow_TC_I_1_'[%']]]+Tab_Process_TCs2527[[#This Row],[Flow_TC_I_2_'[%']]]+Tab_Process_TCs2527[[#This Row],[Flow_TC_I_3_'[%']]]+Tab_Process_TCs2527[[#This Row],[Flow_TC_I_4_'[%']]]+Tab_Process_TCs2527[[#This Row],[Flow_TC_I_5_'[%']]]</f>
        <v/>
      </c>
      <c r="AC75" s="296">
        <f>_xlfn.XLOOKUP($D75,#REF!,#REF!,,0,)</f>
        <v/>
      </c>
      <c r="AD75" s="272">
        <f>_xlfn.XLOOKUP($D75,#REF!,#REF!,,0,)</f>
        <v/>
      </c>
      <c r="AE75" s="42">
        <f>Tab_Process_TCs2527[[#This Row],[Flow_ID]]</f>
        <v/>
      </c>
      <c r="AF75" s="272">
        <f>"TC"&amp;"_"&amp;RIGHT(AD75,5)</f>
        <v/>
      </c>
      <c r="AG75" s="49">
        <f>AG74+0.01</f>
        <v/>
      </c>
      <c r="AH75" s="169">
        <f>_xlfn.XLOOKUP($D75,#REF!,#REF!,,0,)</f>
        <v/>
      </c>
      <c r="AI75" s="53">
        <f>_xlfn.XLOOKUP($D75,#REF!,#REF!,,0,)</f>
        <v/>
      </c>
      <c r="AJ75" s="42">
        <f>Tab_Process_TCs2527[[#This Row],[Flow_ID]]</f>
        <v/>
      </c>
      <c r="AK75" s="272">
        <f>"TC"&amp;"_"&amp;RIGHT(AI75,5)</f>
        <v/>
      </c>
      <c r="AL75" s="168">
        <f>AL74-0.01</f>
        <v/>
      </c>
      <c r="AM75" s="296">
        <f>_xlfn.XLOOKUP($D75,#REF!,#REF!,,0,)</f>
        <v/>
      </c>
      <c r="AN75" s="272">
        <f>_xlfn.XLOOKUP($D75,#REF!,#REF!,,0,)</f>
        <v/>
      </c>
      <c r="AO75" s="42">
        <f>Tab_Process_TCs2527[[#This Row],[Flow_ID]]</f>
        <v/>
      </c>
      <c r="AP75" s="272">
        <f>"TC"&amp;"_"&amp;RIGHT(AN75,5)</f>
        <v/>
      </c>
      <c r="AQ75" s="168" t="n">
        <v>0.25</v>
      </c>
      <c r="AR75" s="296">
        <f>_xlfn.XLOOKUP($D75,#REF!,#REF!,,0,)</f>
        <v/>
      </c>
      <c r="AS75" s="272">
        <f>_xlfn.XLOOKUP($D75,#REF!,#REF!,,0,)</f>
        <v/>
      </c>
      <c r="AT75" s="42">
        <f>Tab_Process_TCs2527[[#This Row],[Flow_ID]]</f>
        <v/>
      </c>
      <c r="AU75" s="42">
        <f>"TC"&amp;"_"&amp;RIGHT(AN75,5)</f>
        <v/>
      </c>
      <c r="AV75" s="168" t="n"/>
      <c r="AW75" s="296">
        <f>_xlfn.XLOOKUP($D75,#REF!,#REF!,,0,)</f>
        <v/>
      </c>
      <c r="AX75" s="272">
        <f>_xlfn.XLOOKUP($D75,#REF!,#REF!,,0,)</f>
        <v/>
      </c>
      <c r="AY75" s="42">
        <f>Tab_Process_TCs2527[[#This Row],[Flow_ID]]</f>
        <v/>
      </c>
      <c r="AZ75" s="42">
        <f>"TC"&amp;"_"&amp;RIGHT(AX75,5)</f>
        <v/>
      </c>
      <c r="BA75" s="168" t="n"/>
      <c r="BB75" s="272">
        <f>_xlfn.XLOOKUP($D75,#REF!,#REF!,,0,)</f>
        <v/>
      </c>
      <c r="BC75" s="272">
        <f>_xlfn.XLOOKUP($D75,#REF!,#REF!,,0,)</f>
        <v/>
      </c>
      <c r="BD75" s="42">
        <f>Tab_Process_TCs2527[[#This Row],[Flow_ID]]</f>
        <v/>
      </c>
      <c r="BE75" s="42">
        <f>"TC"&amp;"_"&amp;RIGHT(BC75,5)</f>
        <v/>
      </c>
      <c r="BF75" s="49" t="n"/>
      <c r="BG75" s="52">
        <f>Tab_Process_TCs2527[[#This Row],[TC O_6_'[%']]]+Tab_Process_TCs2527[[#This Row],[TC O_5_'[%']]]+Tab_Process_TCs2527[[#This Row],[TC_O_4_'[%']]]+Tab_Process_TCs2527[[#This Row],[TC_O_3_'[%']]]+Tab_Process_TCs2527[[#This Row],[TC_O_2_'[%']]]+Tab_Process_TCs2527[[#This Row],[TC_O_1_'[%']]]</f>
        <v/>
      </c>
      <c r="BH75" s="273" t="n"/>
      <c r="BI75" s="273" t="n"/>
      <c r="BJ75" s="273" t="n"/>
      <c r="BK75" s="273" t="n"/>
      <c r="BL75" s="273" t="n"/>
    </row>
    <row r="76">
      <c r="A76" s="280" t="b">
        <v>0</v>
      </c>
      <c r="B76" s="272">
        <f>ROW()-1</f>
        <v/>
      </c>
      <c r="C76" s="286">
        <f>_xlfn.XLOOKUP($D76,Tab_Process_TCs[Name(EN)],Tab_Process_TCs[Process_ID],,0,)</f>
        <v/>
      </c>
      <c r="D76" s="189" t="inlineStr">
        <is>
          <t>N.A.</t>
        </is>
      </c>
      <c r="E76" s="189" t="inlineStr">
        <is>
          <t>N.A.</t>
        </is>
      </c>
      <c r="F76" s="286">
        <f>_xlfn.XLOOKUP($D76,Tab_Process_TCs[Name(EN)],Tab_Process_TCs[TC?],,0,)</f>
        <v/>
      </c>
      <c r="G76" s="286">
        <f>_xlfn.XLOOKUP($D76,Tab_Process_TCs[Name(EN)],Tab_Process_TCs[Dyn_TC?],,0,)</f>
        <v/>
      </c>
      <c r="H76" s="272">
        <f>_xlfn.XLOOKUP($E76,Tab_Def_Flows[Name(EN)],Tab_Def_Flows[Flow_ID],,0,1)</f>
        <v/>
      </c>
      <c r="I76" s="272">
        <f>IF(Tab_Process_TCs2527[[#This Row],[Name(EN)]]="N.A.","N.A.","TC"&amp;"_"&amp;RIGHT(H76,5))</f>
        <v/>
      </c>
      <c r="J76" s="273" t="n"/>
      <c r="K76" s="183" t="n"/>
      <c r="L76" s="272" t="n"/>
      <c r="M76" s="296">
        <f>_xlfn.XLOOKUP($D76,Tab_Def_Processes[Name(EN)],Tab_Def_Processes[Input_Flow_I_1],,0,)</f>
        <v/>
      </c>
      <c r="N76" s="272">
        <f>_xlfn.XLOOKUP($D76,Tab_Def_Processes[Name(EN)],Tab_Def_Processes[Flow_ID_I_1],,0,)</f>
        <v/>
      </c>
      <c r="O76" s="33" t="n"/>
      <c r="P76" s="29">
        <f>_xlfn.XLOOKUP($D76,Tab_Def_Processes[Name(EN)],Tab_Def_Processes[Input_Flow_I_2],,0,)</f>
        <v/>
      </c>
      <c r="Q76" s="272">
        <f>_xlfn.XLOOKUP($D76,Tab_Def_Processes[Name(EN)],Tab_Def_Processes[Flow_ID_I_2],,0,)</f>
        <v/>
      </c>
      <c r="R76" s="33" t="n"/>
      <c r="S76" s="29">
        <f>_xlfn.XLOOKUP($D76,Tab_Def_Processes[Name(EN)],Tab_Def_Processes[Input_Flow_I_3],,0,)</f>
        <v/>
      </c>
      <c r="T76" s="272">
        <f>_xlfn.XLOOKUP($D76,Tab_Def_Processes[Name(EN)],Tab_Def_Processes[Flow_ID_I_3],,0,)</f>
        <v/>
      </c>
      <c r="U76" s="33" t="n"/>
      <c r="V76" s="29">
        <f>_xlfn.XLOOKUP($D76,Tab_Def_Processes[Name(EN)],Tab_Def_Processes[Input_Flow_I_4],,0,)</f>
        <v/>
      </c>
      <c r="W76" s="272">
        <f>_xlfn.XLOOKUP($D76,Tab_Def_Processes[Name(EN)],Tab_Def_Processes[Flow_ID_I_4],,0,)</f>
        <v/>
      </c>
      <c r="X76" s="33" t="n"/>
      <c r="Y76" s="29">
        <f>_xlfn.XLOOKUP($D76,Tab_Def_Processes[Name(EN)],Tab_Def_Processes[Input_Flow_I_5],,0,)</f>
        <v/>
      </c>
      <c r="Z76" s="272">
        <f>_xlfn.XLOOKUP($D76,Tab_Def_Processes[Name(EN)],Tab_Def_Processes[Flow_ID_I_5],,0,)</f>
        <v/>
      </c>
      <c r="AA76" s="33" t="n"/>
      <c r="AB76" s="32">
        <f>Tab_Process_TCs2527[[#This Row],[Flow_TC_I_1_'[%']]]+Tab_Process_TCs2527[[#This Row],[Flow_TC_I_2_'[%']]]+Tab_Process_TCs2527[[#This Row],[Flow_TC_I_3_'[%']]]+Tab_Process_TCs2527[[#This Row],[Flow_TC_I_4_'[%']]]+Tab_Process_TCs2527[[#This Row],[Flow_TC_I_5_'[%']]]</f>
        <v/>
      </c>
      <c r="AC76" s="296">
        <f>_xlfn.XLOOKUP($D76,#REF!,#REF!,,0,)</f>
        <v/>
      </c>
      <c r="AD76" s="272">
        <f>_xlfn.XLOOKUP($D76,#REF!,#REF!,,0,)</f>
        <v/>
      </c>
      <c r="AE76" s="42">
        <f>Tab_Process_TCs2527[[#This Row],[Flow_ID]]</f>
        <v/>
      </c>
      <c r="AF76" s="272">
        <f>"TC"&amp;"_"&amp;RIGHT(AD76,5)</f>
        <v/>
      </c>
      <c r="AG76" s="49">
        <f>AG75+0.01</f>
        <v/>
      </c>
      <c r="AH76" s="169">
        <f>_xlfn.XLOOKUP($D76,#REF!,#REF!,,0,)</f>
        <v/>
      </c>
      <c r="AI76" s="53">
        <f>_xlfn.XLOOKUP($D76,#REF!,#REF!,,0,)</f>
        <v/>
      </c>
      <c r="AJ76" s="42">
        <f>Tab_Process_TCs2527[[#This Row],[Flow_ID]]</f>
        <v/>
      </c>
      <c r="AK76" s="272">
        <f>"TC"&amp;"_"&amp;RIGHT(AI76,5)</f>
        <v/>
      </c>
      <c r="AL76" s="168">
        <f>AL75-0.01</f>
        <v/>
      </c>
      <c r="AM76" s="296">
        <f>_xlfn.XLOOKUP($D76,#REF!,#REF!,,0,)</f>
        <v/>
      </c>
      <c r="AN76" s="272">
        <f>_xlfn.XLOOKUP($D76,#REF!,#REF!,,0,)</f>
        <v/>
      </c>
      <c r="AO76" s="42">
        <f>Tab_Process_TCs2527[[#This Row],[Flow_ID]]</f>
        <v/>
      </c>
      <c r="AP76" s="272">
        <f>"TC"&amp;"_"&amp;RIGHT(AN76,5)</f>
        <v/>
      </c>
      <c r="AQ76" s="168" t="n">
        <v>0.25</v>
      </c>
      <c r="AR76" s="296">
        <f>_xlfn.XLOOKUP($D76,#REF!,#REF!,,0,)</f>
        <v/>
      </c>
      <c r="AS76" s="272">
        <f>_xlfn.XLOOKUP($D76,#REF!,#REF!,,0,)</f>
        <v/>
      </c>
      <c r="AT76" s="42">
        <f>Tab_Process_TCs2527[[#This Row],[Flow_ID]]</f>
        <v/>
      </c>
      <c r="AU76" s="42">
        <f>"TC"&amp;"_"&amp;RIGHT(AN76,5)</f>
        <v/>
      </c>
      <c r="AV76" s="168" t="n"/>
      <c r="AW76" s="296">
        <f>_xlfn.XLOOKUP($D76,#REF!,#REF!,,0,)</f>
        <v/>
      </c>
      <c r="AX76" s="272">
        <f>_xlfn.XLOOKUP($D76,#REF!,#REF!,,0,)</f>
        <v/>
      </c>
      <c r="AY76" s="42">
        <f>Tab_Process_TCs2527[[#This Row],[Flow_ID]]</f>
        <v/>
      </c>
      <c r="AZ76" s="42">
        <f>"TC"&amp;"_"&amp;RIGHT(AX76,5)</f>
        <v/>
      </c>
      <c r="BA76" s="168" t="n"/>
      <c r="BB76" s="272">
        <f>_xlfn.XLOOKUP($D76,#REF!,#REF!,,0,)</f>
        <v/>
      </c>
      <c r="BC76" s="272">
        <f>_xlfn.XLOOKUP($D76,#REF!,#REF!,,0,)</f>
        <v/>
      </c>
      <c r="BD76" s="42">
        <f>Tab_Process_TCs2527[[#This Row],[Flow_ID]]</f>
        <v/>
      </c>
      <c r="BE76" s="42">
        <f>"TC"&amp;"_"&amp;RIGHT(BC76,5)</f>
        <v/>
      </c>
      <c r="BF76" s="49" t="n"/>
      <c r="BG76" s="52">
        <f>Tab_Process_TCs2527[[#This Row],[TC O_6_'[%']]]+Tab_Process_TCs2527[[#This Row],[TC O_5_'[%']]]+Tab_Process_TCs2527[[#This Row],[TC_O_4_'[%']]]+Tab_Process_TCs2527[[#This Row],[TC_O_3_'[%']]]+Tab_Process_TCs2527[[#This Row],[TC_O_2_'[%']]]+Tab_Process_TCs2527[[#This Row],[TC_O_1_'[%']]]</f>
        <v/>
      </c>
      <c r="BH76" s="273" t="n"/>
      <c r="BI76" s="273" t="n"/>
      <c r="BJ76" s="273" t="n"/>
      <c r="BK76" s="273" t="n"/>
      <c r="BL76" s="273" t="n"/>
    </row>
    <row r="77">
      <c r="A77" s="280" t="b">
        <v>0</v>
      </c>
      <c r="B77" s="272">
        <f>ROW()-1</f>
        <v/>
      </c>
      <c r="C77" s="286">
        <f>_xlfn.XLOOKUP($D77,Tab_Process_TCs[Name(EN)],Tab_Process_TCs[Process_ID],,0,)</f>
        <v/>
      </c>
      <c r="D77" s="189" t="inlineStr">
        <is>
          <t>N.A.</t>
        </is>
      </c>
      <c r="E77" s="189" t="inlineStr">
        <is>
          <t>N.A.</t>
        </is>
      </c>
      <c r="F77" s="286">
        <f>_xlfn.XLOOKUP($D77,Tab_Process_TCs[Name(EN)],Tab_Process_TCs[TC?],,0,)</f>
        <v/>
      </c>
      <c r="G77" s="286">
        <f>_xlfn.XLOOKUP($D77,Tab_Process_TCs[Name(EN)],Tab_Process_TCs[Dyn_TC?],,0,)</f>
        <v/>
      </c>
      <c r="H77" s="272">
        <f>_xlfn.XLOOKUP($E77,Tab_Def_Flows[Name(EN)],Tab_Def_Flows[Flow_ID],,0,1)</f>
        <v/>
      </c>
      <c r="I77" s="272">
        <f>IF(Tab_Process_TCs2527[[#This Row],[Name(EN)]]="N.A.","N.A.","TC"&amp;"_"&amp;RIGHT(H77,5))</f>
        <v/>
      </c>
      <c r="J77" s="273" t="n"/>
      <c r="K77" s="183" t="n"/>
      <c r="L77" s="272" t="n"/>
      <c r="M77" s="296">
        <f>_xlfn.XLOOKUP($D77,Tab_Def_Processes[Name(EN)],Tab_Def_Processes[Input_Flow_I_1],,0,)</f>
        <v/>
      </c>
      <c r="N77" s="272">
        <f>_xlfn.XLOOKUP($D77,Tab_Def_Processes[Name(EN)],Tab_Def_Processes[Flow_ID_I_1],,0,)</f>
        <v/>
      </c>
      <c r="O77" s="33" t="n"/>
      <c r="P77" s="29">
        <f>_xlfn.XLOOKUP($D77,Tab_Def_Processes[Name(EN)],Tab_Def_Processes[Input_Flow_I_2],,0,)</f>
        <v/>
      </c>
      <c r="Q77" s="272">
        <f>_xlfn.XLOOKUP($D77,Tab_Def_Processes[Name(EN)],Tab_Def_Processes[Flow_ID_I_2],,0,)</f>
        <v/>
      </c>
      <c r="R77" s="33" t="n"/>
      <c r="S77" s="29">
        <f>_xlfn.XLOOKUP($D77,Tab_Def_Processes[Name(EN)],Tab_Def_Processes[Input_Flow_I_3],,0,)</f>
        <v/>
      </c>
      <c r="T77" s="272">
        <f>_xlfn.XLOOKUP($D77,Tab_Def_Processes[Name(EN)],Tab_Def_Processes[Flow_ID_I_3],,0,)</f>
        <v/>
      </c>
      <c r="U77" s="33" t="n"/>
      <c r="V77" s="29">
        <f>_xlfn.XLOOKUP($D77,Tab_Def_Processes[Name(EN)],Tab_Def_Processes[Input_Flow_I_4],,0,)</f>
        <v/>
      </c>
      <c r="W77" s="272">
        <f>_xlfn.XLOOKUP($D77,Tab_Def_Processes[Name(EN)],Tab_Def_Processes[Flow_ID_I_4],,0,)</f>
        <v/>
      </c>
      <c r="X77" s="33" t="n"/>
      <c r="Y77" s="29">
        <f>_xlfn.XLOOKUP($D77,Tab_Def_Processes[Name(EN)],Tab_Def_Processes[Input_Flow_I_5],,0,)</f>
        <v/>
      </c>
      <c r="Z77" s="272">
        <f>_xlfn.XLOOKUP($D77,Tab_Def_Processes[Name(EN)],Tab_Def_Processes[Flow_ID_I_5],,0,)</f>
        <v/>
      </c>
      <c r="AA77" s="33" t="n"/>
      <c r="AB77" s="32">
        <f>Tab_Process_TCs2527[[#This Row],[Flow_TC_I_1_'[%']]]+Tab_Process_TCs2527[[#This Row],[Flow_TC_I_2_'[%']]]+Tab_Process_TCs2527[[#This Row],[Flow_TC_I_3_'[%']]]+Tab_Process_TCs2527[[#This Row],[Flow_TC_I_4_'[%']]]+Tab_Process_TCs2527[[#This Row],[Flow_TC_I_5_'[%']]]</f>
        <v/>
      </c>
      <c r="AC77" s="296">
        <f>_xlfn.XLOOKUP($D77,#REF!,#REF!,,0,)</f>
        <v/>
      </c>
      <c r="AD77" s="272">
        <f>_xlfn.XLOOKUP($D77,#REF!,#REF!,,0,)</f>
        <v/>
      </c>
      <c r="AE77" s="42">
        <f>Tab_Process_TCs2527[[#This Row],[Flow_ID]]</f>
        <v/>
      </c>
      <c r="AF77" s="272">
        <f>"TC"&amp;"_"&amp;RIGHT(AD77,5)</f>
        <v/>
      </c>
      <c r="AG77" s="49">
        <f>AG76+0.01</f>
        <v/>
      </c>
      <c r="AH77" s="169">
        <f>_xlfn.XLOOKUP($D77,#REF!,#REF!,,0,)</f>
        <v/>
      </c>
      <c r="AI77" s="53">
        <f>_xlfn.XLOOKUP($D77,#REF!,#REF!,,0,)</f>
        <v/>
      </c>
      <c r="AJ77" s="42">
        <f>Tab_Process_TCs2527[[#This Row],[Flow_ID]]</f>
        <v/>
      </c>
      <c r="AK77" s="272">
        <f>"TC"&amp;"_"&amp;RIGHT(AI77,5)</f>
        <v/>
      </c>
      <c r="AL77" s="168">
        <f>AL76-0.01</f>
        <v/>
      </c>
      <c r="AM77" s="296">
        <f>_xlfn.XLOOKUP($D77,#REF!,#REF!,,0,)</f>
        <v/>
      </c>
      <c r="AN77" s="272">
        <f>_xlfn.XLOOKUP($D77,#REF!,#REF!,,0,)</f>
        <v/>
      </c>
      <c r="AO77" s="42">
        <f>Tab_Process_TCs2527[[#This Row],[Flow_ID]]</f>
        <v/>
      </c>
      <c r="AP77" s="272">
        <f>"TC"&amp;"_"&amp;RIGHT(AN77,5)</f>
        <v/>
      </c>
      <c r="AQ77" s="168" t="n">
        <v>0.25</v>
      </c>
      <c r="AR77" s="296">
        <f>_xlfn.XLOOKUP($D77,#REF!,#REF!,,0,)</f>
        <v/>
      </c>
      <c r="AS77" s="272">
        <f>_xlfn.XLOOKUP($D77,#REF!,#REF!,,0,)</f>
        <v/>
      </c>
      <c r="AT77" s="42">
        <f>Tab_Process_TCs2527[[#This Row],[Flow_ID]]</f>
        <v/>
      </c>
      <c r="AU77" s="42">
        <f>"TC"&amp;"_"&amp;RIGHT(AN77,5)</f>
        <v/>
      </c>
      <c r="AV77" s="168" t="n"/>
      <c r="AW77" s="296">
        <f>_xlfn.XLOOKUP($D77,#REF!,#REF!,,0,)</f>
        <v/>
      </c>
      <c r="AX77" s="272">
        <f>_xlfn.XLOOKUP($D77,#REF!,#REF!,,0,)</f>
        <v/>
      </c>
      <c r="AY77" s="42">
        <f>Tab_Process_TCs2527[[#This Row],[Flow_ID]]</f>
        <v/>
      </c>
      <c r="AZ77" s="42">
        <f>"TC"&amp;"_"&amp;RIGHT(AX77,5)</f>
        <v/>
      </c>
      <c r="BA77" s="168" t="n"/>
      <c r="BB77" s="272">
        <f>_xlfn.XLOOKUP($D77,#REF!,#REF!,,0,)</f>
        <v/>
      </c>
      <c r="BC77" s="272">
        <f>_xlfn.XLOOKUP($D77,#REF!,#REF!,,0,)</f>
        <v/>
      </c>
      <c r="BD77" s="42">
        <f>Tab_Process_TCs2527[[#This Row],[Flow_ID]]</f>
        <v/>
      </c>
      <c r="BE77" s="42">
        <f>"TC"&amp;"_"&amp;RIGHT(BC77,5)</f>
        <v/>
      </c>
      <c r="BF77" s="49" t="n"/>
      <c r="BG77" s="52">
        <f>Tab_Process_TCs2527[[#This Row],[TC O_6_'[%']]]+Tab_Process_TCs2527[[#This Row],[TC O_5_'[%']]]+Tab_Process_TCs2527[[#This Row],[TC_O_4_'[%']]]+Tab_Process_TCs2527[[#This Row],[TC_O_3_'[%']]]+Tab_Process_TCs2527[[#This Row],[TC_O_2_'[%']]]+Tab_Process_TCs2527[[#This Row],[TC_O_1_'[%']]]</f>
        <v/>
      </c>
      <c r="BH77" s="273" t="n"/>
      <c r="BI77" s="273" t="n"/>
      <c r="BJ77" s="273" t="n"/>
      <c r="BK77" s="273" t="n"/>
      <c r="BL77" s="273" t="n"/>
    </row>
    <row r="78">
      <c r="A78" s="280" t="b">
        <v>0</v>
      </c>
      <c r="B78" s="272">
        <f>ROW()-1</f>
        <v/>
      </c>
      <c r="C78" s="286">
        <f>_xlfn.XLOOKUP($D78,Tab_Process_TCs[Name(EN)],Tab_Process_TCs[Process_ID],,0,)</f>
        <v/>
      </c>
      <c r="D78" s="189" t="inlineStr">
        <is>
          <t>N.A.</t>
        </is>
      </c>
      <c r="E78" s="189" t="inlineStr">
        <is>
          <t>N.A.</t>
        </is>
      </c>
      <c r="F78" s="286">
        <f>_xlfn.XLOOKUP($D78,Tab_Process_TCs[Name(EN)],Tab_Process_TCs[TC?],,0,)</f>
        <v/>
      </c>
      <c r="G78" s="286">
        <f>_xlfn.XLOOKUP($D78,Tab_Process_TCs[Name(EN)],Tab_Process_TCs[Dyn_TC?],,0,)</f>
        <v/>
      </c>
      <c r="H78" s="272">
        <f>_xlfn.XLOOKUP($E78,Tab_Def_Flows[Name(EN)],Tab_Def_Flows[Flow_ID],,0,1)</f>
        <v/>
      </c>
      <c r="I78" s="272">
        <f>IF(Tab_Process_TCs2527[[#This Row],[Name(EN)]]="N.A.","N.A.","TC"&amp;"_"&amp;RIGHT(H78,5))</f>
        <v/>
      </c>
      <c r="J78" s="273" t="n"/>
      <c r="K78" s="183" t="n"/>
      <c r="L78" s="272" t="n"/>
      <c r="M78" s="296">
        <f>_xlfn.XLOOKUP($D78,Tab_Def_Processes[Name(EN)],Tab_Def_Processes[Input_Flow_I_1],,0,)</f>
        <v/>
      </c>
      <c r="N78" s="272">
        <f>_xlfn.XLOOKUP($D78,Tab_Def_Processes[Name(EN)],Tab_Def_Processes[Flow_ID_I_1],,0,)</f>
        <v/>
      </c>
      <c r="O78" s="33" t="n"/>
      <c r="P78" s="29">
        <f>_xlfn.XLOOKUP($D78,Tab_Def_Processes[Name(EN)],Tab_Def_Processes[Input_Flow_I_2],,0,)</f>
        <v/>
      </c>
      <c r="Q78" s="272">
        <f>_xlfn.XLOOKUP($D78,Tab_Def_Processes[Name(EN)],Tab_Def_Processes[Flow_ID_I_2],,0,)</f>
        <v/>
      </c>
      <c r="R78" s="33" t="n"/>
      <c r="S78" s="29">
        <f>_xlfn.XLOOKUP($D78,Tab_Def_Processes[Name(EN)],Tab_Def_Processes[Input_Flow_I_3],,0,)</f>
        <v/>
      </c>
      <c r="T78" s="272">
        <f>_xlfn.XLOOKUP($D78,Tab_Def_Processes[Name(EN)],Tab_Def_Processes[Flow_ID_I_3],,0,)</f>
        <v/>
      </c>
      <c r="U78" s="33" t="n"/>
      <c r="V78" s="29">
        <f>_xlfn.XLOOKUP($D78,Tab_Def_Processes[Name(EN)],Tab_Def_Processes[Input_Flow_I_4],,0,)</f>
        <v/>
      </c>
      <c r="W78" s="272">
        <f>_xlfn.XLOOKUP($D78,Tab_Def_Processes[Name(EN)],Tab_Def_Processes[Flow_ID_I_4],,0,)</f>
        <v/>
      </c>
      <c r="X78" s="33" t="n"/>
      <c r="Y78" s="29">
        <f>_xlfn.XLOOKUP($D78,Tab_Def_Processes[Name(EN)],Tab_Def_Processes[Input_Flow_I_5],,0,)</f>
        <v/>
      </c>
      <c r="Z78" s="272">
        <f>_xlfn.XLOOKUP($D78,Tab_Def_Processes[Name(EN)],Tab_Def_Processes[Flow_ID_I_5],,0,)</f>
        <v/>
      </c>
      <c r="AA78" s="33" t="n"/>
      <c r="AB78" s="32">
        <f>Tab_Process_TCs2527[[#This Row],[Flow_TC_I_1_'[%']]]+Tab_Process_TCs2527[[#This Row],[Flow_TC_I_2_'[%']]]+Tab_Process_TCs2527[[#This Row],[Flow_TC_I_3_'[%']]]+Tab_Process_TCs2527[[#This Row],[Flow_TC_I_4_'[%']]]+Tab_Process_TCs2527[[#This Row],[Flow_TC_I_5_'[%']]]</f>
        <v/>
      </c>
      <c r="AC78" s="296">
        <f>_xlfn.XLOOKUP($D78,#REF!,#REF!,,0,)</f>
        <v/>
      </c>
      <c r="AD78" s="272">
        <f>_xlfn.XLOOKUP($D78,#REF!,#REF!,,0,)</f>
        <v/>
      </c>
      <c r="AE78" s="42">
        <f>Tab_Process_TCs2527[[#This Row],[Flow_ID]]</f>
        <v/>
      </c>
      <c r="AF78" s="272">
        <f>"TC"&amp;"_"&amp;RIGHT(AD78,5)</f>
        <v/>
      </c>
      <c r="AG78" s="49">
        <f>AG77+0.01</f>
        <v/>
      </c>
      <c r="AH78" s="169">
        <f>_xlfn.XLOOKUP($D78,#REF!,#REF!,,0,)</f>
        <v/>
      </c>
      <c r="AI78" s="53">
        <f>_xlfn.XLOOKUP($D78,#REF!,#REF!,,0,)</f>
        <v/>
      </c>
      <c r="AJ78" s="42">
        <f>Tab_Process_TCs2527[[#This Row],[Flow_ID]]</f>
        <v/>
      </c>
      <c r="AK78" s="272">
        <f>"TC"&amp;"_"&amp;RIGHT(AI78,5)</f>
        <v/>
      </c>
      <c r="AL78" s="168">
        <f>AL77-0.01</f>
        <v/>
      </c>
      <c r="AM78" s="296">
        <f>_xlfn.XLOOKUP($D78,#REF!,#REF!,,0,)</f>
        <v/>
      </c>
      <c r="AN78" s="272">
        <f>_xlfn.XLOOKUP($D78,#REF!,#REF!,,0,)</f>
        <v/>
      </c>
      <c r="AO78" s="42">
        <f>Tab_Process_TCs2527[[#This Row],[Flow_ID]]</f>
        <v/>
      </c>
      <c r="AP78" s="272">
        <f>"TC"&amp;"_"&amp;RIGHT(AN78,5)</f>
        <v/>
      </c>
      <c r="AQ78" s="168" t="n">
        <v>0.25</v>
      </c>
      <c r="AR78" s="296">
        <f>_xlfn.XLOOKUP($D78,#REF!,#REF!,,0,)</f>
        <v/>
      </c>
      <c r="AS78" s="272">
        <f>_xlfn.XLOOKUP($D78,#REF!,#REF!,,0,)</f>
        <v/>
      </c>
      <c r="AT78" s="42">
        <f>Tab_Process_TCs2527[[#This Row],[Flow_ID]]</f>
        <v/>
      </c>
      <c r="AU78" s="42">
        <f>"TC"&amp;"_"&amp;RIGHT(AN78,5)</f>
        <v/>
      </c>
      <c r="AV78" s="168" t="n"/>
      <c r="AW78" s="296">
        <f>_xlfn.XLOOKUP($D78,#REF!,#REF!,,0,)</f>
        <v/>
      </c>
      <c r="AX78" s="272">
        <f>_xlfn.XLOOKUP($D78,#REF!,#REF!,,0,)</f>
        <v/>
      </c>
      <c r="AY78" s="42">
        <f>Tab_Process_TCs2527[[#This Row],[Flow_ID]]</f>
        <v/>
      </c>
      <c r="AZ78" s="42">
        <f>"TC"&amp;"_"&amp;RIGHT(AX78,5)</f>
        <v/>
      </c>
      <c r="BA78" s="168" t="n"/>
      <c r="BB78" s="272">
        <f>_xlfn.XLOOKUP($D78,#REF!,#REF!,,0,)</f>
        <v/>
      </c>
      <c r="BC78" s="272">
        <f>_xlfn.XLOOKUP($D78,#REF!,#REF!,,0,)</f>
        <v/>
      </c>
      <c r="BD78" s="42">
        <f>Tab_Process_TCs2527[[#This Row],[Flow_ID]]</f>
        <v/>
      </c>
      <c r="BE78" s="42">
        <f>"TC"&amp;"_"&amp;RIGHT(BC78,5)</f>
        <v/>
      </c>
      <c r="BF78" s="49" t="n"/>
      <c r="BG78" s="52">
        <f>Tab_Process_TCs2527[[#This Row],[TC O_6_'[%']]]+Tab_Process_TCs2527[[#This Row],[TC O_5_'[%']]]+Tab_Process_TCs2527[[#This Row],[TC_O_4_'[%']]]+Tab_Process_TCs2527[[#This Row],[TC_O_3_'[%']]]+Tab_Process_TCs2527[[#This Row],[TC_O_2_'[%']]]+Tab_Process_TCs2527[[#This Row],[TC_O_1_'[%']]]</f>
        <v/>
      </c>
      <c r="BH78" s="273" t="n"/>
      <c r="BI78" s="273" t="n"/>
      <c r="BJ78" s="273" t="n"/>
      <c r="BK78" s="273" t="n"/>
      <c r="BL78" s="273" t="n"/>
    </row>
    <row r="79">
      <c r="A79" s="280" t="b">
        <v>0</v>
      </c>
      <c r="B79" s="272">
        <f>ROW()-1</f>
        <v/>
      </c>
      <c r="C79" s="286">
        <f>_xlfn.XLOOKUP($D79,Tab_Process_TCs[Name(EN)],Tab_Process_TCs[Process_ID],,0,)</f>
        <v/>
      </c>
      <c r="D79" s="189" t="inlineStr">
        <is>
          <t>N.A.</t>
        </is>
      </c>
      <c r="E79" s="189" t="inlineStr">
        <is>
          <t>N.A.</t>
        </is>
      </c>
      <c r="F79" s="286">
        <f>_xlfn.XLOOKUP($D79,Tab_Process_TCs[Name(EN)],Tab_Process_TCs[TC?],,0,)</f>
        <v/>
      </c>
      <c r="G79" s="286">
        <f>_xlfn.XLOOKUP($D79,Tab_Process_TCs[Name(EN)],Tab_Process_TCs[Dyn_TC?],,0,)</f>
        <v/>
      </c>
      <c r="H79" s="272">
        <f>_xlfn.XLOOKUP($E79,Tab_Def_Flows[Name(EN)],Tab_Def_Flows[Flow_ID],,0,1)</f>
        <v/>
      </c>
      <c r="I79" s="272">
        <f>IF(Tab_Process_TCs2527[[#This Row],[Name(EN)]]="N.A.","N.A.","TC"&amp;"_"&amp;RIGHT(H79,5))</f>
        <v/>
      </c>
      <c r="J79" s="273" t="n"/>
      <c r="K79" s="183" t="n"/>
      <c r="L79" s="272" t="n"/>
      <c r="M79" s="296">
        <f>_xlfn.XLOOKUP($D79,Tab_Def_Processes[Name(EN)],Tab_Def_Processes[Input_Flow_I_1],,0,)</f>
        <v/>
      </c>
      <c r="N79" s="272">
        <f>_xlfn.XLOOKUP($D79,Tab_Def_Processes[Name(EN)],Tab_Def_Processes[Flow_ID_I_1],,0,)</f>
        <v/>
      </c>
      <c r="O79" s="33" t="n"/>
      <c r="P79" s="29">
        <f>_xlfn.XLOOKUP($D79,Tab_Def_Processes[Name(EN)],Tab_Def_Processes[Input_Flow_I_2],,0,)</f>
        <v/>
      </c>
      <c r="Q79" s="272">
        <f>_xlfn.XLOOKUP($D79,Tab_Def_Processes[Name(EN)],Tab_Def_Processes[Flow_ID_I_2],,0,)</f>
        <v/>
      </c>
      <c r="R79" s="33" t="n"/>
      <c r="S79" s="29">
        <f>_xlfn.XLOOKUP($D79,Tab_Def_Processes[Name(EN)],Tab_Def_Processes[Input_Flow_I_3],,0,)</f>
        <v/>
      </c>
      <c r="T79" s="272">
        <f>_xlfn.XLOOKUP($D79,Tab_Def_Processes[Name(EN)],Tab_Def_Processes[Flow_ID_I_3],,0,)</f>
        <v/>
      </c>
      <c r="U79" s="33" t="n"/>
      <c r="V79" s="29">
        <f>_xlfn.XLOOKUP($D79,Tab_Def_Processes[Name(EN)],Tab_Def_Processes[Input_Flow_I_4],,0,)</f>
        <v/>
      </c>
      <c r="W79" s="272">
        <f>_xlfn.XLOOKUP($D79,Tab_Def_Processes[Name(EN)],Tab_Def_Processes[Flow_ID_I_4],,0,)</f>
        <v/>
      </c>
      <c r="X79" s="33" t="n"/>
      <c r="Y79" s="29">
        <f>_xlfn.XLOOKUP($D79,Tab_Def_Processes[Name(EN)],Tab_Def_Processes[Input_Flow_I_5],,0,)</f>
        <v/>
      </c>
      <c r="Z79" s="272">
        <f>_xlfn.XLOOKUP($D79,Tab_Def_Processes[Name(EN)],Tab_Def_Processes[Flow_ID_I_5],,0,)</f>
        <v/>
      </c>
      <c r="AA79" s="33" t="n"/>
      <c r="AB79" s="32">
        <f>Tab_Process_TCs2527[[#This Row],[Flow_TC_I_1_'[%']]]+Tab_Process_TCs2527[[#This Row],[Flow_TC_I_2_'[%']]]+Tab_Process_TCs2527[[#This Row],[Flow_TC_I_3_'[%']]]+Tab_Process_TCs2527[[#This Row],[Flow_TC_I_4_'[%']]]+Tab_Process_TCs2527[[#This Row],[Flow_TC_I_5_'[%']]]</f>
        <v/>
      </c>
      <c r="AC79" s="296">
        <f>_xlfn.XLOOKUP($D79,#REF!,#REF!,,0,)</f>
        <v/>
      </c>
      <c r="AD79" s="272">
        <f>_xlfn.XLOOKUP($D79,#REF!,#REF!,,0,)</f>
        <v/>
      </c>
      <c r="AE79" s="42">
        <f>Tab_Process_TCs2527[[#This Row],[Flow_ID]]</f>
        <v/>
      </c>
      <c r="AF79" s="272">
        <f>"TC"&amp;"_"&amp;RIGHT(AD79,5)</f>
        <v/>
      </c>
      <c r="AG79" s="49">
        <f>AG78+0.01</f>
        <v/>
      </c>
      <c r="AH79" s="169">
        <f>_xlfn.XLOOKUP($D79,#REF!,#REF!,,0,)</f>
        <v/>
      </c>
      <c r="AI79" s="53">
        <f>_xlfn.XLOOKUP($D79,#REF!,#REF!,,0,)</f>
        <v/>
      </c>
      <c r="AJ79" s="42">
        <f>Tab_Process_TCs2527[[#This Row],[Flow_ID]]</f>
        <v/>
      </c>
      <c r="AK79" s="272">
        <f>"TC"&amp;"_"&amp;RIGHT(AI79,5)</f>
        <v/>
      </c>
      <c r="AL79" s="168">
        <f>AL78-0.01</f>
        <v/>
      </c>
      <c r="AM79" s="296">
        <f>_xlfn.XLOOKUP($D79,#REF!,#REF!,,0,)</f>
        <v/>
      </c>
      <c r="AN79" s="272">
        <f>_xlfn.XLOOKUP($D79,#REF!,#REF!,,0,)</f>
        <v/>
      </c>
      <c r="AO79" s="42">
        <f>Tab_Process_TCs2527[[#This Row],[Flow_ID]]</f>
        <v/>
      </c>
      <c r="AP79" s="272">
        <f>"TC"&amp;"_"&amp;RIGHT(AN79,5)</f>
        <v/>
      </c>
      <c r="AQ79" s="168" t="n">
        <v>0.25</v>
      </c>
      <c r="AR79" s="296">
        <f>_xlfn.XLOOKUP($D79,#REF!,#REF!,,0,)</f>
        <v/>
      </c>
      <c r="AS79" s="272">
        <f>_xlfn.XLOOKUP($D79,#REF!,#REF!,,0,)</f>
        <v/>
      </c>
      <c r="AT79" s="42">
        <f>Tab_Process_TCs2527[[#This Row],[Flow_ID]]</f>
        <v/>
      </c>
      <c r="AU79" s="42">
        <f>"TC"&amp;"_"&amp;RIGHT(AN79,5)</f>
        <v/>
      </c>
      <c r="AV79" s="168" t="n"/>
      <c r="AW79" s="296">
        <f>_xlfn.XLOOKUP($D79,#REF!,#REF!,,0,)</f>
        <v/>
      </c>
      <c r="AX79" s="272">
        <f>_xlfn.XLOOKUP($D79,#REF!,#REF!,,0,)</f>
        <v/>
      </c>
      <c r="AY79" s="42">
        <f>Tab_Process_TCs2527[[#This Row],[Flow_ID]]</f>
        <v/>
      </c>
      <c r="AZ79" s="42">
        <f>"TC"&amp;"_"&amp;RIGHT(AX79,5)</f>
        <v/>
      </c>
      <c r="BA79" s="168" t="n"/>
      <c r="BB79" s="272">
        <f>_xlfn.XLOOKUP($D79,#REF!,#REF!,,0,)</f>
        <v/>
      </c>
      <c r="BC79" s="272">
        <f>_xlfn.XLOOKUP($D79,#REF!,#REF!,,0,)</f>
        <v/>
      </c>
      <c r="BD79" s="42">
        <f>Tab_Process_TCs2527[[#This Row],[Flow_ID]]</f>
        <v/>
      </c>
      <c r="BE79" s="42">
        <f>"TC"&amp;"_"&amp;RIGHT(BC79,5)</f>
        <v/>
      </c>
      <c r="BF79" s="49" t="n"/>
      <c r="BG79" s="52">
        <f>Tab_Process_TCs2527[[#This Row],[TC O_6_'[%']]]+Tab_Process_TCs2527[[#This Row],[TC O_5_'[%']]]+Tab_Process_TCs2527[[#This Row],[TC_O_4_'[%']]]+Tab_Process_TCs2527[[#This Row],[TC_O_3_'[%']]]+Tab_Process_TCs2527[[#This Row],[TC_O_2_'[%']]]+Tab_Process_TCs2527[[#This Row],[TC_O_1_'[%']]]</f>
        <v/>
      </c>
      <c r="BH79" s="273" t="n"/>
      <c r="BI79" s="273" t="n"/>
      <c r="BJ79" s="273" t="n"/>
      <c r="BK79" s="273" t="n"/>
      <c r="BL79" s="273" t="n"/>
    </row>
    <row r="80">
      <c r="A80" s="280" t="b">
        <v>0</v>
      </c>
      <c r="B80" s="272">
        <f>ROW()-1</f>
        <v/>
      </c>
      <c r="C80" s="286">
        <f>_xlfn.XLOOKUP($D80,Tab_Process_TCs[Name(EN)],Tab_Process_TCs[Process_ID],,0,)</f>
        <v/>
      </c>
      <c r="D80" s="189" t="inlineStr">
        <is>
          <t>N.A.</t>
        </is>
      </c>
      <c r="E80" s="189" t="inlineStr">
        <is>
          <t>N.A.</t>
        </is>
      </c>
      <c r="F80" s="286">
        <f>_xlfn.XLOOKUP($D80,Tab_Process_TCs[Name(EN)],Tab_Process_TCs[TC?],,0,)</f>
        <v/>
      </c>
      <c r="G80" s="286">
        <f>_xlfn.XLOOKUP($D80,Tab_Process_TCs[Name(EN)],Tab_Process_TCs[Dyn_TC?],,0,)</f>
        <v/>
      </c>
      <c r="H80" s="272">
        <f>_xlfn.XLOOKUP($E80,Tab_Def_Flows[Name(EN)],Tab_Def_Flows[Flow_ID],,0,1)</f>
        <v/>
      </c>
      <c r="I80" s="272">
        <f>IF(Tab_Process_TCs2527[[#This Row],[Name(EN)]]="N.A.","N.A.","TC"&amp;"_"&amp;RIGHT(H80,5))</f>
        <v/>
      </c>
      <c r="J80" s="273" t="n"/>
      <c r="K80" s="183" t="n"/>
      <c r="L80" s="272" t="n"/>
      <c r="M80" s="296">
        <f>_xlfn.XLOOKUP($D80,Tab_Def_Processes[Name(EN)],Tab_Def_Processes[Input_Flow_I_1],,0,)</f>
        <v/>
      </c>
      <c r="N80" s="272">
        <f>_xlfn.XLOOKUP($D80,Tab_Def_Processes[Name(EN)],Tab_Def_Processes[Flow_ID_I_1],,0,)</f>
        <v/>
      </c>
      <c r="O80" s="33" t="n"/>
      <c r="P80" s="29">
        <f>_xlfn.XLOOKUP($D80,Tab_Def_Processes[Name(EN)],Tab_Def_Processes[Input_Flow_I_2],,0,)</f>
        <v/>
      </c>
      <c r="Q80" s="272">
        <f>_xlfn.XLOOKUP($D80,Tab_Def_Processes[Name(EN)],Tab_Def_Processes[Flow_ID_I_2],,0,)</f>
        <v/>
      </c>
      <c r="R80" s="33" t="n"/>
      <c r="S80" s="29">
        <f>_xlfn.XLOOKUP($D80,Tab_Def_Processes[Name(EN)],Tab_Def_Processes[Input_Flow_I_3],,0,)</f>
        <v/>
      </c>
      <c r="T80" s="272">
        <f>_xlfn.XLOOKUP($D80,Tab_Def_Processes[Name(EN)],Tab_Def_Processes[Flow_ID_I_3],,0,)</f>
        <v/>
      </c>
      <c r="U80" s="33" t="n"/>
      <c r="V80" s="29">
        <f>_xlfn.XLOOKUP($D80,Tab_Def_Processes[Name(EN)],Tab_Def_Processes[Input_Flow_I_4],,0,)</f>
        <v/>
      </c>
      <c r="W80" s="272">
        <f>_xlfn.XLOOKUP($D80,Tab_Def_Processes[Name(EN)],Tab_Def_Processes[Flow_ID_I_4],,0,)</f>
        <v/>
      </c>
      <c r="X80" s="33" t="n"/>
      <c r="Y80" s="29">
        <f>_xlfn.XLOOKUP($D80,Tab_Def_Processes[Name(EN)],Tab_Def_Processes[Input_Flow_I_5],,0,)</f>
        <v/>
      </c>
      <c r="Z80" s="272">
        <f>_xlfn.XLOOKUP($D80,Tab_Def_Processes[Name(EN)],Tab_Def_Processes[Flow_ID_I_5],,0,)</f>
        <v/>
      </c>
      <c r="AA80" s="33" t="n"/>
      <c r="AB80" s="32">
        <f>Tab_Process_TCs2527[[#This Row],[Flow_TC_I_1_'[%']]]+Tab_Process_TCs2527[[#This Row],[Flow_TC_I_2_'[%']]]+Tab_Process_TCs2527[[#This Row],[Flow_TC_I_3_'[%']]]+Tab_Process_TCs2527[[#This Row],[Flow_TC_I_4_'[%']]]+Tab_Process_TCs2527[[#This Row],[Flow_TC_I_5_'[%']]]</f>
        <v/>
      </c>
      <c r="AC80" s="296">
        <f>_xlfn.XLOOKUP($D80,#REF!,#REF!,,0,)</f>
        <v/>
      </c>
      <c r="AD80" s="272">
        <f>_xlfn.XLOOKUP($D80,#REF!,#REF!,,0,)</f>
        <v/>
      </c>
      <c r="AE80" s="42">
        <f>Tab_Process_TCs2527[[#This Row],[Flow_ID]]</f>
        <v/>
      </c>
      <c r="AF80" s="272">
        <f>"TC"&amp;"_"&amp;RIGHT(AD80,5)</f>
        <v/>
      </c>
      <c r="AG80" s="49">
        <f>AG79+0.01</f>
        <v/>
      </c>
      <c r="AH80" s="169">
        <f>_xlfn.XLOOKUP($D80,#REF!,#REF!,,0,)</f>
        <v/>
      </c>
      <c r="AI80" s="53">
        <f>_xlfn.XLOOKUP($D80,#REF!,#REF!,,0,)</f>
        <v/>
      </c>
      <c r="AJ80" s="42">
        <f>Tab_Process_TCs2527[[#This Row],[Flow_ID]]</f>
        <v/>
      </c>
      <c r="AK80" s="272">
        <f>"TC"&amp;"_"&amp;RIGHT(AI80,5)</f>
        <v/>
      </c>
      <c r="AL80" s="168">
        <f>AL79-0.01</f>
        <v/>
      </c>
      <c r="AM80" s="296">
        <f>_xlfn.XLOOKUP($D80,#REF!,#REF!,,0,)</f>
        <v/>
      </c>
      <c r="AN80" s="272">
        <f>_xlfn.XLOOKUP($D80,#REF!,#REF!,,0,)</f>
        <v/>
      </c>
      <c r="AO80" s="42">
        <f>Tab_Process_TCs2527[[#This Row],[Flow_ID]]</f>
        <v/>
      </c>
      <c r="AP80" s="272">
        <f>"TC"&amp;"_"&amp;RIGHT(AN80,5)</f>
        <v/>
      </c>
      <c r="AQ80" s="168" t="n">
        <v>0.25</v>
      </c>
      <c r="AR80" s="296">
        <f>_xlfn.XLOOKUP($D80,#REF!,#REF!,,0,)</f>
        <v/>
      </c>
      <c r="AS80" s="272">
        <f>_xlfn.XLOOKUP($D80,#REF!,#REF!,,0,)</f>
        <v/>
      </c>
      <c r="AT80" s="42">
        <f>Tab_Process_TCs2527[[#This Row],[Flow_ID]]</f>
        <v/>
      </c>
      <c r="AU80" s="42">
        <f>"TC"&amp;"_"&amp;RIGHT(AN80,5)</f>
        <v/>
      </c>
      <c r="AV80" s="168" t="n"/>
      <c r="AW80" s="296">
        <f>_xlfn.XLOOKUP($D80,#REF!,#REF!,,0,)</f>
        <v/>
      </c>
      <c r="AX80" s="272">
        <f>_xlfn.XLOOKUP($D80,#REF!,#REF!,,0,)</f>
        <v/>
      </c>
      <c r="AY80" s="42">
        <f>Tab_Process_TCs2527[[#This Row],[Flow_ID]]</f>
        <v/>
      </c>
      <c r="AZ80" s="42">
        <f>"TC"&amp;"_"&amp;RIGHT(AX80,5)</f>
        <v/>
      </c>
      <c r="BA80" s="168" t="n"/>
      <c r="BB80" s="272">
        <f>_xlfn.XLOOKUP($D80,#REF!,#REF!,,0,)</f>
        <v/>
      </c>
      <c r="BC80" s="272">
        <f>_xlfn.XLOOKUP($D80,#REF!,#REF!,,0,)</f>
        <v/>
      </c>
      <c r="BD80" s="42">
        <f>Tab_Process_TCs2527[[#This Row],[Flow_ID]]</f>
        <v/>
      </c>
      <c r="BE80" s="42">
        <f>"TC"&amp;"_"&amp;RIGHT(BC80,5)</f>
        <v/>
      </c>
      <c r="BF80" s="49" t="n"/>
      <c r="BG80" s="52">
        <f>Tab_Process_TCs2527[[#This Row],[TC O_6_'[%']]]+Tab_Process_TCs2527[[#This Row],[TC O_5_'[%']]]+Tab_Process_TCs2527[[#This Row],[TC_O_4_'[%']]]+Tab_Process_TCs2527[[#This Row],[TC_O_3_'[%']]]+Tab_Process_TCs2527[[#This Row],[TC_O_2_'[%']]]+Tab_Process_TCs2527[[#This Row],[TC_O_1_'[%']]]</f>
        <v/>
      </c>
      <c r="BH80" s="273" t="n"/>
      <c r="BI80" s="273" t="n"/>
      <c r="BJ80" s="273" t="n"/>
      <c r="BK80" s="273" t="n"/>
      <c r="BL80" s="273" t="n"/>
    </row>
    <row r="81">
      <c r="A81" s="280" t="b">
        <v>0</v>
      </c>
      <c r="B81" s="272">
        <f>ROW()-1</f>
        <v/>
      </c>
      <c r="C81" s="286">
        <f>_xlfn.XLOOKUP($D81,Tab_Process_TCs[Name(EN)],Tab_Process_TCs[Process_ID],,0,)</f>
        <v/>
      </c>
      <c r="D81" s="189" t="inlineStr">
        <is>
          <t>N.A.</t>
        </is>
      </c>
      <c r="E81" s="189" t="inlineStr">
        <is>
          <t>N.A.</t>
        </is>
      </c>
      <c r="F81" s="286">
        <f>_xlfn.XLOOKUP($D81,Tab_Process_TCs[Name(EN)],Tab_Process_TCs[TC?],,0,)</f>
        <v/>
      </c>
      <c r="G81" s="286">
        <f>_xlfn.XLOOKUP($D81,Tab_Process_TCs[Name(EN)],Tab_Process_TCs[Dyn_TC?],,0,)</f>
        <v/>
      </c>
      <c r="H81" s="272">
        <f>_xlfn.XLOOKUP($E81,Tab_Def_Flows[Name(EN)],Tab_Def_Flows[Flow_ID],,0,1)</f>
        <v/>
      </c>
      <c r="I81" s="272">
        <f>IF(Tab_Process_TCs2527[[#This Row],[Name(EN)]]="N.A.","N.A.","TC"&amp;"_"&amp;RIGHT(H81,5))</f>
        <v/>
      </c>
      <c r="J81" s="273" t="n"/>
      <c r="K81" s="183" t="n"/>
      <c r="L81" s="272" t="n"/>
      <c r="M81" s="296">
        <f>_xlfn.XLOOKUP($D81,Tab_Def_Processes[Name(EN)],Tab_Def_Processes[Input_Flow_I_1],,0,)</f>
        <v/>
      </c>
      <c r="N81" s="272">
        <f>_xlfn.XLOOKUP($D81,Tab_Def_Processes[Name(EN)],Tab_Def_Processes[Flow_ID_I_1],,0,)</f>
        <v/>
      </c>
      <c r="O81" s="33" t="n"/>
      <c r="P81" s="29">
        <f>_xlfn.XLOOKUP($D81,Tab_Def_Processes[Name(EN)],Tab_Def_Processes[Input_Flow_I_2],,0,)</f>
        <v/>
      </c>
      <c r="Q81" s="272">
        <f>_xlfn.XLOOKUP($D81,Tab_Def_Processes[Name(EN)],Tab_Def_Processes[Flow_ID_I_2],,0,)</f>
        <v/>
      </c>
      <c r="R81" s="33" t="n"/>
      <c r="S81" s="29">
        <f>_xlfn.XLOOKUP($D81,Tab_Def_Processes[Name(EN)],Tab_Def_Processes[Input_Flow_I_3],,0,)</f>
        <v/>
      </c>
      <c r="T81" s="272">
        <f>_xlfn.XLOOKUP($D81,Tab_Def_Processes[Name(EN)],Tab_Def_Processes[Flow_ID_I_3],,0,)</f>
        <v/>
      </c>
      <c r="U81" s="33" t="n"/>
      <c r="V81" s="29">
        <f>_xlfn.XLOOKUP($D81,Tab_Def_Processes[Name(EN)],Tab_Def_Processes[Input_Flow_I_4],,0,)</f>
        <v/>
      </c>
      <c r="W81" s="272">
        <f>_xlfn.XLOOKUP($D81,Tab_Def_Processes[Name(EN)],Tab_Def_Processes[Flow_ID_I_4],,0,)</f>
        <v/>
      </c>
      <c r="X81" s="33" t="n"/>
      <c r="Y81" s="29">
        <f>_xlfn.XLOOKUP($D81,Tab_Def_Processes[Name(EN)],Tab_Def_Processes[Input_Flow_I_5],,0,)</f>
        <v/>
      </c>
      <c r="Z81" s="272">
        <f>_xlfn.XLOOKUP($D81,Tab_Def_Processes[Name(EN)],Tab_Def_Processes[Flow_ID_I_5],,0,)</f>
        <v/>
      </c>
      <c r="AA81" s="33" t="n"/>
      <c r="AB81" s="32">
        <f>Tab_Process_TCs2527[[#This Row],[Flow_TC_I_1_'[%']]]+Tab_Process_TCs2527[[#This Row],[Flow_TC_I_2_'[%']]]+Tab_Process_TCs2527[[#This Row],[Flow_TC_I_3_'[%']]]+Tab_Process_TCs2527[[#This Row],[Flow_TC_I_4_'[%']]]+Tab_Process_TCs2527[[#This Row],[Flow_TC_I_5_'[%']]]</f>
        <v/>
      </c>
      <c r="AC81" s="296">
        <f>_xlfn.XLOOKUP($D81,#REF!,#REF!,,0,)</f>
        <v/>
      </c>
      <c r="AD81" s="272">
        <f>_xlfn.XLOOKUP($D81,#REF!,#REF!,,0,)</f>
        <v/>
      </c>
      <c r="AE81" s="42">
        <f>Tab_Process_TCs2527[[#This Row],[Flow_ID]]</f>
        <v/>
      </c>
      <c r="AF81" s="272">
        <f>"TC"&amp;"_"&amp;RIGHT(AD81,5)</f>
        <v/>
      </c>
      <c r="AG81" s="49">
        <f>AG80+0.01</f>
        <v/>
      </c>
      <c r="AH81" s="169">
        <f>_xlfn.XLOOKUP($D81,#REF!,#REF!,,0,)</f>
        <v/>
      </c>
      <c r="AI81" s="53">
        <f>_xlfn.XLOOKUP($D81,#REF!,#REF!,,0,)</f>
        <v/>
      </c>
      <c r="AJ81" s="42">
        <f>Tab_Process_TCs2527[[#This Row],[Flow_ID]]</f>
        <v/>
      </c>
      <c r="AK81" s="272">
        <f>"TC"&amp;"_"&amp;RIGHT(AI81,5)</f>
        <v/>
      </c>
      <c r="AL81" s="168">
        <f>AL80-0.01</f>
        <v/>
      </c>
      <c r="AM81" s="296">
        <f>_xlfn.XLOOKUP($D81,#REF!,#REF!,,0,)</f>
        <v/>
      </c>
      <c r="AN81" s="272">
        <f>_xlfn.XLOOKUP($D81,#REF!,#REF!,,0,)</f>
        <v/>
      </c>
      <c r="AO81" s="42">
        <f>Tab_Process_TCs2527[[#This Row],[Flow_ID]]</f>
        <v/>
      </c>
      <c r="AP81" s="272">
        <f>"TC"&amp;"_"&amp;RIGHT(AN81,5)</f>
        <v/>
      </c>
      <c r="AQ81" s="168" t="n">
        <v>0.25</v>
      </c>
      <c r="AR81" s="296">
        <f>_xlfn.XLOOKUP($D81,#REF!,#REF!,,0,)</f>
        <v/>
      </c>
      <c r="AS81" s="272">
        <f>_xlfn.XLOOKUP($D81,#REF!,#REF!,,0,)</f>
        <v/>
      </c>
      <c r="AT81" s="42">
        <f>Tab_Process_TCs2527[[#This Row],[Flow_ID]]</f>
        <v/>
      </c>
      <c r="AU81" s="42">
        <f>"TC"&amp;"_"&amp;RIGHT(AN81,5)</f>
        <v/>
      </c>
      <c r="AV81" s="168" t="n"/>
      <c r="AW81" s="296">
        <f>_xlfn.XLOOKUP($D81,#REF!,#REF!,,0,)</f>
        <v/>
      </c>
      <c r="AX81" s="272">
        <f>_xlfn.XLOOKUP($D81,#REF!,#REF!,,0,)</f>
        <v/>
      </c>
      <c r="AY81" s="42">
        <f>Tab_Process_TCs2527[[#This Row],[Flow_ID]]</f>
        <v/>
      </c>
      <c r="AZ81" s="42">
        <f>"TC"&amp;"_"&amp;RIGHT(AX81,5)</f>
        <v/>
      </c>
      <c r="BA81" s="168" t="n"/>
      <c r="BB81" s="272">
        <f>_xlfn.XLOOKUP($D81,#REF!,#REF!,,0,)</f>
        <v/>
      </c>
      <c r="BC81" s="272">
        <f>_xlfn.XLOOKUP($D81,#REF!,#REF!,,0,)</f>
        <v/>
      </c>
      <c r="BD81" s="42">
        <f>Tab_Process_TCs2527[[#This Row],[Flow_ID]]</f>
        <v/>
      </c>
      <c r="BE81" s="42">
        <f>"TC"&amp;"_"&amp;RIGHT(BC81,5)</f>
        <v/>
      </c>
      <c r="BF81" s="49" t="n"/>
      <c r="BG81" s="52">
        <f>Tab_Process_TCs2527[[#This Row],[TC O_6_'[%']]]+Tab_Process_TCs2527[[#This Row],[TC O_5_'[%']]]+Tab_Process_TCs2527[[#This Row],[TC_O_4_'[%']]]+Tab_Process_TCs2527[[#This Row],[TC_O_3_'[%']]]+Tab_Process_TCs2527[[#This Row],[TC_O_2_'[%']]]+Tab_Process_TCs2527[[#This Row],[TC_O_1_'[%']]]</f>
        <v/>
      </c>
      <c r="BH81" s="273" t="n"/>
      <c r="BI81" s="273" t="n"/>
      <c r="BJ81" s="273" t="n"/>
      <c r="BK81" s="273" t="n"/>
      <c r="BL81" s="273" t="n"/>
    </row>
    <row r="82">
      <c r="A82" s="280" t="b">
        <v>0</v>
      </c>
      <c r="B82" s="272">
        <f>ROW()-1</f>
        <v/>
      </c>
      <c r="C82" s="286">
        <f>_xlfn.XLOOKUP($D82,Tab_Process_TCs[Name(EN)],Tab_Process_TCs[Process_ID],,0,)</f>
        <v/>
      </c>
      <c r="D82" s="189" t="inlineStr">
        <is>
          <t>N.A.</t>
        </is>
      </c>
      <c r="E82" s="189" t="inlineStr">
        <is>
          <t>N.A.</t>
        </is>
      </c>
      <c r="F82" s="286">
        <f>_xlfn.XLOOKUP($D82,Tab_Process_TCs[Name(EN)],Tab_Process_TCs[TC?],,0,)</f>
        <v/>
      </c>
      <c r="G82" s="286">
        <f>_xlfn.XLOOKUP($D82,Tab_Process_TCs[Name(EN)],Tab_Process_TCs[Dyn_TC?],,0,)</f>
        <v/>
      </c>
      <c r="H82" s="272">
        <f>_xlfn.XLOOKUP($E82,Tab_Def_Flows[Name(EN)],Tab_Def_Flows[Flow_ID],,0,1)</f>
        <v/>
      </c>
      <c r="I82" s="272">
        <f>IF(Tab_Process_TCs2527[[#This Row],[Name(EN)]]="N.A.","N.A.","TC"&amp;"_"&amp;RIGHT(H82,5))</f>
        <v/>
      </c>
      <c r="J82" s="273" t="n"/>
      <c r="K82" s="183" t="n"/>
      <c r="L82" s="272" t="n"/>
      <c r="M82" s="296">
        <f>_xlfn.XLOOKUP($D82,Tab_Def_Processes[Name(EN)],Tab_Def_Processes[Input_Flow_I_1],,0,)</f>
        <v/>
      </c>
      <c r="N82" s="272">
        <f>_xlfn.XLOOKUP($D82,Tab_Def_Processes[Name(EN)],Tab_Def_Processes[Flow_ID_I_1],,0,)</f>
        <v/>
      </c>
      <c r="O82" s="33" t="n"/>
      <c r="P82" s="29">
        <f>_xlfn.XLOOKUP($D82,Tab_Def_Processes[Name(EN)],Tab_Def_Processes[Input_Flow_I_2],,0,)</f>
        <v/>
      </c>
      <c r="Q82" s="272">
        <f>_xlfn.XLOOKUP($D82,Tab_Def_Processes[Name(EN)],Tab_Def_Processes[Flow_ID_I_2],,0,)</f>
        <v/>
      </c>
      <c r="R82" s="33" t="n"/>
      <c r="S82" s="29">
        <f>_xlfn.XLOOKUP($D82,Tab_Def_Processes[Name(EN)],Tab_Def_Processes[Input_Flow_I_3],,0,)</f>
        <v/>
      </c>
      <c r="T82" s="272">
        <f>_xlfn.XLOOKUP($D82,Tab_Def_Processes[Name(EN)],Tab_Def_Processes[Flow_ID_I_3],,0,)</f>
        <v/>
      </c>
      <c r="U82" s="33" t="n"/>
      <c r="V82" s="29">
        <f>_xlfn.XLOOKUP($D82,Tab_Def_Processes[Name(EN)],Tab_Def_Processes[Input_Flow_I_4],,0,)</f>
        <v/>
      </c>
      <c r="W82" s="272">
        <f>_xlfn.XLOOKUP($D82,Tab_Def_Processes[Name(EN)],Tab_Def_Processes[Flow_ID_I_4],,0,)</f>
        <v/>
      </c>
      <c r="X82" s="33" t="n"/>
      <c r="Y82" s="29">
        <f>_xlfn.XLOOKUP($D82,Tab_Def_Processes[Name(EN)],Tab_Def_Processes[Input_Flow_I_5],,0,)</f>
        <v/>
      </c>
      <c r="Z82" s="272">
        <f>_xlfn.XLOOKUP($D82,Tab_Def_Processes[Name(EN)],Tab_Def_Processes[Flow_ID_I_5],,0,)</f>
        <v/>
      </c>
      <c r="AA82" s="33" t="n"/>
      <c r="AB82" s="32">
        <f>Tab_Process_TCs2527[[#This Row],[Flow_TC_I_1_'[%']]]+Tab_Process_TCs2527[[#This Row],[Flow_TC_I_2_'[%']]]+Tab_Process_TCs2527[[#This Row],[Flow_TC_I_3_'[%']]]+Tab_Process_TCs2527[[#This Row],[Flow_TC_I_4_'[%']]]+Tab_Process_TCs2527[[#This Row],[Flow_TC_I_5_'[%']]]</f>
        <v/>
      </c>
      <c r="AC82" s="296">
        <f>_xlfn.XLOOKUP($D82,#REF!,#REF!,,0,)</f>
        <v/>
      </c>
      <c r="AD82" s="272">
        <f>_xlfn.XLOOKUP($D82,#REF!,#REF!,,0,)</f>
        <v/>
      </c>
      <c r="AE82" s="42">
        <f>Tab_Process_TCs2527[[#This Row],[Flow_ID]]</f>
        <v/>
      </c>
      <c r="AF82" s="272">
        <f>"TC"&amp;"_"&amp;RIGHT(AD82,5)</f>
        <v/>
      </c>
      <c r="AG82" s="49">
        <f>AG81+0.01</f>
        <v/>
      </c>
      <c r="AH82" s="169">
        <f>_xlfn.XLOOKUP($D82,#REF!,#REF!,,0,)</f>
        <v/>
      </c>
      <c r="AI82" s="53">
        <f>_xlfn.XLOOKUP($D82,#REF!,#REF!,,0,)</f>
        <v/>
      </c>
      <c r="AJ82" s="42">
        <f>Tab_Process_TCs2527[[#This Row],[Flow_ID]]</f>
        <v/>
      </c>
      <c r="AK82" s="272">
        <f>"TC"&amp;"_"&amp;RIGHT(AI82,5)</f>
        <v/>
      </c>
      <c r="AL82" s="168">
        <f>AL81-0.01</f>
        <v/>
      </c>
      <c r="AM82" s="296">
        <f>_xlfn.XLOOKUP($D82,#REF!,#REF!,,0,)</f>
        <v/>
      </c>
      <c r="AN82" s="272">
        <f>_xlfn.XLOOKUP($D82,#REF!,#REF!,,0,)</f>
        <v/>
      </c>
      <c r="AO82" s="42">
        <f>Tab_Process_TCs2527[[#This Row],[Flow_ID]]</f>
        <v/>
      </c>
      <c r="AP82" s="272">
        <f>"TC"&amp;"_"&amp;RIGHT(AN82,5)</f>
        <v/>
      </c>
      <c r="AQ82" s="168" t="n">
        <v>0.25</v>
      </c>
      <c r="AR82" s="296">
        <f>_xlfn.XLOOKUP($D82,#REF!,#REF!,,0,)</f>
        <v/>
      </c>
      <c r="AS82" s="272">
        <f>_xlfn.XLOOKUP($D82,#REF!,#REF!,,0,)</f>
        <v/>
      </c>
      <c r="AT82" s="42">
        <f>Tab_Process_TCs2527[[#This Row],[Flow_ID]]</f>
        <v/>
      </c>
      <c r="AU82" s="42">
        <f>"TC"&amp;"_"&amp;RIGHT(AN82,5)</f>
        <v/>
      </c>
      <c r="AV82" s="168" t="n"/>
      <c r="AW82" s="296">
        <f>_xlfn.XLOOKUP($D82,#REF!,#REF!,,0,)</f>
        <v/>
      </c>
      <c r="AX82" s="272">
        <f>_xlfn.XLOOKUP($D82,#REF!,#REF!,,0,)</f>
        <v/>
      </c>
      <c r="AY82" s="42">
        <f>Tab_Process_TCs2527[[#This Row],[Flow_ID]]</f>
        <v/>
      </c>
      <c r="AZ82" s="42">
        <f>"TC"&amp;"_"&amp;RIGHT(AX82,5)</f>
        <v/>
      </c>
      <c r="BA82" s="168" t="n"/>
      <c r="BB82" s="272">
        <f>_xlfn.XLOOKUP($D82,#REF!,#REF!,,0,)</f>
        <v/>
      </c>
      <c r="BC82" s="272">
        <f>_xlfn.XLOOKUP($D82,#REF!,#REF!,,0,)</f>
        <v/>
      </c>
      <c r="BD82" s="42">
        <f>Tab_Process_TCs2527[[#This Row],[Flow_ID]]</f>
        <v/>
      </c>
      <c r="BE82" s="42">
        <f>"TC"&amp;"_"&amp;RIGHT(BC82,5)</f>
        <v/>
      </c>
      <c r="BF82" s="49" t="n"/>
      <c r="BG82" s="52">
        <f>Tab_Process_TCs2527[[#This Row],[TC O_6_'[%']]]+Tab_Process_TCs2527[[#This Row],[TC O_5_'[%']]]+Tab_Process_TCs2527[[#This Row],[TC_O_4_'[%']]]+Tab_Process_TCs2527[[#This Row],[TC_O_3_'[%']]]+Tab_Process_TCs2527[[#This Row],[TC_O_2_'[%']]]+Tab_Process_TCs2527[[#This Row],[TC_O_1_'[%']]]</f>
        <v/>
      </c>
      <c r="BH82" s="273" t="n"/>
      <c r="BI82" s="273" t="n"/>
      <c r="BJ82" s="273" t="n"/>
      <c r="BK82" s="273" t="n"/>
      <c r="BL82" s="273" t="n"/>
    </row>
    <row r="83">
      <c r="A83" s="280" t="b">
        <v>0</v>
      </c>
      <c r="B83" s="272">
        <f>ROW()-1</f>
        <v/>
      </c>
      <c r="C83" s="286">
        <f>_xlfn.XLOOKUP($D83,Tab_Process_TCs[Name(EN)],Tab_Process_TCs[Process_ID],,0,)</f>
        <v/>
      </c>
      <c r="D83" s="189" t="inlineStr">
        <is>
          <t>N.A.</t>
        </is>
      </c>
      <c r="E83" s="189" t="inlineStr">
        <is>
          <t>N.A.</t>
        </is>
      </c>
      <c r="F83" s="286">
        <f>_xlfn.XLOOKUP($D83,Tab_Process_TCs[Name(EN)],Tab_Process_TCs[TC?],,0,)</f>
        <v/>
      </c>
      <c r="G83" s="286">
        <f>_xlfn.XLOOKUP($D83,Tab_Process_TCs[Name(EN)],Tab_Process_TCs[Dyn_TC?],,0,)</f>
        <v/>
      </c>
      <c r="H83" s="272">
        <f>_xlfn.XLOOKUP($E83,Tab_Def_Flows[Name(EN)],Tab_Def_Flows[Flow_ID],,0,1)</f>
        <v/>
      </c>
      <c r="I83" s="272">
        <f>IF(Tab_Process_TCs2527[[#This Row],[Name(EN)]]="N.A.","N.A.","TC"&amp;"_"&amp;RIGHT(H83,5))</f>
        <v/>
      </c>
      <c r="J83" s="273" t="n"/>
      <c r="K83" s="183" t="n"/>
      <c r="L83" s="272" t="n"/>
      <c r="M83" s="296">
        <f>_xlfn.XLOOKUP($D83,Tab_Def_Processes[Name(EN)],Tab_Def_Processes[Input_Flow_I_1],,0,)</f>
        <v/>
      </c>
      <c r="N83" s="272">
        <f>_xlfn.XLOOKUP($D83,Tab_Def_Processes[Name(EN)],Tab_Def_Processes[Flow_ID_I_1],,0,)</f>
        <v/>
      </c>
      <c r="O83" s="33" t="n"/>
      <c r="P83" s="29">
        <f>_xlfn.XLOOKUP($D83,Tab_Def_Processes[Name(EN)],Tab_Def_Processes[Input_Flow_I_2],,0,)</f>
        <v/>
      </c>
      <c r="Q83" s="272">
        <f>_xlfn.XLOOKUP($D83,Tab_Def_Processes[Name(EN)],Tab_Def_Processes[Flow_ID_I_2],,0,)</f>
        <v/>
      </c>
      <c r="R83" s="33" t="n"/>
      <c r="S83" s="29">
        <f>_xlfn.XLOOKUP($D83,Tab_Def_Processes[Name(EN)],Tab_Def_Processes[Input_Flow_I_3],,0,)</f>
        <v/>
      </c>
      <c r="T83" s="272">
        <f>_xlfn.XLOOKUP($D83,Tab_Def_Processes[Name(EN)],Tab_Def_Processes[Flow_ID_I_3],,0,)</f>
        <v/>
      </c>
      <c r="U83" s="33" t="n"/>
      <c r="V83" s="29">
        <f>_xlfn.XLOOKUP($D83,Tab_Def_Processes[Name(EN)],Tab_Def_Processes[Input_Flow_I_4],,0,)</f>
        <v/>
      </c>
      <c r="W83" s="272">
        <f>_xlfn.XLOOKUP($D83,Tab_Def_Processes[Name(EN)],Tab_Def_Processes[Flow_ID_I_4],,0,)</f>
        <v/>
      </c>
      <c r="X83" s="33" t="n"/>
      <c r="Y83" s="29">
        <f>_xlfn.XLOOKUP($D83,Tab_Def_Processes[Name(EN)],Tab_Def_Processes[Input_Flow_I_5],,0,)</f>
        <v/>
      </c>
      <c r="Z83" s="272">
        <f>_xlfn.XLOOKUP($D83,Tab_Def_Processes[Name(EN)],Tab_Def_Processes[Flow_ID_I_5],,0,)</f>
        <v/>
      </c>
      <c r="AA83" s="33" t="n"/>
      <c r="AB83" s="32">
        <f>Tab_Process_TCs2527[[#This Row],[Flow_TC_I_1_'[%']]]+Tab_Process_TCs2527[[#This Row],[Flow_TC_I_2_'[%']]]+Tab_Process_TCs2527[[#This Row],[Flow_TC_I_3_'[%']]]+Tab_Process_TCs2527[[#This Row],[Flow_TC_I_4_'[%']]]+Tab_Process_TCs2527[[#This Row],[Flow_TC_I_5_'[%']]]</f>
        <v/>
      </c>
      <c r="AC83" s="296">
        <f>_xlfn.XLOOKUP($D83,#REF!,#REF!,,0,)</f>
        <v/>
      </c>
      <c r="AD83" s="272">
        <f>_xlfn.XLOOKUP($D83,#REF!,#REF!,,0,)</f>
        <v/>
      </c>
      <c r="AE83" s="42">
        <f>Tab_Process_TCs2527[[#This Row],[Flow_ID]]</f>
        <v/>
      </c>
      <c r="AF83" s="272">
        <f>"TC"&amp;"_"&amp;RIGHT(AD83,5)</f>
        <v/>
      </c>
      <c r="AG83" s="49">
        <f>AG82+0.01</f>
        <v/>
      </c>
      <c r="AH83" s="169">
        <f>_xlfn.XLOOKUP($D83,#REF!,#REF!,,0,)</f>
        <v/>
      </c>
      <c r="AI83" s="53">
        <f>_xlfn.XLOOKUP($D83,#REF!,#REF!,,0,)</f>
        <v/>
      </c>
      <c r="AJ83" s="42">
        <f>Tab_Process_TCs2527[[#This Row],[Flow_ID]]</f>
        <v/>
      </c>
      <c r="AK83" s="272">
        <f>"TC"&amp;"_"&amp;RIGHT(AI83,5)</f>
        <v/>
      </c>
      <c r="AL83" s="168">
        <f>AL82-0.01</f>
        <v/>
      </c>
      <c r="AM83" s="296">
        <f>_xlfn.XLOOKUP($D83,#REF!,#REF!,,0,)</f>
        <v/>
      </c>
      <c r="AN83" s="272">
        <f>_xlfn.XLOOKUP($D83,#REF!,#REF!,,0,)</f>
        <v/>
      </c>
      <c r="AO83" s="42">
        <f>Tab_Process_TCs2527[[#This Row],[Flow_ID]]</f>
        <v/>
      </c>
      <c r="AP83" s="272">
        <f>"TC"&amp;"_"&amp;RIGHT(AN83,5)</f>
        <v/>
      </c>
      <c r="AQ83" s="168" t="n">
        <v>0.25</v>
      </c>
      <c r="AR83" s="296">
        <f>_xlfn.XLOOKUP($D83,#REF!,#REF!,,0,)</f>
        <v/>
      </c>
      <c r="AS83" s="272">
        <f>_xlfn.XLOOKUP($D83,#REF!,#REF!,,0,)</f>
        <v/>
      </c>
      <c r="AT83" s="42">
        <f>Tab_Process_TCs2527[[#This Row],[Flow_ID]]</f>
        <v/>
      </c>
      <c r="AU83" s="42">
        <f>"TC"&amp;"_"&amp;RIGHT(AN83,5)</f>
        <v/>
      </c>
      <c r="AV83" s="168" t="n"/>
      <c r="AW83" s="296">
        <f>_xlfn.XLOOKUP($D83,#REF!,#REF!,,0,)</f>
        <v/>
      </c>
      <c r="AX83" s="272">
        <f>_xlfn.XLOOKUP($D83,#REF!,#REF!,,0,)</f>
        <v/>
      </c>
      <c r="AY83" s="42">
        <f>Tab_Process_TCs2527[[#This Row],[Flow_ID]]</f>
        <v/>
      </c>
      <c r="AZ83" s="42">
        <f>"TC"&amp;"_"&amp;RIGHT(AX83,5)</f>
        <v/>
      </c>
      <c r="BA83" s="168" t="n"/>
      <c r="BB83" s="272">
        <f>_xlfn.XLOOKUP($D83,#REF!,#REF!,,0,)</f>
        <v/>
      </c>
      <c r="BC83" s="272">
        <f>_xlfn.XLOOKUP($D83,#REF!,#REF!,,0,)</f>
        <v/>
      </c>
      <c r="BD83" s="42">
        <f>Tab_Process_TCs2527[[#This Row],[Flow_ID]]</f>
        <v/>
      </c>
      <c r="BE83" s="42">
        <f>"TC"&amp;"_"&amp;RIGHT(BC83,5)</f>
        <v/>
      </c>
      <c r="BF83" s="49" t="n"/>
      <c r="BG83" s="52">
        <f>Tab_Process_TCs2527[[#This Row],[TC O_6_'[%']]]+Tab_Process_TCs2527[[#This Row],[TC O_5_'[%']]]+Tab_Process_TCs2527[[#This Row],[TC_O_4_'[%']]]+Tab_Process_TCs2527[[#This Row],[TC_O_3_'[%']]]+Tab_Process_TCs2527[[#This Row],[TC_O_2_'[%']]]+Tab_Process_TCs2527[[#This Row],[TC_O_1_'[%']]]</f>
        <v/>
      </c>
      <c r="BH83" s="273" t="n"/>
      <c r="BI83" s="273" t="n"/>
      <c r="BJ83" s="273" t="n"/>
      <c r="BK83" s="273" t="n"/>
      <c r="BL83" s="273" t="n"/>
    </row>
    <row r="84">
      <c r="A84" s="280" t="b">
        <v>0</v>
      </c>
      <c r="B84" s="272">
        <f>ROW()-1</f>
        <v/>
      </c>
      <c r="C84" s="286">
        <f>_xlfn.XLOOKUP($D84,Tab_Process_TCs[Name(EN)],Tab_Process_TCs[Process_ID],,0,)</f>
        <v/>
      </c>
      <c r="D84" s="189" t="inlineStr">
        <is>
          <t>N.A.</t>
        </is>
      </c>
      <c r="E84" s="189" t="inlineStr">
        <is>
          <t>N.A.</t>
        </is>
      </c>
      <c r="F84" s="286">
        <f>_xlfn.XLOOKUP($D84,Tab_Process_TCs[Name(EN)],Tab_Process_TCs[TC?],,0,)</f>
        <v/>
      </c>
      <c r="G84" s="286">
        <f>_xlfn.XLOOKUP($D84,Tab_Process_TCs[Name(EN)],Tab_Process_TCs[Dyn_TC?],,0,)</f>
        <v/>
      </c>
      <c r="H84" s="272">
        <f>_xlfn.XLOOKUP($E84,Tab_Def_Flows[Name(EN)],Tab_Def_Flows[Flow_ID],,0,1)</f>
        <v/>
      </c>
      <c r="I84" s="272">
        <f>IF(Tab_Process_TCs2527[[#This Row],[Name(EN)]]="N.A.","N.A.","TC"&amp;"_"&amp;RIGHT(H84,5))</f>
        <v/>
      </c>
      <c r="J84" s="273" t="n"/>
      <c r="K84" s="183" t="n"/>
      <c r="L84" s="272" t="n"/>
      <c r="M84" s="296">
        <f>_xlfn.XLOOKUP($D84,Tab_Def_Processes[Name(EN)],Tab_Def_Processes[Input_Flow_I_1],,0,)</f>
        <v/>
      </c>
      <c r="N84" s="272">
        <f>_xlfn.XLOOKUP($D84,Tab_Def_Processes[Name(EN)],Tab_Def_Processes[Flow_ID_I_1],,0,)</f>
        <v/>
      </c>
      <c r="O84" s="33" t="n"/>
      <c r="P84" s="29">
        <f>_xlfn.XLOOKUP($D84,Tab_Def_Processes[Name(EN)],Tab_Def_Processes[Input_Flow_I_2],,0,)</f>
        <v/>
      </c>
      <c r="Q84" s="272">
        <f>_xlfn.XLOOKUP($D84,Tab_Def_Processes[Name(EN)],Tab_Def_Processes[Flow_ID_I_2],,0,)</f>
        <v/>
      </c>
      <c r="R84" s="33" t="n"/>
      <c r="S84" s="29">
        <f>_xlfn.XLOOKUP($D84,Tab_Def_Processes[Name(EN)],Tab_Def_Processes[Input_Flow_I_3],,0,)</f>
        <v/>
      </c>
      <c r="T84" s="272">
        <f>_xlfn.XLOOKUP($D84,Tab_Def_Processes[Name(EN)],Tab_Def_Processes[Flow_ID_I_3],,0,)</f>
        <v/>
      </c>
      <c r="U84" s="33" t="n"/>
      <c r="V84" s="29">
        <f>_xlfn.XLOOKUP($D84,Tab_Def_Processes[Name(EN)],Tab_Def_Processes[Input_Flow_I_4],,0,)</f>
        <v/>
      </c>
      <c r="W84" s="272">
        <f>_xlfn.XLOOKUP($D84,Tab_Def_Processes[Name(EN)],Tab_Def_Processes[Flow_ID_I_4],,0,)</f>
        <v/>
      </c>
      <c r="X84" s="33" t="n"/>
      <c r="Y84" s="29">
        <f>_xlfn.XLOOKUP($D84,Tab_Def_Processes[Name(EN)],Tab_Def_Processes[Input_Flow_I_5],,0,)</f>
        <v/>
      </c>
      <c r="Z84" s="272">
        <f>_xlfn.XLOOKUP($D84,Tab_Def_Processes[Name(EN)],Tab_Def_Processes[Flow_ID_I_5],,0,)</f>
        <v/>
      </c>
      <c r="AA84" s="33" t="n"/>
      <c r="AB84" s="32">
        <f>Tab_Process_TCs2527[[#This Row],[Flow_TC_I_1_'[%']]]+Tab_Process_TCs2527[[#This Row],[Flow_TC_I_2_'[%']]]+Tab_Process_TCs2527[[#This Row],[Flow_TC_I_3_'[%']]]+Tab_Process_TCs2527[[#This Row],[Flow_TC_I_4_'[%']]]+Tab_Process_TCs2527[[#This Row],[Flow_TC_I_5_'[%']]]</f>
        <v/>
      </c>
      <c r="AC84" s="296">
        <f>_xlfn.XLOOKUP($D84,#REF!,#REF!,,0,)</f>
        <v/>
      </c>
      <c r="AD84" s="272">
        <f>_xlfn.XLOOKUP($D84,#REF!,#REF!,,0,)</f>
        <v/>
      </c>
      <c r="AE84" s="42">
        <f>Tab_Process_TCs2527[[#This Row],[Flow_ID]]</f>
        <v/>
      </c>
      <c r="AF84" s="272">
        <f>"TC"&amp;"_"&amp;RIGHT(AD84,5)</f>
        <v/>
      </c>
      <c r="AG84" s="49">
        <f>AG83+0.01</f>
        <v/>
      </c>
      <c r="AH84" s="169">
        <f>_xlfn.XLOOKUP($D84,#REF!,#REF!,,0,)</f>
        <v/>
      </c>
      <c r="AI84" s="53">
        <f>_xlfn.XLOOKUP($D84,#REF!,#REF!,,0,)</f>
        <v/>
      </c>
      <c r="AJ84" s="42">
        <f>Tab_Process_TCs2527[[#This Row],[Flow_ID]]</f>
        <v/>
      </c>
      <c r="AK84" s="272">
        <f>"TC"&amp;"_"&amp;RIGHT(AI84,5)</f>
        <v/>
      </c>
      <c r="AL84" s="168">
        <f>AL83-0.01</f>
        <v/>
      </c>
      <c r="AM84" s="296">
        <f>_xlfn.XLOOKUP($D84,#REF!,#REF!,,0,)</f>
        <v/>
      </c>
      <c r="AN84" s="272">
        <f>_xlfn.XLOOKUP($D84,#REF!,#REF!,,0,)</f>
        <v/>
      </c>
      <c r="AO84" s="42">
        <f>Tab_Process_TCs2527[[#This Row],[Flow_ID]]</f>
        <v/>
      </c>
      <c r="AP84" s="272">
        <f>"TC"&amp;"_"&amp;RIGHT(AN84,5)</f>
        <v/>
      </c>
      <c r="AQ84" s="168" t="n">
        <v>0.25</v>
      </c>
      <c r="AR84" s="296">
        <f>_xlfn.XLOOKUP($D84,#REF!,#REF!,,0,)</f>
        <v/>
      </c>
      <c r="AS84" s="272">
        <f>_xlfn.XLOOKUP($D84,#REF!,#REF!,,0,)</f>
        <v/>
      </c>
      <c r="AT84" s="42">
        <f>Tab_Process_TCs2527[[#This Row],[Flow_ID]]</f>
        <v/>
      </c>
      <c r="AU84" s="42">
        <f>"TC"&amp;"_"&amp;RIGHT(AN84,5)</f>
        <v/>
      </c>
      <c r="AV84" s="168" t="n"/>
      <c r="AW84" s="296">
        <f>_xlfn.XLOOKUP($D84,#REF!,#REF!,,0,)</f>
        <v/>
      </c>
      <c r="AX84" s="272">
        <f>_xlfn.XLOOKUP($D84,#REF!,#REF!,,0,)</f>
        <v/>
      </c>
      <c r="AY84" s="42">
        <f>Tab_Process_TCs2527[[#This Row],[Flow_ID]]</f>
        <v/>
      </c>
      <c r="AZ84" s="42">
        <f>"TC"&amp;"_"&amp;RIGHT(AX84,5)</f>
        <v/>
      </c>
      <c r="BA84" s="168" t="n"/>
      <c r="BB84" s="272">
        <f>_xlfn.XLOOKUP($D84,#REF!,#REF!,,0,)</f>
        <v/>
      </c>
      <c r="BC84" s="272">
        <f>_xlfn.XLOOKUP($D84,#REF!,#REF!,,0,)</f>
        <v/>
      </c>
      <c r="BD84" s="42">
        <f>Tab_Process_TCs2527[[#This Row],[Flow_ID]]</f>
        <v/>
      </c>
      <c r="BE84" s="42">
        <f>"TC"&amp;"_"&amp;RIGHT(BC84,5)</f>
        <v/>
      </c>
      <c r="BF84" s="49" t="n"/>
      <c r="BG84" s="52">
        <f>Tab_Process_TCs2527[[#This Row],[TC O_6_'[%']]]+Tab_Process_TCs2527[[#This Row],[TC O_5_'[%']]]+Tab_Process_TCs2527[[#This Row],[TC_O_4_'[%']]]+Tab_Process_TCs2527[[#This Row],[TC_O_3_'[%']]]+Tab_Process_TCs2527[[#This Row],[TC_O_2_'[%']]]+Tab_Process_TCs2527[[#This Row],[TC_O_1_'[%']]]</f>
        <v/>
      </c>
      <c r="BH84" s="273" t="n"/>
      <c r="BI84" s="273" t="n"/>
      <c r="BJ84" s="273" t="n"/>
      <c r="BK84" s="273" t="n"/>
      <c r="BL84" s="273" t="n"/>
    </row>
    <row r="85">
      <c r="A85" s="280" t="b">
        <v>0</v>
      </c>
      <c r="B85" s="272">
        <f>ROW()-1</f>
        <v/>
      </c>
      <c r="C85" s="286">
        <f>_xlfn.XLOOKUP($D85,Tab_Process_TCs[Name(EN)],Tab_Process_TCs[Process_ID],,0,)</f>
        <v/>
      </c>
      <c r="D85" s="189" t="inlineStr">
        <is>
          <t>N.A.</t>
        </is>
      </c>
      <c r="E85" s="189" t="inlineStr">
        <is>
          <t>N.A.</t>
        </is>
      </c>
      <c r="F85" s="286">
        <f>_xlfn.XLOOKUP($D85,Tab_Process_TCs[Name(EN)],Tab_Process_TCs[TC?],,0,)</f>
        <v/>
      </c>
      <c r="G85" s="286">
        <f>_xlfn.XLOOKUP($D85,Tab_Process_TCs[Name(EN)],Tab_Process_TCs[Dyn_TC?],,0,)</f>
        <v/>
      </c>
      <c r="H85" s="272">
        <f>_xlfn.XLOOKUP($E85,Tab_Def_Flows[Name(EN)],Tab_Def_Flows[Flow_ID],,0,1)</f>
        <v/>
      </c>
      <c r="I85" s="272">
        <f>IF(Tab_Process_TCs2527[[#This Row],[Name(EN)]]="N.A.","N.A.","TC"&amp;"_"&amp;RIGHT(H85,5))</f>
        <v/>
      </c>
      <c r="J85" s="273" t="n"/>
      <c r="K85" s="183" t="n"/>
      <c r="L85" s="272" t="n"/>
      <c r="M85" s="296">
        <f>_xlfn.XLOOKUP($D85,Tab_Def_Processes[Name(EN)],Tab_Def_Processes[Input_Flow_I_1],,0,)</f>
        <v/>
      </c>
      <c r="N85" s="272">
        <f>_xlfn.XLOOKUP($D85,Tab_Def_Processes[Name(EN)],Tab_Def_Processes[Flow_ID_I_1],,0,)</f>
        <v/>
      </c>
      <c r="O85" s="33" t="n"/>
      <c r="P85" s="29">
        <f>_xlfn.XLOOKUP($D85,Tab_Def_Processes[Name(EN)],Tab_Def_Processes[Input_Flow_I_2],,0,)</f>
        <v/>
      </c>
      <c r="Q85" s="272">
        <f>_xlfn.XLOOKUP($D85,Tab_Def_Processes[Name(EN)],Tab_Def_Processes[Flow_ID_I_2],,0,)</f>
        <v/>
      </c>
      <c r="R85" s="33" t="n"/>
      <c r="S85" s="29">
        <f>_xlfn.XLOOKUP($D85,Tab_Def_Processes[Name(EN)],Tab_Def_Processes[Input_Flow_I_3],,0,)</f>
        <v/>
      </c>
      <c r="T85" s="272">
        <f>_xlfn.XLOOKUP($D85,Tab_Def_Processes[Name(EN)],Tab_Def_Processes[Flow_ID_I_3],,0,)</f>
        <v/>
      </c>
      <c r="U85" s="33" t="n"/>
      <c r="V85" s="29">
        <f>_xlfn.XLOOKUP($D85,Tab_Def_Processes[Name(EN)],Tab_Def_Processes[Input_Flow_I_4],,0,)</f>
        <v/>
      </c>
      <c r="W85" s="272">
        <f>_xlfn.XLOOKUP($D85,Tab_Def_Processes[Name(EN)],Tab_Def_Processes[Flow_ID_I_4],,0,)</f>
        <v/>
      </c>
      <c r="X85" s="33" t="n"/>
      <c r="Y85" s="29">
        <f>_xlfn.XLOOKUP($D85,Tab_Def_Processes[Name(EN)],Tab_Def_Processes[Input_Flow_I_5],,0,)</f>
        <v/>
      </c>
      <c r="Z85" s="272">
        <f>_xlfn.XLOOKUP($D85,Tab_Def_Processes[Name(EN)],Tab_Def_Processes[Flow_ID_I_5],,0,)</f>
        <v/>
      </c>
      <c r="AA85" s="33" t="n"/>
      <c r="AB85" s="32">
        <f>Tab_Process_TCs2527[[#This Row],[Flow_TC_I_1_'[%']]]+Tab_Process_TCs2527[[#This Row],[Flow_TC_I_2_'[%']]]+Tab_Process_TCs2527[[#This Row],[Flow_TC_I_3_'[%']]]+Tab_Process_TCs2527[[#This Row],[Flow_TC_I_4_'[%']]]+Tab_Process_TCs2527[[#This Row],[Flow_TC_I_5_'[%']]]</f>
        <v/>
      </c>
      <c r="AC85" s="296">
        <f>_xlfn.XLOOKUP($D85,#REF!,#REF!,,0,)</f>
        <v/>
      </c>
      <c r="AD85" s="272">
        <f>_xlfn.XLOOKUP($D85,#REF!,#REF!,,0,)</f>
        <v/>
      </c>
      <c r="AE85" s="42">
        <f>Tab_Process_TCs2527[[#This Row],[Flow_ID]]</f>
        <v/>
      </c>
      <c r="AF85" s="272">
        <f>"TC"&amp;"_"&amp;RIGHT(AD85,5)</f>
        <v/>
      </c>
      <c r="AG85" s="49">
        <f>AG84+0.01</f>
        <v/>
      </c>
      <c r="AH85" s="169">
        <f>_xlfn.XLOOKUP($D85,#REF!,#REF!,,0,)</f>
        <v/>
      </c>
      <c r="AI85" s="53">
        <f>_xlfn.XLOOKUP($D85,#REF!,#REF!,,0,)</f>
        <v/>
      </c>
      <c r="AJ85" s="42">
        <f>Tab_Process_TCs2527[[#This Row],[Flow_ID]]</f>
        <v/>
      </c>
      <c r="AK85" s="272">
        <f>"TC"&amp;"_"&amp;RIGHT(AI85,5)</f>
        <v/>
      </c>
      <c r="AL85" s="168">
        <f>AL84-0.01</f>
        <v/>
      </c>
      <c r="AM85" s="296">
        <f>_xlfn.XLOOKUP($D85,#REF!,#REF!,,0,)</f>
        <v/>
      </c>
      <c r="AN85" s="272">
        <f>_xlfn.XLOOKUP($D85,#REF!,#REF!,,0,)</f>
        <v/>
      </c>
      <c r="AO85" s="42">
        <f>Tab_Process_TCs2527[[#This Row],[Flow_ID]]</f>
        <v/>
      </c>
      <c r="AP85" s="272">
        <f>"TC"&amp;"_"&amp;RIGHT(AN85,5)</f>
        <v/>
      </c>
      <c r="AQ85" s="168" t="n">
        <v>0.25</v>
      </c>
      <c r="AR85" s="296">
        <f>_xlfn.XLOOKUP($D85,#REF!,#REF!,,0,)</f>
        <v/>
      </c>
      <c r="AS85" s="272">
        <f>_xlfn.XLOOKUP($D85,#REF!,#REF!,,0,)</f>
        <v/>
      </c>
      <c r="AT85" s="42">
        <f>Tab_Process_TCs2527[[#This Row],[Flow_ID]]</f>
        <v/>
      </c>
      <c r="AU85" s="42">
        <f>"TC"&amp;"_"&amp;RIGHT(AN85,5)</f>
        <v/>
      </c>
      <c r="AV85" s="168" t="n"/>
      <c r="AW85" s="296">
        <f>_xlfn.XLOOKUP($D85,#REF!,#REF!,,0,)</f>
        <v/>
      </c>
      <c r="AX85" s="272">
        <f>_xlfn.XLOOKUP($D85,#REF!,#REF!,,0,)</f>
        <v/>
      </c>
      <c r="AY85" s="42">
        <f>Tab_Process_TCs2527[[#This Row],[Flow_ID]]</f>
        <v/>
      </c>
      <c r="AZ85" s="42">
        <f>"TC"&amp;"_"&amp;RIGHT(AX85,5)</f>
        <v/>
      </c>
      <c r="BA85" s="168" t="n"/>
      <c r="BB85" s="272">
        <f>_xlfn.XLOOKUP($D85,#REF!,#REF!,,0,)</f>
        <v/>
      </c>
      <c r="BC85" s="272">
        <f>_xlfn.XLOOKUP($D85,#REF!,#REF!,,0,)</f>
        <v/>
      </c>
      <c r="BD85" s="42">
        <f>Tab_Process_TCs2527[[#This Row],[Flow_ID]]</f>
        <v/>
      </c>
      <c r="BE85" s="42">
        <f>"TC"&amp;"_"&amp;RIGHT(BC85,5)</f>
        <v/>
      </c>
      <c r="BF85" s="49" t="n"/>
      <c r="BG85" s="52">
        <f>Tab_Process_TCs2527[[#This Row],[TC O_6_'[%']]]+Tab_Process_TCs2527[[#This Row],[TC O_5_'[%']]]+Tab_Process_TCs2527[[#This Row],[TC_O_4_'[%']]]+Tab_Process_TCs2527[[#This Row],[TC_O_3_'[%']]]+Tab_Process_TCs2527[[#This Row],[TC_O_2_'[%']]]+Tab_Process_TCs2527[[#This Row],[TC_O_1_'[%']]]</f>
        <v/>
      </c>
      <c r="BH85" s="273" t="n"/>
      <c r="BI85" s="273" t="n"/>
      <c r="BJ85" s="273" t="n"/>
      <c r="BK85" s="273" t="n"/>
      <c r="BL85" s="273" t="n"/>
    </row>
    <row r="86">
      <c r="A86" s="280" t="b">
        <v>0</v>
      </c>
      <c r="B86" s="272">
        <f>ROW()-1</f>
        <v/>
      </c>
      <c r="C86" s="286">
        <f>_xlfn.XLOOKUP($D86,Tab_Process_TCs[Name(EN)],Tab_Process_TCs[Process_ID],,0,)</f>
        <v/>
      </c>
      <c r="D86" s="189" t="inlineStr">
        <is>
          <t>N.A.</t>
        </is>
      </c>
      <c r="E86" s="189" t="inlineStr">
        <is>
          <t>N.A.</t>
        </is>
      </c>
      <c r="F86" s="286">
        <f>_xlfn.XLOOKUP($D86,Tab_Process_TCs[Name(EN)],Tab_Process_TCs[TC?],,0,)</f>
        <v/>
      </c>
      <c r="G86" s="286">
        <f>_xlfn.XLOOKUP($D86,Tab_Process_TCs[Name(EN)],Tab_Process_TCs[Dyn_TC?],,0,)</f>
        <v/>
      </c>
      <c r="H86" s="272">
        <f>_xlfn.XLOOKUP($E86,Tab_Def_Flows[Name(EN)],Tab_Def_Flows[Flow_ID],,0,1)</f>
        <v/>
      </c>
      <c r="I86" s="272">
        <f>IF(Tab_Process_TCs2527[[#This Row],[Name(EN)]]="N.A.","N.A.","TC"&amp;"_"&amp;RIGHT(H86,5))</f>
        <v/>
      </c>
      <c r="J86" s="273" t="n"/>
      <c r="K86" s="183" t="n"/>
      <c r="L86" s="272" t="n"/>
      <c r="M86" s="296">
        <f>_xlfn.XLOOKUP($D86,Tab_Def_Processes[Name(EN)],Tab_Def_Processes[Input_Flow_I_1],,0,)</f>
        <v/>
      </c>
      <c r="N86" s="272">
        <f>_xlfn.XLOOKUP($D86,Tab_Def_Processes[Name(EN)],Tab_Def_Processes[Flow_ID_I_1],,0,)</f>
        <v/>
      </c>
      <c r="O86" s="33" t="n"/>
      <c r="P86" s="29">
        <f>_xlfn.XLOOKUP($D86,Tab_Def_Processes[Name(EN)],Tab_Def_Processes[Input_Flow_I_2],,0,)</f>
        <v/>
      </c>
      <c r="Q86" s="272">
        <f>_xlfn.XLOOKUP($D86,Tab_Def_Processes[Name(EN)],Tab_Def_Processes[Flow_ID_I_2],,0,)</f>
        <v/>
      </c>
      <c r="R86" s="33" t="n"/>
      <c r="S86" s="29">
        <f>_xlfn.XLOOKUP($D86,Tab_Def_Processes[Name(EN)],Tab_Def_Processes[Input_Flow_I_3],,0,)</f>
        <v/>
      </c>
      <c r="T86" s="272">
        <f>_xlfn.XLOOKUP($D86,Tab_Def_Processes[Name(EN)],Tab_Def_Processes[Flow_ID_I_3],,0,)</f>
        <v/>
      </c>
      <c r="U86" s="33" t="n"/>
      <c r="V86" s="29">
        <f>_xlfn.XLOOKUP($D86,Tab_Def_Processes[Name(EN)],Tab_Def_Processes[Input_Flow_I_4],,0,)</f>
        <v/>
      </c>
      <c r="W86" s="272">
        <f>_xlfn.XLOOKUP($D86,Tab_Def_Processes[Name(EN)],Tab_Def_Processes[Flow_ID_I_4],,0,)</f>
        <v/>
      </c>
      <c r="X86" s="33" t="n"/>
      <c r="Y86" s="29">
        <f>_xlfn.XLOOKUP($D86,Tab_Def_Processes[Name(EN)],Tab_Def_Processes[Input_Flow_I_5],,0,)</f>
        <v/>
      </c>
      <c r="Z86" s="272">
        <f>_xlfn.XLOOKUP($D86,Tab_Def_Processes[Name(EN)],Tab_Def_Processes[Flow_ID_I_5],,0,)</f>
        <v/>
      </c>
      <c r="AA86" s="33" t="n"/>
      <c r="AB86" s="32">
        <f>Tab_Process_TCs2527[[#This Row],[Flow_TC_I_1_'[%']]]+Tab_Process_TCs2527[[#This Row],[Flow_TC_I_2_'[%']]]+Tab_Process_TCs2527[[#This Row],[Flow_TC_I_3_'[%']]]+Tab_Process_TCs2527[[#This Row],[Flow_TC_I_4_'[%']]]+Tab_Process_TCs2527[[#This Row],[Flow_TC_I_5_'[%']]]</f>
        <v/>
      </c>
      <c r="AC86" s="296">
        <f>_xlfn.XLOOKUP($D86,#REF!,#REF!,,0,)</f>
        <v/>
      </c>
      <c r="AD86" s="272">
        <f>_xlfn.XLOOKUP($D86,#REF!,#REF!,,0,)</f>
        <v/>
      </c>
      <c r="AE86" s="42">
        <f>Tab_Process_TCs2527[[#This Row],[Flow_ID]]</f>
        <v/>
      </c>
      <c r="AF86" s="272">
        <f>"TC"&amp;"_"&amp;RIGHT(AD86,5)</f>
        <v/>
      </c>
      <c r="AG86" s="49" t="n">
        <v>0.4</v>
      </c>
      <c r="AH86" s="169">
        <f>_xlfn.XLOOKUP($D86,#REF!,#REF!,,0,)</f>
        <v/>
      </c>
      <c r="AI86" s="53">
        <f>_xlfn.XLOOKUP($D86,#REF!,#REF!,,0,)</f>
        <v/>
      </c>
      <c r="AJ86" s="42">
        <f>Tab_Process_TCs2527[[#This Row],[Flow_ID]]</f>
        <v/>
      </c>
      <c r="AK86" s="272">
        <f>"TC"&amp;"_"&amp;RIGHT(AI86,5)</f>
        <v/>
      </c>
      <c r="AL86" s="168" t="n">
        <v>0.6</v>
      </c>
      <c r="AM86" s="296">
        <f>_xlfn.XLOOKUP($D86,#REF!,#REF!,,0,)</f>
        <v/>
      </c>
      <c r="AN86" s="272">
        <f>_xlfn.XLOOKUP($D86,#REF!,#REF!,,0,)</f>
        <v/>
      </c>
      <c r="AO86" s="42">
        <f>Tab_Process_TCs2527[[#This Row],[Flow_ID]]</f>
        <v/>
      </c>
      <c r="AP86" s="272">
        <f>"TC"&amp;"_"&amp;RIGHT(AN86,5)</f>
        <v/>
      </c>
      <c r="AQ86" s="168" t="n"/>
      <c r="AR86" s="296">
        <f>_xlfn.XLOOKUP($D86,#REF!,#REF!,,0,)</f>
        <v/>
      </c>
      <c r="AS86" s="272">
        <f>_xlfn.XLOOKUP($D86,#REF!,#REF!,,0,)</f>
        <v/>
      </c>
      <c r="AT86" s="42">
        <f>Tab_Process_TCs2527[[#This Row],[Flow_ID]]</f>
        <v/>
      </c>
      <c r="AU86" s="42">
        <f>"TC"&amp;"_"&amp;RIGHT(AN86,5)</f>
        <v/>
      </c>
      <c r="AV86" s="168" t="n"/>
      <c r="AW86" s="296">
        <f>_xlfn.XLOOKUP($D86,#REF!,#REF!,,0,)</f>
        <v/>
      </c>
      <c r="AX86" s="272">
        <f>_xlfn.XLOOKUP($D86,#REF!,#REF!,,0,)</f>
        <v/>
      </c>
      <c r="AY86" s="42">
        <f>Tab_Process_TCs2527[[#This Row],[Flow_ID]]</f>
        <v/>
      </c>
      <c r="AZ86" s="42">
        <f>"TC"&amp;"_"&amp;RIGHT(AX86,5)</f>
        <v/>
      </c>
      <c r="BA86" s="168" t="n"/>
      <c r="BB86" s="272">
        <f>_xlfn.XLOOKUP($D86,#REF!,#REF!,,0,)</f>
        <v/>
      </c>
      <c r="BC86" s="272">
        <f>_xlfn.XLOOKUP($D86,#REF!,#REF!,,0,)</f>
        <v/>
      </c>
      <c r="BD86" s="42">
        <f>Tab_Process_TCs2527[[#This Row],[Flow_ID]]</f>
        <v/>
      </c>
      <c r="BE86" s="42">
        <f>"TC"&amp;"_"&amp;RIGHT(BC86,5)</f>
        <v/>
      </c>
      <c r="BF86" s="49" t="n"/>
      <c r="BG86" s="52">
        <f>Tab_Process_TCs2527[[#This Row],[TC O_6_'[%']]]+Tab_Process_TCs2527[[#This Row],[TC O_5_'[%']]]+Tab_Process_TCs2527[[#This Row],[TC_O_4_'[%']]]+Tab_Process_TCs2527[[#This Row],[TC_O_3_'[%']]]+Tab_Process_TCs2527[[#This Row],[TC_O_2_'[%']]]+Tab_Process_TCs2527[[#This Row],[TC_O_1_'[%']]]</f>
        <v/>
      </c>
      <c r="BH86" s="273" t="n"/>
      <c r="BI86" s="273" t="n"/>
      <c r="BJ86" s="273" t="n"/>
      <c r="BK86" s="273" t="n"/>
      <c r="BL86" s="273" t="n"/>
    </row>
    <row r="87">
      <c r="A87" s="280" t="b">
        <v>0</v>
      </c>
      <c r="B87" s="272">
        <f>ROW()-1</f>
        <v/>
      </c>
      <c r="C87" s="286">
        <f>_xlfn.XLOOKUP($D87,Tab_Process_TCs[Name(EN)],Tab_Process_TCs[Process_ID],,0,)</f>
        <v/>
      </c>
      <c r="D87" s="189" t="inlineStr">
        <is>
          <t>N.A.</t>
        </is>
      </c>
      <c r="E87" s="189" t="inlineStr">
        <is>
          <t>N.A.</t>
        </is>
      </c>
      <c r="F87" s="286">
        <f>_xlfn.XLOOKUP($D87,Tab_Process_TCs[Name(EN)],Tab_Process_TCs[TC?],,0,)</f>
        <v/>
      </c>
      <c r="G87" s="286">
        <f>_xlfn.XLOOKUP($D87,Tab_Process_TCs[Name(EN)],Tab_Process_TCs[Dyn_TC?],,0,)</f>
        <v/>
      </c>
      <c r="H87" s="272">
        <f>_xlfn.XLOOKUP($E87,Tab_Def_Flows[Name(EN)],Tab_Def_Flows[Flow_ID],,0,1)</f>
        <v/>
      </c>
      <c r="I87" s="272">
        <f>IF(Tab_Process_TCs2527[[#This Row],[Name(EN)]]="N.A.","N.A.","TC"&amp;"_"&amp;RIGHT(H87,5))</f>
        <v/>
      </c>
      <c r="J87" s="273" t="n"/>
      <c r="K87" s="183" t="n"/>
      <c r="L87" s="272" t="n"/>
      <c r="M87" s="296">
        <f>_xlfn.XLOOKUP($D87,Tab_Def_Processes[Name(EN)],Tab_Def_Processes[Input_Flow_I_1],,0,)</f>
        <v/>
      </c>
      <c r="N87" s="272">
        <f>_xlfn.XLOOKUP($D87,Tab_Def_Processes[Name(EN)],Tab_Def_Processes[Flow_ID_I_1],,0,)</f>
        <v/>
      </c>
      <c r="O87" s="33" t="n"/>
      <c r="P87" s="29">
        <f>_xlfn.XLOOKUP($D87,Tab_Def_Processes[Name(EN)],Tab_Def_Processes[Input_Flow_I_2],,0,)</f>
        <v/>
      </c>
      <c r="Q87" s="272">
        <f>_xlfn.XLOOKUP($D87,Tab_Def_Processes[Name(EN)],Tab_Def_Processes[Flow_ID_I_2],,0,)</f>
        <v/>
      </c>
      <c r="R87" s="33" t="n"/>
      <c r="S87" s="29">
        <f>_xlfn.XLOOKUP($D87,Tab_Def_Processes[Name(EN)],Tab_Def_Processes[Input_Flow_I_3],,0,)</f>
        <v/>
      </c>
      <c r="T87" s="272">
        <f>_xlfn.XLOOKUP($D87,Tab_Def_Processes[Name(EN)],Tab_Def_Processes[Flow_ID_I_3],,0,)</f>
        <v/>
      </c>
      <c r="U87" s="33" t="n"/>
      <c r="V87" s="29">
        <f>_xlfn.XLOOKUP($D87,Tab_Def_Processes[Name(EN)],Tab_Def_Processes[Input_Flow_I_4],,0,)</f>
        <v/>
      </c>
      <c r="W87" s="272">
        <f>_xlfn.XLOOKUP($D87,Tab_Def_Processes[Name(EN)],Tab_Def_Processes[Flow_ID_I_4],,0,)</f>
        <v/>
      </c>
      <c r="X87" s="33" t="n"/>
      <c r="Y87" s="29">
        <f>_xlfn.XLOOKUP($D87,Tab_Def_Processes[Name(EN)],Tab_Def_Processes[Input_Flow_I_5],,0,)</f>
        <v/>
      </c>
      <c r="Z87" s="272">
        <f>_xlfn.XLOOKUP($D87,Tab_Def_Processes[Name(EN)],Tab_Def_Processes[Flow_ID_I_5],,0,)</f>
        <v/>
      </c>
      <c r="AA87" s="33" t="n"/>
      <c r="AB87" s="32">
        <f>Tab_Process_TCs2527[[#This Row],[Flow_TC_I_1_'[%']]]+Tab_Process_TCs2527[[#This Row],[Flow_TC_I_2_'[%']]]+Tab_Process_TCs2527[[#This Row],[Flow_TC_I_3_'[%']]]+Tab_Process_TCs2527[[#This Row],[Flow_TC_I_4_'[%']]]+Tab_Process_TCs2527[[#This Row],[Flow_TC_I_5_'[%']]]</f>
        <v/>
      </c>
      <c r="AC87" s="296">
        <f>_xlfn.XLOOKUP($D87,#REF!,#REF!,,0,)</f>
        <v/>
      </c>
      <c r="AD87" s="272">
        <f>_xlfn.XLOOKUP($D87,#REF!,#REF!,,0,)</f>
        <v/>
      </c>
      <c r="AE87" s="42">
        <f>Tab_Process_TCs2527[[#This Row],[Flow_ID]]</f>
        <v/>
      </c>
      <c r="AF87" s="272">
        <f>"TC"&amp;"_"&amp;RIGHT(AD87,5)</f>
        <v/>
      </c>
      <c r="AG87" s="49" t="n">
        <v>0.4</v>
      </c>
      <c r="AH87" s="169">
        <f>_xlfn.XLOOKUP($D87,#REF!,#REF!,,0,)</f>
        <v/>
      </c>
      <c r="AI87" s="53">
        <f>_xlfn.XLOOKUP($D87,#REF!,#REF!,,0,)</f>
        <v/>
      </c>
      <c r="AJ87" s="42">
        <f>Tab_Process_TCs2527[[#This Row],[Flow_ID]]</f>
        <v/>
      </c>
      <c r="AK87" s="272">
        <f>"TC"&amp;"_"&amp;RIGHT(AI87,5)</f>
        <v/>
      </c>
      <c r="AL87" s="168" t="n">
        <v>0.6</v>
      </c>
      <c r="AM87" s="296">
        <f>_xlfn.XLOOKUP($D87,#REF!,#REF!,,0,)</f>
        <v/>
      </c>
      <c r="AN87" s="272">
        <f>_xlfn.XLOOKUP($D87,#REF!,#REF!,,0,)</f>
        <v/>
      </c>
      <c r="AO87" s="42">
        <f>Tab_Process_TCs2527[[#This Row],[Flow_ID]]</f>
        <v/>
      </c>
      <c r="AP87" s="272">
        <f>"TC"&amp;"_"&amp;RIGHT(AN87,5)</f>
        <v/>
      </c>
      <c r="AQ87" s="168" t="n"/>
      <c r="AR87" s="296">
        <f>_xlfn.XLOOKUP($D87,#REF!,#REF!,,0,)</f>
        <v/>
      </c>
      <c r="AS87" s="272">
        <f>_xlfn.XLOOKUP($D87,#REF!,#REF!,,0,)</f>
        <v/>
      </c>
      <c r="AT87" s="42">
        <f>Tab_Process_TCs2527[[#This Row],[Flow_ID]]</f>
        <v/>
      </c>
      <c r="AU87" s="42">
        <f>"TC"&amp;"_"&amp;RIGHT(AN87,5)</f>
        <v/>
      </c>
      <c r="AV87" s="168" t="n"/>
      <c r="AW87" s="296">
        <f>_xlfn.XLOOKUP($D87,#REF!,#REF!,,0,)</f>
        <v/>
      </c>
      <c r="AX87" s="272">
        <f>_xlfn.XLOOKUP($D87,#REF!,#REF!,,0,)</f>
        <v/>
      </c>
      <c r="AY87" s="42">
        <f>Tab_Process_TCs2527[[#This Row],[Flow_ID]]</f>
        <v/>
      </c>
      <c r="AZ87" s="42">
        <f>"TC"&amp;"_"&amp;RIGHT(AX87,5)</f>
        <v/>
      </c>
      <c r="BA87" s="168" t="n"/>
      <c r="BB87" s="272">
        <f>_xlfn.XLOOKUP($D87,#REF!,#REF!,,0,)</f>
        <v/>
      </c>
      <c r="BC87" s="272">
        <f>_xlfn.XLOOKUP($D87,#REF!,#REF!,,0,)</f>
        <v/>
      </c>
      <c r="BD87" s="42">
        <f>Tab_Process_TCs2527[[#This Row],[Flow_ID]]</f>
        <v/>
      </c>
      <c r="BE87" s="42">
        <f>"TC"&amp;"_"&amp;RIGHT(BC87,5)</f>
        <v/>
      </c>
      <c r="BF87" s="49" t="n"/>
      <c r="BG87" s="52">
        <f>Tab_Process_TCs2527[[#This Row],[TC O_6_'[%']]]+Tab_Process_TCs2527[[#This Row],[TC O_5_'[%']]]+Tab_Process_TCs2527[[#This Row],[TC_O_4_'[%']]]+Tab_Process_TCs2527[[#This Row],[TC_O_3_'[%']]]+Tab_Process_TCs2527[[#This Row],[TC_O_2_'[%']]]+Tab_Process_TCs2527[[#This Row],[TC_O_1_'[%']]]</f>
        <v/>
      </c>
      <c r="BH87" s="273" t="n"/>
      <c r="BI87" s="273" t="n"/>
      <c r="BJ87" s="273" t="n"/>
      <c r="BK87" s="273" t="n"/>
      <c r="BL87" s="273" t="n"/>
    </row>
    <row r="88">
      <c r="A88" s="280" t="b">
        <v>0</v>
      </c>
      <c r="B88" s="272">
        <f>ROW()-1</f>
        <v/>
      </c>
      <c r="C88" s="286">
        <f>_xlfn.XLOOKUP($D88,Tab_Process_TCs[Name(EN)],Tab_Process_TCs[Process_ID],,0,)</f>
        <v/>
      </c>
      <c r="D88" s="189" t="inlineStr">
        <is>
          <t>N.A.</t>
        </is>
      </c>
      <c r="E88" s="189" t="inlineStr">
        <is>
          <t>N.A.</t>
        </is>
      </c>
      <c r="F88" s="286">
        <f>_xlfn.XLOOKUP($D88,Tab_Process_TCs[Name(EN)],Tab_Process_TCs[TC?],,0,)</f>
        <v/>
      </c>
      <c r="G88" s="286">
        <f>_xlfn.XLOOKUP($D88,Tab_Process_TCs[Name(EN)],Tab_Process_TCs[Dyn_TC?],,0,)</f>
        <v/>
      </c>
      <c r="H88" s="272">
        <f>_xlfn.XLOOKUP($E88,Tab_Def_Flows[Name(EN)],Tab_Def_Flows[Flow_ID],,0,1)</f>
        <v/>
      </c>
      <c r="I88" s="272">
        <f>IF(Tab_Process_TCs2527[[#This Row],[Name(EN)]]="N.A.","N.A.","TC"&amp;"_"&amp;RIGHT(H88,5))</f>
        <v/>
      </c>
      <c r="J88" s="273" t="n"/>
      <c r="K88" s="183" t="n"/>
      <c r="L88" s="272" t="n"/>
      <c r="M88" s="296">
        <f>_xlfn.XLOOKUP($D88,Tab_Def_Processes[Name(EN)],Tab_Def_Processes[Input_Flow_I_1],,0,)</f>
        <v/>
      </c>
      <c r="N88" s="272">
        <f>_xlfn.XLOOKUP($D88,Tab_Def_Processes[Name(EN)],Tab_Def_Processes[Flow_ID_I_1],,0,)</f>
        <v/>
      </c>
      <c r="O88" s="33" t="n"/>
      <c r="P88" s="29">
        <f>_xlfn.XLOOKUP($D88,Tab_Def_Processes[Name(EN)],Tab_Def_Processes[Input_Flow_I_2],,0,)</f>
        <v/>
      </c>
      <c r="Q88" s="272">
        <f>_xlfn.XLOOKUP($D88,Tab_Def_Processes[Name(EN)],Tab_Def_Processes[Flow_ID_I_2],,0,)</f>
        <v/>
      </c>
      <c r="R88" s="33" t="n"/>
      <c r="S88" s="29">
        <f>_xlfn.XLOOKUP($D88,Tab_Def_Processes[Name(EN)],Tab_Def_Processes[Input_Flow_I_3],,0,)</f>
        <v/>
      </c>
      <c r="T88" s="272">
        <f>_xlfn.XLOOKUP($D88,Tab_Def_Processes[Name(EN)],Tab_Def_Processes[Flow_ID_I_3],,0,)</f>
        <v/>
      </c>
      <c r="U88" s="33" t="n"/>
      <c r="V88" s="29">
        <f>_xlfn.XLOOKUP($D88,Tab_Def_Processes[Name(EN)],Tab_Def_Processes[Input_Flow_I_4],,0,)</f>
        <v/>
      </c>
      <c r="W88" s="272">
        <f>_xlfn.XLOOKUP($D88,Tab_Def_Processes[Name(EN)],Tab_Def_Processes[Flow_ID_I_4],,0,)</f>
        <v/>
      </c>
      <c r="X88" s="33" t="n"/>
      <c r="Y88" s="29">
        <f>_xlfn.XLOOKUP($D88,Tab_Def_Processes[Name(EN)],Tab_Def_Processes[Input_Flow_I_5],,0,)</f>
        <v/>
      </c>
      <c r="Z88" s="272">
        <f>_xlfn.XLOOKUP($D88,Tab_Def_Processes[Name(EN)],Tab_Def_Processes[Flow_ID_I_5],,0,)</f>
        <v/>
      </c>
      <c r="AA88" s="33" t="n"/>
      <c r="AB88" s="32">
        <f>Tab_Process_TCs2527[[#This Row],[Flow_TC_I_1_'[%']]]+Tab_Process_TCs2527[[#This Row],[Flow_TC_I_2_'[%']]]+Tab_Process_TCs2527[[#This Row],[Flow_TC_I_3_'[%']]]+Tab_Process_TCs2527[[#This Row],[Flow_TC_I_4_'[%']]]+Tab_Process_TCs2527[[#This Row],[Flow_TC_I_5_'[%']]]</f>
        <v/>
      </c>
      <c r="AC88" s="296">
        <f>_xlfn.XLOOKUP($D88,#REF!,#REF!,,0,)</f>
        <v/>
      </c>
      <c r="AD88" s="272">
        <f>_xlfn.XLOOKUP($D88,#REF!,#REF!,,0,)</f>
        <v/>
      </c>
      <c r="AE88" s="42">
        <f>Tab_Process_TCs2527[[#This Row],[Flow_ID]]</f>
        <v/>
      </c>
      <c r="AF88" s="272">
        <f>"TC"&amp;"_"&amp;RIGHT(AD88,5)</f>
        <v/>
      </c>
      <c r="AG88" s="49" t="n">
        <v>0.4</v>
      </c>
      <c r="AH88" s="169">
        <f>_xlfn.XLOOKUP($D88,#REF!,#REF!,,0,)</f>
        <v/>
      </c>
      <c r="AI88" s="53">
        <f>_xlfn.XLOOKUP($D88,#REF!,#REF!,,0,)</f>
        <v/>
      </c>
      <c r="AJ88" s="42">
        <f>Tab_Process_TCs2527[[#This Row],[Flow_ID]]</f>
        <v/>
      </c>
      <c r="AK88" s="272">
        <f>"TC"&amp;"_"&amp;RIGHT(AI88,5)</f>
        <v/>
      </c>
      <c r="AL88" s="168" t="n">
        <v>0.6</v>
      </c>
      <c r="AM88" s="296">
        <f>_xlfn.XLOOKUP($D88,#REF!,#REF!,,0,)</f>
        <v/>
      </c>
      <c r="AN88" s="272">
        <f>_xlfn.XLOOKUP($D88,#REF!,#REF!,,0,)</f>
        <v/>
      </c>
      <c r="AO88" s="42">
        <f>Tab_Process_TCs2527[[#This Row],[Flow_ID]]</f>
        <v/>
      </c>
      <c r="AP88" s="272">
        <f>"TC"&amp;"_"&amp;RIGHT(AN88,5)</f>
        <v/>
      </c>
      <c r="AQ88" s="168" t="n"/>
      <c r="AR88" s="296">
        <f>_xlfn.XLOOKUP($D88,#REF!,#REF!,,0,)</f>
        <v/>
      </c>
      <c r="AS88" s="272">
        <f>_xlfn.XLOOKUP($D88,#REF!,#REF!,,0,)</f>
        <v/>
      </c>
      <c r="AT88" s="42">
        <f>Tab_Process_TCs2527[[#This Row],[Flow_ID]]</f>
        <v/>
      </c>
      <c r="AU88" s="42">
        <f>"TC"&amp;"_"&amp;RIGHT(AN88,5)</f>
        <v/>
      </c>
      <c r="AV88" s="168" t="n"/>
      <c r="AW88" s="296">
        <f>_xlfn.XLOOKUP($D88,#REF!,#REF!,,0,)</f>
        <v/>
      </c>
      <c r="AX88" s="272">
        <f>_xlfn.XLOOKUP($D88,#REF!,#REF!,,0,)</f>
        <v/>
      </c>
      <c r="AY88" s="42">
        <f>Tab_Process_TCs2527[[#This Row],[Flow_ID]]</f>
        <v/>
      </c>
      <c r="AZ88" s="42">
        <f>"TC"&amp;"_"&amp;RIGHT(AX88,5)</f>
        <v/>
      </c>
      <c r="BA88" s="168" t="n"/>
      <c r="BB88" s="272">
        <f>_xlfn.XLOOKUP($D88,#REF!,#REF!,,0,)</f>
        <v/>
      </c>
      <c r="BC88" s="272">
        <f>_xlfn.XLOOKUP($D88,#REF!,#REF!,,0,)</f>
        <v/>
      </c>
      <c r="BD88" s="42">
        <f>Tab_Process_TCs2527[[#This Row],[Flow_ID]]</f>
        <v/>
      </c>
      <c r="BE88" s="42">
        <f>"TC"&amp;"_"&amp;RIGHT(BC88,5)</f>
        <v/>
      </c>
      <c r="BF88" s="49" t="n"/>
      <c r="BG88" s="52">
        <f>Tab_Process_TCs2527[[#This Row],[TC O_6_'[%']]]+Tab_Process_TCs2527[[#This Row],[TC O_5_'[%']]]+Tab_Process_TCs2527[[#This Row],[TC_O_4_'[%']]]+Tab_Process_TCs2527[[#This Row],[TC_O_3_'[%']]]+Tab_Process_TCs2527[[#This Row],[TC_O_2_'[%']]]+Tab_Process_TCs2527[[#This Row],[TC_O_1_'[%']]]</f>
        <v/>
      </c>
      <c r="BH88" s="273" t="n"/>
      <c r="BI88" s="273" t="n"/>
      <c r="BJ88" s="273" t="n"/>
      <c r="BK88" s="273" t="n"/>
      <c r="BL88" s="273" t="n"/>
    </row>
    <row r="89">
      <c r="A89" s="280" t="b">
        <v>0</v>
      </c>
      <c r="B89" s="272">
        <f>ROW()-1</f>
        <v/>
      </c>
      <c r="C89" s="286">
        <f>_xlfn.XLOOKUP($D89,Tab_Process_TCs[Name(EN)],Tab_Process_TCs[Process_ID],,0,)</f>
        <v/>
      </c>
      <c r="D89" s="189" t="inlineStr">
        <is>
          <t>N.A.</t>
        </is>
      </c>
      <c r="E89" s="189" t="inlineStr">
        <is>
          <t>N.A.</t>
        </is>
      </c>
      <c r="F89" s="286">
        <f>_xlfn.XLOOKUP($D89,Tab_Process_TCs[Name(EN)],Tab_Process_TCs[TC?],,0,)</f>
        <v/>
      </c>
      <c r="G89" s="286">
        <f>_xlfn.XLOOKUP($D89,Tab_Process_TCs[Name(EN)],Tab_Process_TCs[Dyn_TC?],,0,)</f>
        <v/>
      </c>
      <c r="H89" s="272">
        <f>_xlfn.XLOOKUP($E89,Tab_Def_Flows[Name(EN)],Tab_Def_Flows[Flow_ID],,0,1)</f>
        <v/>
      </c>
      <c r="I89" s="272">
        <f>IF(Tab_Process_TCs2527[[#This Row],[Name(EN)]]="N.A.","N.A.","TC"&amp;"_"&amp;RIGHT(H89,5))</f>
        <v/>
      </c>
      <c r="J89" s="273" t="n"/>
      <c r="K89" s="183" t="n"/>
      <c r="L89" s="272" t="n"/>
      <c r="M89" s="296">
        <f>_xlfn.XLOOKUP($D89,Tab_Def_Processes[Name(EN)],Tab_Def_Processes[Input_Flow_I_1],,0,)</f>
        <v/>
      </c>
      <c r="N89" s="272">
        <f>_xlfn.XLOOKUP($D89,Tab_Def_Processes[Name(EN)],Tab_Def_Processes[Flow_ID_I_1],,0,)</f>
        <v/>
      </c>
      <c r="O89" s="33" t="n"/>
      <c r="P89" s="29">
        <f>_xlfn.XLOOKUP($D89,Tab_Def_Processes[Name(EN)],Tab_Def_Processes[Input_Flow_I_2],,0,)</f>
        <v/>
      </c>
      <c r="Q89" s="272">
        <f>_xlfn.XLOOKUP($D89,Tab_Def_Processes[Name(EN)],Tab_Def_Processes[Flow_ID_I_2],,0,)</f>
        <v/>
      </c>
      <c r="R89" s="33" t="n"/>
      <c r="S89" s="29">
        <f>_xlfn.XLOOKUP($D89,Tab_Def_Processes[Name(EN)],Tab_Def_Processes[Input_Flow_I_3],,0,)</f>
        <v/>
      </c>
      <c r="T89" s="272">
        <f>_xlfn.XLOOKUP($D89,Tab_Def_Processes[Name(EN)],Tab_Def_Processes[Flow_ID_I_3],,0,)</f>
        <v/>
      </c>
      <c r="U89" s="33" t="n"/>
      <c r="V89" s="29">
        <f>_xlfn.XLOOKUP($D89,Tab_Def_Processes[Name(EN)],Tab_Def_Processes[Input_Flow_I_4],,0,)</f>
        <v/>
      </c>
      <c r="W89" s="272">
        <f>_xlfn.XLOOKUP($D89,Tab_Def_Processes[Name(EN)],Tab_Def_Processes[Flow_ID_I_4],,0,)</f>
        <v/>
      </c>
      <c r="X89" s="33" t="n"/>
      <c r="Y89" s="29">
        <f>_xlfn.XLOOKUP($D89,Tab_Def_Processes[Name(EN)],Tab_Def_Processes[Input_Flow_I_5],,0,)</f>
        <v/>
      </c>
      <c r="Z89" s="272">
        <f>_xlfn.XLOOKUP($D89,Tab_Def_Processes[Name(EN)],Tab_Def_Processes[Flow_ID_I_5],,0,)</f>
        <v/>
      </c>
      <c r="AA89" s="33" t="n"/>
      <c r="AB89" s="32">
        <f>Tab_Process_TCs2527[[#This Row],[Flow_TC_I_1_'[%']]]+Tab_Process_TCs2527[[#This Row],[Flow_TC_I_2_'[%']]]+Tab_Process_TCs2527[[#This Row],[Flow_TC_I_3_'[%']]]+Tab_Process_TCs2527[[#This Row],[Flow_TC_I_4_'[%']]]+Tab_Process_TCs2527[[#This Row],[Flow_TC_I_5_'[%']]]</f>
        <v/>
      </c>
      <c r="AC89" s="296">
        <f>_xlfn.XLOOKUP($D89,#REF!,#REF!,,0,)</f>
        <v/>
      </c>
      <c r="AD89" s="272">
        <f>_xlfn.XLOOKUP($D89,#REF!,#REF!,,0,)</f>
        <v/>
      </c>
      <c r="AE89" s="42">
        <f>Tab_Process_TCs2527[[#This Row],[Flow_ID]]</f>
        <v/>
      </c>
      <c r="AF89" s="272">
        <f>"TC"&amp;"_"&amp;RIGHT(AD89,5)</f>
        <v/>
      </c>
      <c r="AG89" s="49" t="n">
        <v>0.4</v>
      </c>
      <c r="AH89" s="169">
        <f>_xlfn.XLOOKUP($D89,#REF!,#REF!,,0,)</f>
        <v/>
      </c>
      <c r="AI89" s="53">
        <f>_xlfn.XLOOKUP($D89,#REF!,#REF!,,0,)</f>
        <v/>
      </c>
      <c r="AJ89" s="42">
        <f>Tab_Process_TCs2527[[#This Row],[Flow_ID]]</f>
        <v/>
      </c>
      <c r="AK89" s="272">
        <f>"TC"&amp;"_"&amp;RIGHT(AI89,5)</f>
        <v/>
      </c>
      <c r="AL89" s="168" t="n">
        <v>0.6</v>
      </c>
      <c r="AM89" s="296">
        <f>_xlfn.XLOOKUP($D89,#REF!,#REF!,,0,)</f>
        <v/>
      </c>
      <c r="AN89" s="272">
        <f>_xlfn.XLOOKUP($D89,#REF!,#REF!,,0,)</f>
        <v/>
      </c>
      <c r="AO89" s="42">
        <f>Tab_Process_TCs2527[[#This Row],[Flow_ID]]</f>
        <v/>
      </c>
      <c r="AP89" s="272">
        <f>"TC"&amp;"_"&amp;RIGHT(AN89,5)</f>
        <v/>
      </c>
      <c r="AQ89" s="168" t="n"/>
      <c r="AR89" s="296">
        <f>_xlfn.XLOOKUP($D89,#REF!,#REF!,,0,)</f>
        <v/>
      </c>
      <c r="AS89" s="272">
        <f>_xlfn.XLOOKUP($D89,#REF!,#REF!,,0,)</f>
        <v/>
      </c>
      <c r="AT89" s="42">
        <f>Tab_Process_TCs2527[[#This Row],[Flow_ID]]</f>
        <v/>
      </c>
      <c r="AU89" s="42">
        <f>"TC"&amp;"_"&amp;RIGHT(AN89,5)</f>
        <v/>
      </c>
      <c r="AV89" s="168" t="n"/>
      <c r="AW89" s="296">
        <f>_xlfn.XLOOKUP($D89,#REF!,#REF!,,0,)</f>
        <v/>
      </c>
      <c r="AX89" s="272">
        <f>_xlfn.XLOOKUP($D89,#REF!,#REF!,,0,)</f>
        <v/>
      </c>
      <c r="AY89" s="42">
        <f>Tab_Process_TCs2527[[#This Row],[Flow_ID]]</f>
        <v/>
      </c>
      <c r="AZ89" s="42">
        <f>"TC"&amp;"_"&amp;RIGHT(AX89,5)</f>
        <v/>
      </c>
      <c r="BA89" s="168" t="n"/>
      <c r="BB89" s="272">
        <f>_xlfn.XLOOKUP($D89,#REF!,#REF!,,0,)</f>
        <v/>
      </c>
      <c r="BC89" s="272">
        <f>_xlfn.XLOOKUP($D89,#REF!,#REF!,,0,)</f>
        <v/>
      </c>
      <c r="BD89" s="42">
        <f>Tab_Process_TCs2527[[#This Row],[Flow_ID]]</f>
        <v/>
      </c>
      <c r="BE89" s="42">
        <f>"TC"&amp;"_"&amp;RIGHT(BC89,5)</f>
        <v/>
      </c>
      <c r="BF89" s="49" t="n"/>
      <c r="BG89" s="52">
        <f>Tab_Process_TCs2527[[#This Row],[TC O_6_'[%']]]+Tab_Process_TCs2527[[#This Row],[TC O_5_'[%']]]+Tab_Process_TCs2527[[#This Row],[TC_O_4_'[%']]]+Tab_Process_TCs2527[[#This Row],[TC_O_3_'[%']]]+Tab_Process_TCs2527[[#This Row],[TC_O_2_'[%']]]+Tab_Process_TCs2527[[#This Row],[TC_O_1_'[%']]]</f>
        <v/>
      </c>
      <c r="BH89" s="273" t="n"/>
      <c r="BI89" s="273" t="n"/>
      <c r="BJ89" s="273" t="n"/>
      <c r="BK89" s="273" t="n"/>
      <c r="BL89" s="273" t="n"/>
    </row>
    <row r="90">
      <c r="A90" s="280" t="b">
        <v>0</v>
      </c>
      <c r="B90" s="272">
        <f>ROW()-1</f>
        <v/>
      </c>
      <c r="C90" s="286">
        <f>_xlfn.XLOOKUP($D90,Tab_Process_TCs[Name(EN)],Tab_Process_TCs[Process_ID],,0,)</f>
        <v/>
      </c>
      <c r="D90" s="189" t="inlineStr">
        <is>
          <t>N.A.</t>
        </is>
      </c>
      <c r="E90" s="189" t="inlineStr">
        <is>
          <t>N.A.</t>
        </is>
      </c>
      <c r="F90" s="286">
        <f>_xlfn.XLOOKUP($D90,Tab_Process_TCs[Name(EN)],Tab_Process_TCs[TC?],,0,)</f>
        <v/>
      </c>
      <c r="G90" s="286">
        <f>_xlfn.XLOOKUP($D90,Tab_Process_TCs[Name(EN)],Tab_Process_TCs[Dyn_TC?],,0,)</f>
        <v/>
      </c>
      <c r="H90" s="272">
        <f>_xlfn.XLOOKUP($E90,Tab_Def_Flows[Name(EN)],Tab_Def_Flows[Flow_ID],,0,1)</f>
        <v/>
      </c>
      <c r="I90" s="272">
        <f>IF(Tab_Process_TCs2527[[#This Row],[Name(EN)]]="N.A.","N.A.","TC"&amp;"_"&amp;RIGHT(H90,5))</f>
        <v/>
      </c>
      <c r="J90" s="273" t="n"/>
      <c r="K90" s="183" t="n"/>
      <c r="L90" s="272" t="n"/>
      <c r="M90" s="296">
        <f>_xlfn.XLOOKUP($D90,Tab_Def_Processes[Name(EN)],Tab_Def_Processes[Input_Flow_I_1],,0,)</f>
        <v/>
      </c>
      <c r="N90" s="272">
        <f>_xlfn.XLOOKUP($D90,Tab_Def_Processes[Name(EN)],Tab_Def_Processes[Flow_ID_I_1],,0,)</f>
        <v/>
      </c>
      <c r="O90" s="33" t="n"/>
      <c r="P90" s="29">
        <f>_xlfn.XLOOKUP($D90,Tab_Def_Processes[Name(EN)],Tab_Def_Processes[Input_Flow_I_2],,0,)</f>
        <v/>
      </c>
      <c r="Q90" s="272">
        <f>_xlfn.XLOOKUP($D90,Tab_Def_Processes[Name(EN)],Tab_Def_Processes[Flow_ID_I_2],,0,)</f>
        <v/>
      </c>
      <c r="R90" s="33" t="n"/>
      <c r="S90" s="29">
        <f>_xlfn.XLOOKUP($D90,Tab_Def_Processes[Name(EN)],Tab_Def_Processes[Input_Flow_I_3],,0,)</f>
        <v/>
      </c>
      <c r="T90" s="272">
        <f>_xlfn.XLOOKUP($D90,Tab_Def_Processes[Name(EN)],Tab_Def_Processes[Flow_ID_I_3],,0,)</f>
        <v/>
      </c>
      <c r="U90" s="33" t="n"/>
      <c r="V90" s="29">
        <f>_xlfn.XLOOKUP($D90,Tab_Def_Processes[Name(EN)],Tab_Def_Processes[Input_Flow_I_4],,0,)</f>
        <v/>
      </c>
      <c r="W90" s="272">
        <f>_xlfn.XLOOKUP($D90,Tab_Def_Processes[Name(EN)],Tab_Def_Processes[Flow_ID_I_4],,0,)</f>
        <v/>
      </c>
      <c r="X90" s="33" t="n"/>
      <c r="Y90" s="29">
        <f>_xlfn.XLOOKUP($D90,Tab_Def_Processes[Name(EN)],Tab_Def_Processes[Input_Flow_I_5],,0,)</f>
        <v/>
      </c>
      <c r="Z90" s="272">
        <f>_xlfn.XLOOKUP($D90,Tab_Def_Processes[Name(EN)],Tab_Def_Processes[Flow_ID_I_5],,0,)</f>
        <v/>
      </c>
      <c r="AA90" s="33" t="n"/>
      <c r="AB90" s="32">
        <f>Tab_Process_TCs2527[[#This Row],[Flow_TC_I_1_'[%']]]+Tab_Process_TCs2527[[#This Row],[Flow_TC_I_2_'[%']]]+Tab_Process_TCs2527[[#This Row],[Flow_TC_I_3_'[%']]]+Tab_Process_TCs2527[[#This Row],[Flow_TC_I_4_'[%']]]+Tab_Process_TCs2527[[#This Row],[Flow_TC_I_5_'[%']]]</f>
        <v/>
      </c>
      <c r="AC90" s="296">
        <f>_xlfn.XLOOKUP($D90,#REF!,#REF!,,0,)</f>
        <v/>
      </c>
      <c r="AD90" s="272">
        <f>_xlfn.XLOOKUP($D90,#REF!,#REF!,,0,)</f>
        <v/>
      </c>
      <c r="AE90" s="42">
        <f>Tab_Process_TCs2527[[#This Row],[Flow_ID]]</f>
        <v/>
      </c>
      <c r="AF90" s="272">
        <f>"TC"&amp;"_"&amp;RIGHT(AD90,5)</f>
        <v/>
      </c>
      <c r="AG90" s="49" t="n">
        <v>0.4</v>
      </c>
      <c r="AH90" s="169">
        <f>_xlfn.XLOOKUP($D90,#REF!,#REF!,,0,)</f>
        <v/>
      </c>
      <c r="AI90" s="53">
        <f>_xlfn.XLOOKUP($D90,#REF!,#REF!,,0,)</f>
        <v/>
      </c>
      <c r="AJ90" s="42">
        <f>Tab_Process_TCs2527[[#This Row],[Flow_ID]]</f>
        <v/>
      </c>
      <c r="AK90" s="272">
        <f>"TC"&amp;"_"&amp;RIGHT(AI90,5)</f>
        <v/>
      </c>
      <c r="AL90" s="168" t="n">
        <v>0.6</v>
      </c>
      <c r="AM90" s="296">
        <f>_xlfn.XLOOKUP($D90,#REF!,#REF!,,0,)</f>
        <v/>
      </c>
      <c r="AN90" s="272">
        <f>_xlfn.XLOOKUP($D90,#REF!,#REF!,,0,)</f>
        <v/>
      </c>
      <c r="AO90" s="42">
        <f>Tab_Process_TCs2527[[#This Row],[Flow_ID]]</f>
        <v/>
      </c>
      <c r="AP90" s="272">
        <f>"TC"&amp;"_"&amp;RIGHT(AN90,5)</f>
        <v/>
      </c>
      <c r="AQ90" s="168" t="n"/>
      <c r="AR90" s="296">
        <f>_xlfn.XLOOKUP($D90,#REF!,#REF!,,0,)</f>
        <v/>
      </c>
      <c r="AS90" s="272">
        <f>_xlfn.XLOOKUP($D90,#REF!,#REF!,,0,)</f>
        <v/>
      </c>
      <c r="AT90" s="42">
        <f>Tab_Process_TCs2527[[#This Row],[Flow_ID]]</f>
        <v/>
      </c>
      <c r="AU90" s="42">
        <f>"TC"&amp;"_"&amp;RIGHT(AN90,5)</f>
        <v/>
      </c>
      <c r="AV90" s="168" t="n"/>
      <c r="AW90" s="296">
        <f>_xlfn.XLOOKUP($D90,#REF!,#REF!,,0,)</f>
        <v/>
      </c>
      <c r="AX90" s="272">
        <f>_xlfn.XLOOKUP($D90,#REF!,#REF!,,0,)</f>
        <v/>
      </c>
      <c r="AY90" s="42">
        <f>Tab_Process_TCs2527[[#This Row],[Flow_ID]]</f>
        <v/>
      </c>
      <c r="AZ90" s="42">
        <f>"TC"&amp;"_"&amp;RIGHT(AX90,5)</f>
        <v/>
      </c>
      <c r="BA90" s="168" t="n"/>
      <c r="BB90" s="272">
        <f>_xlfn.XLOOKUP($D90,#REF!,#REF!,,0,)</f>
        <v/>
      </c>
      <c r="BC90" s="272">
        <f>_xlfn.XLOOKUP($D90,#REF!,#REF!,,0,)</f>
        <v/>
      </c>
      <c r="BD90" s="42">
        <f>Tab_Process_TCs2527[[#This Row],[Flow_ID]]</f>
        <v/>
      </c>
      <c r="BE90" s="42">
        <f>"TC"&amp;"_"&amp;RIGHT(BC90,5)</f>
        <v/>
      </c>
      <c r="BF90" s="49" t="n"/>
      <c r="BG90" s="52">
        <f>Tab_Process_TCs2527[[#This Row],[TC O_6_'[%']]]+Tab_Process_TCs2527[[#This Row],[TC O_5_'[%']]]+Tab_Process_TCs2527[[#This Row],[TC_O_4_'[%']]]+Tab_Process_TCs2527[[#This Row],[TC_O_3_'[%']]]+Tab_Process_TCs2527[[#This Row],[TC_O_2_'[%']]]+Tab_Process_TCs2527[[#This Row],[TC_O_1_'[%']]]</f>
        <v/>
      </c>
      <c r="BH90" s="273" t="n"/>
      <c r="BI90" s="273" t="n"/>
      <c r="BJ90" s="273" t="n"/>
      <c r="BK90" s="273" t="n"/>
      <c r="BL90" s="273" t="n"/>
    </row>
    <row r="91">
      <c r="A91" s="280" t="b">
        <v>0</v>
      </c>
      <c r="B91" s="272">
        <f>ROW()-1</f>
        <v/>
      </c>
      <c r="C91" s="286">
        <f>_xlfn.XLOOKUP($D91,Tab_Process_TCs[Name(EN)],Tab_Process_TCs[Process_ID],,0,)</f>
        <v/>
      </c>
      <c r="D91" s="189" t="inlineStr">
        <is>
          <t>N.A.</t>
        </is>
      </c>
      <c r="E91" s="189" t="inlineStr">
        <is>
          <t>N.A.</t>
        </is>
      </c>
      <c r="F91" s="286">
        <f>_xlfn.XLOOKUP($D91,Tab_Process_TCs[Name(EN)],Tab_Process_TCs[TC?],,0,)</f>
        <v/>
      </c>
      <c r="G91" s="286">
        <f>_xlfn.XLOOKUP($D91,Tab_Process_TCs[Name(EN)],Tab_Process_TCs[Dyn_TC?],,0,)</f>
        <v/>
      </c>
      <c r="H91" s="272">
        <f>_xlfn.XLOOKUP($E91,Tab_Def_Flows[Name(EN)],Tab_Def_Flows[Flow_ID],,0,1)</f>
        <v/>
      </c>
      <c r="I91" s="272">
        <f>IF(Tab_Process_TCs2527[[#This Row],[Name(EN)]]="N.A.","N.A.","TC"&amp;"_"&amp;RIGHT(H91,5))</f>
        <v/>
      </c>
      <c r="J91" s="273" t="n"/>
      <c r="K91" s="183" t="n"/>
      <c r="L91" s="272" t="n"/>
      <c r="M91" s="296">
        <f>_xlfn.XLOOKUP($D91,Tab_Def_Processes[Name(EN)],Tab_Def_Processes[Input_Flow_I_1],,0,)</f>
        <v/>
      </c>
      <c r="N91" s="272">
        <f>_xlfn.XLOOKUP($D91,Tab_Def_Processes[Name(EN)],Tab_Def_Processes[Flow_ID_I_1],,0,)</f>
        <v/>
      </c>
      <c r="O91" s="33" t="n"/>
      <c r="P91" s="29">
        <f>_xlfn.XLOOKUP($D91,Tab_Def_Processes[Name(EN)],Tab_Def_Processes[Input_Flow_I_2],,0,)</f>
        <v/>
      </c>
      <c r="Q91" s="272">
        <f>_xlfn.XLOOKUP($D91,Tab_Def_Processes[Name(EN)],Tab_Def_Processes[Flow_ID_I_2],,0,)</f>
        <v/>
      </c>
      <c r="R91" s="33" t="n"/>
      <c r="S91" s="29">
        <f>_xlfn.XLOOKUP($D91,Tab_Def_Processes[Name(EN)],Tab_Def_Processes[Input_Flow_I_3],,0,)</f>
        <v/>
      </c>
      <c r="T91" s="272">
        <f>_xlfn.XLOOKUP($D91,Tab_Def_Processes[Name(EN)],Tab_Def_Processes[Flow_ID_I_3],,0,)</f>
        <v/>
      </c>
      <c r="U91" s="33" t="n"/>
      <c r="V91" s="29">
        <f>_xlfn.XLOOKUP($D91,Tab_Def_Processes[Name(EN)],Tab_Def_Processes[Input_Flow_I_4],,0,)</f>
        <v/>
      </c>
      <c r="W91" s="272">
        <f>_xlfn.XLOOKUP($D91,Tab_Def_Processes[Name(EN)],Tab_Def_Processes[Flow_ID_I_4],,0,)</f>
        <v/>
      </c>
      <c r="X91" s="33" t="n"/>
      <c r="Y91" s="29">
        <f>_xlfn.XLOOKUP($D91,Tab_Def_Processes[Name(EN)],Tab_Def_Processes[Input_Flow_I_5],,0,)</f>
        <v/>
      </c>
      <c r="Z91" s="272">
        <f>_xlfn.XLOOKUP($D91,Tab_Def_Processes[Name(EN)],Tab_Def_Processes[Flow_ID_I_5],,0,)</f>
        <v/>
      </c>
      <c r="AA91" s="33" t="n"/>
      <c r="AB91" s="32">
        <f>Tab_Process_TCs2527[[#This Row],[Flow_TC_I_1_'[%']]]+Tab_Process_TCs2527[[#This Row],[Flow_TC_I_2_'[%']]]+Tab_Process_TCs2527[[#This Row],[Flow_TC_I_3_'[%']]]+Tab_Process_TCs2527[[#This Row],[Flow_TC_I_4_'[%']]]+Tab_Process_TCs2527[[#This Row],[Flow_TC_I_5_'[%']]]</f>
        <v/>
      </c>
      <c r="AC91" s="296">
        <f>_xlfn.XLOOKUP($D91,#REF!,#REF!,,0,)</f>
        <v/>
      </c>
      <c r="AD91" s="272">
        <f>_xlfn.XLOOKUP($D91,#REF!,#REF!,,0,)</f>
        <v/>
      </c>
      <c r="AE91" s="42">
        <f>Tab_Process_TCs2527[[#This Row],[Flow_ID]]</f>
        <v/>
      </c>
      <c r="AF91" s="272">
        <f>"TC"&amp;"_"&amp;RIGHT(AD91,5)</f>
        <v/>
      </c>
      <c r="AG91" s="49" t="n">
        <v>0.4</v>
      </c>
      <c r="AH91" s="169">
        <f>_xlfn.XLOOKUP($D91,#REF!,#REF!,,0,)</f>
        <v/>
      </c>
      <c r="AI91" s="53">
        <f>_xlfn.XLOOKUP($D91,#REF!,#REF!,,0,)</f>
        <v/>
      </c>
      <c r="AJ91" s="42">
        <f>Tab_Process_TCs2527[[#This Row],[Flow_ID]]</f>
        <v/>
      </c>
      <c r="AK91" s="272">
        <f>"TC"&amp;"_"&amp;RIGHT(AI91,5)</f>
        <v/>
      </c>
      <c r="AL91" s="168" t="n">
        <v>0.6</v>
      </c>
      <c r="AM91" s="296">
        <f>_xlfn.XLOOKUP($D91,#REF!,#REF!,,0,)</f>
        <v/>
      </c>
      <c r="AN91" s="272">
        <f>_xlfn.XLOOKUP($D91,#REF!,#REF!,,0,)</f>
        <v/>
      </c>
      <c r="AO91" s="42">
        <f>Tab_Process_TCs2527[[#This Row],[Flow_ID]]</f>
        <v/>
      </c>
      <c r="AP91" s="272">
        <f>"TC"&amp;"_"&amp;RIGHT(AN91,5)</f>
        <v/>
      </c>
      <c r="AQ91" s="168" t="n"/>
      <c r="AR91" s="296">
        <f>_xlfn.XLOOKUP($D91,#REF!,#REF!,,0,)</f>
        <v/>
      </c>
      <c r="AS91" s="272">
        <f>_xlfn.XLOOKUP($D91,#REF!,#REF!,,0,)</f>
        <v/>
      </c>
      <c r="AT91" s="42">
        <f>Tab_Process_TCs2527[[#This Row],[Flow_ID]]</f>
        <v/>
      </c>
      <c r="AU91" s="42">
        <f>"TC"&amp;"_"&amp;RIGHT(AN91,5)</f>
        <v/>
      </c>
      <c r="AV91" s="168" t="n"/>
      <c r="AW91" s="296">
        <f>_xlfn.XLOOKUP($D91,#REF!,#REF!,,0,)</f>
        <v/>
      </c>
      <c r="AX91" s="272">
        <f>_xlfn.XLOOKUP($D91,#REF!,#REF!,,0,)</f>
        <v/>
      </c>
      <c r="AY91" s="42">
        <f>Tab_Process_TCs2527[[#This Row],[Flow_ID]]</f>
        <v/>
      </c>
      <c r="AZ91" s="42">
        <f>"TC"&amp;"_"&amp;RIGHT(AX91,5)</f>
        <v/>
      </c>
      <c r="BA91" s="168" t="n"/>
      <c r="BB91" s="272">
        <f>_xlfn.XLOOKUP($D91,#REF!,#REF!,,0,)</f>
        <v/>
      </c>
      <c r="BC91" s="272">
        <f>_xlfn.XLOOKUP($D91,#REF!,#REF!,,0,)</f>
        <v/>
      </c>
      <c r="BD91" s="42">
        <f>Tab_Process_TCs2527[[#This Row],[Flow_ID]]</f>
        <v/>
      </c>
      <c r="BE91" s="42">
        <f>"TC"&amp;"_"&amp;RIGHT(BC91,5)</f>
        <v/>
      </c>
      <c r="BF91" s="49" t="n"/>
      <c r="BG91" s="52">
        <f>Tab_Process_TCs2527[[#This Row],[TC O_6_'[%']]]+Tab_Process_TCs2527[[#This Row],[TC O_5_'[%']]]+Tab_Process_TCs2527[[#This Row],[TC_O_4_'[%']]]+Tab_Process_TCs2527[[#This Row],[TC_O_3_'[%']]]+Tab_Process_TCs2527[[#This Row],[TC_O_2_'[%']]]+Tab_Process_TCs2527[[#This Row],[TC_O_1_'[%']]]</f>
        <v/>
      </c>
      <c r="BH91" s="273" t="n"/>
      <c r="BI91" s="273" t="n"/>
      <c r="BJ91" s="273" t="n"/>
      <c r="BK91" s="273" t="n"/>
      <c r="BL91" s="273" t="n"/>
    </row>
    <row r="92">
      <c r="A92" s="280" t="b">
        <v>0</v>
      </c>
      <c r="B92" s="272">
        <f>ROW()-1</f>
        <v/>
      </c>
      <c r="C92" s="286">
        <f>_xlfn.XLOOKUP($D92,Tab_Process_TCs[Name(EN)],Tab_Process_TCs[Process_ID],,0,)</f>
        <v/>
      </c>
      <c r="D92" s="189" t="inlineStr">
        <is>
          <t>N.A.</t>
        </is>
      </c>
      <c r="E92" s="189" t="inlineStr">
        <is>
          <t>N.A.</t>
        </is>
      </c>
      <c r="F92" s="286">
        <f>_xlfn.XLOOKUP($D92,Tab_Process_TCs[Name(EN)],Tab_Process_TCs[TC?],,0,)</f>
        <v/>
      </c>
      <c r="G92" s="286">
        <f>_xlfn.XLOOKUP($D92,Tab_Process_TCs[Name(EN)],Tab_Process_TCs[Dyn_TC?],,0,)</f>
        <v/>
      </c>
      <c r="H92" s="272">
        <f>_xlfn.XLOOKUP($E92,Tab_Def_Flows[Name(EN)],Tab_Def_Flows[Flow_ID],,0,1)</f>
        <v/>
      </c>
      <c r="I92" s="272">
        <f>IF(Tab_Process_TCs2527[[#This Row],[Name(EN)]]="N.A.","N.A.","TC"&amp;"_"&amp;RIGHT(H92,5))</f>
        <v/>
      </c>
      <c r="J92" s="273" t="n"/>
      <c r="K92" s="183" t="n"/>
      <c r="L92" s="272" t="n"/>
      <c r="M92" s="296">
        <f>_xlfn.XLOOKUP($D92,Tab_Def_Processes[Name(EN)],Tab_Def_Processes[Input_Flow_I_1],,0,)</f>
        <v/>
      </c>
      <c r="N92" s="272">
        <f>_xlfn.XLOOKUP($D92,Tab_Def_Processes[Name(EN)],Tab_Def_Processes[Flow_ID_I_1],,0,)</f>
        <v/>
      </c>
      <c r="O92" s="33" t="n"/>
      <c r="P92" s="29">
        <f>_xlfn.XLOOKUP($D92,Tab_Def_Processes[Name(EN)],Tab_Def_Processes[Input_Flow_I_2],,0,)</f>
        <v/>
      </c>
      <c r="Q92" s="272">
        <f>_xlfn.XLOOKUP($D92,Tab_Def_Processes[Name(EN)],Tab_Def_Processes[Flow_ID_I_2],,0,)</f>
        <v/>
      </c>
      <c r="R92" s="33" t="n"/>
      <c r="S92" s="29">
        <f>_xlfn.XLOOKUP($D92,Tab_Def_Processes[Name(EN)],Tab_Def_Processes[Input_Flow_I_3],,0,)</f>
        <v/>
      </c>
      <c r="T92" s="272">
        <f>_xlfn.XLOOKUP($D92,Tab_Def_Processes[Name(EN)],Tab_Def_Processes[Flow_ID_I_3],,0,)</f>
        <v/>
      </c>
      <c r="U92" s="33" t="n"/>
      <c r="V92" s="29">
        <f>_xlfn.XLOOKUP($D92,Tab_Def_Processes[Name(EN)],Tab_Def_Processes[Input_Flow_I_4],,0,)</f>
        <v/>
      </c>
      <c r="W92" s="272">
        <f>_xlfn.XLOOKUP($D92,Tab_Def_Processes[Name(EN)],Tab_Def_Processes[Flow_ID_I_4],,0,)</f>
        <v/>
      </c>
      <c r="X92" s="33" t="n"/>
      <c r="Y92" s="29">
        <f>_xlfn.XLOOKUP($D92,Tab_Def_Processes[Name(EN)],Tab_Def_Processes[Input_Flow_I_5],,0,)</f>
        <v/>
      </c>
      <c r="Z92" s="272">
        <f>_xlfn.XLOOKUP($D92,Tab_Def_Processes[Name(EN)],Tab_Def_Processes[Flow_ID_I_5],,0,)</f>
        <v/>
      </c>
      <c r="AA92" s="33" t="n"/>
      <c r="AB92" s="32">
        <f>Tab_Process_TCs2527[[#This Row],[Flow_TC_I_1_'[%']]]+Tab_Process_TCs2527[[#This Row],[Flow_TC_I_2_'[%']]]+Tab_Process_TCs2527[[#This Row],[Flow_TC_I_3_'[%']]]+Tab_Process_TCs2527[[#This Row],[Flow_TC_I_4_'[%']]]+Tab_Process_TCs2527[[#This Row],[Flow_TC_I_5_'[%']]]</f>
        <v/>
      </c>
      <c r="AC92" s="296">
        <f>_xlfn.XLOOKUP($D92,#REF!,#REF!,,0,)</f>
        <v/>
      </c>
      <c r="AD92" s="272">
        <f>_xlfn.XLOOKUP($D92,#REF!,#REF!,,0,)</f>
        <v/>
      </c>
      <c r="AE92" s="42">
        <f>Tab_Process_TCs2527[[#This Row],[Flow_ID]]</f>
        <v/>
      </c>
      <c r="AF92" s="272">
        <f>"TC"&amp;"_"&amp;RIGHT(AD92,5)</f>
        <v/>
      </c>
      <c r="AG92" s="49" t="n">
        <v>0.4</v>
      </c>
      <c r="AH92" s="169">
        <f>_xlfn.XLOOKUP($D92,#REF!,#REF!,,0,)</f>
        <v/>
      </c>
      <c r="AI92" s="53">
        <f>_xlfn.XLOOKUP($D92,#REF!,#REF!,,0,)</f>
        <v/>
      </c>
      <c r="AJ92" s="42">
        <f>Tab_Process_TCs2527[[#This Row],[Flow_ID]]</f>
        <v/>
      </c>
      <c r="AK92" s="272">
        <f>"TC"&amp;"_"&amp;RIGHT(AI92,5)</f>
        <v/>
      </c>
      <c r="AL92" s="168" t="n">
        <v>0.6</v>
      </c>
      <c r="AM92" s="296">
        <f>_xlfn.XLOOKUP($D92,#REF!,#REF!,,0,)</f>
        <v/>
      </c>
      <c r="AN92" s="272">
        <f>_xlfn.XLOOKUP($D92,#REF!,#REF!,,0,)</f>
        <v/>
      </c>
      <c r="AO92" s="42">
        <f>Tab_Process_TCs2527[[#This Row],[Flow_ID]]</f>
        <v/>
      </c>
      <c r="AP92" s="272">
        <f>"TC"&amp;"_"&amp;RIGHT(AN92,5)</f>
        <v/>
      </c>
      <c r="AQ92" s="168" t="n"/>
      <c r="AR92" s="296">
        <f>_xlfn.XLOOKUP($D92,#REF!,#REF!,,0,)</f>
        <v/>
      </c>
      <c r="AS92" s="272">
        <f>_xlfn.XLOOKUP($D92,#REF!,#REF!,,0,)</f>
        <v/>
      </c>
      <c r="AT92" s="42">
        <f>Tab_Process_TCs2527[[#This Row],[Flow_ID]]</f>
        <v/>
      </c>
      <c r="AU92" s="42">
        <f>"TC"&amp;"_"&amp;RIGHT(AN92,5)</f>
        <v/>
      </c>
      <c r="AV92" s="168" t="n"/>
      <c r="AW92" s="296">
        <f>_xlfn.XLOOKUP($D92,#REF!,#REF!,,0,)</f>
        <v/>
      </c>
      <c r="AX92" s="272">
        <f>_xlfn.XLOOKUP($D92,#REF!,#REF!,,0,)</f>
        <v/>
      </c>
      <c r="AY92" s="42">
        <f>Tab_Process_TCs2527[[#This Row],[Flow_ID]]</f>
        <v/>
      </c>
      <c r="AZ92" s="42">
        <f>"TC"&amp;"_"&amp;RIGHT(AX92,5)</f>
        <v/>
      </c>
      <c r="BA92" s="168" t="n"/>
      <c r="BB92" s="272">
        <f>_xlfn.XLOOKUP($D92,#REF!,#REF!,,0,)</f>
        <v/>
      </c>
      <c r="BC92" s="272">
        <f>_xlfn.XLOOKUP($D92,#REF!,#REF!,,0,)</f>
        <v/>
      </c>
      <c r="BD92" s="42">
        <f>Tab_Process_TCs2527[[#This Row],[Flow_ID]]</f>
        <v/>
      </c>
      <c r="BE92" s="42">
        <f>"TC"&amp;"_"&amp;RIGHT(BC92,5)</f>
        <v/>
      </c>
      <c r="BF92" s="49" t="n"/>
      <c r="BG92" s="52">
        <f>Tab_Process_TCs2527[[#This Row],[TC O_6_'[%']]]+Tab_Process_TCs2527[[#This Row],[TC O_5_'[%']]]+Tab_Process_TCs2527[[#This Row],[TC_O_4_'[%']]]+Tab_Process_TCs2527[[#This Row],[TC_O_3_'[%']]]+Tab_Process_TCs2527[[#This Row],[TC_O_2_'[%']]]+Tab_Process_TCs2527[[#This Row],[TC_O_1_'[%']]]</f>
        <v/>
      </c>
      <c r="BH92" s="273" t="n"/>
      <c r="BI92" s="273" t="n"/>
      <c r="BJ92" s="273" t="n"/>
      <c r="BK92" s="273" t="n"/>
      <c r="BL92" s="273" t="n"/>
    </row>
    <row r="93">
      <c r="A93" s="280" t="b">
        <v>0</v>
      </c>
      <c r="B93" s="272">
        <f>ROW()-1</f>
        <v/>
      </c>
      <c r="C93" s="286">
        <f>_xlfn.XLOOKUP($D93,Tab_Process_TCs[Name(EN)],Tab_Process_TCs[Process_ID],,0,)</f>
        <v/>
      </c>
      <c r="D93" s="189" t="inlineStr">
        <is>
          <t>N.A.</t>
        </is>
      </c>
      <c r="E93" s="189" t="inlineStr">
        <is>
          <t>N.A.</t>
        </is>
      </c>
      <c r="F93" s="286">
        <f>_xlfn.XLOOKUP($D93,Tab_Process_TCs[Name(EN)],Tab_Process_TCs[TC?],,0,)</f>
        <v/>
      </c>
      <c r="G93" s="286">
        <f>_xlfn.XLOOKUP($D93,Tab_Process_TCs[Name(EN)],Tab_Process_TCs[Dyn_TC?],,0,)</f>
        <v/>
      </c>
      <c r="H93" s="272">
        <f>_xlfn.XLOOKUP($E93,Tab_Def_Flows[Name(EN)],Tab_Def_Flows[Flow_ID],,0,1)</f>
        <v/>
      </c>
      <c r="I93" s="272">
        <f>IF(Tab_Process_TCs2527[[#This Row],[Name(EN)]]="N.A.","N.A.","TC"&amp;"_"&amp;RIGHT(H93,5))</f>
        <v/>
      </c>
      <c r="J93" s="273" t="n"/>
      <c r="K93" s="183" t="n"/>
      <c r="L93" s="272" t="n"/>
      <c r="M93" s="296">
        <f>_xlfn.XLOOKUP($D93,Tab_Def_Processes[Name(EN)],Tab_Def_Processes[Input_Flow_I_1],,0,)</f>
        <v/>
      </c>
      <c r="N93" s="272">
        <f>_xlfn.XLOOKUP($D93,Tab_Def_Processes[Name(EN)],Tab_Def_Processes[Flow_ID_I_1],,0,)</f>
        <v/>
      </c>
      <c r="O93" s="33" t="n"/>
      <c r="P93" s="29">
        <f>_xlfn.XLOOKUP($D93,Tab_Def_Processes[Name(EN)],Tab_Def_Processes[Input_Flow_I_2],,0,)</f>
        <v/>
      </c>
      <c r="Q93" s="272">
        <f>_xlfn.XLOOKUP($D93,Tab_Def_Processes[Name(EN)],Tab_Def_Processes[Flow_ID_I_2],,0,)</f>
        <v/>
      </c>
      <c r="R93" s="33" t="n"/>
      <c r="S93" s="29">
        <f>_xlfn.XLOOKUP($D93,Tab_Def_Processes[Name(EN)],Tab_Def_Processes[Input_Flow_I_3],,0,)</f>
        <v/>
      </c>
      <c r="T93" s="272">
        <f>_xlfn.XLOOKUP($D93,Tab_Def_Processes[Name(EN)],Tab_Def_Processes[Flow_ID_I_3],,0,)</f>
        <v/>
      </c>
      <c r="U93" s="33" t="n"/>
      <c r="V93" s="29">
        <f>_xlfn.XLOOKUP($D93,Tab_Def_Processes[Name(EN)],Tab_Def_Processes[Input_Flow_I_4],,0,)</f>
        <v/>
      </c>
      <c r="W93" s="272">
        <f>_xlfn.XLOOKUP($D93,Tab_Def_Processes[Name(EN)],Tab_Def_Processes[Flow_ID_I_4],,0,)</f>
        <v/>
      </c>
      <c r="X93" s="33" t="n"/>
      <c r="Y93" s="29">
        <f>_xlfn.XLOOKUP($D93,Tab_Def_Processes[Name(EN)],Tab_Def_Processes[Input_Flow_I_5],,0,)</f>
        <v/>
      </c>
      <c r="Z93" s="272">
        <f>_xlfn.XLOOKUP($D93,Tab_Def_Processes[Name(EN)],Tab_Def_Processes[Flow_ID_I_5],,0,)</f>
        <v/>
      </c>
      <c r="AA93" s="33" t="n"/>
      <c r="AB93" s="32">
        <f>Tab_Process_TCs2527[[#This Row],[Flow_TC_I_1_'[%']]]+Tab_Process_TCs2527[[#This Row],[Flow_TC_I_2_'[%']]]+Tab_Process_TCs2527[[#This Row],[Flow_TC_I_3_'[%']]]+Tab_Process_TCs2527[[#This Row],[Flow_TC_I_4_'[%']]]+Tab_Process_TCs2527[[#This Row],[Flow_TC_I_5_'[%']]]</f>
        <v/>
      </c>
      <c r="AC93" s="296">
        <f>_xlfn.XLOOKUP($D93,#REF!,#REF!,,0,)</f>
        <v/>
      </c>
      <c r="AD93" s="272">
        <f>_xlfn.XLOOKUP($D93,#REF!,#REF!,,0,)</f>
        <v/>
      </c>
      <c r="AE93" s="42">
        <f>Tab_Process_TCs2527[[#This Row],[Flow_ID]]</f>
        <v/>
      </c>
      <c r="AF93" s="272">
        <f>"TC"&amp;"_"&amp;RIGHT(AD93,5)</f>
        <v/>
      </c>
      <c r="AG93" s="49" t="n">
        <v>0.4</v>
      </c>
      <c r="AH93" s="296">
        <f>_xlfn.XLOOKUP($D93,#REF!,#REF!,,0,)</f>
        <v/>
      </c>
      <c r="AI93" s="272">
        <f>_xlfn.XLOOKUP($D93,#REF!,#REF!,,0,)</f>
        <v/>
      </c>
      <c r="AJ93" s="42">
        <f>Tab_Process_TCs2527[[#This Row],[Flow_ID]]</f>
        <v/>
      </c>
      <c r="AK93" s="272">
        <f>"TC"&amp;"_"&amp;RIGHT(AI93,5)</f>
        <v/>
      </c>
      <c r="AL93" s="168" t="n">
        <v>0.6</v>
      </c>
      <c r="AM93" s="296">
        <f>_xlfn.XLOOKUP($D93,#REF!,#REF!,,0,)</f>
        <v/>
      </c>
      <c r="AN93" s="272">
        <f>_xlfn.XLOOKUP($D93,#REF!,#REF!,,0,)</f>
        <v/>
      </c>
      <c r="AO93" s="42">
        <f>Tab_Process_TCs2527[[#This Row],[Flow_ID]]</f>
        <v/>
      </c>
      <c r="AP93" s="272">
        <f>"TC"&amp;"_"&amp;RIGHT(AN93,5)</f>
        <v/>
      </c>
      <c r="AQ93" s="168" t="n"/>
      <c r="AR93" s="296">
        <f>_xlfn.XLOOKUP($D93,#REF!,#REF!,,0,)</f>
        <v/>
      </c>
      <c r="AS93" s="272">
        <f>_xlfn.XLOOKUP($D93,#REF!,#REF!,,0,)</f>
        <v/>
      </c>
      <c r="AT93" s="42">
        <f>Tab_Process_TCs2527[[#This Row],[Flow_ID]]</f>
        <v/>
      </c>
      <c r="AU93" s="42">
        <f>"TC"&amp;"_"&amp;RIGHT(AN93,5)</f>
        <v/>
      </c>
      <c r="AV93" s="168" t="n"/>
      <c r="AW93" s="296">
        <f>_xlfn.XLOOKUP($D93,#REF!,#REF!,,0,)</f>
        <v/>
      </c>
      <c r="AX93" s="272">
        <f>_xlfn.XLOOKUP($D93,#REF!,#REF!,,0,)</f>
        <v/>
      </c>
      <c r="AY93" s="42">
        <f>Tab_Process_TCs2527[[#This Row],[Flow_ID]]</f>
        <v/>
      </c>
      <c r="AZ93" s="42">
        <f>"TC"&amp;"_"&amp;RIGHT(AX93,5)</f>
        <v/>
      </c>
      <c r="BA93" s="168" t="n"/>
      <c r="BB93" s="272">
        <f>_xlfn.XLOOKUP($D93,#REF!,#REF!,,0,)</f>
        <v/>
      </c>
      <c r="BC93" s="272">
        <f>_xlfn.XLOOKUP($D93,#REF!,#REF!,,0,)</f>
        <v/>
      </c>
      <c r="BD93" s="42">
        <f>Tab_Process_TCs2527[[#This Row],[Flow_ID]]</f>
        <v/>
      </c>
      <c r="BE93" s="42">
        <f>"TC"&amp;"_"&amp;RIGHT(BC93,5)</f>
        <v/>
      </c>
      <c r="BF93" s="49" t="n"/>
      <c r="BG93" s="52">
        <f>Tab_Process_TCs2527[[#This Row],[TC O_6_'[%']]]+Tab_Process_TCs2527[[#This Row],[TC O_5_'[%']]]+Tab_Process_TCs2527[[#This Row],[TC_O_4_'[%']]]+Tab_Process_TCs2527[[#This Row],[TC_O_3_'[%']]]+Tab_Process_TCs2527[[#This Row],[TC_O_2_'[%']]]+Tab_Process_TCs2527[[#This Row],[TC_O_1_'[%']]]</f>
        <v/>
      </c>
      <c r="BH93" s="273" t="n"/>
      <c r="BI93" s="273" t="n"/>
      <c r="BJ93" s="273" t="n"/>
      <c r="BK93" s="273" t="n"/>
      <c r="BL93" s="273" t="n"/>
    </row>
    <row r="94">
      <c r="A94" s="280" t="b">
        <v>0</v>
      </c>
      <c r="B94" s="272">
        <f>ROW()-1</f>
        <v/>
      </c>
      <c r="C94" s="286">
        <f>_xlfn.XLOOKUP($D94,Tab_Process_TCs[Name(EN)],Tab_Process_TCs[Process_ID],,0,)</f>
        <v/>
      </c>
      <c r="D94" s="189" t="inlineStr">
        <is>
          <t>N.A.</t>
        </is>
      </c>
      <c r="E94" s="189" t="inlineStr">
        <is>
          <t>N.A.</t>
        </is>
      </c>
      <c r="F94" s="286">
        <f>_xlfn.XLOOKUP($D94,Tab_Process_TCs[Name(EN)],Tab_Process_TCs[TC?],,0,)</f>
        <v/>
      </c>
      <c r="G94" s="286">
        <f>_xlfn.XLOOKUP($D94,Tab_Process_TCs[Name(EN)],Tab_Process_TCs[Dyn_TC?],,0,)</f>
        <v/>
      </c>
      <c r="H94" s="272">
        <f>_xlfn.XLOOKUP($E94,Tab_Def_Flows[Name(EN)],Tab_Def_Flows[Flow_ID],,0,1)</f>
        <v/>
      </c>
      <c r="I94" s="272">
        <f>IF(Tab_Process_TCs2527[[#This Row],[Name(EN)]]="N.A.","N.A.","TC"&amp;"_"&amp;RIGHT(H94,5))</f>
        <v/>
      </c>
      <c r="J94" s="273" t="n"/>
      <c r="K94" s="183" t="n"/>
      <c r="L94" s="272" t="n"/>
      <c r="M94" s="296">
        <f>_xlfn.XLOOKUP($D94,Tab_Def_Processes[Name(EN)],Tab_Def_Processes[Input_Flow_I_1],,0,)</f>
        <v/>
      </c>
      <c r="N94" s="272">
        <f>_xlfn.XLOOKUP($D94,Tab_Def_Processes[Name(EN)],Tab_Def_Processes[Flow_ID_I_1],,0,)</f>
        <v/>
      </c>
      <c r="O94" s="33" t="n"/>
      <c r="P94" s="29">
        <f>_xlfn.XLOOKUP($D94,Tab_Def_Processes[Name(EN)],Tab_Def_Processes[Input_Flow_I_2],,0,)</f>
        <v/>
      </c>
      <c r="Q94" s="272">
        <f>_xlfn.XLOOKUP($D94,Tab_Def_Processes[Name(EN)],Tab_Def_Processes[Flow_ID_I_2],,0,)</f>
        <v/>
      </c>
      <c r="R94" s="33" t="n"/>
      <c r="S94" s="29">
        <f>_xlfn.XLOOKUP($D94,Tab_Def_Processes[Name(EN)],Tab_Def_Processes[Input_Flow_I_3],,0,)</f>
        <v/>
      </c>
      <c r="T94" s="272">
        <f>_xlfn.XLOOKUP($D94,Tab_Def_Processes[Name(EN)],Tab_Def_Processes[Flow_ID_I_3],,0,)</f>
        <v/>
      </c>
      <c r="U94" s="33" t="n"/>
      <c r="V94" s="29">
        <f>_xlfn.XLOOKUP($D94,Tab_Def_Processes[Name(EN)],Tab_Def_Processes[Input_Flow_I_4],,0,)</f>
        <v/>
      </c>
      <c r="W94" s="272">
        <f>_xlfn.XLOOKUP($D94,Tab_Def_Processes[Name(EN)],Tab_Def_Processes[Flow_ID_I_4],,0,)</f>
        <v/>
      </c>
      <c r="X94" s="33" t="n"/>
      <c r="Y94" s="29">
        <f>_xlfn.XLOOKUP($D94,Tab_Def_Processes[Name(EN)],Tab_Def_Processes[Input_Flow_I_5],,0,)</f>
        <v/>
      </c>
      <c r="Z94" s="272">
        <f>_xlfn.XLOOKUP($D94,Tab_Def_Processes[Name(EN)],Tab_Def_Processes[Flow_ID_I_5],,0,)</f>
        <v/>
      </c>
      <c r="AA94" s="33" t="n"/>
      <c r="AB94" s="32">
        <f>Tab_Process_TCs2527[[#This Row],[Flow_TC_I_1_'[%']]]+Tab_Process_TCs2527[[#This Row],[Flow_TC_I_2_'[%']]]+Tab_Process_TCs2527[[#This Row],[Flow_TC_I_3_'[%']]]+Tab_Process_TCs2527[[#This Row],[Flow_TC_I_4_'[%']]]+Tab_Process_TCs2527[[#This Row],[Flow_TC_I_5_'[%']]]</f>
        <v/>
      </c>
      <c r="AC94" s="296">
        <f>_xlfn.XLOOKUP($D94,#REF!,#REF!,,0,)</f>
        <v/>
      </c>
      <c r="AD94" s="272">
        <f>_xlfn.XLOOKUP($D94,#REF!,#REF!,,0,)</f>
        <v/>
      </c>
      <c r="AE94" s="42">
        <f>Tab_Process_TCs2527[[#This Row],[Flow_ID]]</f>
        <v/>
      </c>
      <c r="AF94" s="272">
        <f>"TC"&amp;"_"&amp;RIGHT(AD94,5)</f>
        <v/>
      </c>
      <c r="AG94" s="49" t="n">
        <v>0.4</v>
      </c>
      <c r="AH94" s="296">
        <f>_xlfn.XLOOKUP($D94,#REF!,#REF!,,0,)</f>
        <v/>
      </c>
      <c r="AI94" s="272">
        <f>_xlfn.XLOOKUP($D94,#REF!,#REF!,,0,)</f>
        <v/>
      </c>
      <c r="AJ94" s="42">
        <f>Tab_Process_TCs2527[[#This Row],[Flow_ID]]</f>
        <v/>
      </c>
      <c r="AK94" s="272">
        <f>"TC"&amp;"_"&amp;RIGHT(AI94,5)</f>
        <v/>
      </c>
      <c r="AL94" s="168" t="n">
        <v>0.6</v>
      </c>
      <c r="AM94" s="296">
        <f>_xlfn.XLOOKUP($D94,#REF!,#REF!,,0,)</f>
        <v/>
      </c>
      <c r="AN94" s="272">
        <f>_xlfn.XLOOKUP($D94,#REF!,#REF!,,0,)</f>
        <v/>
      </c>
      <c r="AO94" s="42">
        <f>Tab_Process_TCs2527[[#This Row],[Flow_ID]]</f>
        <v/>
      </c>
      <c r="AP94" s="272">
        <f>"TC"&amp;"_"&amp;RIGHT(AN94,5)</f>
        <v/>
      </c>
      <c r="AQ94" s="168" t="n"/>
      <c r="AR94" s="296">
        <f>_xlfn.XLOOKUP($D94,#REF!,#REF!,,0,)</f>
        <v/>
      </c>
      <c r="AS94" s="272">
        <f>_xlfn.XLOOKUP($D94,#REF!,#REF!,,0,)</f>
        <v/>
      </c>
      <c r="AT94" s="42">
        <f>Tab_Process_TCs2527[[#This Row],[Flow_ID]]</f>
        <v/>
      </c>
      <c r="AU94" s="42">
        <f>"TC"&amp;"_"&amp;RIGHT(AN94,5)</f>
        <v/>
      </c>
      <c r="AV94" s="168" t="n"/>
      <c r="AW94" s="296">
        <f>_xlfn.XLOOKUP($D94,#REF!,#REF!,,0,)</f>
        <v/>
      </c>
      <c r="AX94" s="272">
        <f>_xlfn.XLOOKUP($D94,#REF!,#REF!,,0,)</f>
        <v/>
      </c>
      <c r="AY94" s="42">
        <f>Tab_Process_TCs2527[[#This Row],[Flow_ID]]</f>
        <v/>
      </c>
      <c r="AZ94" s="42">
        <f>"TC"&amp;"_"&amp;RIGHT(AX94,5)</f>
        <v/>
      </c>
      <c r="BA94" s="168" t="n"/>
      <c r="BB94" s="272">
        <f>_xlfn.XLOOKUP($D94,#REF!,#REF!,,0,)</f>
        <v/>
      </c>
      <c r="BC94" s="272">
        <f>_xlfn.XLOOKUP($D94,#REF!,#REF!,,0,)</f>
        <v/>
      </c>
      <c r="BD94" s="42">
        <f>Tab_Process_TCs2527[[#This Row],[Flow_ID]]</f>
        <v/>
      </c>
      <c r="BE94" s="42">
        <f>"TC"&amp;"_"&amp;RIGHT(BC94,5)</f>
        <v/>
      </c>
      <c r="BF94" s="49" t="n"/>
      <c r="BG94" s="52">
        <f>Tab_Process_TCs2527[[#This Row],[TC O_6_'[%']]]+Tab_Process_TCs2527[[#This Row],[TC O_5_'[%']]]+Tab_Process_TCs2527[[#This Row],[TC_O_4_'[%']]]+Tab_Process_TCs2527[[#This Row],[TC_O_3_'[%']]]+Tab_Process_TCs2527[[#This Row],[TC_O_2_'[%']]]+Tab_Process_TCs2527[[#This Row],[TC_O_1_'[%']]]</f>
        <v/>
      </c>
      <c r="BH94" s="273" t="n"/>
      <c r="BI94" s="273" t="n"/>
      <c r="BJ94" s="273" t="n"/>
      <c r="BK94" s="273" t="n"/>
      <c r="BL94" s="273" t="n"/>
    </row>
    <row r="95">
      <c r="A95" s="280" t="b">
        <v>0</v>
      </c>
      <c r="B95" s="272">
        <f>ROW()-1</f>
        <v/>
      </c>
      <c r="C95" s="286">
        <f>_xlfn.XLOOKUP($D95,Tab_Process_TCs[Name(EN)],Tab_Process_TCs[Process_ID],,0,)</f>
        <v/>
      </c>
      <c r="D95" s="189" t="inlineStr">
        <is>
          <t>N.A.</t>
        </is>
      </c>
      <c r="E95" s="189" t="inlineStr">
        <is>
          <t>N.A.</t>
        </is>
      </c>
      <c r="F95" s="286">
        <f>_xlfn.XLOOKUP($D95,Tab_Process_TCs[Name(EN)],Tab_Process_TCs[TC?],,0,)</f>
        <v/>
      </c>
      <c r="G95" s="286">
        <f>_xlfn.XLOOKUP($D95,Tab_Process_TCs[Name(EN)],Tab_Process_TCs[Dyn_TC?],,0,)</f>
        <v/>
      </c>
      <c r="H95" s="272">
        <f>_xlfn.XLOOKUP($E95,Tab_Def_Flows[Name(EN)],Tab_Def_Flows[Flow_ID],,0,1)</f>
        <v/>
      </c>
      <c r="I95" s="272">
        <f>IF(Tab_Process_TCs2527[[#This Row],[Name(EN)]]="N.A.","N.A.","TC"&amp;"_"&amp;RIGHT(H95,5))</f>
        <v/>
      </c>
      <c r="J95" s="273" t="n"/>
      <c r="K95" s="183" t="n"/>
      <c r="L95" s="272" t="n"/>
      <c r="M95" s="296">
        <f>_xlfn.XLOOKUP($D95,Tab_Def_Processes[Name(EN)],Tab_Def_Processes[Input_Flow_I_1],,0,)</f>
        <v/>
      </c>
      <c r="N95" s="272">
        <f>_xlfn.XLOOKUP($D95,Tab_Def_Processes[Name(EN)],Tab_Def_Processes[Flow_ID_I_1],,0,)</f>
        <v/>
      </c>
      <c r="O95" s="33" t="n"/>
      <c r="P95" s="29">
        <f>_xlfn.XLOOKUP($D95,Tab_Def_Processes[Name(EN)],Tab_Def_Processes[Input_Flow_I_2],,0,)</f>
        <v/>
      </c>
      <c r="Q95" s="272">
        <f>_xlfn.XLOOKUP($D95,Tab_Def_Processes[Name(EN)],Tab_Def_Processes[Flow_ID_I_2],,0,)</f>
        <v/>
      </c>
      <c r="R95" s="33" t="n"/>
      <c r="S95" s="29">
        <f>_xlfn.XLOOKUP($D95,Tab_Def_Processes[Name(EN)],Tab_Def_Processes[Input_Flow_I_3],,0,)</f>
        <v/>
      </c>
      <c r="T95" s="272">
        <f>_xlfn.XLOOKUP($D95,Tab_Def_Processes[Name(EN)],Tab_Def_Processes[Flow_ID_I_3],,0,)</f>
        <v/>
      </c>
      <c r="U95" s="33" t="n"/>
      <c r="V95" s="29">
        <f>_xlfn.XLOOKUP($D95,Tab_Def_Processes[Name(EN)],Tab_Def_Processes[Input_Flow_I_4],,0,)</f>
        <v/>
      </c>
      <c r="W95" s="272">
        <f>_xlfn.XLOOKUP($D95,Tab_Def_Processes[Name(EN)],Tab_Def_Processes[Flow_ID_I_4],,0,)</f>
        <v/>
      </c>
      <c r="X95" s="33" t="n"/>
      <c r="Y95" s="29">
        <f>_xlfn.XLOOKUP($D95,Tab_Def_Processes[Name(EN)],Tab_Def_Processes[Input_Flow_I_5],,0,)</f>
        <v/>
      </c>
      <c r="Z95" s="272">
        <f>_xlfn.XLOOKUP($D95,Tab_Def_Processes[Name(EN)],Tab_Def_Processes[Flow_ID_I_5],,0,)</f>
        <v/>
      </c>
      <c r="AA95" s="33" t="n"/>
      <c r="AB95" s="32">
        <f>Tab_Process_TCs2527[[#This Row],[Flow_TC_I_1_'[%']]]+Tab_Process_TCs2527[[#This Row],[Flow_TC_I_2_'[%']]]+Tab_Process_TCs2527[[#This Row],[Flow_TC_I_3_'[%']]]+Tab_Process_TCs2527[[#This Row],[Flow_TC_I_4_'[%']]]+Tab_Process_TCs2527[[#This Row],[Flow_TC_I_5_'[%']]]</f>
        <v/>
      </c>
      <c r="AC95" s="296">
        <f>_xlfn.XLOOKUP($D95,#REF!,#REF!,,0,)</f>
        <v/>
      </c>
      <c r="AD95" s="272">
        <f>_xlfn.XLOOKUP($D95,#REF!,#REF!,,0,)</f>
        <v/>
      </c>
      <c r="AE95" s="42">
        <f>Tab_Process_TCs2527[[#This Row],[Flow_ID]]</f>
        <v/>
      </c>
      <c r="AF95" s="272">
        <f>"TC"&amp;"_"&amp;RIGHT(AD95,5)</f>
        <v/>
      </c>
      <c r="AG95" s="49" t="n">
        <v>0.4</v>
      </c>
      <c r="AH95" s="296">
        <f>_xlfn.XLOOKUP($D95,#REF!,#REF!,,0,)</f>
        <v/>
      </c>
      <c r="AI95" s="272">
        <f>_xlfn.XLOOKUP($D95,#REF!,#REF!,,0,)</f>
        <v/>
      </c>
      <c r="AJ95" s="42">
        <f>Tab_Process_TCs2527[[#This Row],[Flow_ID]]</f>
        <v/>
      </c>
      <c r="AK95" s="272">
        <f>"TC"&amp;"_"&amp;RIGHT(AI95,5)</f>
        <v/>
      </c>
      <c r="AL95" s="168" t="n">
        <v>0.6</v>
      </c>
      <c r="AM95" s="296">
        <f>_xlfn.XLOOKUP($D95,#REF!,#REF!,,0,)</f>
        <v/>
      </c>
      <c r="AN95" s="272">
        <f>_xlfn.XLOOKUP($D95,#REF!,#REF!,,0,)</f>
        <v/>
      </c>
      <c r="AO95" s="42">
        <f>Tab_Process_TCs2527[[#This Row],[Flow_ID]]</f>
        <v/>
      </c>
      <c r="AP95" s="272">
        <f>"TC"&amp;"_"&amp;RIGHT(AN95,5)</f>
        <v/>
      </c>
      <c r="AQ95" s="168" t="n"/>
      <c r="AR95" s="296">
        <f>_xlfn.XLOOKUP($D95,#REF!,#REF!,,0,)</f>
        <v/>
      </c>
      <c r="AS95" s="272">
        <f>_xlfn.XLOOKUP($D95,#REF!,#REF!,,0,)</f>
        <v/>
      </c>
      <c r="AT95" s="42">
        <f>Tab_Process_TCs2527[[#This Row],[Flow_ID]]</f>
        <v/>
      </c>
      <c r="AU95" s="42">
        <f>"TC"&amp;"_"&amp;RIGHT(AN95,5)</f>
        <v/>
      </c>
      <c r="AV95" s="168" t="n"/>
      <c r="AW95" s="296">
        <f>_xlfn.XLOOKUP($D95,#REF!,#REF!,,0,)</f>
        <v/>
      </c>
      <c r="AX95" s="272">
        <f>_xlfn.XLOOKUP($D95,#REF!,#REF!,,0,)</f>
        <v/>
      </c>
      <c r="AY95" s="42">
        <f>Tab_Process_TCs2527[[#This Row],[Flow_ID]]</f>
        <v/>
      </c>
      <c r="AZ95" s="42">
        <f>"TC"&amp;"_"&amp;RIGHT(AX95,5)</f>
        <v/>
      </c>
      <c r="BA95" s="168" t="n"/>
      <c r="BB95" s="272">
        <f>_xlfn.XLOOKUP($D95,#REF!,#REF!,,0,)</f>
        <v/>
      </c>
      <c r="BC95" s="272">
        <f>_xlfn.XLOOKUP($D95,#REF!,#REF!,,0,)</f>
        <v/>
      </c>
      <c r="BD95" s="42">
        <f>Tab_Process_TCs2527[[#This Row],[Flow_ID]]</f>
        <v/>
      </c>
      <c r="BE95" s="42">
        <f>"TC"&amp;"_"&amp;RIGHT(BC95,5)</f>
        <v/>
      </c>
      <c r="BF95" s="49" t="n"/>
      <c r="BG95" s="52">
        <f>Tab_Process_TCs2527[[#This Row],[TC O_6_'[%']]]+Tab_Process_TCs2527[[#This Row],[TC O_5_'[%']]]+Tab_Process_TCs2527[[#This Row],[TC_O_4_'[%']]]+Tab_Process_TCs2527[[#This Row],[TC_O_3_'[%']]]+Tab_Process_TCs2527[[#This Row],[TC_O_2_'[%']]]+Tab_Process_TCs2527[[#This Row],[TC_O_1_'[%']]]</f>
        <v/>
      </c>
      <c r="BH95" s="273" t="n"/>
      <c r="BI95" s="273" t="n"/>
      <c r="BJ95" s="273" t="n"/>
      <c r="BK95" s="273" t="n"/>
      <c r="BL95" s="273" t="n"/>
    </row>
    <row r="96">
      <c r="A96" s="280" t="b">
        <v>0</v>
      </c>
      <c r="B96" s="272">
        <f>ROW()-1</f>
        <v/>
      </c>
      <c r="C96" s="286">
        <f>_xlfn.XLOOKUP($D96,Tab_Process_TCs[Name(EN)],Tab_Process_TCs[Process_ID],,0,)</f>
        <v/>
      </c>
      <c r="D96" s="189" t="inlineStr">
        <is>
          <t>N.A.</t>
        </is>
      </c>
      <c r="E96" s="189" t="inlineStr">
        <is>
          <t>N.A.</t>
        </is>
      </c>
      <c r="F96" s="286">
        <f>_xlfn.XLOOKUP($D96,Tab_Process_TCs[Name(EN)],Tab_Process_TCs[TC?],,0,)</f>
        <v/>
      </c>
      <c r="G96" s="286">
        <f>_xlfn.XLOOKUP($D96,Tab_Process_TCs[Name(EN)],Tab_Process_TCs[Dyn_TC?],,0,)</f>
        <v/>
      </c>
      <c r="H96" s="272">
        <f>_xlfn.XLOOKUP($E96,Tab_Def_Flows[Name(EN)],Tab_Def_Flows[Flow_ID],,0,1)</f>
        <v/>
      </c>
      <c r="I96" s="272">
        <f>IF(Tab_Process_TCs2527[[#This Row],[Name(EN)]]="N.A.","N.A.","TC"&amp;"_"&amp;RIGHT(H96,5))</f>
        <v/>
      </c>
      <c r="J96" s="273" t="n"/>
      <c r="K96" s="183" t="n"/>
      <c r="L96" s="272" t="n"/>
      <c r="M96" s="296">
        <f>_xlfn.XLOOKUP($D96,Tab_Def_Processes[Name(EN)],Tab_Def_Processes[Input_Flow_I_1],,0,)</f>
        <v/>
      </c>
      <c r="N96" s="272">
        <f>_xlfn.XLOOKUP($D96,Tab_Def_Processes[Name(EN)],Tab_Def_Processes[Flow_ID_I_1],,0,)</f>
        <v/>
      </c>
      <c r="O96" s="180" t="n"/>
      <c r="P96" s="29">
        <f>_xlfn.XLOOKUP($D96,Tab_Def_Processes[Name(EN)],Tab_Def_Processes[Input_Flow_I_2],,0,)</f>
        <v/>
      </c>
      <c r="Q96" s="272">
        <f>_xlfn.XLOOKUP($D96,Tab_Def_Processes[Name(EN)],Tab_Def_Processes[Flow_ID_I_2],,0,)</f>
        <v/>
      </c>
      <c r="R96" s="180" t="n"/>
      <c r="S96" s="29">
        <f>_xlfn.XLOOKUP($D96,Tab_Def_Processes[Name(EN)],Tab_Def_Processes[Input_Flow_I_3],,0,)</f>
        <v/>
      </c>
      <c r="T96" s="272">
        <f>_xlfn.XLOOKUP($D96,Tab_Def_Processes[Name(EN)],Tab_Def_Processes[Flow_ID_I_3],,0,)</f>
        <v/>
      </c>
      <c r="U96" s="180" t="n"/>
      <c r="V96" s="29">
        <f>_xlfn.XLOOKUP($D96,Tab_Def_Processes[Name(EN)],Tab_Def_Processes[Input_Flow_I_4],,0,)</f>
        <v/>
      </c>
      <c r="W96" s="272">
        <f>_xlfn.XLOOKUP($D96,Tab_Def_Processes[Name(EN)],Tab_Def_Processes[Flow_ID_I_4],,0,)</f>
        <v/>
      </c>
      <c r="X96" s="180" t="n"/>
      <c r="Y96" s="29">
        <f>_xlfn.XLOOKUP($D96,Tab_Def_Processes[Name(EN)],Tab_Def_Processes[Input_Flow_I_5],,0,)</f>
        <v/>
      </c>
      <c r="Z96" s="272">
        <f>_xlfn.XLOOKUP($D96,Tab_Def_Processes[Name(EN)],Tab_Def_Processes[Flow_ID_I_5],,0,)</f>
        <v/>
      </c>
      <c r="AA96" s="180" t="n"/>
      <c r="AB96" s="39">
        <f>Tab_Process_TCs2527[[#This Row],[Flow_TC_I_1_'[%']]]+Tab_Process_TCs2527[[#This Row],[Flow_TC_I_2_'[%']]]+Tab_Process_TCs2527[[#This Row],[Flow_TC_I_3_'[%']]]+Tab_Process_TCs2527[[#This Row],[Flow_TC_I_4_'[%']]]+Tab_Process_TCs2527[[#This Row],[Flow_TC_I_5_'[%']]]</f>
        <v/>
      </c>
      <c r="AC96" s="296">
        <f>_xlfn.XLOOKUP($D96,#REF!,#REF!,,0,)</f>
        <v/>
      </c>
      <c r="AD96" s="272">
        <f>_xlfn.XLOOKUP($D96,#REF!,#REF!,,0,)</f>
        <v/>
      </c>
      <c r="AE96" s="42">
        <f>Tab_Process_TCs2527[[#This Row],[Flow_ID]]</f>
        <v/>
      </c>
      <c r="AF96" s="272">
        <f>"TC"&amp;"_"&amp;RIGHT(AD96,5)</f>
        <v/>
      </c>
      <c r="AG96" s="49" t="n">
        <v>0.4</v>
      </c>
      <c r="AH96" s="296">
        <f>_xlfn.XLOOKUP($D96,#REF!,#REF!,,0,)</f>
        <v/>
      </c>
      <c r="AI96" s="272">
        <f>_xlfn.XLOOKUP($D96,#REF!,#REF!,,0,)</f>
        <v/>
      </c>
      <c r="AJ96" s="42">
        <f>Tab_Process_TCs2527[[#This Row],[Flow_ID]]</f>
        <v/>
      </c>
      <c r="AK96" s="272">
        <f>"TC"&amp;"_"&amp;RIGHT(AI96,5)</f>
        <v/>
      </c>
      <c r="AL96" s="168" t="n">
        <v>0.6</v>
      </c>
      <c r="AM96" s="296">
        <f>_xlfn.XLOOKUP($D96,#REF!,#REF!,,0,)</f>
        <v/>
      </c>
      <c r="AN96" s="272">
        <f>_xlfn.XLOOKUP($D96,#REF!,#REF!,,0,)</f>
        <v/>
      </c>
      <c r="AO96" s="42">
        <f>Tab_Process_TCs2527[[#This Row],[Flow_ID]]</f>
        <v/>
      </c>
      <c r="AP96" s="272">
        <f>"TC"&amp;"_"&amp;RIGHT(AN96,5)</f>
        <v/>
      </c>
      <c r="AQ96" s="168" t="n"/>
      <c r="AR96" s="296">
        <f>_xlfn.XLOOKUP($D96,#REF!,#REF!,,0,)</f>
        <v/>
      </c>
      <c r="AS96" s="272">
        <f>_xlfn.XLOOKUP($D96,#REF!,#REF!,,0,)</f>
        <v/>
      </c>
      <c r="AT96" s="42">
        <f>Tab_Process_TCs2527[[#This Row],[Flow_ID]]</f>
        <v/>
      </c>
      <c r="AU96" s="42">
        <f>"TC"&amp;"_"&amp;RIGHT(AN96,5)</f>
        <v/>
      </c>
      <c r="AV96" s="168" t="n"/>
      <c r="AW96" s="296">
        <f>_xlfn.XLOOKUP($D96,#REF!,#REF!,,0,)</f>
        <v/>
      </c>
      <c r="AX96" s="272">
        <f>_xlfn.XLOOKUP($D96,#REF!,#REF!,,0,)</f>
        <v/>
      </c>
      <c r="AY96" s="42">
        <f>Tab_Process_TCs2527[[#This Row],[Flow_ID]]</f>
        <v/>
      </c>
      <c r="AZ96" s="42">
        <f>"TC"&amp;"_"&amp;RIGHT(AX96,5)</f>
        <v/>
      </c>
      <c r="BA96" s="168" t="n"/>
      <c r="BB96" s="272">
        <f>_xlfn.XLOOKUP($D96,#REF!,#REF!,,0,)</f>
        <v/>
      </c>
      <c r="BC96" s="272">
        <f>_xlfn.XLOOKUP($D96,#REF!,#REF!,,0,)</f>
        <v/>
      </c>
      <c r="BD96" s="42">
        <f>Tab_Process_TCs2527[[#This Row],[Flow_ID]]</f>
        <v/>
      </c>
      <c r="BE96" s="42">
        <f>"TC"&amp;"_"&amp;RIGHT(BC96,5)</f>
        <v/>
      </c>
      <c r="BF96" s="49" t="n"/>
      <c r="BG96" s="52">
        <f>Tab_Process_TCs2527[[#This Row],[TC O_6_'[%']]]+Tab_Process_TCs2527[[#This Row],[TC O_5_'[%']]]+Tab_Process_TCs2527[[#This Row],[TC_O_4_'[%']]]+Tab_Process_TCs2527[[#This Row],[TC_O_3_'[%']]]+Tab_Process_TCs2527[[#This Row],[TC_O_2_'[%']]]+Tab_Process_TCs2527[[#This Row],[TC_O_1_'[%']]]</f>
        <v/>
      </c>
      <c r="BH96" s="273" t="n"/>
      <c r="BI96" s="273" t="n"/>
      <c r="BJ96" s="273" t="n"/>
      <c r="BK96" s="273" t="n"/>
      <c r="BL96" s="273" t="n"/>
    </row>
    <row r="97">
      <c r="A97" s="280" t="b">
        <v>0</v>
      </c>
      <c r="B97" s="272">
        <f>ROW()-1</f>
        <v/>
      </c>
      <c r="C97" s="286">
        <f>_xlfn.XLOOKUP($D97,Tab_Process_TCs[Name(EN)],Tab_Process_TCs[Process_ID],,0,)</f>
        <v/>
      </c>
      <c r="D97" s="189" t="inlineStr">
        <is>
          <t>N.A.</t>
        </is>
      </c>
      <c r="E97" s="189" t="inlineStr">
        <is>
          <t>N.A.</t>
        </is>
      </c>
      <c r="F97" s="286">
        <f>_xlfn.XLOOKUP($D97,Tab_Process_TCs[Name(EN)],Tab_Process_TCs[TC?],,0,)</f>
        <v/>
      </c>
      <c r="G97" s="286">
        <f>_xlfn.XLOOKUP($D97,Tab_Process_TCs[Name(EN)],Tab_Process_TCs[Dyn_TC?],,0,)</f>
        <v/>
      </c>
      <c r="H97" s="272">
        <f>_xlfn.XLOOKUP($E97,Tab_Def_Flows[Name(EN)],Tab_Def_Flows[Flow_ID],,0,1)</f>
        <v/>
      </c>
      <c r="I97" s="272">
        <f>IF(Tab_Process_TCs2527[[#This Row],[Name(EN)]]="N.A.","N.A.","TC"&amp;"_"&amp;RIGHT(H97,5))</f>
        <v/>
      </c>
      <c r="J97" s="273" t="n"/>
      <c r="K97" s="183" t="n"/>
      <c r="L97" s="272" t="n"/>
      <c r="M97" s="296">
        <f>_xlfn.XLOOKUP($D97,Tab_Def_Processes[Name(EN)],Tab_Def_Processes[Input_Flow_I_1],,0,)</f>
        <v/>
      </c>
      <c r="N97" s="272">
        <f>_xlfn.XLOOKUP($D97,Tab_Def_Processes[Name(EN)],Tab_Def_Processes[Flow_ID_I_1],,0,)</f>
        <v/>
      </c>
      <c r="O97" s="180" t="n"/>
      <c r="P97" s="29">
        <f>_xlfn.XLOOKUP($D97,Tab_Def_Processes[Name(EN)],Tab_Def_Processes[Input_Flow_I_2],,0,)</f>
        <v/>
      </c>
      <c r="Q97" s="272">
        <f>_xlfn.XLOOKUP($D97,Tab_Def_Processes[Name(EN)],Tab_Def_Processes[Flow_ID_I_2],,0,)</f>
        <v/>
      </c>
      <c r="R97" s="180" t="n"/>
      <c r="S97" s="29">
        <f>_xlfn.XLOOKUP($D97,Tab_Def_Processes[Name(EN)],Tab_Def_Processes[Input_Flow_I_3],,0,)</f>
        <v/>
      </c>
      <c r="T97" s="272">
        <f>_xlfn.XLOOKUP($D97,Tab_Def_Processes[Name(EN)],Tab_Def_Processes[Flow_ID_I_3],,0,)</f>
        <v/>
      </c>
      <c r="U97" s="180" t="n"/>
      <c r="V97" s="29">
        <f>_xlfn.XLOOKUP($D97,Tab_Def_Processes[Name(EN)],Tab_Def_Processes[Input_Flow_I_4],,0,)</f>
        <v/>
      </c>
      <c r="W97" s="272">
        <f>_xlfn.XLOOKUP($D97,Tab_Def_Processes[Name(EN)],Tab_Def_Processes[Flow_ID_I_4],,0,)</f>
        <v/>
      </c>
      <c r="X97" s="180" t="n"/>
      <c r="Y97" s="29">
        <f>_xlfn.XLOOKUP($D97,Tab_Def_Processes[Name(EN)],Tab_Def_Processes[Input_Flow_I_5],,0,)</f>
        <v/>
      </c>
      <c r="Z97" s="272">
        <f>_xlfn.XLOOKUP($D97,Tab_Def_Processes[Name(EN)],Tab_Def_Processes[Flow_ID_I_5],,0,)</f>
        <v/>
      </c>
      <c r="AA97" s="180" t="n"/>
      <c r="AB97" s="39">
        <f>Tab_Process_TCs2527[[#This Row],[Flow_TC_I_1_'[%']]]+Tab_Process_TCs2527[[#This Row],[Flow_TC_I_2_'[%']]]+Tab_Process_TCs2527[[#This Row],[Flow_TC_I_3_'[%']]]+Tab_Process_TCs2527[[#This Row],[Flow_TC_I_4_'[%']]]+Tab_Process_TCs2527[[#This Row],[Flow_TC_I_5_'[%']]]</f>
        <v/>
      </c>
      <c r="AC97" s="296">
        <f>_xlfn.XLOOKUP($D97,#REF!,#REF!,,0,)</f>
        <v/>
      </c>
      <c r="AD97" s="272">
        <f>_xlfn.XLOOKUP($D97,#REF!,#REF!,,0,)</f>
        <v/>
      </c>
      <c r="AE97" s="42">
        <f>Tab_Process_TCs2527[[#This Row],[Flow_ID]]</f>
        <v/>
      </c>
      <c r="AF97" s="272">
        <f>"TC"&amp;"_"&amp;RIGHT(AD97,5)</f>
        <v/>
      </c>
      <c r="AG97" s="49" t="n">
        <v>0.4</v>
      </c>
      <c r="AH97" s="296">
        <f>_xlfn.XLOOKUP($D97,#REF!,#REF!,,0,)</f>
        <v/>
      </c>
      <c r="AI97" s="272">
        <f>_xlfn.XLOOKUP($D97,#REF!,#REF!,,0,)</f>
        <v/>
      </c>
      <c r="AJ97" s="42">
        <f>Tab_Process_TCs2527[[#This Row],[Flow_ID]]</f>
        <v/>
      </c>
      <c r="AK97" s="272">
        <f>"TC"&amp;"_"&amp;RIGHT(AI97,5)</f>
        <v/>
      </c>
      <c r="AL97" s="168" t="n">
        <v>0.6</v>
      </c>
      <c r="AM97" s="296">
        <f>_xlfn.XLOOKUP($D97,#REF!,#REF!,,0,)</f>
        <v/>
      </c>
      <c r="AN97" s="272">
        <f>_xlfn.XLOOKUP($D97,#REF!,#REF!,,0,)</f>
        <v/>
      </c>
      <c r="AO97" s="42">
        <f>Tab_Process_TCs2527[[#This Row],[Flow_ID]]</f>
        <v/>
      </c>
      <c r="AP97" s="272">
        <f>"TC"&amp;"_"&amp;RIGHT(AN97,5)</f>
        <v/>
      </c>
      <c r="AQ97" s="168" t="n"/>
      <c r="AR97" s="296">
        <f>_xlfn.XLOOKUP($D97,#REF!,#REF!,,0,)</f>
        <v/>
      </c>
      <c r="AS97" s="272">
        <f>_xlfn.XLOOKUP($D97,#REF!,#REF!,,0,)</f>
        <v/>
      </c>
      <c r="AT97" s="42">
        <f>Tab_Process_TCs2527[[#This Row],[Flow_ID]]</f>
        <v/>
      </c>
      <c r="AU97" s="42">
        <f>"TC"&amp;"_"&amp;RIGHT(AN97,5)</f>
        <v/>
      </c>
      <c r="AV97" s="168" t="n"/>
      <c r="AW97" s="296">
        <f>_xlfn.XLOOKUP($D97,#REF!,#REF!,,0,)</f>
        <v/>
      </c>
      <c r="AX97" s="272">
        <f>_xlfn.XLOOKUP($D97,#REF!,#REF!,,0,)</f>
        <v/>
      </c>
      <c r="AY97" s="42">
        <f>Tab_Process_TCs2527[[#This Row],[Flow_ID]]</f>
        <v/>
      </c>
      <c r="AZ97" s="42">
        <f>"TC"&amp;"_"&amp;RIGHT(AX97,5)</f>
        <v/>
      </c>
      <c r="BA97" s="168" t="n"/>
      <c r="BB97" s="272">
        <f>_xlfn.XLOOKUP($D97,#REF!,#REF!,,0,)</f>
        <v/>
      </c>
      <c r="BC97" s="272">
        <f>_xlfn.XLOOKUP($D97,#REF!,#REF!,,0,)</f>
        <v/>
      </c>
      <c r="BD97" s="42">
        <f>Tab_Process_TCs2527[[#This Row],[Flow_ID]]</f>
        <v/>
      </c>
      <c r="BE97" s="42">
        <f>"TC"&amp;"_"&amp;RIGHT(BC97,5)</f>
        <v/>
      </c>
      <c r="BF97" s="49" t="n"/>
      <c r="BG97" s="52">
        <f>Tab_Process_TCs2527[[#This Row],[TC O_6_'[%']]]+Tab_Process_TCs2527[[#This Row],[TC O_5_'[%']]]+Tab_Process_TCs2527[[#This Row],[TC_O_4_'[%']]]+Tab_Process_TCs2527[[#This Row],[TC_O_3_'[%']]]+Tab_Process_TCs2527[[#This Row],[TC_O_2_'[%']]]+Tab_Process_TCs2527[[#This Row],[TC_O_1_'[%']]]</f>
        <v/>
      </c>
      <c r="BH97" s="273" t="n"/>
      <c r="BI97" s="273" t="n"/>
      <c r="BJ97" s="273" t="n"/>
      <c r="BK97" s="273" t="n"/>
      <c r="BL97" s="273" t="n"/>
    </row>
    <row r="98">
      <c r="A98" s="280" t="b">
        <v>0</v>
      </c>
      <c r="B98" s="272">
        <f>ROW()-1</f>
        <v/>
      </c>
      <c r="C98" s="286">
        <f>_xlfn.XLOOKUP($D98,Tab_Process_TCs[Name(EN)],Tab_Process_TCs[Process_ID],,0,)</f>
        <v/>
      </c>
      <c r="D98" s="189" t="inlineStr">
        <is>
          <t>N.A.</t>
        </is>
      </c>
      <c r="E98" s="189" t="inlineStr">
        <is>
          <t>N.A.</t>
        </is>
      </c>
      <c r="F98" s="286">
        <f>_xlfn.XLOOKUP($D98,Tab_Process_TCs[Name(EN)],Tab_Process_TCs[TC?],,0,)</f>
        <v/>
      </c>
      <c r="G98" s="286">
        <f>_xlfn.XLOOKUP($D98,Tab_Process_TCs[Name(EN)],Tab_Process_TCs[Dyn_TC?],,0,)</f>
        <v/>
      </c>
      <c r="H98" s="272">
        <f>_xlfn.XLOOKUP($E98,Tab_Def_Flows[Name(EN)],Tab_Def_Flows[Flow_ID],,0,1)</f>
        <v/>
      </c>
      <c r="I98" s="272">
        <f>IF(Tab_Process_TCs2527[[#This Row],[Name(EN)]]="N.A.","N.A.","TC"&amp;"_"&amp;RIGHT(H98,5))</f>
        <v/>
      </c>
      <c r="J98" s="273" t="n"/>
      <c r="K98" s="183" t="n"/>
      <c r="L98" s="272" t="n"/>
      <c r="M98" s="296">
        <f>_xlfn.XLOOKUP($D98,Tab_Def_Processes[Name(EN)],Tab_Def_Processes[Input_Flow_I_1],,0,)</f>
        <v/>
      </c>
      <c r="N98" s="272">
        <f>_xlfn.XLOOKUP($D98,Tab_Def_Processes[Name(EN)],Tab_Def_Processes[Flow_ID_I_1],,0,)</f>
        <v/>
      </c>
      <c r="O98" s="180" t="n"/>
      <c r="P98" s="29">
        <f>_xlfn.XLOOKUP($D98,Tab_Def_Processes[Name(EN)],Tab_Def_Processes[Input_Flow_I_2],,0,)</f>
        <v/>
      </c>
      <c r="Q98" s="272">
        <f>_xlfn.XLOOKUP($D98,Tab_Def_Processes[Name(EN)],Tab_Def_Processes[Flow_ID_I_2],,0,)</f>
        <v/>
      </c>
      <c r="R98" s="180" t="n"/>
      <c r="S98" s="29">
        <f>_xlfn.XLOOKUP($D98,Tab_Def_Processes[Name(EN)],Tab_Def_Processes[Input_Flow_I_3],,0,)</f>
        <v/>
      </c>
      <c r="T98" s="272">
        <f>_xlfn.XLOOKUP($D98,Tab_Def_Processes[Name(EN)],Tab_Def_Processes[Flow_ID_I_3],,0,)</f>
        <v/>
      </c>
      <c r="U98" s="180" t="n"/>
      <c r="V98" s="29">
        <f>_xlfn.XLOOKUP($D98,Tab_Def_Processes[Name(EN)],Tab_Def_Processes[Input_Flow_I_4],,0,)</f>
        <v/>
      </c>
      <c r="W98" s="272">
        <f>_xlfn.XLOOKUP($D98,Tab_Def_Processes[Name(EN)],Tab_Def_Processes[Flow_ID_I_4],,0,)</f>
        <v/>
      </c>
      <c r="X98" s="180" t="n"/>
      <c r="Y98" s="29">
        <f>_xlfn.XLOOKUP($D98,Tab_Def_Processes[Name(EN)],Tab_Def_Processes[Input_Flow_I_5],,0,)</f>
        <v/>
      </c>
      <c r="Z98" s="272">
        <f>_xlfn.XLOOKUP($D98,Tab_Def_Processes[Name(EN)],Tab_Def_Processes[Flow_ID_I_5],,0,)</f>
        <v/>
      </c>
      <c r="AA98" s="180" t="n"/>
      <c r="AB98" s="39">
        <f>Tab_Process_TCs2527[[#This Row],[Flow_TC_I_1_'[%']]]+Tab_Process_TCs2527[[#This Row],[Flow_TC_I_2_'[%']]]+Tab_Process_TCs2527[[#This Row],[Flow_TC_I_3_'[%']]]+Tab_Process_TCs2527[[#This Row],[Flow_TC_I_4_'[%']]]+Tab_Process_TCs2527[[#This Row],[Flow_TC_I_5_'[%']]]</f>
        <v/>
      </c>
      <c r="AC98" s="296">
        <f>_xlfn.XLOOKUP($D98,#REF!,#REF!,,0,)</f>
        <v/>
      </c>
      <c r="AD98" s="272">
        <f>_xlfn.XLOOKUP($D98,#REF!,#REF!,,0,)</f>
        <v/>
      </c>
      <c r="AE98" s="42">
        <f>Tab_Process_TCs2527[[#This Row],[Flow_ID]]</f>
        <v/>
      </c>
      <c r="AF98" s="272">
        <f>"TC"&amp;"_"&amp;RIGHT(AD98,5)</f>
        <v/>
      </c>
      <c r="AG98" s="49" t="n">
        <v>0.4</v>
      </c>
      <c r="AH98" s="296">
        <f>_xlfn.XLOOKUP($D98,#REF!,#REF!,,0,)</f>
        <v/>
      </c>
      <c r="AI98" s="272">
        <f>_xlfn.XLOOKUP($D98,#REF!,#REF!,,0,)</f>
        <v/>
      </c>
      <c r="AJ98" s="42">
        <f>Tab_Process_TCs2527[[#This Row],[Flow_ID]]</f>
        <v/>
      </c>
      <c r="AK98" s="272">
        <f>"TC"&amp;"_"&amp;RIGHT(AI98,5)</f>
        <v/>
      </c>
      <c r="AL98" s="168" t="n">
        <v>0.6</v>
      </c>
      <c r="AM98" s="296">
        <f>_xlfn.XLOOKUP($D98,#REF!,#REF!,,0,)</f>
        <v/>
      </c>
      <c r="AN98" s="272">
        <f>_xlfn.XLOOKUP($D98,#REF!,#REF!,,0,)</f>
        <v/>
      </c>
      <c r="AO98" s="42">
        <f>Tab_Process_TCs2527[[#This Row],[Flow_ID]]</f>
        <v/>
      </c>
      <c r="AP98" s="272">
        <f>"TC"&amp;"_"&amp;RIGHT(AN98,5)</f>
        <v/>
      </c>
      <c r="AQ98" s="168" t="n"/>
      <c r="AR98" s="296">
        <f>_xlfn.XLOOKUP($D98,#REF!,#REF!,,0,)</f>
        <v/>
      </c>
      <c r="AS98" s="272">
        <f>_xlfn.XLOOKUP($D98,#REF!,#REF!,,0,)</f>
        <v/>
      </c>
      <c r="AT98" s="42">
        <f>Tab_Process_TCs2527[[#This Row],[Flow_ID]]</f>
        <v/>
      </c>
      <c r="AU98" s="42">
        <f>"TC"&amp;"_"&amp;RIGHT(AN98,5)</f>
        <v/>
      </c>
      <c r="AV98" s="168" t="n"/>
      <c r="AW98" s="296">
        <f>_xlfn.XLOOKUP($D98,#REF!,#REF!,,0,)</f>
        <v/>
      </c>
      <c r="AX98" s="272">
        <f>_xlfn.XLOOKUP($D98,#REF!,#REF!,,0,)</f>
        <v/>
      </c>
      <c r="AY98" s="42">
        <f>Tab_Process_TCs2527[[#This Row],[Flow_ID]]</f>
        <v/>
      </c>
      <c r="AZ98" s="42">
        <f>"TC"&amp;"_"&amp;RIGHT(AX98,5)</f>
        <v/>
      </c>
      <c r="BA98" s="168" t="n"/>
      <c r="BB98" s="272">
        <f>_xlfn.XLOOKUP($D98,#REF!,#REF!,,0,)</f>
        <v/>
      </c>
      <c r="BC98" s="272">
        <f>_xlfn.XLOOKUP($D98,#REF!,#REF!,,0,)</f>
        <v/>
      </c>
      <c r="BD98" s="42">
        <f>Tab_Process_TCs2527[[#This Row],[Flow_ID]]</f>
        <v/>
      </c>
      <c r="BE98" s="42">
        <f>"TC"&amp;"_"&amp;RIGHT(BC98,5)</f>
        <v/>
      </c>
      <c r="BF98" s="49" t="n"/>
      <c r="BG98" s="52">
        <f>Tab_Process_TCs2527[[#This Row],[TC O_6_'[%']]]+Tab_Process_TCs2527[[#This Row],[TC O_5_'[%']]]+Tab_Process_TCs2527[[#This Row],[TC_O_4_'[%']]]+Tab_Process_TCs2527[[#This Row],[TC_O_3_'[%']]]+Tab_Process_TCs2527[[#This Row],[TC_O_2_'[%']]]+Tab_Process_TCs2527[[#This Row],[TC_O_1_'[%']]]</f>
        <v/>
      </c>
      <c r="BH98" s="273" t="n"/>
      <c r="BI98" s="273" t="n"/>
      <c r="BJ98" s="273" t="n"/>
      <c r="BK98" s="273" t="n"/>
      <c r="BL98" s="273" t="n"/>
    </row>
    <row r="99">
      <c r="A99" s="280" t="b">
        <v>0</v>
      </c>
      <c r="B99" s="272">
        <f>ROW()-1</f>
        <v/>
      </c>
      <c r="C99" s="286">
        <f>_xlfn.XLOOKUP($D99,Tab_Process_TCs[Name(EN)],Tab_Process_TCs[Process_ID],,0,)</f>
        <v/>
      </c>
      <c r="D99" s="189" t="inlineStr">
        <is>
          <t>N.A.</t>
        </is>
      </c>
      <c r="E99" s="189" t="inlineStr">
        <is>
          <t>N.A.</t>
        </is>
      </c>
      <c r="F99" s="286">
        <f>_xlfn.XLOOKUP($D99,Tab_Process_TCs[Name(EN)],Tab_Process_TCs[TC?],,0,)</f>
        <v/>
      </c>
      <c r="G99" s="286">
        <f>_xlfn.XLOOKUP($D99,Tab_Process_TCs[Name(EN)],Tab_Process_TCs[Dyn_TC?],,0,)</f>
        <v/>
      </c>
      <c r="H99" s="272">
        <f>_xlfn.XLOOKUP($E99,Tab_Def_Flows[Name(EN)],Tab_Def_Flows[Flow_ID],,0,1)</f>
        <v/>
      </c>
      <c r="I99" s="272">
        <f>IF(Tab_Process_TCs2527[[#This Row],[Name(EN)]]="N.A.","N.A.","TC"&amp;"_"&amp;RIGHT(H99,5))</f>
        <v/>
      </c>
      <c r="J99" s="273" t="n"/>
      <c r="K99" s="183" t="n"/>
      <c r="L99" s="272" t="n"/>
      <c r="M99" s="296">
        <f>_xlfn.XLOOKUP($D99,Tab_Def_Processes[Name(EN)],Tab_Def_Processes[Input_Flow_I_1],,0,)</f>
        <v/>
      </c>
      <c r="N99" s="272">
        <f>_xlfn.XLOOKUP($D99,Tab_Def_Processes[Name(EN)],Tab_Def_Processes[Flow_ID_I_1],,0,)</f>
        <v/>
      </c>
      <c r="O99" s="180" t="n"/>
      <c r="P99" s="29">
        <f>_xlfn.XLOOKUP($D99,Tab_Def_Processes[Name(EN)],Tab_Def_Processes[Input_Flow_I_2],,0,)</f>
        <v/>
      </c>
      <c r="Q99" s="272">
        <f>_xlfn.XLOOKUP($D99,Tab_Def_Processes[Name(EN)],Tab_Def_Processes[Flow_ID_I_2],,0,)</f>
        <v/>
      </c>
      <c r="R99" s="180" t="n"/>
      <c r="S99" s="29">
        <f>_xlfn.XLOOKUP($D99,Tab_Def_Processes[Name(EN)],Tab_Def_Processes[Input_Flow_I_3],,0,)</f>
        <v/>
      </c>
      <c r="T99" s="272">
        <f>_xlfn.XLOOKUP($D99,Tab_Def_Processes[Name(EN)],Tab_Def_Processes[Flow_ID_I_3],,0,)</f>
        <v/>
      </c>
      <c r="U99" s="180" t="n"/>
      <c r="V99" s="29">
        <f>_xlfn.XLOOKUP($D99,Tab_Def_Processes[Name(EN)],Tab_Def_Processes[Input_Flow_I_4],,0,)</f>
        <v/>
      </c>
      <c r="W99" s="272">
        <f>_xlfn.XLOOKUP($D99,Tab_Def_Processes[Name(EN)],Tab_Def_Processes[Flow_ID_I_4],,0,)</f>
        <v/>
      </c>
      <c r="X99" s="180" t="n"/>
      <c r="Y99" s="29">
        <f>_xlfn.XLOOKUP($D99,Tab_Def_Processes[Name(EN)],Tab_Def_Processes[Input_Flow_I_5],,0,)</f>
        <v/>
      </c>
      <c r="Z99" s="272">
        <f>_xlfn.XLOOKUP($D99,Tab_Def_Processes[Name(EN)],Tab_Def_Processes[Flow_ID_I_5],,0,)</f>
        <v/>
      </c>
      <c r="AA99" s="180" t="n"/>
      <c r="AB99" s="39">
        <f>Tab_Process_TCs2527[[#This Row],[Flow_TC_I_1_'[%']]]+Tab_Process_TCs2527[[#This Row],[Flow_TC_I_2_'[%']]]+Tab_Process_TCs2527[[#This Row],[Flow_TC_I_3_'[%']]]+Tab_Process_TCs2527[[#This Row],[Flow_TC_I_4_'[%']]]+Tab_Process_TCs2527[[#This Row],[Flow_TC_I_5_'[%']]]</f>
        <v/>
      </c>
      <c r="AC99" s="296">
        <f>_xlfn.XLOOKUP($D99,#REF!,#REF!,,0,)</f>
        <v/>
      </c>
      <c r="AD99" s="272">
        <f>_xlfn.XLOOKUP($D99,#REF!,#REF!,,0,)</f>
        <v/>
      </c>
      <c r="AE99" s="42">
        <f>Tab_Process_TCs2527[[#This Row],[Flow_ID]]</f>
        <v/>
      </c>
      <c r="AF99" s="272">
        <f>"TC"&amp;"_"&amp;RIGHT(AD99,5)</f>
        <v/>
      </c>
      <c r="AG99" s="49" t="n">
        <v>0.4</v>
      </c>
      <c r="AH99" s="296">
        <f>_xlfn.XLOOKUP($D99,#REF!,#REF!,,0,)</f>
        <v/>
      </c>
      <c r="AI99" s="272">
        <f>_xlfn.XLOOKUP($D99,#REF!,#REF!,,0,)</f>
        <v/>
      </c>
      <c r="AJ99" s="42">
        <f>Tab_Process_TCs2527[[#This Row],[Flow_ID]]</f>
        <v/>
      </c>
      <c r="AK99" s="272">
        <f>"TC"&amp;"_"&amp;RIGHT(AI99,5)</f>
        <v/>
      </c>
      <c r="AL99" s="168" t="n">
        <v>0.6</v>
      </c>
      <c r="AM99" s="296">
        <f>_xlfn.XLOOKUP($D99,#REF!,#REF!,,0,)</f>
        <v/>
      </c>
      <c r="AN99" s="272">
        <f>_xlfn.XLOOKUP($D99,#REF!,#REF!,,0,)</f>
        <v/>
      </c>
      <c r="AO99" s="42">
        <f>Tab_Process_TCs2527[[#This Row],[Flow_ID]]</f>
        <v/>
      </c>
      <c r="AP99" s="272">
        <f>"TC"&amp;"_"&amp;RIGHT(AN99,5)</f>
        <v/>
      </c>
      <c r="AQ99" s="168" t="n"/>
      <c r="AR99" s="296">
        <f>_xlfn.XLOOKUP($D99,#REF!,#REF!,,0,)</f>
        <v/>
      </c>
      <c r="AS99" s="272">
        <f>_xlfn.XLOOKUP($D99,#REF!,#REF!,,0,)</f>
        <v/>
      </c>
      <c r="AT99" s="42">
        <f>Tab_Process_TCs2527[[#This Row],[Flow_ID]]</f>
        <v/>
      </c>
      <c r="AU99" s="42">
        <f>"TC"&amp;"_"&amp;RIGHT(AN99,5)</f>
        <v/>
      </c>
      <c r="AV99" s="168" t="n"/>
      <c r="AW99" s="296">
        <f>_xlfn.XLOOKUP($D99,#REF!,#REF!,,0,)</f>
        <v/>
      </c>
      <c r="AX99" s="272">
        <f>_xlfn.XLOOKUP($D99,#REF!,#REF!,,0,)</f>
        <v/>
      </c>
      <c r="AY99" s="42">
        <f>Tab_Process_TCs2527[[#This Row],[Flow_ID]]</f>
        <v/>
      </c>
      <c r="AZ99" s="42">
        <f>"TC"&amp;"_"&amp;RIGHT(AX99,5)</f>
        <v/>
      </c>
      <c r="BA99" s="168" t="n"/>
      <c r="BB99" s="272">
        <f>_xlfn.XLOOKUP($D99,#REF!,#REF!,,0,)</f>
        <v/>
      </c>
      <c r="BC99" s="272">
        <f>_xlfn.XLOOKUP($D99,#REF!,#REF!,,0,)</f>
        <v/>
      </c>
      <c r="BD99" s="42">
        <f>Tab_Process_TCs2527[[#This Row],[Flow_ID]]</f>
        <v/>
      </c>
      <c r="BE99" s="42">
        <f>"TC"&amp;"_"&amp;RIGHT(BC99,5)</f>
        <v/>
      </c>
      <c r="BF99" s="49" t="n"/>
      <c r="BG99" s="52">
        <f>Tab_Process_TCs2527[[#This Row],[TC O_6_'[%']]]+Tab_Process_TCs2527[[#This Row],[TC O_5_'[%']]]+Tab_Process_TCs2527[[#This Row],[TC_O_4_'[%']]]+Tab_Process_TCs2527[[#This Row],[TC_O_3_'[%']]]+Tab_Process_TCs2527[[#This Row],[TC_O_2_'[%']]]+Tab_Process_TCs2527[[#This Row],[TC_O_1_'[%']]]</f>
        <v/>
      </c>
      <c r="BH99" s="273" t="n"/>
      <c r="BI99" s="273" t="n"/>
      <c r="BJ99" s="273" t="n"/>
      <c r="BK99" s="273" t="n"/>
      <c r="BL99" s="273" t="n"/>
    </row>
    <row r="100">
      <c r="A100" s="280" t="b">
        <v>0</v>
      </c>
      <c r="B100" s="272">
        <f>ROW()-1</f>
        <v/>
      </c>
      <c r="C100" s="286">
        <f>_xlfn.XLOOKUP($D100,Tab_Process_TCs[Name(EN)],Tab_Process_TCs[Process_ID],,0,)</f>
        <v/>
      </c>
      <c r="D100" s="189" t="inlineStr">
        <is>
          <t>N.A.</t>
        </is>
      </c>
      <c r="E100" s="189" t="inlineStr">
        <is>
          <t>N.A.</t>
        </is>
      </c>
      <c r="F100" s="286">
        <f>_xlfn.XLOOKUP($D100,Tab_Process_TCs[Name(EN)],Tab_Process_TCs[TC?],,0,)</f>
        <v/>
      </c>
      <c r="G100" s="286">
        <f>_xlfn.XLOOKUP($D100,Tab_Process_TCs[Name(EN)],Tab_Process_TCs[Dyn_TC?],,0,)</f>
        <v/>
      </c>
      <c r="H100" s="272">
        <f>_xlfn.XLOOKUP($E100,Tab_Def_Flows[Name(EN)],Tab_Def_Flows[Flow_ID],,0,1)</f>
        <v/>
      </c>
      <c r="I100" s="272">
        <f>IF(Tab_Process_TCs2527[[#This Row],[Name(EN)]]="N.A.","N.A.","TC"&amp;"_"&amp;RIGHT(H100,5))</f>
        <v/>
      </c>
      <c r="J100" s="273" t="n"/>
      <c r="K100" s="183" t="n"/>
      <c r="L100" s="272" t="n"/>
      <c r="M100" s="296">
        <f>_xlfn.XLOOKUP($D100,Tab_Def_Processes[Name(EN)],Tab_Def_Processes[Input_Flow_I_1],,0,)</f>
        <v/>
      </c>
      <c r="N100" s="272">
        <f>_xlfn.XLOOKUP($D100,Tab_Def_Processes[Name(EN)],Tab_Def_Processes[Flow_ID_I_1],,0,)</f>
        <v/>
      </c>
      <c r="O100" s="180" t="n"/>
      <c r="P100" s="29">
        <f>_xlfn.XLOOKUP($D100,Tab_Def_Processes[Name(EN)],Tab_Def_Processes[Input_Flow_I_2],,0,)</f>
        <v/>
      </c>
      <c r="Q100" s="272">
        <f>_xlfn.XLOOKUP($D100,Tab_Def_Processes[Name(EN)],Tab_Def_Processes[Flow_ID_I_2],,0,)</f>
        <v/>
      </c>
      <c r="R100" s="180" t="n"/>
      <c r="S100" s="29">
        <f>_xlfn.XLOOKUP($D100,Tab_Def_Processes[Name(EN)],Tab_Def_Processes[Input_Flow_I_3],,0,)</f>
        <v/>
      </c>
      <c r="T100" s="272">
        <f>_xlfn.XLOOKUP($D100,Tab_Def_Processes[Name(EN)],Tab_Def_Processes[Flow_ID_I_3],,0,)</f>
        <v/>
      </c>
      <c r="U100" s="180" t="n"/>
      <c r="V100" s="29">
        <f>_xlfn.XLOOKUP($D100,Tab_Def_Processes[Name(EN)],Tab_Def_Processes[Input_Flow_I_4],,0,)</f>
        <v/>
      </c>
      <c r="W100" s="272">
        <f>_xlfn.XLOOKUP($D100,Tab_Def_Processes[Name(EN)],Tab_Def_Processes[Flow_ID_I_4],,0,)</f>
        <v/>
      </c>
      <c r="X100" s="180" t="n"/>
      <c r="Y100" s="29">
        <f>_xlfn.XLOOKUP($D100,Tab_Def_Processes[Name(EN)],Tab_Def_Processes[Input_Flow_I_5],,0,)</f>
        <v/>
      </c>
      <c r="Z100" s="272">
        <f>_xlfn.XLOOKUP($D100,Tab_Def_Processes[Name(EN)],Tab_Def_Processes[Flow_ID_I_5],,0,)</f>
        <v/>
      </c>
      <c r="AA100" s="180" t="n"/>
      <c r="AB100" s="39">
        <f>Tab_Process_TCs2527[[#This Row],[Flow_TC_I_1_'[%']]]+Tab_Process_TCs2527[[#This Row],[Flow_TC_I_2_'[%']]]+Tab_Process_TCs2527[[#This Row],[Flow_TC_I_3_'[%']]]+Tab_Process_TCs2527[[#This Row],[Flow_TC_I_4_'[%']]]+Tab_Process_TCs2527[[#This Row],[Flow_TC_I_5_'[%']]]</f>
        <v/>
      </c>
      <c r="AC100" s="296">
        <f>_xlfn.XLOOKUP($D100,#REF!,#REF!,,0,)</f>
        <v/>
      </c>
      <c r="AD100" s="272">
        <f>_xlfn.XLOOKUP($D100,#REF!,#REF!,,0,)</f>
        <v/>
      </c>
      <c r="AE100" s="42">
        <f>Tab_Process_TCs2527[[#This Row],[Flow_ID]]</f>
        <v/>
      </c>
      <c r="AF100" s="272">
        <f>"TC"&amp;"_"&amp;RIGHT(AD100,5)</f>
        <v/>
      </c>
      <c r="AG100" s="49" t="n">
        <v>0.4</v>
      </c>
      <c r="AH100" s="296">
        <f>_xlfn.XLOOKUP($D100,#REF!,#REF!,,0,)</f>
        <v/>
      </c>
      <c r="AI100" s="272">
        <f>_xlfn.XLOOKUP($D100,#REF!,#REF!,,0,)</f>
        <v/>
      </c>
      <c r="AJ100" s="42">
        <f>Tab_Process_TCs2527[[#This Row],[Flow_ID]]</f>
        <v/>
      </c>
      <c r="AK100" s="272">
        <f>"TC"&amp;"_"&amp;RIGHT(AI100,5)</f>
        <v/>
      </c>
      <c r="AL100" s="168" t="n">
        <v>0.6</v>
      </c>
      <c r="AM100" s="296">
        <f>_xlfn.XLOOKUP($D100,#REF!,#REF!,,0,)</f>
        <v/>
      </c>
      <c r="AN100" s="272">
        <f>_xlfn.XLOOKUP($D100,#REF!,#REF!,,0,)</f>
        <v/>
      </c>
      <c r="AO100" s="42">
        <f>Tab_Process_TCs2527[[#This Row],[Flow_ID]]</f>
        <v/>
      </c>
      <c r="AP100" s="272">
        <f>"TC"&amp;"_"&amp;RIGHT(AN100,5)</f>
        <v/>
      </c>
      <c r="AQ100" s="168" t="n"/>
      <c r="AR100" s="296">
        <f>_xlfn.XLOOKUP($D100,#REF!,#REF!,,0,)</f>
        <v/>
      </c>
      <c r="AS100" s="272">
        <f>_xlfn.XLOOKUP($D100,#REF!,#REF!,,0,)</f>
        <v/>
      </c>
      <c r="AT100" s="42">
        <f>Tab_Process_TCs2527[[#This Row],[Flow_ID]]</f>
        <v/>
      </c>
      <c r="AU100" s="42">
        <f>"TC"&amp;"_"&amp;RIGHT(AN100,5)</f>
        <v/>
      </c>
      <c r="AV100" s="168" t="n"/>
      <c r="AW100" s="296">
        <f>_xlfn.XLOOKUP($D100,#REF!,#REF!,,0,)</f>
        <v/>
      </c>
      <c r="AX100" s="272">
        <f>_xlfn.XLOOKUP($D100,#REF!,#REF!,,0,)</f>
        <v/>
      </c>
      <c r="AY100" s="42">
        <f>Tab_Process_TCs2527[[#This Row],[Flow_ID]]</f>
        <v/>
      </c>
      <c r="AZ100" s="42">
        <f>"TC"&amp;"_"&amp;RIGHT(AX100,5)</f>
        <v/>
      </c>
      <c r="BA100" s="168" t="n"/>
      <c r="BB100" s="272">
        <f>_xlfn.XLOOKUP($D100,#REF!,#REF!,,0,)</f>
        <v/>
      </c>
      <c r="BC100" s="272">
        <f>_xlfn.XLOOKUP($D100,#REF!,#REF!,,0,)</f>
        <v/>
      </c>
      <c r="BD100" s="42">
        <f>Tab_Process_TCs2527[[#This Row],[Flow_ID]]</f>
        <v/>
      </c>
      <c r="BE100" s="42">
        <f>"TC"&amp;"_"&amp;RIGHT(BC100,5)</f>
        <v/>
      </c>
      <c r="BF100" s="49" t="n"/>
      <c r="BG100" s="52">
        <f>Tab_Process_TCs2527[[#This Row],[TC O_6_'[%']]]+Tab_Process_TCs2527[[#This Row],[TC O_5_'[%']]]+Tab_Process_TCs2527[[#This Row],[TC_O_4_'[%']]]+Tab_Process_TCs2527[[#This Row],[TC_O_3_'[%']]]+Tab_Process_TCs2527[[#This Row],[TC_O_2_'[%']]]+Tab_Process_TCs2527[[#This Row],[TC_O_1_'[%']]]</f>
        <v/>
      </c>
      <c r="BH100" s="273" t="n"/>
      <c r="BI100" s="273" t="n"/>
      <c r="BJ100" s="273" t="n"/>
      <c r="BK100" s="273" t="n"/>
      <c r="BL100" s="273" t="n"/>
    </row>
    <row r="101">
      <c r="A101" s="280" t="b">
        <v>0</v>
      </c>
      <c r="B101" s="272">
        <f>ROW()-1</f>
        <v/>
      </c>
      <c r="C101" s="286">
        <f>_xlfn.XLOOKUP($D101,Tab_Process_TCs[Name(EN)],Tab_Process_TCs[Process_ID],,0,)</f>
        <v/>
      </c>
      <c r="D101" s="189" t="inlineStr">
        <is>
          <t>N.A.</t>
        </is>
      </c>
      <c r="E101" s="189" t="inlineStr">
        <is>
          <t>N.A.</t>
        </is>
      </c>
      <c r="F101" s="286">
        <f>_xlfn.XLOOKUP($D101,Tab_Process_TCs[Name(EN)],Tab_Process_TCs[TC?],,0,)</f>
        <v/>
      </c>
      <c r="G101" s="286">
        <f>_xlfn.XLOOKUP($D101,Tab_Process_TCs[Name(EN)],Tab_Process_TCs[Dyn_TC?],,0,)</f>
        <v/>
      </c>
      <c r="H101" s="272">
        <f>_xlfn.XLOOKUP($E101,Tab_Def_Flows[Name(EN)],Tab_Def_Flows[Flow_ID],,0,1)</f>
        <v/>
      </c>
      <c r="I101" s="272">
        <f>IF(Tab_Process_TCs2527[[#This Row],[Name(EN)]]="N.A.","N.A.","TC"&amp;"_"&amp;RIGHT(H101,5))</f>
        <v/>
      </c>
      <c r="J101" s="273" t="n"/>
      <c r="K101" s="183" t="n"/>
      <c r="L101" s="272" t="n"/>
      <c r="M101" s="296">
        <f>_xlfn.XLOOKUP($D101,Tab_Def_Processes[Name(EN)],Tab_Def_Processes[Input_Flow_I_1],,0,)</f>
        <v/>
      </c>
      <c r="N101" s="272">
        <f>_xlfn.XLOOKUP($D101,Tab_Def_Processes[Name(EN)],Tab_Def_Processes[Flow_ID_I_1],,0,)</f>
        <v/>
      </c>
      <c r="O101" s="180" t="n"/>
      <c r="P101" s="29">
        <f>_xlfn.XLOOKUP($D101,Tab_Def_Processes[Name(EN)],Tab_Def_Processes[Input_Flow_I_2],,0,)</f>
        <v/>
      </c>
      <c r="Q101" s="272">
        <f>_xlfn.XLOOKUP($D101,Tab_Def_Processes[Name(EN)],Tab_Def_Processes[Flow_ID_I_2],,0,)</f>
        <v/>
      </c>
      <c r="R101" s="180" t="n"/>
      <c r="S101" s="29">
        <f>_xlfn.XLOOKUP($D101,Tab_Def_Processes[Name(EN)],Tab_Def_Processes[Input_Flow_I_3],,0,)</f>
        <v/>
      </c>
      <c r="T101" s="272">
        <f>_xlfn.XLOOKUP($D101,Tab_Def_Processes[Name(EN)],Tab_Def_Processes[Flow_ID_I_3],,0,)</f>
        <v/>
      </c>
      <c r="U101" s="180" t="n"/>
      <c r="V101" s="29">
        <f>_xlfn.XLOOKUP($D101,Tab_Def_Processes[Name(EN)],Tab_Def_Processes[Input_Flow_I_4],,0,)</f>
        <v/>
      </c>
      <c r="W101" s="272">
        <f>_xlfn.XLOOKUP($D101,Tab_Def_Processes[Name(EN)],Tab_Def_Processes[Flow_ID_I_4],,0,)</f>
        <v/>
      </c>
      <c r="X101" s="180" t="n"/>
      <c r="Y101" s="29">
        <f>_xlfn.XLOOKUP($D101,Tab_Def_Processes[Name(EN)],Tab_Def_Processes[Input_Flow_I_5],,0,)</f>
        <v/>
      </c>
      <c r="Z101" s="272">
        <f>_xlfn.XLOOKUP($D101,Tab_Def_Processes[Name(EN)],Tab_Def_Processes[Flow_ID_I_5],,0,)</f>
        <v/>
      </c>
      <c r="AA101" s="180" t="n"/>
      <c r="AB101" s="39">
        <f>Tab_Process_TCs2527[[#This Row],[Flow_TC_I_1_'[%']]]+Tab_Process_TCs2527[[#This Row],[Flow_TC_I_2_'[%']]]+Tab_Process_TCs2527[[#This Row],[Flow_TC_I_3_'[%']]]+Tab_Process_TCs2527[[#This Row],[Flow_TC_I_4_'[%']]]+Tab_Process_TCs2527[[#This Row],[Flow_TC_I_5_'[%']]]</f>
        <v/>
      </c>
      <c r="AC101" s="296">
        <f>_xlfn.XLOOKUP($D101,#REF!,#REF!,,0,)</f>
        <v/>
      </c>
      <c r="AD101" s="272">
        <f>_xlfn.XLOOKUP($D101,#REF!,#REF!,,0,)</f>
        <v/>
      </c>
      <c r="AE101" s="42">
        <f>Tab_Process_TCs2527[[#This Row],[Flow_ID]]</f>
        <v/>
      </c>
      <c r="AF101" s="272">
        <f>"TC"&amp;"_"&amp;RIGHT(AD101,5)</f>
        <v/>
      </c>
      <c r="AG101" s="49" t="n">
        <v>0.4</v>
      </c>
      <c r="AH101" s="296">
        <f>_xlfn.XLOOKUP($D101,#REF!,#REF!,,0,)</f>
        <v/>
      </c>
      <c r="AI101" s="272">
        <f>_xlfn.XLOOKUP($D101,#REF!,#REF!,,0,)</f>
        <v/>
      </c>
      <c r="AJ101" s="42">
        <f>Tab_Process_TCs2527[[#This Row],[Flow_ID]]</f>
        <v/>
      </c>
      <c r="AK101" s="272">
        <f>"TC"&amp;"_"&amp;RIGHT(AI101,5)</f>
        <v/>
      </c>
      <c r="AL101" s="168" t="n">
        <v>0.6</v>
      </c>
      <c r="AM101" s="296">
        <f>_xlfn.XLOOKUP($D101,#REF!,#REF!,,0,)</f>
        <v/>
      </c>
      <c r="AN101" s="272">
        <f>_xlfn.XLOOKUP($D101,#REF!,#REF!,,0,)</f>
        <v/>
      </c>
      <c r="AO101" s="42">
        <f>Tab_Process_TCs2527[[#This Row],[Flow_ID]]</f>
        <v/>
      </c>
      <c r="AP101" s="272">
        <f>"TC"&amp;"_"&amp;RIGHT(AN101,5)</f>
        <v/>
      </c>
      <c r="AQ101" s="168" t="n"/>
      <c r="AR101" s="296">
        <f>_xlfn.XLOOKUP($D101,#REF!,#REF!,,0,)</f>
        <v/>
      </c>
      <c r="AS101" s="272">
        <f>_xlfn.XLOOKUP($D101,#REF!,#REF!,,0,)</f>
        <v/>
      </c>
      <c r="AT101" s="42">
        <f>Tab_Process_TCs2527[[#This Row],[Flow_ID]]</f>
        <v/>
      </c>
      <c r="AU101" s="42">
        <f>"TC"&amp;"_"&amp;RIGHT(AN101,5)</f>
        <v/>
      </c>
      <c r="AV101" s="168" t="n"/>
      <c r="AW101" s="296">
        <f>_xlfn.XLOOKUP($D101,#REF!,#REF!,,0,)</f>
        <v/>
      </c>
      <c r="AX101" s="272">
        <f>_xlfn.XLOOKUP($D101,#REF!,#REF!,,0,)</f>
        <v/>
      </c>
      <c r="AY101" s="42">
        <f>Tab_Process_TCs2527[[#This Row],[Flow_ID]]</f>
        <v/>
      </c>
      <c r="AZ101" s="42">
        <f>"TC"&amp;"_"&amp;RIGHT(AX101,5)</f>
        <v/>
      </c>
      <c r="BA101" s="168" t="n"/>
      <c r="BB101" s="272">
        <f>_xlfn.XLOOKUP($D101,#REF!,#REF!,,0,)</f>
        <v/>
      </c>
      <c r="BC101" s="272">
        <f>_xlfn.XLOOKUP($D101,#REF!,#REF!,,0,)</f>
        <v/>
      </c>
      <c r="BD101" s="42">
        <f>Tab_Process_TCs2527[[#This Row],[Flow_ID]]</f>
        <v/>
      </c>
      <c r="BE101" s="42">
        <f>"TC"&amp;"_"&amp;RIGHT(BC101,5)</f>
        <v/>
      </c>
      <c r="BF101" s="49" t="n"/>
      <c r="BG101" s="52">
        <f>Tab_Process_TCs2527[[#This Row],[TC O_6_'[%']]]+Tab_Process_TCs2527[[#This Row],[TC O_5_'[%']]]+Tab_Process_TCs2527[[#This Row],[TC_O_4_'[%']]]+Tab_Process_TCs2527[[#This Row],[TC_O_3_'[%']]]+Tab_Process_TCs2527[[#This Row],[TC_O_2_'[%']]]+Tab_Process_TCs2527[[#This Row],[TC_O_1_'[%']]]</f>
        <v/>
      </c>
      <c r="BH101" s="273" t="n"/>
      <c r="BI101" s="273" t="n"/>
      <c r="BJ101" s="273" t="n"/>
      <c r="BK101" s="273" t="n"/>
      <c r="BL101" s="273" t="n"/>
    </row>
    <row r="102">
      <c r="A102" s="280" t="b">
        <v>0</v>
      </c>
      <c r="B102" s="272">
        <f>ROW()-1</f>
        <v/>
      </c>
      <c r="C102" s="286">
        <f>_xlfn.XLOOKUP($D102,Tab_Process_TCs[Name(EN)],Tab_Process_TCs[Process_ID],,0,)</f>
        <v/>
      </c>
      <c r="D102" s="189" t="inlineStr">
        <is>
          <t>N.A.</t>
        </is>
      </c>
      <c r="E102" s="189" t="inlineStr">
        <is>
          <t>N.A.</t>
        </is>
      </c>
      <c r="F102" s="286">
        <f>_xlfn.XLOOKUP($D102,Tab_Process_TCs[Name(EN)],Tab_Process_TCs[TC?],,0,)</f>
        <v/>
      </c>
      <c r="G102" s="286">
        <f>_xlfn.XLOOKUP($D102,Tab_Process_TCs[Name(EN)],Tab_Process_TCs[Dyn_TC?],,0,)</f>
        <v/>
      </c>
      <c r="H102" s="272">
        <f>_xlfn.XLOOKUP($E102,Tab_Def_Flows[Name(EN)],Tab_Def_Flows[Flow_ID],,0,1)</f>
        <v/>
      </c>
      <c r="I102" s="272">
        <f>IF(Tab_Process_TCs2527[[#This Row],[Name(EN)]]="N.A.","N.A.","TC"&amp;"_"&amp;RIGHT(H102,5))</f>
        <v/>
      </c>
      <c r="J102" s="273" t="n"/>
      <c r="K102" s="183" t="n"/>
      <c r="L102" s="272" t="n"/>
      <c r="M102" s="296">
        <f>_xlfn.XLOOKUP($D102,Tab_Def_Processes[Name(EN)],Tab_Def_Processes[Input_Flow_I_1],,0,)</f>
        <v/>
      </c>
      <c r="N102" s="272">
        <f>_xlfn.XLOOKUP($D102,Tab_Def_Processes[Name(EN)],Tab_Def_Processes[Flow_ID_I_1],,0,)</f>
        <v/>
      </c>
      <c r="O102" s="180" t="n"/>
      <c r="P102" s="29">
        <f>_xlfn.XLOOKUP($D102,Tab_Def_Processes[Name(EN)],Tab_Def_Processes[Input_Flow_I_2],,0,)</f>
        <v/>
      </c>
      <c r="Q102" s="272">
        <f>_xlfn.XLOOKUP($D102,Tab_Def_Processes[Name(EN)],Tab_Def_Processes[Flow_ID_I_2],,0,)</f>
        <v/>
      </c>
      <c r="R102" s="180" t="n"/>
      <c r="S102" s="29">
        <f>_xlfn.XLOOKUP($D102,Tab_Def_Processes[Name(EN)],Tab_Def_Processes[Input_Flow_I_3],,0,)</f>
        <v/>
      </c>
      <c r="T102" s="272">
        <f>_xlfn.XLOOKUP($D102,Tab_Def_Processes[Name(EN)],Tab_Def_Processes[Flow_ID_I_3],,0,)</f>
        <v/>
      </c>
      <c r="U102" s="180" t="n"/>
      <c r="V102" s="29">
        <f>_xlfn.XLOOKUP($D102,Tab_Def_Processes[Name(EN)],Tab_Def_Processes[Input_Flow_I_4],,0,)</f>
        <v/>
      </c>
      <c r="W102" s="272">
        <f>_xlfn.XLOOKUP($D102,Tab_Def_Processes[Name(EN)],Tab_Def_Processes[Flow_ID_I_4],,0,)</f>
        <v/>
      </c>
      <c r="X102" s="180" t="n"/>
      <c r="Y102" s="29">
        <f>_xlfn.XLOOKUP($D102,Tab_Def_Processes[Name(EN)],Tab_Def_Processes[Input_Flow_I_5],,0,)</f>
        <v/>
      </c>
      <c r="Z102" s="272">
        <f>_xlfn.XLOOKUP($D102,Tab_Def_Processes[Name(EN)],Tab_Def_Processes[Flow_ID_I_5],,0,)</f>
        <v/>
      </c>
      <c r="AA102" s="180" t="n"/>
      <c r="AB102" s="39">
        <f>Tab_Process_TCs2527[[#This Row],[Flow_TC_I_1_'[%']]]+Tab_Process_TCs2527[[#This Row],[Flow_TC_I_2_'[%']]]+Tab_Process_TCs2527[[#This Row],[Flow_TC_I_3_'[%']]]+Tab_Process_TCs2527[[#This Row],[Flow_TC_I_4_'[%']]]+Tab_Process_TCs2527[[#This Row],[Flow_TC_I_5_'[%']]]</f>
        <v/>
      </c>
      <c r="AC102" s="296">
        <f>_xlfn.XLOOKUP($D102,#REF!,#REF!,,0,)</f>
        <v/>
      </c>
      <c r="AD102" s="272">
        <f>_xlfn.XLOOKUP($D102,#REF!,#REF!,,0,)</f>
        <v/>
      </c>
      <c r="AE102" s="42">
        <f>Tab_Process_TCs2527[[#This Row],[Flow_ID]]</f>
        <v/>
      </c>
      <c r="AF102" s="272">
        <f>"TC"&amp;"_"&amp;RIGHT(AD102,5)</f>
        <v/>
      </c>
      <c r="AG102" s="49" t="n">
        <v>0.4</v>
      </c>
      <c r="AH102" s="296">
        <f>_xlfn.XLOOKUP($D102,#REF!,#REF!,,0,)</f>
        <v/>
      </c>
      <c r="AI102" s="272">
        <f>_xlfn.XLOOKUP($D102,#REF!,#REF!,,0,)</f>
        <v/>
      </c>
      <c r="AJ102" s="42">
        <f>Tab_Process_TCs2527[[#This Row],[Flow_ID]]</f>
        <v/>
      </c>
      <c r="AK102" s="272">
        <f>"TC"&amp;"_"&amp;RIGHT(AI102,5)</f>
        <v/>
      </c>
      <c r="AL102" s="168" t="n">
        <v>0.6</v>
      </c>
      <c r="AM102" s="296">
        <f>_xlfn.XLOOKUP($D102,#REF!,#REF!,,0,)</f>
        <v/>
      </c>
      <c r="AN102" s="272">
        <f>_xlfn.XLOOKUP($D102,#REF!,#REF!,,0,)</f>
        <v/>
      </c>
      <c r="AO102" s="42">
        <f>Tab_Process_TCs2527[[#This Row],[Flow_ID]]</f>
        <v/>
      </c>
      <c r="AP102" s="272">
        <f>"TC"&amp;"_"&amp;RIGHT(AN102,5)</f>
        <v/>
      </c>
      <c r="AQ102" s="168" t="n"/>
      <c r="AR102" s="296">
        <f>_xlfn.XLOOKUP($D102,#REF!,#REF!,,0,)</f>
        <v/>
      </c>
      <c r="AS102" s="272">
        <f>_xlfn.XLOOKUP($D102,#REF!,#REF!,,0,)</f>
        <v/>
      </c>
      <c r="AT102" s="42">
        <f>Tab_Process_TCs2527[[#This Row],[Flow_ID]]</f>
        <v/>
      </c>
      <c r="AU102" s="42">
        <f>"TC"&amp;"_"&amp;RIGHT(AN102,5)</f>
        <v/>
      </c>
      <c r="AV102" s="168" t="n"/>
      <c r="AW102" s="296">
        <f>_xlfn.XLOOKUP($D102,#REF!,#REF!,,0,)</f>
        <v/>
      </c>
      <c r="AX102" s="272">
        <f>_xlfn.XLOOKUP($D102,#REF!,#REF!,,0,)</f>
        <v/>
      </c>
      <c r="AY102" s="42">
        <f>Tab_Process_TCs2527[[#This Row],[Flow_ID]]</f>
        <v/>
      </c>
      <c r="AZ102" s="42">
        <f>"TC"&amp;"_"&amp;RIGHT(AX102,5)</f>
        <v/>
      </c>
      <c r="BA102" s="168" t="n"/>
      <c r="BB102" s="272">
        <f>_xlfn.XLOOKUP($D102,#REF!,#REF!,,0,)</f>
        <v/>
      </c>
      <c r="BC102" s="272">
        <f>_xlfn.XLOOKUP($D102,#REF!,#REF!,,0,)</f>
        <v/>
      </c>
      <c r="BD102" s="42">
        <f>Tab_Process_TCs2527[[#This Row],[Flow_ID]]</f>
        <v/>
      </c>
      <c r="BE102" s="42">
        <f>"TC"&amp;"_"&amp;RIGHT(BC102,5)</f>
        <v/>
      </c>
      <c r="BF102" s="49" t="n"/>
      <c r="BG102" s="52">
        <f>Tab_Process_TCs2527[[#This Row],[TC O_6_'[%']]]+Tab_Process_TCs2527[[#This Row],[TC O_5_'[%']]]+Tab_Process_TCs2527[[#This Row],[TC_O_4_'[%']]]+Tab_Process_TCs2527[[#This Row],[TC_O_3_'[%']]]+Tab_Process_TCs2527[[#This Row],[TC_O_2_'[%']]]+Tab_Process_TCs2527[[#This Row],[TC_O_1_'[%']]]</f>
        <v/>
      </c>
      <c r="BH102" s="273" t="n"/>
      <c r="BI102" s="273" t="n"/>
      <c r="BJ102" s="273" t="n"/>
      <c r="BK102" s="273" t="n"/>
      <c r="BL102" s="273" t="n"/>
    </row>
    <row r="103">
      <c r="A103" s="280" t="b">
        <v>0</v>
      </c>
      <c r="B103" s="272">
        <f>ROW()-1</f>
        <v/>
      </c>
      <c r="C103" s="286">
        <f>_xlfn.XLOOKUP($D103,Tab_Process_TCs[Name(EN)],Tab_Process_TCs[Process_ID],,0,)</f>
        <v/>
      </c>
      <c r="D103" s="189" t="inlineStr">
        <is>
          <t>N.A.</t>
        </is>
      </c>
      <c r="E103" s="189" t="inlineStr">
        <is>
          <t>N.A.</t>
        </is>
      </c>
      <c r="F103" s="286">
        <f>_xlfn.XLOOKUP($D103,Tab_Process_TCs[Name(EN)],Tab_Process_TCs[TC?],,0,)</f>
        <v/>
      </c>
      <c r="G103" s="286">
        <f>_xlfn.XLOOKUP($D103,Tab_Process_TCs[Name(EN)],Tab_Process_TCs[Dyn_TC?],,0,)</f>
        <v/>
      </c>
      <c r="H103" s="272">
        <f>_xlfn.XLOOKUP($E103,Tab_Def_Flows[Name(EN)],Tab_Def_Flows[Flow_ID],,0,1)</f>
        <v/>
      </c>
      <c r="I103" s="272">
        <f>IF(Tab_Process_TCs2527[[#This Row],[Name(EN)]]="N.A.","N.A.","TC"&amp;"_"&amp;RIGHT(H103,5))</f>
        <v/>
      </c>
      <c r="J103" s="273" t="n"/>
      <c r="K103" s="183" t="n"/>
      <c r="L103" s="272" t="n"/>
      <c r="M103" s="296">
        <f>_xlfn.XLOOKUP($D103,Tab_Def_Processes[Name(EN)],Tab_Def_Processes[Input_Flow_I_1],,0,)</f>
        <v/>
      </c>
      <c r="N103" s="272">
        <f>_xlfn.XLOOKUP($D103,Tab_Def_Processes[Name(EN)],Tab_Def_Processes[Flow_ID_I_1],,0,)</f>
        <v/>
      </c>
      <c r="O103" s="180" t="n"/>
      <c r="P103" s="29">
        <f>_xlfn.XLOOKUP($D103,Tab_Def_Processes[Name(EN)],Tab_Def_Processes[Input_Flow_I_2],,0,)</f>
        <v/>
      </c>
      <c r="Q103" s="272">
        <f>_xlfn.XLOOKUP($D103,Tab_Def_Processes[Name(EN)],Tab_Def_Processes[Flow_ID_I_2],,0,)</f>
        <v/>
      </c>
      <c r="R103" s="180" t="n"/>
      <c r="S103" s="29">
        <f>_xlfn.XLOOKUP($D103,Tab_Def_Processes[Name(EN)],Tab_Def_Processes[Input_Flow_I_3],,0,)</f>
        <v/>
      </c>
      <c r="T103" s="272">
        <f>_xlfn.XLOOKUP($D103,Tab_Def_Processes[Name(EN)],Tab_Def_Processes[Flow_ID_I_3],,0,)</f>
        <v/>
      </c>
      <c r="U103" s="180" t="n"/>
      <c r="V103" s="29">
        <f>_xlfn.XLOOKUP($D103,Tab_Def_Processes[Name(EN)],Tab_Def_Processes[Input_Flow_I_4],,0,)</f>
        <v/>
      </c>
      <c r="W103" s="272">
        <f>_xlfn.XLOOKUP($D103,Tab_Def_Processes[Name(EN)],Tab_Def_Processes[Flow_ID_I_4],,0,)</f>
        <v/>
      </c>
      <c r="X103" s="180" t="n"/>
      <c r="Y103" s="29">
        <f>_xlfn.XLOOKUP($D103,Tab_Def_Processes[Name(EN)],Tab_Def_Processes[Input_Flow_I_5],,0,)</f>
        <v/>
      </c>
      <c r="Z103" s="272">
        <f>_xlfn.XLOOKUP($D103,Tab_Def_Processes[Name(EN)],Tab_Def_Processes[Flow_ID_I_5],,0,)</f>
        <v/>
      </c>
      <c r="AA103" s="180" t="n"/>
      <c r="AB103" s="39">
        <f>Tab_Process_TCs2527[[#This Row],[Flow_TC_I_1_'[%']]]+Tab_Process_TCs2527[[#This Row],[Flow_TC_I_2_'[%']]]+Tab_Process_TCs2527[[#This Row],[Flow_TC_I_3_'[%']]]+Tab_Process_TCs2527[[#This Row],[Flow_TC_I_4_'[%']]]+Tab_Process_TCs2527[[#This Row],[Flow_TC_I_5_'[%']]]</f>
        <v/>
      </c>
      <c r="AC103" s="296">
        <f>_xlfn.XLOOKUP($D103,#REF!,#REF!,,0,)</f>
        <v/>
      </c>
      <c r="AD103" s="272">
        <f>_xlfn.XLOOKUP($D103,#REF!,#REF!,,0,)</f>
        <v/>
      </c>
      <c r="AE103" s="42">
        <f>Tab_Process_TCs2527[[#This Row],[Flow_ID]]</f>
        <v/>
      </c>
      <c r="AF103" s="272">
        <f>"TC"&amp;"_"&amp;RIGHT(AD103,5)</f>
        <v/>
      </c>
      <c r="AG103" s="49" t="n">
        <v>0.4</v>
      </c>
      <c r="AH103" s="296">
        <f>_xlfn.XLOOKUP($D103,#REF!,#REF!,,0,)</f>
        <v/>
      </c>
      <c r="AI103" s="272">
        <f>_xlfn.XLOOKUP($D103,#REF!,#REF!,,0,)</f>
        <v/>
      </c>
      <c r="AJ103" s="42">
        <f>Tab_Process_TCs2527[[#This Row],[Flow_ID]]</f>
        <v/>
      </c>
      <c r="AK103" s="272">
        <f>"TC"&amp;"_"&amp;RIGHT(AI103,5)</f>
        <v/>
      </c>
      <c r="AL103" s="168" t="n">
        <v>0.6</v>
      </c>
      <c r="AM103" s="296">
        <f>_xlfn.XLOOKUP($D103,#REF!,#REF!,,0,)</f>
        <v/>
      </c>
      <c r="AN103" s="272">
        <f>_xlfn.XLOOKUP($D103,#REF!,#REF!,,0,)</f>
        <v/>
      </c>
      <c r="AO103" s="42">
        <f>Tab_Process_TCs2527[[#This Row],[Flow_ID]]</f>
        <v/>
      </c>
      <c r="AP103" s="272">
        <f>"TC"&amp;"_"&amp;RIGHT(AN103,5)</f>
        <v/>
      </c>
      <c r="AQ103" s="168" t="n"/>
      <c r="AR103" s="296">
        <f>_xlfn.XLOOKUP($D103,#REF!,#REF!,,0,)</f>
        <v/>
      </c>
      <c r="AS103" s="272">
        <f>_xlfn.XLOOKUP($D103,#REF!,#REF!,,0,)</f>
        <v/>
      </c>
      <c r="AT103" s="42">
        <f>Tab_Process_TCs2527[[#This Row],[Flow_ID]]</f>
        <v/>
      </c>
      <c r="AU103" s="42">
        <f>"TC"&amp;"_"&amp;RIGHT(AN103,5)</f>
        <v/>
      </c>
      <c r="AV103" s="168" t="n"/>
      <c r="AW103" s="296">
        <f>_xlfn.XLOOKUP($D103,#REF!,#REF!,,0,)</f>
        <v/>
      </c>
      <c r="AX103" s="272">
        <f>_xlfn.XLOOKUP($D103,#REF!,#REF!,,0,)</f>
        <v/>
      </c>
      <c r="AY103" s="42">
        <f>Tab_Process_TCs2527[[#This Row],[Flow_ID]]</f>
        <v/>
      </c>
      <c r="AZ103" s="42">
        <f>"TC"&amp;"_"&amp;RIGHT(AX103,5)</f>
        <v/>
      </c>
      <c r="BA103" s="168" t="n"/>
      <c r="BB103" s="272">
        <f>_xlfn.XLOOKUP($D103,#REF!,#REF!,,0,)</f>
        <v/>
      </c>
      <c r="BC103" s="272">
        <f>_xlfn.XLOOKUP($D103,#REF!,#REF!,,0,)</f>
        <v/>
      </c>
      <c r="BD103" s="42">
        <f>Tab_Process_TCs2527[[#This Row],[Flow_ID]]</f>
        <v/>
      </c>
      <c r="BE103" s="42">
        <f>"TC"&amp;"_"&amp;RIGHT(BC103,5)</f>
        <v/>
      </c>
      <c r="BF103" s="49" t="n"/>
      <c r="BG103" s="52">
        <f>Tab_Process_TCs2527[[#This Row],[TC O_6_'[%']]]+Tab_Process_TCs2527[[#This Row],[TC O_5_'[%']]]+Tab_Process_TCs2527[[#This Row],[TC_O_4_'[%']]]+Tab_Process_TCs2527[[#This Row],[TC_O_3_'[%']]]+Tab_Process_TCs2527[[#This Row],[TC_O_2_'[%']]]+Tab_Process_TCs2527[[#This Row],[TC_O_1_'[%']]]</f>
        <v/>
      </c>
      <c r="BH103" s="273" t="n"/>
      <c r="BI103" s="273" t="n"/>
      <c r="BJ103" s="273" t="n"/>
      <c r="BK103" s="273" t="n"/>
      <c r="BL103" s="273" t="n"/>
    </row>
    <row r="104">
      <c r="A104" s="280" t="b">
        <v>0</v>
      </c>
      <c r="B104" s="272">
        <f>ROW()-1</f>
        <v/>
      </c>
      <c r="C104" s="286">
        <f>_xlfn.XLOOKUP($D104,Tab_Process_TCs[Name(EN)],Tab_Process_TCs[Process_ID],,0,)</f>
        <v/>
      </c>
      <c r="D104" s="189" t="inlineStr">
        <is>
          <t>N.A.</t>
        </is>
      </c>
      <c r="E104" s="189" t="inlineStr">
        <is>
          <t>N.A.</t>
        </is>
      </c>
      <c r="F104" s="286">
        <f>_xlfn.XLOOKUP($D104,Tab_Process_TCs[Name(EN)],Tab_Process_TCs[TC?],,0,)</f>
        <v/>
      </c>
      <c r="G104" s="286">
        <f>_xlfn.XLOOKUP($D104,Tab_Process_TCs[Name(EN)],Tab_Process_TCs[Dyn_TC?],,0,)</f>
        <v/>
      </c>
      <c r="H104" s="272">
        <f>_xlfn.XLOOKUP($E104,Tab_Def_Flows[Name(EN)],Tab_Def_Flows[Flow_ID],,0,1)</f>
        <v/>
      </c>
      <c r="I104" s="272">
        <f>IF(Tab_Process_TCs2527[[#This Row],[Name(EN)]]="N.A.","N.A.","TC"&amp;"_"&amp;RIGHT(H104,5))</f>
        <v/>
      </c>
      <c r="J104" s="273" t="n"/>
      <c r="K104" s="183" t="n"/>
      <c r="L104" s="272" t="n"/>
      <c r="M104" s="296">
        <f>_xlfn.XLOOKUP($D104,Tab_Def_Processes[Name(EN)],Tab_Def_Processes[Input_Flow_I_1],,0,)</f>
        <v/>
      </c>
      <c r="N104" s="272">
        <f>_xlfn.XLOOKUP($D104,Tab_Def_Processes[Name(EN)],Tab_Def_Processes[Flow_ID_I_1],,0,)</f>
        <v/>
      </c>
      <c r="O104" s="180" t="n"/>
      <c r="P104" s="29">
        <f>_xlfn.XLOOKUP($D104,Tab_Def_Processes[Name(EN)],Tab_Def_Processes[Input_Flow_I_2],,0,)</f>
        <v/>
      </c>
      <c r="Q104" s="272">
        <f>_xlfn.XLOOKUP($D104,Tab_Def_Processes[Name(EN)],Tab_Def_Processes[Flow_ID_I_2],,0,)</f>
        <v/>
      </c>
      <c r="R104" s="180" t="n"/>
      <c r="S104" s="29">
        <f>_xlfn.XLOOKUP($D104,Tab_Def_Processes[Name(EN)],Tab_Def_Processes[Input_Flow_I_3],,0,)</f>
        <v/>
      </c>
      <c r="T104" s="272">
        <f>_xlfn.XLOOKUP($D104,Tab_Def_Processes[Name(EN)],Tab_Def_Processes[Flow_ID_I_3],,0,)</f>
        <v/>
      </c>
      <c r="U104" s="180" t="n"/>
      <c r="V104" s="29">
        <f>_xlfn.XLOOKUP($D104,Tab_Def_Processes[Name(EN)],Tab_Def_Processes[Input_Flow_I_4],,0,)</f>
        <v/>
      </c>
      <c r="W104" s="272">
        <f>_xlfn.XLOOKUP($D104,Tab_Def_Processes[Name(EN)],Tab_Def_Processes[Flow_ID_I_4],,0,)</f>
        <v/>
      </c>
      <c r="X104" s="180" t="n"/>
      <c r="Y104" s="29">
        <f>_xlfn.XLOOKUP($D104,Tab_Def_Processes[Name(EN)],Tab_Def_Processes[Input_Flow_I_5],,0,)</f>
        <v/>
      </c>
      <c r="Z104" s="272">
        <f>_xlfn.XLOOKUP($D104,Tab_Def_Processes[Name(EN)],Tab_Def_Processes[Flow_ID_I_5],,0,)</f>
        <v/>
      </c>
      <c r="AA104" s="180" t="n"/>
      <c r="AB104" s="39">
        <f>Tab_Process_TCs2527[[#This Row],[Flow_TC_I_1_'[%']]]+Tab_Process_TCs2527[[#This Row],[Flow_TC_I_2_'[%']]]+Tab_Process_TCs2527[[#This Row],[Flow_TC_I_3_'[%']]]+Tab_Process_TCs2527[[#This Row],[Flow_TC_I_4_'[%']]]+Tab_Process_TCs2527[[#This Row],[Flow_TC_I_5_'[%']]]</f>
        <v/>
      </c>
      <c r="AC104" s="296">
        <f>_xlfn.XLOOKUP($D104,#REF!,#REF!,,0,)</f>
        <v/>
      </c>
      <c r="AD104" s="272">
        <f>_xlfn.XLOOKUP($D104,#REF!,#REF!,,0,)</f>
        <v/>
      </c>
      <c r="AE104" s="42">
        <f>Tab_Process_TCs2527[[#This Row],[Flow_ID]]</f>
        <v/>
      </c>
      <c r="AF104" s="272">
        <f>"TC"&amp;"_"&amp;RIGHT(AD104,5)</f>
        <v/>
      </c>
      <c r="AG104" s="49" t="n">
        <v>0.4</v>
      </c>
      <c r="AH104" s="296">
        <f>_xlfn.XLOOKUP($D104,#REF!,#REF!,,0,)</f>
        <v/>
      </c>
      <c r="AI104" s="272">
        <f>_xlfn.XLOOKUP($D104,#REF!,#REF!,,0,)</f>
        <v/>
      </c>
      <c r="AJ104" s="42">
        <f>Tab_Process_TCs2527[[#This Row],[Flow_ID]]</f>
        <v/>
      </c>
      <c r="AK104" s="272">
        <f>"TC"&amp;"_"&amp;RIGHT(AI104,5)</f>
        <v/>
      </c>
      <c r="AL104" s="168" t="n">
        <v>0.6</v>
      </c>
      <c r="AM104" s="296">
        <f>_xlfn.XLOOKUP($D104,#REF!,#REF!,,0,)</f>
        <v/>
      </c>
      <c r="AN104" s="272">
        <f>_xlfn.XLOOKUP($D104,#REF!,#REF!,,0,)</f>
        <v/>
      </c>
      <c r="AO104" s="42">
        <f>Tab_Process_TCs2527[[#This Row],[Flow_ID]]</f>
        <v/>
      </c>
      <c r="AP104" s="272">
        <f>"TC"&amp;"_"&amp;RIGHT(AN104,5)</f>
        <v/>
      </c>
      <c r="AQ104" s="168" t="n"/>
      <c r="AR104" s="296">
        <f>_xlfn.XLOOKUP($D104,#REF!,#REF!,,0,)</f>
        <v/>
      </c>
      <c r="AS104" s="272">
        <f>_xlfn.XLOOKUP($D104,#REF!,#REF!,,0,)</f>
        <v/>
      </c>
      <c r="AT104" s="42">
        <f>Tab_Process_TCs2527[[#This Row],[Flow_ID]]</f>
        <v/>
      </c>
      <c r="AU104" s="42">
        <f>"TC"&amp;"_"&amp;RIGHT(AN104,5)</f>
        <v/>
      </c>
      <c r="AV104" s="168" t="n"/>
      <c r="AW104" s="296">
        <f>_xlfn.XLOOKUP($D104,#REF!,#REF!,,0,)</f>
        <v/>
      </c>
      <c r="AX104" s="272">
        <f>_xlfn.XLOOKUP($D104,#REF!,#REF!,,0,)</f>
        <v/>
      </c>
      <c r="AY104" s="42">
        <f>Tab_Process_TCs2527[[#This Row],[Flow_ID]]</f>
        <v/>
      </c>
      <c r="AZ104" s="42">
        <f>"TC"&amp;"_"&amp;RIGHT(AX104,5)</f>
        <v/>
      </c>
      <c r="BA104" s="168" t="n"/>
      <c r="BB104" s="272">
        <f>_xlfn.XLOOKUP($D104,#REF!,#REF!,,0,)</f>
        <v/>
      </c>
      <c r="BC104" s="272">
        <f>_xlfn.XLOOKUP($D104,#REF!,#REF!,,0,)</f>
        <v/>
      </c>
      <c r="BD104" s="42">
        <f>Tab_Process_TCs2527[[#This Row],[Flow_ID]]</f>
        <v/>
      </c>
      <c r="BE104" s="42">
        <f>"TC"&amp;"_"&amp;RIGHT(BC104,5)</f>
        <v/>
      </c>
      <c r="BF104" s="49" t="n"/>
      <c r="BG104" s="52">
        <f>Tab_Process_TCs2527[[#This Row],[TC O_6_'[%']]]+Tab_Process_TCs2527[[#This Row],[TC O_5_'[%']]]+Tab_Process_TCs2527[[#This Row],[TC_O_4_'[%']]]+Tab_Process_TCs2527[[#This Row],[TC_O_3_'[%']]]+Tab_Process_TCs2527[[#This Row],[TC_O_2_'[%']]]+Tab_Process_TCs2527[[#This Row],[TC_O_1_'[%']]]</f>
        <v/>
      </c>
      <c r="BH104" s="273" t="n"/>
      <c r="BI104" s="273" t="n"/>
      <c r="BJ104" s="273" t="n"/>
      <c r="BK104" s="273" t="n"/>
      <c r="BL104" s="273" t="n"/>
    </row>
    <row r="105">
      <c r="A105" s="280" t="b">
        <v>0</v>
      </c>
      <c r="B105" s="272">
        <f>ROW()-1</f>
        <v/>
      </c>
      <c r="C105" s="286">
        <f>_xlfn.XLOOKUP($D105,Tab_Process_TCs[Name(EN)],Tab_Process_TCs[Process_ID],,0,)</f>
        <v/>
      </c>
      <c r="D105" s="189" t="inlineStr">
        <is>
          <t>N.A.</t>
        </is>
      </c>
      <c r="E105" s="189" t="inlineStr">
        <is>
          <t>N.A.</t>
        </is>
      </c>
      <c r="F105" s="286">
        <f>_xlfn.XLOOKUP($D105,Tab_Process_TCs[Name(EN)],Tab_Process_TCs[TC?],,0,)</f>
        <v/>
      </c>
      <c r="G105" s="286">
        <f>_xlfn.XLOOKUP($D105,Tab_Process_TCs[Name(EN)],Tab_Process_TCs[Dyn_TC?],,0,)</f>
        <v/>
      </c>
      <c r="H105" s="272">
        <f>_xlfn.XLOOKUP($E105,Tab_Def_Flows[Name(EN)],Tab_Def_Flows[Flow_ID],,0,1)</f>
        <v/>
      </c>
      <c r="I105" s="272">
        <f>IF(Tab_Process_TCs2527[[#This Row],[Name(EN)]]="N.A.","N.A.","TC"&amp;"_"&amp;RIGHT(H105,5))</f>
        <v/>
      </c>
      <c r="J105" s="273" t="n"/>
      <c r="K105" s="183" t="n"/>
      <c r="L105" s="272" t="n"/>
      <c r="M105" s="296">
        <f>_xlfn.XLOOKUP($D105,Tab_Def_Processes[Name(EN)],Tab_Def_Processes[Input_Flow_I_1],,0,)</f>
        <v/>
      </c>
      <c r="N105" s="272">
        <f>_xlfn.XLOOKUP($D105,Tab_Def_Processes[Name(EN)],Tab_Def_Processes[Flow_ID_I_1],,0,)</f>
        <v/>
      </c>
      <c r="O105" s="180" t="n"/>
      <c r="P105" s="29">
        <f>_xlfn.XLOOKUP($D105,Tab_Def_Processes[Name(EN)],Tab_Def_Processes[Input_Flow_I_2],,0,)</f>
        <v/>
      </c>
      <c r="Q105" s="272">
        <f>_xlfn.XLOOKUP($D105,Tab_Def_Processes[Name(EN)],Tab_Def_Processes[Flow_ID_I_2],,0,)</f>
        <v/>
      </c>
      <c r="R105" s="180" t="n"/>
      <c r="S105" s="29">
        <f>_xlfn.XLOOKUP($D105,Tab_Def_Processes[Name(EN)],Tab_Def_Processes[Input_Flow_I_3],,0,)</f>
        <v/>
      </c>
      <c r="T105" s="272">
        <f>_xlfn.XLOOKUP($D105,Tab_Def_Processes[Name(EN)],Tab_Def_Processes[Flow_ID_I_3],,0,)</f>
        <v/>
      </c>
      <c r="U105" s="180" t="n"/>
      <c r="V105" s="29">
        <f>_xlfn.XLOOKUP($D105,Tab_Def_Processes[Name(EN)],Tab_Def_Processes[Input_Flow_I_4],,0,)</f>
        <v/>
      </c>
      <c r="W105" s="272">
        <f>_xlfn.XLOOKUP($D105,Tab_Def_Processes[Name(EN)],Tab_Def_Processes[Flow_ID_I_4],,0,)</f>
        <v/>
      </c>
      <c r="X105" s="180" t="n"/>
      <c r="Y105" s="29">
        <f>_xlfn.XLOOKUP($D105,Tab_Def_Processes[Name(EN)],Tab_Def_Processes[Input_Flow_I_5],,0,)</f>
        <v/>
      </c>
      <c r="Z105" s="272">
        <f>_xlfn.XLOOKUP($D105,Tab_Def_Processes[Name(EN)],Tab_Def_Processes[Flow_ID_I_5],,0,)</f>
        <v/>
      </c>
      <c r="AA105" s="180" t="n"/>
      <c r="AB105" s="39">
        <f>Tab_Process_TCs2527[[#This Row],[Flow_TC_I_1_'[%']]]+Tab_Process_TCs2527[[#This Row],[Flow_TC_I_2_'[%']]]+Tab_Process_TCs2527[[#This Row],[Flow_TC_I_3_'[%']]]+Tab_Process_TCs2527[[#This Row],[Flow_TC_I_4_'[%']]]+Tab_Process_TCs2527[[#This Row],[Flow_TC_I_5_'[%']]]</f>
        <v/>
      </c>
      <c r="AC105" s="296">
        <f>_xlfn.XLOOKUP($D105,#REF!,#REF!,,0,)</f>
        <v/>
      </c>
      <c r="AD105" s="272">
        <f>_xlfn.XLOOKUP($D105,#REF!,#REF!,,0,)</f>
        <v/>
      </c>
      <c r="AE105" s="42">
        <f>Tab_Process_TCs2527[[#This Row],[Flow_ID]]</f>
        <v/>
      </c>
      <c r="AF105" s="272">
        <f>"TC"&amp;"_"&amp;RIGHT(AD105,5)</f>
        <v/>
      </c>
      <c r="AG105" s="49" t="n">
        <v>0.4</v>
      </c>
      <c r="AH105" s="296">
        <f>_xlfn.XLOOKUP($D105,#REF!,#REF!,,0,)</f>
        <v/>
      </c>
      <c r="AI105" s="272">
        <f>_xlfn.XLOOKUP($D105,#REF!,#REF!,,0,)</f>
        <v/>
      </c>
      <c r="AJ105" s="42">
        <f>Tab_Process_TCs2527[[#This Row],[Flow_ID]]</f>
        <v/>
      </c>
      <c r="AK105" s="272">
        <f>"TC"&amp;"_"&amp;RIGHT(AI105,5)</f>
        <v/>
      </c>
      <c r="AL105" s="168" t="n">
        <v>0.6</v>
      </c>
      <c r="AM105" s="296">
        <f>_xlfn.XLOOKUP($D105,#REF!,#REF!,,0,)</f>
        <v/>
      </c>
      <c r="AN105" s="272">
        <f>_xlfn.XLOOKUP($D105,#REF!,#REF!,,0,)</f>
        <v/>
      </c>
      <c r="AO105" s="42">
        <f>Tab_Process_TCs2527[[#This Row],[Flow_ID]]</f>
        <v/>
      </c>
      <c r="AP105" s="272">
        <f>"TC"&amp;"_"&amp;RIGHT(AN105,5)</f>
        <v/>
      </c>
      <c r="AQ105" s="168" t="n"/>
      <c r="AR105" s="296">
        <f>_xlfn.XLOOKUP($D105,#REF!,#REF!,,0,)</f>
        <v/>
      </c>
      <c r="AS105" s="272">
        <f>_xlfn.XLOOKUP($D105,#REF!,#REF!,,0,)</f>
        <v/>
      </c>
      <c r="AT105" s="42">
        <f>Tab_Process_TCs2527[[#This Row],[Flow_ID]]</f>
        <v/>
      </c>
      <c r="AU105" s="42">
        <f>"TC"&amp;"_"&amp;RIGHT(AN105,5)</f>
        <v/>
      </c>
      <c r="AV105" s="168" t="n"/>
      <c r="AW105" s="296">
        <f>_xlfn.XLOOKUP($D105,#REF!,#REF!,,0,)</f>
        <v/>
      </c>
      <c r="AX105" s="272">
        <f>_xlfn.XLOOKUP($D105,#REF!,#REF!,,0,)</f>
        <v/>
      </c>
      <c r="AY105" s="42">
        <f>Tab_Process_TCs2527[[#This Row],[Flow_ID]]</f>
        <v/>
      </c>
      <c r="AZ105" s="42">
        <f>"TC"&amp;"_"&amp;RIGHT(AX105,5)</f>
        <v/>
      </c>
      <c r="BA105" s="168" t="n"/>
      <c r="BB105" s="272">
        <f>_xlfn.XLOOKUP($D105,#REF!,#REF!,,0,)</f>
        <v/>
      </c>
      <c r="BC105" s="272">
        <f>_xlfn.XLOOKUP($D105,#REF!,#REF!,,0,)</f>
        <v/>
      </c>
      <c r="BD105" s="42">
        <f>Tab_Process_TCs2527[[#This Row],[Flow_ID]]</f>
        <v/>
      </c>
      <c r="BE105" s="42">
        <f>"TC"&amp;"_"&amp;RIGHT(BC105,5)</f>
        <v/>
      </c>
      <c r="BF105" s="49" t="n"/>
      <c r="BG105" s="52">
        <f>Tab_Process_TCs2527[[#This Row],[TC O_6_'[%']]]+Tab_Process_TCs2527[[#This Row],[TC O_5_'[%']]]+Tab_Process_TCs2527[[#This Row],[TC_O_4_'[%']]]+Tab_Process_TCs2527[[#This Row],[TC_O_3_'[%']]]+Tab_Process_TCs2527[[#This Row],[TC_O_2_'[%']]]+Tab_Process_TCs2527[[#This Row],[TC_O_1_'[%']]]</f>
        <v/>
      </c>
      <c r="BH105" s="273" t="n"/>
      <c r="BI105" s="273" t="n"/>
      <c r="BJ105" s="273" t="n"/>
      <c r="BK105" s="273" t="n"/>
      <c r="BL105" s="273" t="n"/>
    </row>
    <row r="106">
      <c r="A106" s="280" t="b">
        <v>0</v>
      </c>
      <c r="B106" s="272">
        <f>ROW()-1</f>
        <v/>
      </c>
      <c r="C106" s="286">
        <f>_xlfn.XLOOKUP($D106,Tab_Process_TCs[Name(EN)],Tab_Process_TCs[Process_ID],,0,)</f>
        <v/>
      </c>
      <c r="D106" s="189" t="inlineStr">
        <is>
          <t>N.A.</t>
        </is>
      </c>
      <c r="E106" s="189" t="inlineStr">
        <is>
          <t>N.A.</t>
        </is>
      </c>
      <c r="F106" s="286">
        <f>_xlfn.XLOOKUP($D106,Tab_Process_TCs[Name(EN)],Tab_Process_TCs[TC?],,0,)</f>
        <v/>
      </c>
      <c r="G106" s="286">
        <f>_xlfn.XLOOKUP($D106,Tab_Process_TCs[Name(EN)],Tab_Process_TCs[Dyn_TC?],,0,)</f>
        <v/>
      </c>
      <c r="H106" s="272">
        <f>_xlfn.XLOOKUP($E106,Tab_Def_Flows[Name(EN)],Tab_Def_Flows[Flow_ID],,0,1)</f>
        <v/>
      </c>
      <c r="I106" s="272">
        <f>IF(Tab_Process_TCs2527[[#This Row],[Name(EN)]]="N.A.","N.A.","TC"&amp;"_"&amp;RIGHT(H106,5))</f>
        <v/>
      </c>
      <c r="J106" s="273" t="n"/>
      <c r="K106" s="183" t="n"/>
      <c r="L106" s="272" t="n"/>
      <c r="M106" s="296">
        <f>_xlfn.XLOOKUP($D106,Tab_Def_Processes[Name(EN)],Tab_Def_Processes[Input_Flow_I_1],,0,)</f>
        <v/>
      </c>
      <c r="N106" s="272">
        <f>_xlfn.XLOOKUP($D106,Tab_Def_Processes[Name(EN)],Tab_Def_Processes[Flow_ID_I_1],,0,)</f>
        <v/>
      </c>
      <c r="O106" s="180" t="n"/>
      <c r="P106" s="29">
        <f>_xlfn.XLOOKUP($D106,Tab_Def_Processes[Name(EN)],Tab_Def_Processes[Input_Flow_I_2],,0,)</f>
        <v/>
      </c>
      <c r="Q106" s="272">
        <f>_xlfn.XLOOKUP($D106,Tab_Def_Processes[Name(EN)],Tab_Def_Processes[Flow_ID_I_2],,0,)</f>
        <v/>
      </c>
      <c r="R106" s="180" t="n"/>
      <c r="S106" s="29">
        <f>_xlfn.XLOOKUP($D106,Tab_Def_Processes[Name(EN)],Tab_Def_Processes[Input_Flow_I_3],,0,)</f>
        <v/>
      </c>
      <c r="T106" s="272">
        <f>_xlfn.XLOOKUP($D106,Tab_Def_Processes[Name(EN)],Tab_Def_Processes[Flow_ID_I_3],,0,)</f>
        <v/>
      </c>
      <c r="U106" s="180" t="n"/>
      <c r="V106" s="29">
        <f>_xlfn.XLOOKUP($D106,Tab_Def_Processes[Name(EN)],Tab_Def_Processes[Input_Flow_I_4],,0,)</f>
        <v/>
      </c>
      <c r="W106" s="272">
        <f>_xlfn.XLOOKUP($D106,Tab_Def_Processes[Name(EN)],Tab_Def_Processes[Flow_ID_I_4],,0,)</f>
        <v/>
      </c>
      <c r="X106" s="180" t="n"/>
      <c r="Y106" s="29">
        <f>_xlfn.XLOOKUP($D106,Tab_Def_Processes[Name(EN)],Tab_Def_Processes[Input_Flow_I_5],,0,)</f>
        <v/>
      </c>
      <c r="Z106" s="272">
        <f>_xlfn.XLOOKUP($D106,Tab_Def_Processes[Name(EN)],Tab_Def_Processes[Flow_ID_I_5],,0,)</f>
        <v/>
      </c>
      <c r="AA106" s="180" t="n"/>
      <c r="AB106" s="39">
        <f>Tab_Process_TCs2527[[#This Row],[Flow_TC_I_1_'[%']]]+Tab_Process_TCs2527[[#This Row],[Flow_TC_I_2_'[%']]]+Tab_Process_TCs2527[[#This Row],[Flow_TC_I_3_'[%']]]+Tab_Process_TCs2527[[#This Row],[Flow_TC_I_4_'[%']]]+Tab_Process_TCs2527[[#This Row],[Flow_TC_I_5_'[%']]]</f>
        <v/>
      </c>
      <c r="AC106" s="296">
        <f>_xlfn.XLOOKUP($D106,#REF!,#REF!,,0,)</f>
        <v/>
      </c>
      <c r="AD106" s="272">
        <f>_xlfn.XLOOKUP($D106,#REF!,#REF!,,0,)</f>
        <v/>
      </c>
      <c r="AE106" s="42">
        <f>Tab_Process_TCs2527[[#This Row],[Flow_ID]]</f>
        <v/>
      </c>
      <c r="AF106" s="272">
        <f>"TC"&amp;"_"&amp;RIGHT(AD106,5)</f>
        <v/>
      </c>
      <c r="AG106" s="49" t="n">
        <v>0.4</v>
      </c>
      <c r="AH106" s="296">
        <f>_xlfn.XLOOKUP($D106,#REF!,#REF!,,0,)</f>
        <v/>
      </c>
      <c r="AI106" s="272">
        <f>_xlfn.XLOOKUP($D106,#REF!,#REF!,,0,)</f>
        <v/>
      </c>
      <c r="AJ106" s="42">
        <f>Tab_Process_TCs2527[[#This Row],[Flow_ID]]</f>
        <v/>
      </c>
      <c r="AK106" s="272">
        <f>"TC"&amp;"_"&amp;RIGHT(AI106,5)</f>
        <v/>
      </c>
      <c r="AL106" s="168" t="n">
        <v>0.6</v>
      </c>
      <c r="AM106" s="296">
        <f>_xlfn.XLOOKUP($D106,#REF!,#REF!,,0,)</f>
        <v/>
      </c>
      <c r="AN106" s="272">
        <f>_xlfn.XLOOKUP($D106,#REF!,#REF!,,0,)</f>
        <v/>
      </c>
      <c r="AO106" s="42">
        <f>Tab_Process_TCs2527[[#This Row],[Flow_ID]]</f>
        <v/>
      </c>
      <c r="AP106" s="272">
        <f>"TC"&amp;"_"&amp;RIGHT(AN106,5)</f>
        <v/>
      </c>
      <c r="AQ106" s="168" t="n"/>
      <c r="AR106" s="296">
        <f>_xlfn.XLOOKUP($D106,#REF!,#REF!,,0,)</f>
        <v/>
      </c>
      <c r="AS106" s="272">
        <f>_xlfn.XLOOKUP($D106,#REF!,#REF!,,0,)</f>
        <v/>
      </c>
      <c r="AT106" s="42">
        <f>Tab_Process_TCs2527[[#This Row],[Flow_ID]]</f>
        <v/>
      </c>
      <c r="AU106" s="42">
        <f>"TC"&amp;"_"&amp;RIGHT(AN106,5)</f>
        <v/>
      </c>
      <c r="AV106" s="168" t="n"/>
      <c r="AW106" s="296">
        <f>_xlfn.XLOOKUP($D106,#REF!,#REF!,,0,)</f>
        <v/>
      </c>
      <c r="AX106" s="272">
        <f>_xlfn.XLOOKUP($D106,#REF!,#REF!,,0,)</f>
        <v/>
      </c>
      <c r="AY106" s="42">
        <f>Tab_Process_TCs2527[[#This Row],[Flow_ID]]</f>
        <v/>
      </c>
      <c r="AZ106" s="42">
        <f>"TC"&amp;"_"&amp;RIGHT(AX106,5)</f>
        <v/>
      </c>
      <c r="BA106" s="168" t="n"/>
      <c r="BB106" s="272">
        <f>_xlfn.XLOOKUP($D106,#REF!,#REF!,,0,)</f>
        <v/>
      </c>
      <c r="BC106" s="272">
        <f>_xlfn.XLOOKUP($D106,#REF!,#REF!,,0,)</f>
        <v/>
      </c>
      <c r="BD106" s="42">
        <f>Tab_Process_TCs2527[[#This Row],[Flow_ID]]</f>
        <v/>
      </c>
      <c r="BE106" s="42">
        <f>"TC"&amp;"_"&amp;RIGHT(BC106,5)</f>
        <v/>
      </c>
      <c r="BF106" s="49" t="n"/>
      <c r="BG106" s="52">
        <f>Tab_Process_TCs2527[[#This Row],[TC O_6_'[%']]]+Tab_Process_TCs2527[[#This Row],[TC O_5_'[%']]]+Tab_Process_TCs2527[[#This Row],[TC_O_4_'[%']]]+Tab_Process_TCs2527[[#This Row],[TC_O_3_'[%']]]+Tab_Process_TCs2527[[#This Row],[TC_O_2_'[%']]]+Tab_Process_TCs2527[[#This Row],[TC_O_1_'[%']]]</f>
        <v/>
      </c>
      <c r="BH106" s="273" t="n"/>
      <c r="BI106" s="273" t="n"/>
      <c r="BJ106" s="273" t="n"/>
      <c r="BK106" s="273" t="n"/>
      <c r="BL106" s="273" t="n"/>
    </row>
    <row r="107" ht="15.75" customHeight="1" thickBot="1">
      <c r="A107" s="280" t="b">
        <v>0</v>
      </c>
      <c r="B107" s="272">
        <f>ROW()-1</f>
        <v/>
      </c>
      <c r="C107" s="286">
        <f>_xlfn.XLOOKUP($D107,Tab_Process_TCs[Name(EN)],Tab_Process_TCs[Process_ID],,0,)</f>
        <v/>
      </c>
      <c r="D107" s="189" t="inlineStr">
        <is>
          <t>N.A.</t>
        </is>
      </c>
      <c r="E107" s="189" t="inlineStr">
        <is>
          <t>N.A.</t>
        </is>
      </c>
      <c r="F107" s="286">
        <f>_xlfn.XLOOKUP($D107,Tab_Process_TCs[Name(EN)],Tab_Process_TCs[TC?],,0,)</f>
        <v/>
      </c>
      <c r="G107" s="286">
        <f>_xlfn.XLOOKUP($D107,Tab_Process_TCs[Name(EN)],Tab_Process_TCs[Dyn_TC?],,0,)</f>
        <v/>
      </c>
      <c r="H107" s="272">
        <f>_xlfn.XLOOKUP($E107,Tab_Def_Flows[Name(EN)],Tab_Def_Flows[Flow_ID],,0,1)</f>
        <v/>
      </c>
      <c r="I107" s="272">
        <f>IF(Tab_Process_TCs2527[[#This Row],[Name(EN)]]="N.A.","N.A.","TC"&amp;"_"&amp;RIGHT(H107,5))</f>
        <v/>
      </c>
      <c r="J107" s="273" t="n"/>
      <c r="K107" s="183" t="n"/>
      <c r="L107" s="272" t="n"/>
      <c r="M107" s="18">
        <f>_xlfn.XLOOKUP($D107,Tab_Def_Processes[Name(EN)],Tab_Def_Processes[Input_Flow_I_1],,0,)</f>
        <v/>
      </c>
      <c r="N107" s="19">
        <f>_xlfn.XLOOKUP($D107,Tab_Def_Processes[Name(EN)],Tab_Def_Processes[Flow_ID_I_1],,0,)</f>
        <v/>
      </c>
      <c r="O107" s="180" t="n"/>
      <c r="P107" s="30">
        <f>_xlfn.XLOOKUP($D107,Tab_Def_Processes[Name(EN)],Tab_Def_Processes[Input_Flow_I_2],,0,)</f>
        <v/>
      </c>
      <c r="Q107" s="19">
        <f>_xlfn.XLOOKUP($D107,Tab_Def_Processes[Name(EN)],Tab_Def_Processes[Flow_ID_I_2],,0,)</f>
        <v/>
      </c>
      <c r="R107" s="180" t="n"/>
      <c r="S107" s="30">
        <f>_xlfn.XLOOKUP($D107,Tab_Def_Processes[Name(EN)],Tab_Def_Processes[Input_Flow_I_3],,0,)</f>
        <v/>
      </c>
      <c r="T107" s="19">
        <f>_xlfn.XLOOKUP($D107,Tab_Def_Processes[Name(EN)],Tab_Def_Processes[Flow_ID_I_3],,0,)</f>
        <v/>
      </c>
      <c r="U107" s="180" t="n"/>
      <c r="V107" s="30">
        <f>_xlfn.XLOOKUP($D107,Tab_Def_Processes[Name(EN)],Tab_Def_Processes[Input_Flow_I_4],,0,)</f>
        <v/>
      </c>
      <c r="W107" s="19">
        <f>_xlfn.XLOOKUP($D107,Tab_Def_Processes[Name(EN)],Tab_Def_Processes[Flow_ID_I_4],,0,)</f>
        <v/>
      </c>
      <c r="X107" s="180" t="n"/>
      <c r="Y107" s="30">
        <f>_xlfn.XLOOKUP($D107,Tab_Def_Processes[Name(EN)],Tab_Def_Processes[Input_Flow_I_5],,0,)</f>
        <v/>
      </c>
      <c r="Z107" s="19">
        <f>_xlfn.XLOOKUP($D107,Tab_Def_Processes[Name(EN)],Tab_Def_Processes[Flow_ID_I_5],,0,)</f>
        <v/>
      </c>
      <c r="AA107" s="180" t="n"/>
      <c r="AB107" s="182">
        <f>Tab_Process_TCs2527[[#This Row],[Flow_TC_I_1_'[%']]]+Tab_Process_TCs2527[[#This Row],[Flow_TC_I_2_'[%']]]+Tab_Process_TCs2527[[#This Row],[Flow_TC_I_3_'[%']]]+Tab_Process_TCs2527[[#This Row],[Flow_TC_I_4_'[%']]]+Tab_Process_TCs2527[[#This Row],[Flow_TC_I_5_'[%']]]</f>
        <v/>
      </c>
      <c r="AC107" s="296">
        <f>_xlfn.XLOOKUP($D107,#REF!,#REF!,,0,)</f>
        <v/>
      </c>
      <c r="AD107" s="272">
        <f>_xlfn.XLOOKUP($D107,#REF!,#REF!,,0,)</f>
        <v/>
      </c>
      <c r="AE107" s="42">
        <f>Tab_Process_TCs2527[[#This Row],[Flow_ID]]</f>
        <v/>
      </c>
      <c r="AF107" s="272">
        <f>"TC"&amp;"_"&amp;RIGHT(AD107,5)</f>
        <v/>
      </c>
      <c r="AG107" s="49" t="n">
        <v>0.4</v>
      </c>
      <c r="AH107" s="296">
        <f>_xlfn.XLOOKUP($D107,#REF!,#REF!,,0,)</f>
        <v/>
      </c>
      <c r="AI107" s="272">
        <f>_xlfn.XLOOKUP($D107,#REF!,#REF!,,0,)</f>
        <v/>
      </c>
      <c r="AJ107" s="42">
        <f>Tab_Process_TCs2527[[#This Row],[Flow_ID]]</f>
        <v/>
      </c>
      <c r="AK107" s="272">
        <f>"TC"&amp;"_"&amp;RIGHT(AI107,5)</f>
        <v/>
      </c>
      <c r="AL107" s="168" t="n">
        <v>0.6</v>
      </c>
      <c r="AM107" s="296">
        <f>_xlfn.XLOOKUP($D107,#REF!,#REF!,,0,)</f>
        <v/>
      </c>
      <c r="AN107" s="272">
        <f>_xlfn.XLOOKUP($D107,#REF!,#REF!,,0,)</f>
        <v/>
      </c>
      <c r="AO107" s="42">
        <f>Tab_Process_TCs2527[[#This Row],[Flow_ID]]</f>
        <v/>
      </c>
      <c r="AP107" s="272">
        <f>"TC"&amp;"_"&amp;RIGHT(AN107,5)</f>
        <v/>
      </c>
      <c r="AQ107" s="168" t="n"/>
      <c r="AR107" s="296">
        <f>_xlfn.XLOOKUP($D107,#REF!,#REF!,,0,)</f>
        <v/>
      </c>
      <c r="AS107" s="272">
        <f>_xlfn.XLOOKUP($D107,#REF!,#REF!,,0,)</f>
        <v/>
      </c>
      <c r="AT107" s="42">
        <f>Tab_Process_TCs2527[[#This Row],[Flow_ID]]</f>
        <v/>
      </c>
      <c r="AU107" s="42">
        <f>"TC"&amp;"_"&amp;RIGHT(AN107,5)</f>
        <v/>
      </c>
      <c r="AV107" s="168" t="n"/>
      <c r="AW107" s="296">
        <f>_xlfn.XLOOKUP($D107,#REF!,#REF!,,0,)</f>
        <v/>
      </c>
      <c r="AX107" s="272">
        <f>_xlfn.XLOOKUP($D107,#REF!,#REF!,,0,)</f>
        <v/>
      </c>
      <c r="AY107" s="42">
        <f>Tab_Process_TCs2527[[#This Row],[Flow_ID]]</f>
        <v/>
      </c>
      <c r="AZ107" s="42">
        <f>"TC"&amp;"_"&amp;RIGHT(AX107,5)</f>
        <v/>
      </c>
      <c r="BA107" s="168" t="n"/>
      <c r="BB107" s="272">
        <f>_xlfn.XLOOKUP($D107,#REF!,#REF!,,0,)</f>
        <v/>
      </c>
      <c r="BC107" s="272">
        <f>_xlfn.XLOOKUP($D107,#REF!,#REF!,,0,)</f>
        <v/>
      </c>
      <c r="BD107" s="42">
        <f>Tab_Process_TCs2527[[#This Row],[Flow_ID]]</f>
        <v/>
      </c>
      <c r="BE107" s="42">
        <f>"TC"&amp;"_"&amp;RIGHT(BC107,5)</f>
        <v/>
      </c>
      <c r="BF107" s="49" t="n"/>
      <c r="BG107" s="52">
        <f>Tab_Process_TCs2527[[#This Row],[TC O_6_'[%']]]+Tab_Process_TCs2527[[#This Row],[TC O_5_'[%']]]+Tab_Process_TCs2527[[#This Row],[TC_O_4_'[%']]]+Tab_Process_TCs2527[[#This Row],[TC_O_3_'[%']]]+Tab_Process_TCs2527[[#This Row],[TC_O_2_'[%']]]+Tab_Process_TCs2527[[#This Row],[TC_O_1_'[%']]]</f>
        <v/>
      </c>
      <c r="BH107" s="273" t="n"/>
      <c r="BI107" s="273" t="n"/>
      <c r="BJ107" s="273" t="n"/>
      <c r="BK107" s="273" t="n"/>
      <c r="BL107" s="273" t="n"/>
    </row>
    <row r="108">
      <c r="A108" s="280" t="b">
        <v>0</v>
      </c>
      <c r="B108" s="272">
        <f>ROW()-1</f>
        <v/>
      </c>
      <c r="C108" s="286">
        <f>_xlfn.XLOOKUP($D108,Tab_Process_TCs[Name(EN)],Tab_Process_TCs[Process_ID],,0,)</f>
        <v/>
      </c>
      <c r="D108" s="189" t="inlineStr">
        <is>
          <t>N.A.</t>
        </is>
      </c>
      <c r="E108" s="189" t="inlineStr">
        <is>
          <t>N.A.</t>
        </is>
      </c>
      <c r="F108" s="286">
        <f>_xlfn.XLOOKUP($D108,Tab_Process_TCs[Name(EN)],Tab_Process_TCs[TC?],,0,)</f>
        <v/>
      </c>
      <c r="G108" s="286">
        <f>_xlfn.XLOOKUP($D108,Tab_Process_TCs[Name(EN)],Tab_Process_TCs[Dyn_TC?],,0,)</f>
        <v/>
      </c>
      <c r="H108" s="272">
        <f>_xlfn.XLOOKUP($E108,Tab_Def_Flows[Name(EN)],Tab_Def_Flows[Flow_ID],,0,1)</f>
        <v/>
      </c>
      <c r="I108" s="272">
        <f>IF(Tab_Process_TCs2527[[#This Row],[Name(EN)]]="N.A.","N.A.","TC"&amp;"_"&amp;RIGHT(H108,5))</f>
        <v/>
      </c>
      <c r="J108" s="273" t="n"/>
      <c r="K108" s="183" t="n"/>
      <c r="L108" s="272" t="n"/>
      <c r="M108" s="296">
        <f>_xlfn.XLOOKUP($D108,Tab_Def_Processes[Name(EN)],Tab_Def_Processes[Input_Flow_I_1],,0,)</f>
        <v/>
      </c>
      <c r="N108" s="272">
        <f>_xlfn.XLOOKUP($D108,Tab_Def_Processes[Name(EN)],Tab_Def_Processes[Flow_ID_I_1],,0,)</f>
        <v/>
      </c>
      <c r="O108" s="34" t="n"/>
      <c r="P108" s="29">
        <f>_xlfn.XLOOKUP($D108,Tab_Def_Processes[Name(EN)],Tab_Def_Processes[Input_Flow_I_2],,0,)</f>
        <v/>
      </c>
      <c r="Q108" s="272">
        <f>_xlfn.XLOOKUP($D108,Tab_Def_Processes[Name(EN)],Tab_Def_Processes[Flow_ID_I_2],,0,)</f>
        <v/>
      </c>
      <c r="R108" s="34" t="n"/>
      <c r="S108" s="29">
        <f>_xlfn.XLOOKUP($D108,Tab_Def_Processes[Name(EN)],Tab_Def_Processes[Input_Flow_I_3],,0,)</f>
        <v/>
      </c>
      <c r="T108" s="272">
        <f>_xlfn.XLOOKUP($D108,Tab_Def_Processes[Name(EN)],Tab_Def_Processes[Flow_ID_I_3],,0,)</f>
        <v/>
      </c>
      <c r="U108" s="34" t="n"/>
      <c r="V108" s="29">
        <f>_xlfn.XLOOKUP($D108,Tab_Def_Processes[Name(EN)],Tab_Def_Processes[Input_Flow_I_4],,0,)</f>
        <v/>
      </c>
      <c r="W108" s="272">
        <f>_xlfn.XLOOKUP($D108,Tab_Def_Processes[Name(EN)],Tab_Def_Processes[Flow_ID_I_4],,0,)</f>
        <v/>
      </c>
      <c r="X108" s="34" t="n"/>
      <c r="Y108" s="29">
        <f>_xlfn.XLOOKUP($D108,Tab_Def_Processes[Name(EN)],Tab_Def_Processes[Input_Flow_I_5],,0,)</f>
        <v/>
      </c>
      <c r="Z108" s="272">
        <f>_xlfn.XLOOKUP($D108,Tab_Def_Processes[Name(EN)],Tab_Def_Processes[Flow_ID_I_5],,0,)</f>
        <v/>
      </c>
      <c r="AA108" s="34" t="n"/>
      <c r="AB108" s="39">
        <f>Tab_Process_TCs2527[[#This Row],[Flow_TC_I_1_'[%']]]+Tab_Process_TCs2527[[#This Row],[Flow_TC_I_2_'[%']]]+Tab_Process_TCs2527[[#This Row],[Flow_TC_I_3_'[%']]]+Tab_Process_TCs2527[[#This Row],[Flow_TC_I_4_'[%']]]+Tab_Process_TCs2527[[#This Row],[Flow_TC_I_5_'[%']]]</f>
        <v/>
      </c>
      <c r="AC108" s="296">
        <f>_xlfn.XLOOKUP($D108,#REF!,#REF!,,0,)</f>
        <v/>
      </c>
      <c r="AD108" s="272">
        <f>_xlfn.XLOOKUP($D108,#REF!,#REF!,,0,)</f>
        <v/>
      </c>
      <c r="AE108" s="42">
        <f>Tab_Process_TCs2527[[#This Row],[Flow_ID]]</f>
        <v/>
      </c>
      <c r="AF108" s="272">
        <f>"TC"&amp;"_"&amp;RIGHT(AD108,5)</f>
        <v/>
      </c>
      <c r="AG108" s="49" t="n">
        <v>0.4</v>
      </c>
      <c r="AH108" s="169">
        <f>_xlfn.XLOOKUP($D108,#REF!,#REF!,,0,)</f>
        <v/>
      </c>
      <c r="AI108" s="53">
        <f>_xlfn.XLOOKUP($D108,#REF!,#REF!,,0,)</f>
        <v/>
      </c>
      <c r="AJ108" s="42">
        <f>Tab_Process_TCs2527[[#This Row],[Flow_ID]]</f>
        <v/>
      </c>
      <c r="AK108" s="272">
        <f>"TC"&amp;"_"&amp;RIGHT(AI108,5)</f>
        <v/>
      </c>
      <c r="AL108" s="168" t="n">
        <v>0.6</v>
      </c>
      <c r="AM108" s="296">
        <f>_xlfn.XLOOKUP($D108,#REF!,#REF!,,0,)</f>
        <v/>
      </c>
      <c r="AN108" s="272">
        <f>_xlfn.XLOOKUP($D108,#REF!,#REF!,,0,)</f>
        <v/>
      </c>
      <c r="AO108" s="42">
        <f>Tab_Process_TCs2527[[#This Row],[Flow_ID]]</f>
        <v/>
      </c>
      <c r="AP108" s="272">
        <f>"TC"&amp;"_"&amp;RIGHT(AN108,5)</f>
        <v/>
      </c>
      <c r="AQ108" s="168" t="n"/>
      <c r="AR108" s="296">
        <f>_xlfn.XLOOKUP($D108,#REF!,#REF!,,0,)</f>
        <v/>
      </c>
      <c r="AS108" s="272">
        <f>_xlfn.XLOOKUP($D108,#REF!,#REF!,,0,)</f>
        <v/>
      </c>
      <c r="AT108" s="42">
        <f>Tab_Process_TCs2527[[#This Row],[Flow_ID]]</f>
        <v/>
      </c>
      <c r="AU108" s="42">
        <f>"TC"&amp;"_"&amp;RIGHT(AN108,5)</f>
        <v/>
      </c>
      <c r="AV108" s="168" t="n"/>
      <c r="AW108" s="296">
        <f>_xlfn.XLOOKUP($D108,#REF!,#REF!,,0,)</f>
        <v/>
      </c>
      <c r="AX108" s="272">
        <f>_xlfn.XLOOKUP($D108,#REF!,#REF!,,0,)</f>
        <v/>
      </c>
      <c r="AY108" s="42">
        <f>Tab_Process_TCs2527[[#This Row],[Flow_ID]]</f>
        <v/>
      </c>
      <c r="AZ108" s="42">
        <f>"TC"&amp;"_"&amp;RIGHT(AX108,5)</f>
        <v/>
      </c>
      <c r="BA108" s="168" t="n"/>
      <c r="BB108" s="272">
        <f>_xlfn.XLOOKUP($D108,#REF!,#REF!,,0,)</f>
        <v/>
      </c>
      <c r="BC108" s="272">
        <f>_xlfn.XLOOKUP($D108,#REF!,#REF!,,0,)</f>
        <v/>
      </c>
      <c r="BD108" s="42">
        <f>Tab_Process_TCs2527[[#This Row],[Flow_ID]]</f>
        <v/>
      </c>
      <c r="BE108" s="42">
        <f>"TC"&amp;"_"&amp;RIGHT(BC108,5)</f>
        <v/>
      </c>
      <c r="BF108" s="49" t="n"/>
      <c r="BG108" s="52">
        <f>Tab_Process_TCs2527[[#This Row],[TC O_6_'[%']]]+Tab_Process_TCs2527[[#This Row],[TC O_5_'[%']]]+Tab_Process_TCs2527[[#This Row],[TC_O_4_'[%']]]+Tab_Process_TCs2527[[#This Row],[TC_O_3_'[%']]]+Tab_Process_TCs2527[[#This Row],[TC_O_2_'[%']]]+Tab_Process_TCs2527[[#This Row],[TC_O_1_'[%']]]</f>
        <v/>
      </c>
      <c r="BH108" s="273" t="n"/>
      <c r="BI108" s="273" t="n"/>
      <c r="BJ108" s="273" t="n"/>
      <c r="BK108" s="273" t="n"/>
      <c r="BL108" s="273" t="n"/>
    </row>
    <row r="109">
      <c r="A109" s="280" t="b">
        <v>0</v>
      </c>
      <c r="B109" s="272">
        <f>ROW()-1</f>
        <v/>
      </c>
      <c r="C109" s="286">
        <f>_xlfn.XLOOKUP($D109,Tab_Process_TCs[Name(EN)],Tab_Process_TCs[Process_ID],,0,)</f>
        <v/>
      </c>
      <c r="D109" s="189" t="inlineStr">
        <is>
          <t>N.A.</t>
        </is>
      </c>
      <c r="E109" s="189" t="inlineStr">
        <is>
          <t>N.A.</t>
        </is>
      </c>
      <c r="F109" s="286">
        <f>_xlfn.XLOOKUP($D109,Tab_Process_TCs[Name(EN)],Tab_Process_TCs[TC?],,0,)</f>
        <v/>
      </c>
      <c r="G109" s="286">
        <f>_xlfn.XLOOKUP($D109,Tab_Process_TCs[Name(EN)],Tab_Process_TCs[Dyn_TC?],,0,)</f>
        <v/>
      </c>
      <c r="H109" s="272">
        <f>_xlfn.XLOOKUP($E109,Tab_Def_Flows[Name(EN)],Tab_Def_Flows[Flow_ID],,0,1)</f>
        <v/>
      </c>
      <c r="I109" s="272">
        <f>IF(Tab_Process_TCs2527[[#This Row],[Name(EN)]]="N.A.","N.A.","TC"&amp;"_"&amp;RIGHT(H109,5))</f>
        <v/>
      </c>
      <c r="J109" s="273" t="n"/>
      <c r="K109" s="183" t="n"/>
      <c r="L109" s="272" t="n"/>
      <c r="M109" s="296">
        <f>_xlfn.XLOOKUP($D109,Tab_Def_Processes[Name(EN)],Tab_Def_Processes[Input_Flow_I_1],,0,)</f>
        <v/>
      </c>
      <c r="N109" s="272">
        <f>_xlfn.XLOOKUP($D109,Tab_Def_Processes[Name(EN)],Tab_Def_Processes[Flow_ID_I_1],,0,)</f>
        <v/>
      </c>
      <c r="O109" s="34" t="n"/>
      <c r="P109" s="29">
        <f>_xlfn.XLOOKUP($D109,Tab_Def_Processes[Name(EN)],Tab_Def_Processes[Input_Flow_I_2],,0,)</f>
        <v/>
      </c>
      <c r="Q109" s="272">
        <f>_xlfn.XLOOKUP($D109,Tab_Def_Processes[Name(EN)],Tab_Def_Processes[Flow_ID_I_2],,0,)</f>
        <v/>
      </c>
      <c r="R109" s="34" t="n"/>
      <c r="S109" s="29">
        <f>_xlfn.XLOOKUP($D109,Tab_Def_Processes[Name(EN)],Tab_Def_Processes[Input_Flow_I_3],,0,)</f>
        <v/>
      </c>
      <c r="T109" s="272">
        <f>_xlfn.XLOOKUP($D109,Tab_Def_Processes[Name(EN)],Tab_Def_Processes[Flow_ID_I_3],,0,)</f>
        <v/>
      </c>
      <c r="U109" s="34" t="n"/>
      <c r="V109" s="29">
        <f>_xlfn.XLOOKUP($D109,Tab_Def_Processes[Name(EN)],Tab_Def_Processes[Input_Flow_I_4],,0,)</f>
        <v/>
      </c>
      <c r="W109" s="272">
        <f>_xlfn.XLOOKUP($D109,Tab_Def_Processes[Name(EN)],Tab_Def_Processes[Flow_ID_I_4],,0,)</f>
        <v/>
      </c>
      <c r="X109" s="34" t="n"/>
      <c r="Y109" s="29">
        <f>_xlfn.XLOOKUP($D109,Tab_Def_Processes[Name(EN)],Tab_Def_Processes[Input_Flow_I_5],,0,)</f>
        <v/>
      </c>
      <c r="Z109" s="272">
        <f>_xlfn.XLOOKUP($D109,Tab_Def_Processes[Name(EN)],Tab_Def_Processes[Flow_ID_I_5],,0,)</f>
        <v/>
      </c>
      <c r="AA109" s="34" t="n"/>
      <c r="AB109" s="39">
        <f>Tab_Process_TCs2527[[#This Row],[Flow_TC_I_1_'[%']]]+Tab_Process_TCs2527[[#This Row],[Flow_TC_I_2_'[%']]]+Tab_Process_TCs2527[[#This Row],[Flow_TC_I_3_'[%']]]+Tab_Process_TCs2527[[#This Row],[Flow_TC_I_4_'[%']]]+Tab_Process_TCs2527[[#This Row],[Flow_TC_I_5_'[%']]]</f>
        <v/>
      </c>
      <c r="AC109" s="296">
        <f>_xlfn.XLOOKUP($D109,#REF!,#REF!,,0,)</f>
        <v/>
      </c>
      <c r="AD109" s="272">
        <f>_xlfn.XLOOKUP($D109,#REF!,#REF!,,0,)</f>
        <v/>
      </c>
      <c r="AE109" s="42">
        <f>Tab_Process_TCs2527[[#This Row],[Flow_ID]]</f>
        <v/>
      </c>
      <c r="AF109" s="272">
        <f>"TC"&amp;"_"&amp;RIGHT(AD109,5)</f>
        <v/>
      </c>
      <c r="AG109" s="49" t="n">
        <v>0.4</v>
      </c>
      <c r="AH109" s="169">
        <f>_xlfn.XLOOKUP($D109,#REF!,#REF!,,0,)</f>
        <v/>
      </c>
      <c r="AI109" s="53">
        <f>_xlfn.XLOOKUP($D109,#REF!,#REF!,,0,)</f>
        <v/>
      </c>
      <c r="AJ109" s="42">
        <f>Tab_Process_TCs2527[[#This Row],[Flow_ID]]</f>
        <v/>
      </c>
      <c r="AK109" s="272">
        <f>"TC"&amp;"_"&amp;RIGHT(AI109,5)</f>
        <v/>
      </c>
      <c r="AL109" s="168" t="n">
        <v>0.6</v>
      </c>
      <c r="AM109" s="296">
        <f>_xlfn.XLOOKUP($D109,#REF!,#REF!,,0,)</f>
        <v/>
      </c>
      <c r="AN109" s="272">
        <f>_xlfn.XLOOKUP($D109,#REF!,#REF!,,0,)</f>
        <v/>
      </c>
      <c r="AO109" s="42">
        <f>Tab_Process_TCs2527[[#This Row],[Flow_ID]]</f>
        <v/>
      </c>
      <c r="AP109" s="272">
        <f>"TC"&amp;"_"&amp;RIGHT(AN109,5)</f>
        <v/>
      </c>
      <c r="AQ109" s="168" t="n"/>
      <c r="AR109" s="296">
        <f>_xlfn.XLOOKUP($D109,#REF!,#REF!,,0,)</f>
        <v/>
      </c>
      <c r="AS109" s="272">
        <f>_xlfn.XLOOKUP($D109,#REF!,#REF!,,0,)</f>
        <v/>
      </c>
      <c r="AT109" s="42">
        <f>Tab_Process_TCs2527[[#This Row],[Flow_ID]]</f>
        <v/>
      </c>
      <c r="AU109" s="42">
        <f>"TC"&amp;"_"&amp;RIGHT(AN109,5)</f>
        <v/>
      </c>
      <c r="AV109" s="168" t="n"/>
      <c r="AW109" s="296">
        <f>_xlfn.XLOOKUP($D109,#REF!,#REF!,,0,)</f>
        <v/>
      </c>
      <c r="AX109" s="272">
        <f>_xlfn.XLOOKUP($D109,#REF!,#REF!,,0,)</f>
        <v/>
      </c>
      <c r="AY109" s="42">
        <f>Tab_Process_TCs2527[[#This Row],[Flow_ID]]</f>
        <v/>
      </c>
      <c r="AZ109" s="42">
        <f>"TC"&amp;"_"&amp;RIGHT(AX109,5)</f>
        <v/>
      </c>
      <c r="BA109" s="168" t="n"/>
      <c r="BB109" s="272">
        <f>_xlfn.XLOOKUP($D109,#REF!,#REF!,,0,)</f>
        <v/>
      </c>
      <c r="BC109" s="272">
        <f>_xlfn.XLOOKUP($D109,#REF!,#REF!,,0,)</f>
        <v/>
      </c>
      <c r="BD109" s="42">
        <f>Tab_Process_TCs2527[[#This Row],[Flow_ID]]</f>
        <v/>
      </c>
      <c r="BE109" s="42">
        <f>"TC"&amp;"_"&amp;RIGHT(BC109,5)</f>
        <v/>
      </c>
      <c r="BF109" s="49" t="n"/>
      <c r="BG109" s="52">
        <f>Tab_Process_TCs2527[[#This Row],[TC O_6_'[%']]]+Tab_Process_TCs2527[[#This Row],[TC O_5_'[%']]]+Tab_Process_TCs2527[[#This Row],[TC_O_4_'[%']]]+Tab_Process_TCs2527[[#This Row],[TC_O_3_'[%']]]+Tab_Process_TCs2527[[#This Row],[TC_O_2_'[%']]]+Tab_Process_TCs2527[[#This Row],[TC_O_1_'[%']]]</f>
        <v/>
      </c>
      <c r="BH109" s="273" t="n"/>
      <c r="BI109" s="273" t="n"/>
      <c r="BJ109" s="273" t="n"/>
      <c r="BK109" s="273" t="n"/>
      <c r="BL109" s="273" t="n"/>
    </row>
    <row r="110">
      <c r="A110" s="280" t="b">
        <v>0</v>
      </c>
      <c r="B110" s="272">
        <f>ROW()-1</f>
        <v/>
      </c>
      <c r="C110" s="286">
        <f>_xlfn.XLOOKUP($D110,Tab_Process_TCs[Name(EN)],Tab_Process_TCs[Process_ID],,0,)</f>
        <v/>
      </c>
      <c r="D110" s="189" t="inlineStr">
        <is>
          <t>N.A.</t>
        </is>
      </c>
      <c r="E110" s="189" t="inlineStr">
        <is>
          <t>N.A.</t>
        </is>
      </c>
      <c r="F110" s="286">
        <f>_xlfn.XLOOKUP($D110,Tab_Process_TCs[Name(EN)],Tab_Process_TCs[TC?],,0,)</f>
        <v/>
      </c>
      <c r="G110" s="286">
        <f>_xlfn.XLOOKUP($D110,Tab_Process_TCs[Name(EN)],Tab_Process_TCs[Dyn_TC?],,0,)</f>
        <v/>
      </c>
      <c r="H110" s="272">
        <f>_xlfn.XLOOKUP($E110,Tab_Def_Flows[Name(EN)],Tab_Def_Flows[Flow_ID],,0,1)</f>
        <v/>
      </c>
      <c r="I110" s="272">
        <f>IF(Tab_Process_TCs2527[[#This Row],[Name(EN)]]="N.A.","N.A.","TC"&amp;"_"&amp;RIGHT(H110,5))</f>
        <v/>
      </c>
      <c r="J110" s="273" t="n"/>
      <c r="K110" s="183" t="n"/>
      <c r="L110" s="272" t="n"/>
      <c r="M110" s="296">
        <f>_xlfn.XLOOKUP($D110,Tab_Def_Processes[Name(EN)],Tab_Def_Processes[Input_Flow_I_1],,0,)</f>
        <v/>
      </c>
      <c r="N110" s="272">
        <f>_xlfn.XLOOKUP($D110,Tab_Def_Processes[Name(EN)],Tab_Def_Processes[Flow_ID_I_1],,0,)</f>
        <v/>
      </c>
      <c r="O110" s="34" t="n"/>
      <c r="P110" s="29">
        <f>_xlfn.XLOOKUP($D110,Tab_Def_Processes[Name(EN)],Tab_Def_Processes[Input_Flow_I_2],,0,)</f>
        <v/>
      </c>
      <c r="Q110" s="272">
        <f>_xlfn.XLOOKUP($D110,Tab_Def_Processes[Name(EN)],Tab_Def_Processes[Flow_ID_I_2],,0,)</f>
        <v/>
      </c>
      <c r="R110" s="34" t="n"/>
      <c r="S110" s="29">
        <f>_xlfn.XLOOKUP($D110,Tab_Def_Processes[Name(EN)],Tab_Def_Processes[Input_Flow_I_3],,0,)</f>
        <v/>
      </c>
      <c r="T110" s="272">
        <f>_xlfn.XLOOKUP($D110,Tab_Def_Processes[Name(EN)],Tab_Def_Processes[Flow_ID_I_3],,0,)</f>
        <v/>
      </c>
      <c r="U110" s="34" t="n"/>
      <c r="V110" s="29">
        <f>_xlfn.XLOOKUP($D110,Tab_Def_Processes[Name(EN)],Tab_Def_Processes[Input_Flow_I_4],,0,)</f>
        <v/>
      </c>
      <c r="W110" s="272">
        <f>_xlfn.XLOOKUP($D110,Tab_Def_Processes[Name(EN)],Tab_Def_Processes[Flow_ID_I_4],,0,)</f>
        <v/>
      </c>
      <c r="X110" s="34" t="n"/>
      <c r="Y110" s="29">
        <f>_xlfn.XLOOKUP($D110,Tab_Def_Processes[Name(EN)],Tab_Def_Processes[Input_Flow_I_5],,0,)</f>
        <v/>
      </c>
      <c r="Z110" s="272">
        <f>_xlfn.XLOOKUP($D110,Tab_Def_Processes[Name(EN)],Tab_Def_Processes[Flow_ID_I_5],,0,)</f>
        <v/>
      </c>
      <c r="AA110" s="34" t="n"/>
      <c r="AB110" s="39">
        <f>Tab_Process_TCs2527[[#This Row],[Flow_TC_I_1_'[%']]]+Tab_Process_TCs2527[[#This Row],[Flow_TC_I_2_'[%']]]+Tab_Process_TCs2527[[#This Row],[Flow_TC_I_3_'[%']]]+Tab_Process_TCs2527[[#This Row],[Flow_TC_I_4_'[%']]]+Tab_Process_TCs2527[[#This Row],[Flow_TC_I_5_'[%']]]</f>
        <v/>
      </c>
      <c r="AC110" s="296">
        <f>_xlfn.XLOOKUP($D110,#REF!,#REF!,,0,)</f>
        <v/>
      </c>
      <c r="AD110" s="272">
        <f>_xlfn.XLOOKUP($D110,#REF!,#REF!,,0,)</f>
        <v/>
      </c>
      <c r="AE110" s="42">
        <f>Tab_Process_TCs2527[[#This Row],[Flow_ID]]</f>
        <v/>
      </c>
      <c r="AF110" s="272">
        <f>"TC"&amp;"_"&amp;RIGHT(AD110,5)</f>
        <v/>
      </c>
      <c r="AG110" s="49" t="n">
        <v>0.4</v>
      </c>
      <c r="AH110" s="169">
        <f>_xlfn.XLOOKUP($D110,#REF!,#REF!,,0,)</f>
        <v/>
      </c>
      <c r="AI110" s="53">
        <f>_xlfn.XLOOKUP($D110,#REF!,#REF!,,0,)</f>
        <v/>
      </c>
      <c r="AJ110" s="42">
        <f>Tab_Process_TCs2527[[#This Row],[Flow_ID]]</f>
        <v/>
      </c>
      <c r="AK110" s="272">
        <f>"TC"&amp;"_"&amp;RIGHT(AI110,5)</f>
        <v/>
      </c>
      <c r="AL110" s="168" t="n">
        <v>0.6</v>
      </c>
      <c r="AM110" s="296">
        <f>_xlfn.XLOOKUP($D110,#REF!,#REF!,,0,)</f>
        <v/>
      </c>
      <c r="AN110" s="272">
        <f>_xlfn.XLOOKUP($D110,#REF!,#REF!,,0,)</f>
        <v/>
      </c>
      <c r="AO110" s="42">
        <f>Tab_Process_TCs2527[[#This Row],[Flow_ID]]</f>
        <v/>
      </c>
      <c r="AP110" s="272">
        <f>"TC"&amp;"_"&amp;RIGHT(AN110,5)</f>
        <v/>
      </c>
      <c r="AQ110" s="168" t="n"/>
      <c r="AR110" s="296">
        <f>_xlfn.XLOOKUP($D110,#REF!,#REF!,,0,)</f>
        <v/>
      </c>
      <c r="AS110" s="272">
        <f>_xlfn.XLOOKUP($D110,#REF!,#REF!,,0,)</f>
        <v/>
      </c>
      <c r="AT110" s="42">
        <f>Tab_Process_TCs2527[[#This Row],[Flow_ID]]</f>
        <v/>
      </c>
      <c r="AU110" s="42">
        <f>"TC"&amp;"_"&amp;RIGHT(AN110,5)</f>
        <v/>
      </c>
      <c r="AV110" s="168" t="n"/>
      <c r="AW110" s="296">
        <f>_xlfn.XLOOKUP($D110,#REF!,#REF!,,0,)</f>
        <v/>
      </c>
      <c r="AX110" s="272">
        <f>_xlfn.XLOOKUP($D110,#REF!,#REF!,,0,)</f>
        <v/>
      </c>
      <c r="AY110" s="42">
        <f>Tab_Process_TCs2527[[#This Row],[Flow_ID]]</f>
        <v/>
      </c>
      <c r="AZ110" s="42">
        <f>"TC"&amp;"_"&amp;RIGHT(AX110,5)</f>
        <v/>
      </c>
      <c r="BA110" s="168" t="n"/>
      <c r="BB110" s="272">
        <f>_xlfn.XLOOKUP($D110,#REF!,#REF!,,0,)</f>
        <v/>
      </c>
      <c r="BC110" s="272">
        <f>_xlfn.XLOOKUP($D110,#REF!,#REF!,,0,)</f>
        <v/>
      </c>
      <c r="BD110" s="42">
        <f>Tab_Process_TCs2527[[#This Row],[Flow_ID]]</f>
        <v/>
      </c>
      <c r="BE110" s="42">
        <f>"TC"&amp;"_"&amp;RIGHT(BC110,5)</f>
        <v/>
      </c>
      <c r="BF110" s="49" t="n"/>
      <c r="BG110" s="52">
        <f>Tab_Process_TCs2527[[#This Row],[TC O_6_'[%']]]+Tab_Process_TCs2527[[#This Row],[TC O_5_'[%']]]+Tab_Process_TCs2527[[#This Row],[TC_O_4_'[%']]]+Tab_Process_TCs2527[[#This Row],[TC_O_3_'[%']]]+Tab_Process_TCs2527[[#This Row],[TC_O_2_'[%']]]+Tab_Process_TCs2527[[#This Row],[TC_O_1_'[%']]]</f>
        <v/>
      </c>
      <c r="BH110" s="273" t="n"/>
      <c r="BI110" s="273" t="n"/>
      <c r="BJ110" s="273" t="n"/>
      <c r="BK110" s="273" t="n"/>
      <c r="BL110" s="273" t="n"/>
    </row>
    <row r="111">
      <c r="A111" s="280" t="b">
        <v>0</v>
      </c>
      <c r="B111" s="272">
        <f>ROW()-1</f>
        <v/>
      </c>
      <c r="C111" s="286">
        <f>_xlfn.XLOOKUP($D111,Tab_Process_TCs[Name(EN)],Tab_Process_TCs[Process_ID],,0,)</f>
        <v/>
      </c>
      <c r="D111" s="189" t="inlineStr">
        <is>
          <t>N.A.</t>
        </is>
      </c>
      <c r="E111" s="189" t="inlineStr">
        <is>
          <t>N.A.</t>
        </is>
      </c>
      <c r="F111" s="286">
        <f>_xlfn.XLOOKUP($D111,Tab_Process_TCs[Name(EN)],Tab_Process_TCs[TC?],,0,)</f>
        <v/>
      </c>
      <c r="G111" s="286">
        <f>_xlfn.XLOOKUP($D111,Tab_Process_TCs[Name(EN)],Tab_Process_TCs[Dyn_TC?],,0,)</f>
        <v/>
      </c>
      <c r="H111" s="272">
        <f>_xlfn.XLOOKUP($E111,Tab_Def_Flows[Name(EN)],Tab_Def_Flows[Flow_ID],,0,1)</f>
        <v/>
      </c>
      <c r="I111" s="272">
        <f>IF(Tab_Process_TCs2527[[#This Row],[Name(EN)]]="N.A.","N.A.","TC"&amp;"_"&amp;RIGHT(H111,5))</f>
        <v/>
      </c>
      <c r="J111" s="273" t="n"/>
      <c r="K111" s="183" t="n"/>
      <c r="L111" s="272" t="n"/>
      <c r="M111" s="296">
        <f>_xlfn.XLOOKUP($D111,Tab_Def_Processes[Name(EN)],Tab_Def_Processes[Input_Flow_I_1],,0,)</f>
        <v/>
      </c>
      <c r="N111" s="272">
        <f>_xlfn.XLOOKUP($D111,Tab_Def_Processes[Name(EN)],Tab_Def_Processes[Flow_ID_I_1],,0,)</f>
        <v/>
      </c>
      <c r="O111" s="34" t="n"/>
      <c r="P111" s="29">
        <f>_xlfn.XLOOKUP($D111,Tab_Def_Processes[Name(EN)],Tab_Def_Processes[Input_Flow_I_2],,0,)</f>
        <v/>
      </c>
      <c r="Q111" s="272">
        <f>_xlfn.XLOOKUP($D111,Tab_Def_Processes[Name(EN)],Tab_Def_Processes[Flow_ID_I_2],,0,)</f>
        <v/>
      </c>
      <c r="R111" s="34" t="n"/>
      <c r="S111" s="29">
        <f>_xlfn.XLOOKUP($D111,Tab_Def_Processes[Name(EN)],Tab_Def_Processes[Input_Flow_I_3],,0,)</f>
        <v/>
      </c>
      <c r="T111" s="272">
        <f>_xlfn.XLOOKUP($D111,Tab_Def_Processes[Name(EN)],Tab_Def_Processes[Flow_ID_I_3],,0,)</f>
        <v/>
      </c>
      <c r="U111" s="34" t="n"/>
      <c r="V111" s="29">
        <f>_xlfn.XLOOKUP($D111,Tab_Def_Processes[Name(EN)],Tab_Def_Processes[Input_Flow_I_4],,0,)</f>
        <v/>
      </c>
      <c r="W111" s="272">
        <f>_xlfn.XLOOKUP($D111,Tab_Def_Processes[Name(EN)],Tab_Def_Processes[Flow_ID_I_4],,0,)</f>
        <v/>
      </c>
      <c r="X111" s="34" t="n"/>
      <c r="Y111" s="29">
        <f>_xlfn.XLOOKUP($D111,Tab_Def_Processes[Name(EN)],Tab_Def_Processes[Input_Flow_I_5],,0,)</f>
        <v/>
      </c>
      <c r="Z111" s="272">
        <f>_xlfn.XLOOKUP($D111,Tab_Def_Processes[Name(EN)],Tab_Def_Processes[Flow_ID_I_5],,0,)</f>
        <v/>
      </c>
      <c r="AA111" s="34" t="n"/>
      <c r="AB111" s="39">
        <f>Tab_Process_TCs2527[[#This Row],[Flow_TC_I_1_'[%']]]+Tab_Process_TCs2527[[#This Row],[Flow_TC_I_2_'[%']]]+Tab_Process_TCs2527[[#This Row],[Flow_TC_I_3_'[%']]]+Tab_Process_TCs2527[[#This Row],[Flow_TC_I_4_'[%']]]+Tab_Process_TCs2527[[#This Row],[Flow_TC_I_5_'[%']]]</f>
        <v/>
      </c>
      <c r="AC111" s="296">
        <f>_xlfn.XLOOKUP($D111,#REF!,#REF!,,0,)</f>
        <v/>
      </c>
      <c r="AD111" s="272">
        <f>_xlfn.XLOOKUP($D111,#REF!,#REF!,,0,)</f>
        <v/>
      </c>
      <c r="AE111" s="42">
        <f>Tab_Process_TCs2527[[#This Row],[Flow_ID]]</f>
        <v/>
      </c>
      <c r="AF111" s="272">
        <f>"TC"&amp;"_"&amp;RIGHT(AD111,5)</f>
        <v/>
      </c>
      <c r="AG111" s="49" t="n">
        <v>0.4</v>
      </c>
      <c r="AH111" s="169">
        <f>_xlfn.XLOOKUP($D111,#REF!,#REF!,,0,)</f>
        <v/>
      </c>
      <c r="AI111" s="53">
        <f>_xlfn.XLOOKUP($D111,#REF!,#REF!,,0,)</f>
        <v/>
      </c>
      <c r="AJ111" s="42">
        <f>Tab_Process_TCs2527[[#This Row],[Flow_ID]]</f>
        <v/>
      </c>
      <c r="AK111" s="272">
        <f>"TC"&amp;"_"&amp;RIGHT(AI111,5)</f>
        <v/>
      </c>
      <c r="AL111" s="168" t="n">
        <v>0.6</v>
      </c>
      <c r="AM111" s="296">
        <f>_xlfn.XLOOKUP($D111,#REF!,#REF!,,0,)</f>
        <v/>
      </c>
      <c r="AN111" s="272">
        <f>_xlfn.XLOOKUP($D111,#REF!,#REF!,,0,)</f>
        <v/>
      </c>
      <c r="AO111" s="42">
        <f>Tab_Process_TCs2527[[#This Row],[Flow_ID]]</f>
        <v/>
      </c>
      <c r="AP111" s="272">
        <f>"TC"&amp;"_"&amp;RIGHT(AN111,5)</f>
        <v/>
      </c>
      <c r="AQ111" s="168" t="n"/>
      <c r="AR111" s="296">
        <f>_xlfn.XLOOKUP($D111,#REF!,#REF!,,0,)</f>
        <v/>
      </c>
      <c r="AS111" s="272">
        <f>_xlfn.XLOOKUP($D111,#REF!,#REF!,,0,)</f>
        <v/>
      </c>
      <c r="AT111" s="42">
        <f>Tab_Process_TCs2527[[#This Row],[Flow_ID]]</f>
        <v/>
      </c>
      <c r="AU111" s="42">
        <f>"TC"&amp;"_"&amp;RIGHT(AN111,5)</f>
        <v/>
      </c>
      <c r="AV111" s="168" t="n"/>
      <c r="AW111" s="296">
        <f>_xlfn.XLOOKUP($D111,#REF!,#REF!,,0,)</f>
        <v/>
      </c>
      <c r="AX111" s="272">
        <f>_xlfn.XLOOKUP($D111,#REF!,#REF!,,0,)</f>
        <v/>
      </c>
      <c r="AY111" s="42">
        <f>Tab_Process_TCs2527[[#This Row],[Flow_ID]]</f>
        <v/>
      </c>
      <c r="AZ111" s="42">
        <f>"TC"&amp;"_"&amp;RIGHT(AX111,5)</f>
        <v/>
      </c>
      <c r="BA111" s="168" t="n"/>
      <c r="BB111" s="272">
        <f>_xlfn.XLOOKUP($D111,#REF!,#REF!,,0,)</f>
        <v/>
      </c>
      <c r="BC111" s="272">
        <f>_xlfn.XLOOKUP($D111,#REF!,#REF!,,0,)</f>
        <v/>
      </c>
      <c r="BD111" s="42">
        <f>Tab_Process_TCs2527[[#This Row],[Flow_ID]]</f>
        <v/>
      </c>
      <c r="BE111" s="42">
        <f>"TC"&amp;"_"&amp;RIGHT(BC111,5)</f>
        <v/>
      </c>
      <c r="BF111" s="49" t="n"/>
      <c r="BG111" s="52">
        <f>Tab_Process_TCs2527[[#This Row],[TC O_6_'[%']]]+Tab_Process_TCs2527[[#This Row],[TC O_5_'[%']]]+Tab_Process_TCs2527[[#This Row],[TC_O_4_'[%']]]+Tab_Process_TCs2527[[#This Row],[TC_O_3_'[%']]]+Tab_Process_TCs2527[[#This Row],[TC_O_2_'[%']]]+Tab_Process_TCs2527[[#This Row],[TC_O_1_'[%']]]</f>
        <v/>
      </c>
      <c r="BH111" s="273" t="n"/>
      <c r="BI111" s="273" t="n"/>
      <c r="BJ111" s="273" t="n"/>
      <c r="BK111" s="273" t="n"/>
      <c r="BL111" s="273" t="n"/>
    </row>
    <row r="112">
      <c r="A112" s="280" t="b">
        <v>0</v>
      </c>
      <c r="B112" s="272">
        <f>ROW()-1</f>
        <v/>
      </c>
      <c r="C112" s="286">
        <f>_xlfn.XLOOKUP($D112,Tab_Process_TCs[Name(EN)],Tab_Process_TCs[Process_ID],,0,)</f>
        <v/>
      </c>
      <c r="D112" s="189" t="inlineStr">
        <is>
          <t>N.A.</t>
        </is>
      </c>
      <c r="E112" s="189" t="inlineStr">
        <is>
          <t>N.A.</t>
        </is>
      </c>
      <c r="F112" s="286">
        <f>_xlfn.XLOOKUP($D112,Tab_Process_TCs[Name(EN)],Tab_Process_TCs[TC?],,0,)</f>
        <v/>
      </c>
      <c r="G112" s="286">
        <f>_xlfn.XLOOKUP($D112,Tab_Process_TCs[Name(EN)],Tab_Process_TCs[Dyn_TC?],,0,)</f>
        <v/>
      </c>
      <c r="H112" s="272">
        <f>_xlfn.XLOOKUP($E112,Tab_Def_Flows[Name(EN)],Tab_Def_Flows[Flow_ID],,0,1)</f>
        <v/>
      </c>
      <c r="I112" s="272">
        <f>IF(Tab_Process_TCs2527[[#This Row],[Name(EN)]]="N.A.","N.A.","TC"&amp;"_"&amp;RIGHT(H112,5))</f>
        <v/>
      </c>
      <c r="J112" s="273" t="n"/>
      <c r="K112" s="183" t="n"/>
      <c r="L112" s="272" t="n"/>
      <c r="M112" s="296">
        <f>_xlfn.XLOOKUP($D112,Tab_Def_Processes[Name(EN)],Tab_Def_Processes[Input_Flow_I_1],,0,)</f>
        <v/>
      </c>
      <c r="N112" s="272">
        <f>_xlfn.XLOOKUP($D112,Tab_Def_Processes[Name(EN)],Tab_Def_Processes[Flow_ID_I_1],,0,)</f>
        <v/>
      </c>
      <c r="O112" s="34" t="n"/>
      <c r="P112" s="29">
        <f>_xlfn.XLOOKUP($D112,Tab_Def_Processes[Name(EN)],Tab_Def_Processes[Input_Flow_I_2],,0,)</f>
        <v/>
      </c>
      <c r="Q112" s="272">
        <f>_xlfn.XLOOKUP($D112,Tab_Def_Processes[Name(EN)],Tab_Def_Processes[Flow_ID_I_2],,0,)</f>
        <v/>
      </c>
      <c r="R112" s="34" t="n"/>
      <c r="S112" s="29">
        <f>_xlfn.XLOOKUP($D112,Tab_Def_Processes[Name(EN)],Tab_Def_Processes[Input_Flow_I_3],,0,)</f>
        <v/>
      </c>
      <c r="T112" s="272">
        <f>_xlfn.XLOOKUP($D112,Tab_Def_Processes[Name(EN)],Tab_Def_Processes[Flow_ID_I_3],,0,)</f>
        <v/>
      </c>
      <c r="U112" s="34" t="n"/>
      <c r="V112" s="29">
        <f>_xlfn.XLOOKUP($D112,Tab_Def_Processes[Name(EN)],Tab_Def_Processes[Input_Flow_I_4],,0,)</f>
        <v/>
      </c>
      <c r="W112" s="272">
        <f>_xlfn.XLOOKUP($D112,Tab_Def_Processes[Name(EN)],Tab_Def_Processes[Flow_ID_I_4],,0,)</f>
        <v/>
      </c>
      <c r="X112" s="34" t="n"/>
      <c r="Y112" s="29">
        <f>_xlfn.XLOOKUP($D112,Tab_Def_Processes[Name(EN)],Tab_Def_Processes[Input_Flow_I_5],,0,)</f>
        <v/>
      </c>
      <c r="Z112" s="272">
        <f>_xlfn.XLOOKUP($D112,Tab_Def_Processes[Name(EN)],Tab_Def_Processes[Flow_ID_I_5],,0,)</f>
        <v/>
      </c>
      <c r="AA112" s="34" t="n"/>
      <c r="AB112" s="39">
        <f>Tab_Process_TCs2527[[#This Row],[Flow_TC_I_1_'[%']]]+Tab_Process_TCs2527[[#This Row],[Flow_TC_I_2_'[%']]]+Tab_Process_TCs2527[[#This Row],[Flow_TC_I_3_'[%']]]+Tab_Process_TCs2527[[#This Row],[Flow_TC_I_4_'[%']]]+Tab_Process_TCs2527[[#This Row],[Flow_TC_I_5_'[%']]]</f>
        <v/>
      </c>
      <c r="AC112" s="296">
        <f>_xlfn.XLOOKUP($D112,#REF!,#REF!,,0,)</f>
        <v/>
      </c>
      <c r="AD112" s="272">
        <f>_xlfn.XLOOKUP($D112,#REF!,#REF!,,0,)</f>
        <v/>
      </c>
      <c r="AE112" s="42">
        <f>Tab_Process_TCs2527[[#This Row],[Flow_ID]]</f>
        <v/>
      </c>
      <c r="AF112" s="272">
        <f>"TC"&amp;"_"&amp;RIGHT(AD112,5)</f>
        <v/>
      </c>
      <c r="AG112" s="49" t="n"/>
      <c r="AH112" s="169">
        <f>_xlfn.XLOOKUP($D112,#REF!,#REF!,,0,)</f>
        <v/>
      </c>
      <c r="AI112" s="53">
        <f>_xlfn.XLOOKUP($D112,#REF!,#REF!,,0,)</f>
        <v/>
      </c>
      <c r="AJ112" s="42">
        <f>Tab_Process_TCs2527[[#This Row],[Flow_ID]]</f>
        <v/>
      </c>
      <c r="AK112" s="272">
        <f>"TC"&amp;"_"&amp;RIGHT(AI112,5)</f>
        <v/>
      </c>
      <c r="AL112" s="168" t="n"/>
      <c r="AM112" s="296">
        <f>_xlfn.XLOOKUP($D112,#REF!,#REF!,,0,)</f>
        <v/>
      </c>
      <c r="AN112" s="272">
        <f>_xlfn.XLOOKUP($D112,#REF!,#REF!,,0,)</f>
        <v/>
      </c>
      <c r="AO112" s="42">
        <f>Tab_Process_TCs2527[[#This Row],[Flow_ID]]</f>
        <v/>
      </c>
      <c r="AP112" s="272">
        <f>"TC"&amp;"_"&amp;RIGHT(AN112,5)</f>
        <v/>
      </c>
      <c r="AQ112" s="168" t="n"/>
      <c r="AR112" s="296">
        <f>_xlfn.XLOOKUP($D112,#REF!,#REF!,,0,)</f>
        <v/>
      </c>
      <c r="AS112" s="272">
        <f>_xlfn.XLOOKUP($D112,#REF!,#REF!,,0,)</f>
        <v/>
      </c>
      <c r="AT112" s="42">
        <f>Tab_Process_TCs2527[[#This Row],[Flow_ID]]</f>
        <v/>
      </c>
      <c r="AU112" s="42">
        <f>"TC"&amp;"_"&amp;RIGHT(AN112,5)</f>
        <v/>
      </c>
      <c r="AV112" s="168" t="n"/>
      <c r="AW112" s="296">
        <f>_xlfn.XLOOKUP($D112,#REF!,#REF!,,0,)</f>
        <v/>
      </c>
      <c r="AX112" s="272">
        <f>_xlfn.XLOOKUP($D112,#REF!,#REF!,,0,)</f>
        <v/>
      </c>
      <c r="AY112" s="42">
        <f>Tab_Process_TCs2527[[#This Row],[Flow_ID]]</f>
        <v/>
      </c>
      <c r="AZ112" s="42">
        <f>"TC"&amp;"_"&amp;RIGHT(AX112,5)</f>
        <v/>
      </c>
      <c r="BA112" s="168" t="n"/>
      <c r="BB112" s="272">
        <f>_xlfn.XLOOKUP($D112,#REF!,#REF!,,0,)</f>
        <v/>
      </c>
      <c r="BC112" s="272">
        <f>_xlfn.XLOOKUP($D112,#REF!,#REF!,,0,)</f>
        <v/>
      </c>
      <c r="BD112" s="42">
        <f>Tab_Process_TCs2527[[#This Row],[Flow_ID]]</f>
        <v/>
      </c>
      <c r="BE112" s="42">
        <f>"TC"&amp;"_"&amp;RIGHT(BC112,5)</f>
        <v/>
      </c>
      <c r="BF112" s="49" t="n"/>
      <c r="BG112" s="52">
        <f>Tab_Process_TCs2527[[#This Row],[TC O_6_'[%']]]+Tab_Process_TCs2527[[#This Row],[TC O_5_'[%']]]+Tab_Process_TCs2527[[#This Row],[TC_O_4_'[%']]]+Tab_Process_TCs2527[[#This Row],[TC_O_3_'[%']]]+Tab_Process_TCs2527[[#This Row],[TC_O_2_'[%']]]+Tab_Process_TCs2527[[#This Row],[TC_O_1_'[%']]]</f>
        <v/>
      </c>
      <c r="BH112" s="273" t="n"/>
      <c r="BI112" s="273" t="n"/>
      <c r="BJ112" s="273" t="n"/>
      <c r="BK112" s="273" t="n"/>
      <c r="BL112" s="273" t="n"/>
    </row>
    <row r="113">
      <c r="A113" s="280" t="b">
        <v>0</v>
      </c>
      <c r="B113" s="272">
        <f>ROW()-1</f>
        <v/>
      </c>
      <c r="C113" s="286">
        <f>_xlfn.XLOOKUP($D113,Tab_Process_TCs[Name(EN)],Tab_Process_TCs[Process_ID],,0,)</f>
        <v/>
      </c>
      <c r="D113" s="189" t="inlineStr">
        <is>
          <t>N.A.</t>
        </is>
      </c>
      <c r="E113" s="189" t="inlineStr">
        <is>
          <t>N.A.</t>
        </is>
      </c>
      <c r="F113" s="286">
        <f>_xlfn.XLOOKUP($D113,Tab_Process_TCs[Name(EN)],Tab_Process_TCs[TC?],,0,)</f>
        <v/>
      </c>
      <c r="G113" s="286">
        <f>_xlfn.XLOOKUP($D113,Tab_Process_TCs[Name(EN)],Tab_Process_TCs[Dyn_TC?],,0,)</f>
        <v/>
      </c>
      <c r="H113" s="272">
        <f>_xlfn.XLOOKUP($E113,Tab_Def_Flows[Name(EN)],Tab_Def_Flows[Flow_ID],,0,1)</f>
        <v/>
      </c>
      <c r="I113" s="272">
        <f>IF(Tab_Process_TCs2527[[#This Row],[Name(EN)]]="N.A.","N.A.","TC"&amp;"_"&amp;RIGHT(H113,5))</f>
        <v/>
      </c>
      <c r="J113" s="273" t="n"/>
      <c r="K113" s="183" t="n"/>
      <c r="L113" s="272" t="n"/>
      <c r="M113" s="296">
        <f>_xlfn.XLOOKUP($D113,Tab_Def_Processes[Name(EN)],Tab_Def_Processes[Input_Flow_I_1],,0,)</f>
        <v/>
      </c>
      <c r="N113" s="272">
        <f>_xlfn.XLOOKUP($D113,Tab_Def_Processes[Name(EN)],Tab_Def_Processes[Flow_ID_I_1],,0,)</f>
        <v/>
      </c>
      <c r="O113" s="34" t="n"/>
      <c r="P113" s="29">
        <f>_xlfn.XLOOKUP($D113,Tab_Def_Processes[Name(EN)],Tab_Def_Processes[Input_Flow_I_2],,0,)</f>
        <v/>
      </c>
      <c r="Q113" s="272">
        <f>_xlfn.XLOOKUP($D113,Tab_Def_Processes[Name(EN)],Tab_Def_Processes[Flow_ID_I_2],,0,)</f>
        <v/>
      </c>
      <c r="R113" s="34" t="n"/>
      <c r="S113" s="29">
        <f>_xlfn.XLOOKUP($D113,Tab_Def_Processes[Name(EN)],Tab_Def_Processes[Input_Flow_I_3],,0,)</f>
        <v/>
      </c>
      <c r="T113" s="272">
        <f>_xlfn.XLOOKUP($D113,Tab_Def_Processes[Name(EN)],Tab_Def_Processes[Flow_ID_I_3],,0,)</f>
        <v/>
      </c>
      <c r="U113" s="34" t="n"/>
      <c r="V113" s="29">
        <f>_xlfn.XLOOKUP($D113,Tab_Def_Processes[Name(EN)],Tab_Def_Processes[Input_Flow_I_4],,0,)</f>
        <v/>
      </c>
      <c r="W113" s="272">
        <f>_xlfn.XLOOKUP($D113,Tab_Def_Processes[Name(EN)],Tab_Def_Processes[Flow_ID_I_4],,0,)</f>
        <v/>
      </c>
      <c r="X113" s="34" t="n"/>
      <c r="Y113" s="29">
        <f>_xlfn.XLOOKUP($D113,Tab_Def_Processes[Name(EN)],Tab_Def_Processes[Input_Flow_I_5],,0,)</f>
        <v/>
      </c>
      <c r="Z113" s="272">
        <f>_xlfn.XLOOKUP($D113,Tab_Def_Processes[Name(EN)],Tab_Def_Processes[Flow_ID_I_5],,0,)</f>
        <v/>
      </c>
      <c r="AA113" s="34" t="n"/>
      <c r="AB113" s="39">
        <f>Tab_Process_TCs2527[[#This Row],[Flow_TC_I_1_'[%']]]+Tab_Process_TCs2527[[#This Row],[Flow_TC_I_2_'[%']]]+Tab_Process_TCs2527[[#This Row],[Flow_TC_I_3_'[%']]]+Tab_Process_TCs2527[[#This Row],[Flow_TC_I_4_'[%']]]+Tab_Process_TCs2527[[#This Row],[Flow_TC_I_5_'[%']]]</f>
        <v/>
      </c>
      <c r="AC113" s="296">
        <f>_xlfn.XLOOKUP($D113,#REF!,#REF!,,0,)</f>
        <v/>
      </c>
      <c r="AD113" s="272">
        <f>_xlfn.XLOOKUP($D113,#REF!,#REF!,,0,)</f>
        <v/>
      </c>
      <c r="AE113" s="42">
        <f>Tab_Process_TCs2527[[#This Row],[Flow_ID]]</f>
        <v/>
      </c>
      <c r="AF113" s="272">
        <f>"TC"&amp;"_"&amp;RIGHT(AD113,5)</f>
        <v/>
      </c>
      <c r="AG113" s="49" t="n"/>
      <c r="AH113" s="169">
        <f>_xlfn.XLOOKUP($D113,#REF!,#REF!,,0,)</f>
        <v/>
      </c>
      <c r="AI113" s="53">
        <f>_xlfn.XLOOKUP($D113,#REF!,#REF!,,0,)</f>
        <v/>
      </c>
      <c r="AJ113" s="42">
        <f>Tab_Process_TCs2527[[#This Row],[Flow_ID]]</f>
        <v/>
      </c>
      <c r="AK113" s="272">
        <f>"TC"&amp;"_"&amp;RIGHT(AI113,5)</f>
        <v/>
      </c>
      <c r="AL113" s="168" t="n"/>
      <c r="AM113" s="296">
        <f>_xlfn.XLOOKUP($D113,#REF!,#REF!,,0,)</f>
        <v/>
      </c>
      <c r="AN113" s="272">
        <f>_xlfn.XLOOKUP($D113,#REF!,#REF!,,0,)</f>
        <v/>
      </c>
      <c r="AO113" s="42">
        <f>Tab_Process_TCs2527[[#This Row],[Flow_ID]]</f>
        <v/>
      </c>
      <c r="AP113" s="272">
        <f>"TC"&amp;"_"&amp;RIGHT(AN113,5)</f>
        <v/>
      </c>
      <c r="AQ113" s="168" t="n"/>
      <c r="AR113" s="296">
        <f>_xlfn.XLOOKUP($D113,#REF!,#REF!,,0,)</f>
        <v/>
      </c>
      <c r="AS113" s="272">
        <f>_xlfn.XLOOKUP($D113,#REF!,#REF!,,0,)</f>
        <v/>
      </c>
      <c r="AT113" s="42">
        <f>Tab_Process_TCs2527[[#This Row],[Flow_ID]]</f>
        <v/>
      </c>
      <c r="AU113" s="42">
        <f>"TC"&amp;"_"&amp;RIGHT(AN113,5)</f>
        <v/>
      </c>
      <c r="AV113" s="168" t="n"/>
      <c r="AW113" s="296">
        <f>_xlfn.XLOOKUP($D113,#REF!,#REF!,,0,)</f>
        <v/>
      </c>
      <c r="AX113" s="272">
        <f>_xlfn.XLOOKUP($D113,#REF!,#REF!,,0,)</f>
        <v/>
      </c>
      <c r="AY113" s="42">
        <f>Tab_Process_TCs2527[[#This Row],[Flow_ID]]</f>
        <v/>
      </c>
      <c r="AZ113" s="42">
        <f>"TC"&amp;"_"&amp;RIGHT(AX113,5)</f>
        <v/>
      </c>
      <c r="BA113" s="168" t="n"/>
      <c r="BB113" s="272">
        <f>_xlfn.XLOOKUP($D113,#REF!,#REF!,,0,)</f>
        <v/>
      </c>
      <c r="BC113" s="272">
        <f>_xlfn.XLOOKUP($D113,#REF!,#REF!,,0,)</f>
        <v/>
      </c>
      <c r="BD113" s="42">
        <f>Tab_Process_TCs2527[[#This Row],[Flow_ID]]</f>
        <v/>
      </c>
      <c r="BE113" s="42">
        <f>"TC"&amp;"_"&amp;RIGHT(BC113,5)</f>
        <v/>
      </c>
      <c r="BF113" s="49" t="n"/>
      <c r="BG113" s="52">
        <f>Tab_Process_TCs2527[[#This Row],[TC O_6_'[%']]]+Tab_Process_TCs2527[[#This Row],[TC O_5_'[%']]]+Tab_Process_TCs2527[[#This Row],[TC_O_4_'[%']]]+Tab_Process_TCs2527[[#This Row],[TC_O_3_'[%']]]+Tab_Process_TCs2527[[#This Row],[TC_O_2_'[%']]]+Tab_Process_TCs2527[[#This Row],[TC_O_1_'[%']]]</f>
        <v/>
      </c>
      <c r="BH113" s="273" t="n"/>
      <c r="BI113" s="273" t="n"/>
      <c r="BJ113" s="273" t="n"/>
      <c r="BK113" s="273" t="n"/>
      <c r="BL113" s="273" t="n"/>
    </row>
    <row r="114">
      <c r="A114" s="280" t="b">
        <v>0</v>
      </c>
      <c r="B114" s="272">
        <f>ROW()-1</f>
        <v/>
      </c>
      <c r="C114" s="286">
        <f>_xlfn.XLOOKUP($D114,Tab_Process_TCs[Name(EN)],Tab_Process_TCs[Process_ID],,0,)</f>
        <v/>
      </c>
      <c r="D114" s="189" t="inlineStr">
        <is>
          <t>N.A.</t>
        </is>
      </c>
      <c r="E114" s="189" t="inlineStr">
        <is>
          <t>N.A.</t>
        </is>
      </c>
      <c r="F114" s="286">
        <f>_xlfn.XLOOKUP($D114,Tab_Process_TCs[Name(EN)],Tab_Process_TCs[TC?],,0,)</f>
        <v/>
      </c>
      <c r="G114" s="286">
        <f>_xlfn.XLOOKUP($D114,Tab_Process_TCs[Name(EN)],Tab_Process_TCs[Dyn_TC?],,0,)</f>
        <v/>
      </c>
      <c r="H114" s="272">
        <f>_xlfn.XLOOKUP($E114,Tab_Def_Flows[Name(EN)],Tab_Def_Flows[Flow_ID],,0,1)</f>
        <v/>
      </c>
      <c r="I114" s="272">
        <f>IF(Tab_Process_TCs2527[[#This Row],[Name(EN)]]="N.A.","N.A.","TC"&amp;"_"&amp;RIGHT(H114,5))</f>
        <v/>
      </c>
      <c r="J114" s="273" t="n"/>
      <c r="K114" s="183" t="n"/>
      <c r="L114" s="272" t="n"/>
      <c r="M114" s="296">
        <f>_xlfn.XLOOKUP($D114,Tab_Def_Processes[Name(EN)],Tab_Def_Processes[Input_Flow_I_1],,0,)</f>
        <v/>
      </c>
      <c r="N114" s="272">
        <f>_xlfn.XLOOKUP($D114,Tab_Def_Processes[Name(EN)],Tab_Def_Processes[Flow_ID_I_1],,0,)</f>
        <v/>
      </c>
      <c r="O114" s="34" t="n"/>
      <c r="P114" s="29">
        <f>_xlfn.XLOOKUP($D114,Tab_Def_Processes[Name(EN)],Tab_Def_Processes[Input_Flow_I_2],,0,)</f>
        <v/>
      </c>
      <c r="Q114" s="272">
        <f>_xlfn.XLOOKUP($D114,Tab_Def_Processes[Name(EN)],Tab_Def_Processes[Flow_ID_I_2],,0,)</f>
        <v/>
      </c>
      <c r="R114" s="34" t="n"/>
      <c r="S114" s="29">
        <f>_xlfn.XLOOKUP($D114,Tab_Def_Processes[Name(EN)],Tab_Def_Processes[Input_Flow_I_3],,0,)</f>
        <v/>
      </c>
      <c r="T114" s="272">
        <f>_xlfn.XLOOKUP($D114,Tab_Def_Processes[Name(EN)],Tab_Def_Processes[Flow_ID_I_3],,0,)</f>
        <v/>
      </c>
      <c r="U114" s="34" t="n"/>
      <c r="V114" s="29">
        <f>_xlfn.XLOOKUP($D114,Tab_Def_Processes[Name(EN)],Tab_Def_Processes[Input_Flow_I_4],,0,)</f>
        <v/>
      </c>
      <c r="W114" s="272">
        <f>_xlfn.XLOOKUP($D114,Tab_Def_Processes[Name(EN)],Tab_Def_Processes[Flow_ID_I_4],,0,)</f>
        <v/>
      </c>
      <c r="X114" s="34" t="n"/>
      <c r="Y114" s="29">
        <f>_xlfn.XLOOKUP($D114,Tab_Def_Processes[Name(EN)],Tab_Def_Processes[Input_Flow_I_5],,0,)</f>
        <v/>
      </c>
      <c r="Z114" s="272">
        <f>_xlfn.XLOOKUP($D114,Tab_Def_Processes[Name(EN)],Tab_Def_Processes[Flow_ID_I_5],,0,)</f>
        <v/>
      </c>
      <c r="AA114" s="34" t="n"/>
      <c r="AB114" s="39">
        <f>Tab_Process_TCs2527[[#This Row],[Flow_TC_I_1_'[%']]]+Tab_Process_TCs2527[[#This Row],[Flow_TC_I_2_'[%']]]+Tab_Process_TCs2527[[#This Row],[Flow_TC_I_3_'[%']]]+Tab_Process_TCs2527[[#This Row],[Flow_TC_I_4_'[%']]]+Tab_Process_TCs2527[[#This Row],[Flow_TC_I_5_'[%']]]</f>
        <v/>
      </c>
      <c r="AC114" s="296">
        <f>_xlfn.XLOOKUP($D114,#REF!,#REF!,,0,)</f>
        <v/>
      </c>
      <c r="AD114" s="272">
        <f>_xlfn.XLOOKUP($D114,#REF!,#REF!,,0,)</f>
        <v/>
      </c>
      <c r="AE114" s="42">
        <f>Tab_Process_TCs2527[[#This Row],[Flow_ID]]</f>
        <v/>
      </c>
      <c r="AF114" s="272">
        <f>"TC"&amp;"_"&amp;RIGHT(AD114,5)</f>
        <v/>
      </c>
      <c r="AG114" s="49" t="n"/>
      <c r="AH114" s="169">
        <f>_xlfn.XLOOKUP($D114,#REF!,#REF!,,0,)</f>
        <v/>
      </c>
      <c r="AI114" s="53">
        <f>_xlfn.XLOOKUP($D114,#REF!,#REF!,,0,)</f>
        <v/>
      </c>
      <c r="AJ114" s="42">
        <f>Tab_Process_TCs2527[[#This Row],[Flow_ID]]</f>
        <v/>
      </c>
      <c r="AK114" s="272">
        <f>"TC"&amp;"_"&amp;RIGHT(AI114,5)</f>
        <v/>
      </c>
      <c r="AL114" s="168" t="n"/>
      <c r="AM114" s="296">
        <f>_xlfn.XLOOKUP($D114,#REF!,#REF!,,0,)</f>
        <v/>
      </c>
      <c r="AN114" s="272">
        <f>_xlfn.XLOOKUP($D114,#REF!,#REF!,,0,)</f>
        <v/>
      </c>
      <c r="AO114" s="42">
        <f>Tab_Process_TCs2527[[#This Row],[Flow_ID]]</f>
        <v/>
      </c>
      <c r="AP114" s="272">
        <f>"TC"&amp;"_"&amp;RIGHT(AN114,5)</f>
        <v/>
      </c>
      <c r="AQ114" s="168" t="n"/>
      <c r="AR114" s="296">
        <f>_xlfn.XLOOKUP($D114,#REF!,#REF!,,0,)</f>
        <v/>
      </c>
      <c r="AS114" s="272">
        <f>_xlfn.XLOOKUP($D114,#REF!,#REF!,,0,)</f>
        <v/>
      </c>
      <c r="AT114" s="42">
        <f>Tab_Process_TCs2527[[#This Row],[Flow_ID]]</f>
        <v/>
      </c>
      <c r="AU114" s="42">
        <f>"TC"&amp;"_"&amp;RIGHT(AN114,5)</f>
        <v/>
      </c>
      <c r="AV114" s="168" t="n"/>
      <c r="AW114" s="296">
        <f>_xlfn.XLOOKUP($D114,#REF!,#REF!,,0,)</f>
        <v/>
      </c>
      <c r="AX114" s="272">
        <f>_xlfn.XLOOKUP($D114,#REF!,#REF!,,0,)</f>
        <v/>
      </c>
      <c r="AY114" s="42">
        <f>Tab_Process_TCs2527[[#This Row],[Flow_ID]]</f>
        <v/>
      </c>
      <c r="AZ114" s="42">
        <f>"TC"&amp;"_"&amp;RIGHT(AX114,5)</f>
        <v/>
      </c>
      <c r="BA114" s="168" t="n"/>
      <c r="BB114" s="272">
        <f>_xlfn.XLOOKUP($D114,#REF!,#REF!,,0,)</f>
        <v/>
      </c>
      <c r="BC114" s="272">
        <f>_xlfn.XLOOKUP($D114,#REF!,#REF!,,0,)</f>
        <v/>
      </c>
      <c r="BD114" s="42">
        <f>Tab_Process_TCs2527[[#This Row],[Flow_ID]]</f>
        <v/>
      </c>
      <c r="BE114" s="42">
        <f>"TC"&amp;"_"&amp;RIGHT(BC114,5)</f>
        <v/>
      </c>
      <c r="BF114" s="49" t="n"/>
      <c r="BG114" s="52">
        <f>Tab_Process_TCs2527[[#This Row],[TC O_6_'[%']]]+Tab_Process_TCs2527[[#This Row],[TC O_5_'[%']]]+Tab_Process_TCs2527[[#This Row],[TC_O_4_'[%']]]+Tab_Process_TCs2527[[#This Row],[TC_O_3_'[%']]]+Tab_Process_TCs2527[[#This Row],[TC_O_2_'[%']]]+Tab_Process_TCs2527[[#This Row],[TC_O_1_'[%']]]</f>
        <v/>
      </c>
      <c r="BH114" s="273" t="n"/>
      <c r="BI114" s="273" t="n"/>
      <c r="BJ114" s="273" t="n"/>
      <c r="BK114" s="273" t="n"/>
      <c r="BL114" s="273" t="n"/>
    </row>
    <row r="115">
      <c r="A115" s="280" t="b">
        <v>0</v>
      </c>
      <c r="B115" s="272">
        <f>ROW()-1</f>
        <v/>
      </c>
      <c r="C115" s="286">
        <f>_xlfn.XLOOKUP($D115,Tab_Process_TCs[Name(EN)],Tab_Process_TCs[Process_ID],,0,)</f>
        <v/>
      </c>
      <c r="D115" s="189" t="inlineStr">
        <is>
          <t>N.A.</t>
        </is>
      </c>
      <c r="E115" s="189" t="inlineStr">
        <is>
          <t>N.A.</t>
        </is>
      </c>
      <c r="F115" s="286">
        <f>_xlfn.XLOOKUP($D115,Tab_Process_TCs[Name(EN)],Tab_Process_TCs[TC?],,0,)</f>
        <v/>
      </c>
      <c r="G115" s="286">
        <f>_xlfn.XLOOKUP($D115,Tab_Process_TCs[Name(EN)],Tab_Process_TCs[Dyn_TC?],,0,)</f>
        <v/>
      </c>
      <c r="H115" s="272">
        <f>_xlfn.XLOOKUP($E115,Tab_Def_Flows[Name(EN)],Tab_Def_Flows[Flow_ID],,0,1)</f>
        <v/>
      </c>
      <c r="I115" s="272">
        <f>IF(Tab_Process_TCs2527[[#This Row],[Name(EN)]]="N.A.","N.A.","TC"&amp;"_"&amp;RIGHT(H115,5))</f>
        <v/>
      </c>
      <c r="J115" s="273" t="n"/>
      <c r="K115" s="183" t="n"/>
      <c r="L115" s="272" t="n"/>
      <c r="M115" s="296">
        <f>_xlfn.XLOOKUP($D115,Tab_Def_Processes[Name(EN)],Tab_Def_Processes[Input_Flow_I_1],,0,)</f>
        <v/>
      </c>
      <c r="N115" s="272">
        <f>_xlfn.XLOOKUP($D115,Tab_Def_Processes[Name(EN)],Tab_Def_Processes[Flow_ID_I_1],,0,)</f>
        <v/>
      </c>
      <c r="O115" s="34" t="n"/>
      <c r="P115" s="29">
        <f>_xlfn.XLOOKUP($D115,Tab_Def_Processes[Name(EN)],Tab_Def_Processes[Input_Flow_I_2],,0,)</f>
        <v/>
      </c>
      <c r="Q115" s="272">
        <f>_xlfn.XLOOKUP($D115,Tab_Def_Processes[Name(EN)],Tab_Def_Processes[Flow_ID_I_2],,0,)</f>
        <v/>
      </c>
      <c r="R115" s="34" t="n"/>
      <c r="S115" s="29">
        <f>_xlfn.XLOOKUP($D115,Tab_Def_Processes[Name(EN)],Tab_Def_Processes[Input_Flow_I_3],,0,)</f>
        <v/>
      </c>
      <c r="T115" s="272">
        <f>_xlfn.XLOOKUP($D115,Tab_Def_Processes[Name(EN)],Tab_Def_Processes[Flow_ID_I_3],,0,)</f>
        <v/>
      </c>
      <c r="U115" s="34" t="n"/>
      <c r="V115" s="29">
        <f>_xlfn.XLOOKUP($D115,Tab_Def_Processes[Name(EN)],Tab_Def_Processes[Input_Flow_I_4],,0,)</f>
        <v/>
      </c>
      <c r="W115" s="272">
        <f>_xlfn.XLOOKUP($D115,Tab_Def_Processes[Name(EN)],Tab_Def_Processes[Flow_ID_I_4],,0,)</f>
        <v/>
      </c>
      <c r="X115" s="34" t="n"/>
      <c r="Y115" s="29">
        <f>_xlfn.XLOOKUP($D115,Tab_Def_Processes[Name(EN)],Tab_Def_Processes[Input_Flow_I_5],,0,)</f>
        <v/>
      </c>
      <c r="Z115" s="272">
        <f>_xlfn.XLOOKUP($D115,Tab_Def_Processes[Name(EN)],Tab_Def_Processes[Flow_ID_I_5],,0,)</f>
        <v/>
      </c>
      <c r="AA115" s="34" t="n"/>
      <c r="AB115" s="39">
        <f>Tab_Process_TCs2527[[#This Row],[Flow_TC_I_1_'[%']]]+Tab_Process_TCs2527[[#This Row],[Flow_TC_I_2_'[%']]]+Tab_Process_TCs2527[[#This Row],[Flow_TC_I_3_'[%']]]+Tab_Process_TCs2527[[#This Row],[Flow_TC_I_4_'[%']]]+Tab_Process_TCs2527[[#This Row],[Flow_TC_I_5_'[%']]]</f>
        <v/>
      </c>
      <c r="AC115" s="296">
        <f>_xlfn.XLOOKUP($D115,#REF!,#REF!,,0,)</f>
        <v/>
      </c>
      <c r="AD115" s="272">
        <f>_xlfn.XLOOKUP($D115,#REF!,#REF!,,0,)</f>
        <v/>
      </c>
      <c r="AE115" s="42">
        <f>Tab_Process_TCs2527[[#This Row],[Flow_ID]]</f>
        <v/>
      </c>
      <c r="AF115" s="272">
        <f>"TC"&amp;"_"&amp;RIGHT(AD115,5)</f>
        <v/>
      </c>
      <c r="AG115" s="49" t="n"/>
      <c r="AH115" s="169">
        <f>_xlfn.XLOOKUP($D115,#REF!,#REF!,,0,)</f>
        <v/>
      </c>
      <c r="AI115" s="53">
        <f>_xlfn.XLOOKUP($D115,#REF!,#REF!,,0,)</f>
        <v/>
      </c>
      <c r="AJ115" s="42">
        <f>Tab_Process_TCs2527[[#This Row],[Flow_ID]]</f>
        <v/>
      </c>
      <c r="AK115" s="272">
        <f>"TC"&amp;"_"&amp;RIGHT(AI115,5)</f>
        <v/>
      </c>
      <c r="AL115" s="168" t="n"/>
      <c r="AM115" s="296">
        <f>_xlfn.XLOOKUP($D115,#REF!,#REF!,,0,)</f>
        <v/>
      </c>
      <c r="AN115" s="272">
        <f>_xlfn.XLOOKUP($D115,#REF!,#REF!,,0,)</f>
        <v/>
      </c>
      <c r="AO115" s="42">
        <f>Tab_Process_TCs2527[[#This Row],[Flow_ID]]</f>
        <v/>
      </c>
      <c r="AP115" s="272">
        <f>"TC"&amp;"_"&amp;RIGHT(AN115,5)</f>
        <v/>
      </c>
      <c r="AQ115" s="168" t="n"/>
      <c r="AR115" s="296">
        <f>_xlfn.XLOOKUP($D115,#REF!,#REF!,,0,)</f>
        <v/>
      </c>
      <c r="AS115" s="272">
        <f>_xlfn.XLOOKUP($D115,#REF!,#REF!,,0,)</f>
        <v/>
      </c>
      <c r="AT115" s="42">
        <f>Tab_Process_TCs2527[[#This Row],[Flow_ID]]</f>
        <v/>
      </c>
      <c r="AU115" s="42">
        <f>"TC"&amp;"_"&amp;RIGHT(AN115,5)</f>
        <v/>
      </c>
      <c r="AV115" s="168" t="n"/>
      <c r="AW115" s="296">
        <f>_xlfn.XLOOKUP($D115,#REF!,#REF!,,0,)</f>
        <v/>
      </c>
      <c r="AX115" s="272">
        <f>_xlfn.XLOOKUP($D115,#REF!,#REF!,,0,)</f>
        <v/>
      </c>
      <c r="AY115" s="42">
        <f>Tab_Process_TCs2527[[#This Row],[Flow_ID]]</f>
        <v/>
      </c>
      <c r="AZ115" s="42">
        <f>"TC"&amp;"_"&amp;RIGHT(AX115,5)</f>
        <v/>
      </c>
      <c r="BA115" s="168" t="n"/>
      <c r="BB115" s="272">
        <f>_xlfn.XLOOKUP($D115,#REF!,#REF!,,0,)</f>
        <v/>
      </c>
      <c r="BC115" s="272">
        <f>_xlfn.XLOOKUP($D115,#REF!,#REF!,,0,)</f>
        <v/>
      </c>
      <c r="BD115" s="42">
        <f>Tab_Process_TCs2527[[#This Row],[Flow_ID]]</f>
        <v/>
      </c>
      <c r="BE115" s="42">
        <f>"TC"&amp;"_"&amp;RIGHT(BC115,5)</f>
        <v/>
      </c>
      <c r="BF115" s="49" t="n"/>
      <c r="BG115" s="52">
        <f>Tab_Process_TCs2527[[#This Row],[TC O_6_'[%']]]+Tab_Process_TCs2527[[#This Row],[TC O_5_'[%']]]+Tab_Process_TCs2527[[#This Row],[TC_O_4_'[%']]]+Tab_Process_TCs2527[[#This Row],[TC_O_3_'[%']]]+Tab_Process_TCs2527[[#This Row],[TC_O_2_'[%']]]+Tab_Process_TCs2527[[#This Row],[TC_O_1_'[%']]]</f>
        <v/>
      </c>
      <c r="BH115" s="273" t="n"/>
      <c r="BI115" s="273" t="n"/>
      <c r="BJ115" s="273" t="n"/>
      <c r="BK115" s="273" t="n"/>
      <c r="BL115" s="273" t="n"/>
    </row>
    <row r="116">
      <c r="A116" s="280" t="b">
        <v>0</v>
      </c>
      <c r="B116" s="272">
        <f>ROW()-1</f>
        <v/>
      </c>
      <c r="C116" s="286">
        <f>_xlfn.XLOOKUP($D116,Tab_Process_TCs[Name(EN)],Tab_Process_TCs[Process_ID],,0,)</f>
        <v/>
      </c>
      <c r="D116" s="189" t="inlineStr">
        <is>
          <t>N.A.</t>
        </is>
      </c>
      <c r="E116" s="189" t="inlineStr">
        <is>
          <t>N.A.</t>
        </is>
      </c>
      <c r="F116" s="286">
        <f>_xlfn.XLOOKUP($D116,Tab_Process_TCs[Name(EN)],Tab_Process_TCs[TC?],,0,)</f>
        <v/>
      </c>
      <c r="G116" s="286">
        <f>_xlfn.XLOOKUP($D116,Tab_Process_TCs[Name(EN)],Tab_Process_TCs[Dyn_TC?],,0,)</f>
        <v/>
      </c>
      <c r="H116" s="272">
        <f>_xlfn.XLOOKUP($E116,Tab_Def_Flows[Name(EN)],Tab_Def_Flows[Flow_ID],,0,1)</f>
        <v/>
      </c>
      <c r="I116" s="272">
        <f>IF(Tab_Process_TCs2527[[#This Row],[Name(EN)]]="N.A.","N.A.","TC"&amp;"_"&amp;RIGHT(H116,5))</f>
        <v/>
      </c>
      <c r="J116" s="273" t="n"/>
      <c r="K116" s="183" t="n"/>
      <c r="L116" s="272" t="n"/>
      <c r="M116" s="296">
        <f>_xlfn.XLOOKUP($D116,Tab_Def_Processes[Name(EN)],Tab_Def_Processes[Input_Flow_I_1],,0,)</f>
        <v/>
      </c>
      <c r="N116" s="272">
        <f>_xlfn.XLOOKUP($D116,Tab_Def_Processes[Name(EN)],Tab_Def_Processes[Flow_ID_I_1],,0,)</f>
        <v/>
      </c>
      <c r="O116" s="34" t="n"/>
      <c r="P116" s="29">
        <f>_xlfn.XLOOKUP($D116,Tab_Def_Processes[Name(EN)],Tab_Def_Processes[Input_Flow_I_2],,0,)</f>
        <v/>
      </c>
      <c r="Q116" s="272">
        <f>_xlfn.XLOOKUP($D116,Tab_Def_Processes[Name(EN)],Tab_Def_Processes[Flow_ID_I_2],,0,)</f>
        <v/>
      </c>
      <c r="R116" s="34" t="n"/>
      <c r="S116" s="29">
        <f>_xlfn.XLOOKUP($D116,Tab_Def_Processes[Name(EN)],Tab_Def_Processes[Input_Flow_I_3],,0,)</f>
        <v/>
      </c>
      <c r="T116" s="272">
        <f>_xlfn.XLOOKUP($D116,Tab_Def_Processes[Name(EN)],Tab_Def_Processes[Flow_ID_I_3],,0,)</f>
        <v/>
      </c>
      <c r="U116" s="34" t="n"/>
      <c r="V116" s="29">
        <f>_xlfn.XLOOKUP($D116,Tab_Def_Processes[Name(EN)],Tab_Def_Processes[Input_Flow_I_4],,0,)</f>
        <v/>
      </c>
      <c r="W116" s="272">
        <f>_xlfn.XLOOKUP($D116,Tab_Def_Processes[Name(EN)],Tab_Def_Processes[Flow_ID_I_4],,0,)</f>
        <v/>
      </c>
      <c r="X116" s="34" t="n"/>
      <c r="Y116" s="29">
        <f>_xlfn.XLOOKUP($D116,Tab_Def_Processes[Name(EN)],Tab_Def_Processes[Input_Flow_I_5],,0,)</f>
        <v/>
      </c>
      <c r="Z116" s="272">
        <f>_xlfn.XLOOKUP($D116,Tab_Def_Processes[Name(EN)],Tab_Def_Processes[Flow_ID_I_5],,0,)</f>
        <v/>
      </c>
      <c r="AA116" s="34" t="n"/>
      <c r="AB116" s="39">
        <f>Tab_Process_TCs2527[[#This Row],[Flow_TC_I_1_'[%']]]+Tab_Process_TCs2527[[#This Row],[Flow_TC_I_2_'[%']]]+Tab_Process_TCs2527[[#This Row],[Flow_TC_I_3_'[%']]]+Tab_Process_TCs2527[[#This Row],[Flow_TC_I_4_'[%']]]+Tab_Process_TCs2527[[#This Row],[Flow_TC_I_5_'[%']]]</f>
        <v/>
      </c>
      <c r="AC116" s="296">
        <f>_xlfn.XLOOKUP($D116,#REF!,#REF!,,0,)</f>
        <v/>
      </c>
      <c r="AD116" s="272">
        <f>_xlfn.XLOOKUP($D116,#REF!,#REF!,,0,)</f>
        <v/>
      </c>
      <c r="AE116" s="42">
        <f>Tab_Process_TCs2527[[#This Row],[Flow_ID]]</f>
        <v/>
      </c>
      <c r="AF116" s="272">
        <f>"TC"&amp;"_"&amp;RIGHT(AD116,5)</f>
        <v/>
      </c>
      <c r="AG116" s="49" t="n"/>
      <c r="AH116" s="169">
        <f>_xlfn.XLOOKUP($D116,#REF!,#REF!,,0,)</f>
        <v/>
      </c>
      <c r="AI116" s="53">
        <f>_xlfn.XLOOKUP($D116,#REF!,#REF!,,0,)</f>
        <v/>
      </c>
      <c r="AJ116" s="42">
        <f>Tab_Process_TCs2527[[#This Row],[Flow_ID]]</f>
        <v/>
      </c>
      <c r="AK116" s="272">
        <f>"TC"&amp;"_"&amp;RIGHT(AI116,5)</f>
        <v/>
      </c>
      <c r="AL116" s="168" t="n"/>
      <c r="AM116" s="296">
        <f>_xlfn.XLOOKUP($D116,#REF!,#REF!,,0,)</f>
        <v/>
      </c>
      <c r="AN116" s="272">
        <f>_xlfn.XLOOKUP($D116,#REF!,#REF!,,0,)</f>
        <v/>
      </c>
      <c r="AO116" s="42">
        <f>Tab_Process_TCs2527[[#This Row],[Flow_ID]]</f>
        <v/>
      </c>
      <c r="AP116" s="272">
        <f>"TC"&amp;"_"&amp;RIGHT(AN116,5)</f>
        <v/>
      </c>
      <c r="AQ116" s="168" t="n"/>
      <c r="AR116" s="296">
        <f>_xlfn.XLOOKUP($D116,#REF!,#REF!,,0,)</f>
        <v/>
      </c>
      <c r="AS116" s="272">
        <f>_xlfn.XLOOKUP($D116,#REF!,#REF!,,0,)</f>
        <v/>
      </c>
      <c r="AT116" s="42">
        <f>Tab_Process_TCs2527[[#This Row],[Flow_ID]]</f>
        <v/>
      </c>
      <c r="AU116" s="42">
        <f>"TC"&amp;"_"&amp;RIGHT(AN116,5)</f>
        <v/>
      </c>
      <c r="AV116" s="168" t="n"/>
      <c r="AW116" s="296">
        <f>_xlfn.XLOOKUP($D116,#REF!,#REF!,,0,)</f>
        <v/>
      </c>
      <c r="AX116" s="272">
        <f>_xlfn.XLOOKUP($D116,#REF!,#REF!,,0,)</f>
        <v/>
      </c>
      <c r="AY116" s="42">
        <f>Tab_Process_TCs2527[[#This Row],[Flow_ID]]</f>
        <v/>
      </c>
      <c r="AZ116" s="42">
        <f>"TC"&amp;"_"&amp;RIGHT(AX116,5)</f>
        <v/>
      </c>
      <c r="BA116" s="168" t="n"/>
      <c r="BB116" s="272">
        <f>_xlfn.XLOOKUP($D116,#REF!,#REF!,,0,)</f>
        <v/>
      </c>
      <c r="BC116" s="272">
        <f>_xlfn.XLOOKUP($D116,#REF!,#REF!,,0,)</f>
        <v/>
      </c>
      <c r="BD116" s="42">
        <f>Tab_Process_TCs2527[[#This Row],[Flow_ID]]</f>
        <v/>
      </c>
      <c r="BE116" s="42">
        <f>"TC"&amp;"_"&amp;RIGHT(BC116,5)</f>
        <v/>
      </c>
      <c r="BF116" s="49" t="n"/>
      <c r="BG116" s="52">
        <f>Tab_Process_TCs2527[[#This Row],[TC O_6_'[%']]]+Tab_Process_TCs2527[[#This Row],[TC O_5_'[%']]]+Tab_Process_TCs2527[[#This Row],[TC_O_4_'[%']]]+Tab_Process_TCs2527[[#This Row],[TC_O_3_'[%']]]+Tab_Process_TCs2527[[#This Row],[TC_O_2_'[%']]]+Tab_Process_TCs2527[[#This Row],[TC_O_1_'[%']]]</f>
        <v/>
      </c>
      <c r="BH116" s="273" t="n"/>
      <c r="BI116" s="273" t="n"/>
      <c r="BJ116" s="273" t="n"/>
      <c r="BK116" s="273" t="n"/>
      <c r="BL116" s="273" t="n"/>
    </row>
    <row r="117">
      <c r="A117" s="280" t="b">
        <v>0</v>
      </c>
      <c r="B117" s="272">
        <f>ROW()-1</f>
        <v/>
      </c>
      <c r="C117" s="286">
        <f>_xlfn.XLOOKUP($D117,Tab_Process_TCs[Name(EN)],Tab_Process_TCs[Process_ID],,0,)</f>
        <v/>
      </c>
      <c r="D117" s="189" t="inlineStr">
        <is>
          <t>N.A.</t>
        </is>
      </c>
      <c r="E117" s="189" t="inlineStr">
        <is>
          <t>N.A.</t>
        </is>
      </c>
      <c r="F117" s="286">
        <f>_xlfn.XLOOKUP($D117,Tab_Process_TCs[Name(EN)],Tab_Process_TCs[TC?],,0,)</f>
        <v/>
      </c>
      <c r="G117" s="286">
        <f>_xlfn.XLOOKUP($D117,Tab_Process_TCs[Name(EN)],Tab_Process_TCs[Dyn_TC?],,0,)</f>
        <v/>
      </c>
      <c r="H117" s="272">
        <f>_xlfn.XLOOKUP($E117,Tab_Def_Flows[Name(EN)],Tab_Def_Flows[Flow_ID],,0,1)</f>
        <v/>
      </c>
      <c r="I117" s="272">
        <f>IF(Tab_Process_TCs2527[[#This Row],[Name(EN)]]="N.A.","N.A.","TC"&amp;"_"&amp;RIGHT(H117,5))</f>
        <v/>
      </c>
      <c r="J117" s="273" t="n"/>
      <c r="K117" s="183" t="n"/>
      <c r="L117" s="272" t="n"/>
      <c r="M117" s="296">
        <f>_xlfn.XLOOKUP($D117,Tab_Def_Processes[Name(EN)],Tab_Def_Processes[Input_Flow_I_1],,0,)</f>
        <v/>
      </c>
      <c r="N117" s="272">
        <f>_xlfn.XLOOKUP($D117,Tab_Def_Processes[Name(EN)],Tab_Def_Processes[Flow_ID_I_1],,0,)</f>
        <v/>
      </c>
      <c r="O117" s="34" t="n"/>
      <c r="P117" s="29">
        <f>_xlfn.XLOOKUP($D117,Tab_Def_Processes[Name(EN)],Tab_Def_Processes[Input_Flow_I_2],,0,)</f>
        <v/>
      </c>
      <c r="Q117" s="272">
        <f>_xlfn.XLOOKUP($D117,Tab_Def_Processes[Name(EN)],Tab_Def_Processes[Flow_ID_I_2],,0,)</f>
        <v/>
      </c>
      <c r="R117" s="34" t="n"/>
      <c r="S117" s="29">
        <f>_xlfn.XLOOKUP($D117,Tab_Def_Processes[Name(EN)],Tab_Def_Processes[Input_Flow_I_3],,0,)</f>
        <v/>
      </c>
      <c r="T117" s="272">
        <f>_xlfn.XLOOKUP($D117,Tab_Def_Processes[Name(EN)],Tab_Def_Processes[Flow_ID_I_3],,0,)</f>
        <v/>
      </c>
      <c r="U117" s="34" t="n"/>
      <c r="V117" s="29">
        <f>_xlfn.XLOOKUP($D117,Tab_Def_Processes[Name(EN)],Tab_Def_Processes[Input_Flow_I_4],,0,)</f>
        <v/>
      </c>
      <c r="W117" s="272">
        <f>_xlfn.XLOOKUP($D117,Tab_Def_Processes[Name(EN)],Tab_Def_Processes[Flow_ID_I_4],,0,)</f>
        <v/>
      </c>
      <c r="X117" s="34" t="n"/>
      <c r="Y117" s="29">
        <f>_xlfn.XLOOKUP($D117,Tab_Def_Processes[Name(EN)],Tab_Def_Processes[Input_Flow_I_5],,0,)</f>
        <v/>
      </c>
      <c r="Z117" s="272">
        <f>_xlfn.XLOOKUP($D117,Tab_Def_Processes[Name(EN)],Tab_Def_Processes[Flow_ID_I_5],,0,)</f>
        <v/>
      </c>
      <c r="AA117" s="34" t="n"/>
      <c r="AB117" s="39">
        <f>Tab_Process_TCs2527[[#This Row],[Flow_TC_I_1_'[%']]]+Tab_Process_TCs2527[[#This Row],[Flow_TC_I_2_'[%']]]+Tab_Process_TCs2527[[#This Row],[Flow_TC_I_3_'[%']]]+Tab_Process_TCs2527[[#This Row],[Flow_TC_I_4_'[%']]]+Tab_Process_TCs2527[[#This Row],[Flow_TC_I_5_'[%']]]</f>
        <v/>
      </c>
      <c r="AC117" s="296">
        <f>_xlfn.XLOOKUP($D117,#REF!,#REF!,,0,)</f>
        <v/>
      </c>
      <c r="AD117" s="272">
        <f>_xlfn.XLOOKUP($D117,#REF!,#REF!,,0,)</f>
        <v/>
      </c>
      <c r="AE117" s="42">
        <f>Tab_Process_TCs2527[[#This Row],[Flow_ID]]</f>
        <v/>
      </c>
      <c r="AF117" s="272">
        <f>"TC"&amp;"_"&amp;RIGHT(AD117,5)</f>
        <v/>
      </c>
      <c r="AG117" s="49" t="n"/>
      <c r="AH117" s="169">
        <f>_xlfn.XLOOKUP($D117,#REF!,#REF!,,0,)</f>
        <v/>
      </c>
      <c r="AI117" s="53">
        <f>_xlfn.XLOOKUP($D117,#REF!,#REF!,,0,)</f>
        <v/>
      </c>
      <c r="AJ117" s="42">
        <f>Tab_Process_TCs2527[[#This Row],[Flow_ID]]</f>
        <v/>
      </c>
      <c r="AK117" s="272">
        <f>"TC"&amp;"_"&amp;RIGHT(AI117,5)</f>
        <v/>
      </c>
      <c r="AL117" s="168" t="n"/>
      <c r="AM117" s="296">
        <f>_xlfn.XLOOKUP($D117,#REF!,#REF!,,0,)</f>
        <v/>
      </c>
      <c r="AN117" s="272">
        <f>_xlfn.XLOOKUP($D117,#REF!,#REF!,,0,)</f>
        <v/>
      </c>
      <c r="AO117" s="42">
        <f>Tab_Process_TCs2527[[#This Row],[Flow_ID]]</f>
        <v/>
      </c>
      <c r="AP117" s="272">
        <f>"TC"&amp;"_"&amp;RIGHT(AN117,5)</f>
        <v/>
      </c>
      <c r="AQ117" s="168" t="n"/>
      <c r="AR117" s="296">
        <f>_xlfn.XLOOKUP($D117,#REF!,#REF!,,0,)</f>
        <v/>
      </c>
      <c r="AS117" s="272">
        <f>_xlfn.XLOOKUP($D117,#REF!,#REF!,,0,)</f>
        <v/>
      </c>
      <c r="AT117" s="42">
        <f>Tab_Process_TCs2527[[#This Row],[Flow_ID]]</f>
        <v/>
      </c>
      <c r="AU117" s="42">
        <f>"TC"&amp;"_"&amp;RIGHT(AN117,5)</f>
        <v/>
      </c>
      <c r="AV117" s="168" t="n"/>
      <c r="AW117" s="296">
        <f>_xlfn.XLOOKUP($D117,#REF!,#REF!,,0,)</f>
        <v/>
      </c>
      <c r="AX117" s="272">
        <f>_xlfn.XLOOKUP($D117,#REF!,#REF!,,0,)</f>
        <v/>
      </c>
      <c r="AY117" s="42">
        <f>Tab_Process_TCs2527[[#This Row],[Flow_ID]]</f>
        <v/>
      </c>
      <c r="AZ117" s="42">
        <f>"TC"&amp;"_"&amp;RIGHT(AX117,5)</f>
        <v/>
      </c>
      <c r="BA117" s="168" t="n"/>
      <c r="BB117" s="272">
        <f>_xlfn.XLOOKUP($D117,#REF!,#REF!,,0,)</f>
        <v/>
      </c>
      <c r="BC117" s="272">
        <f>_xlfn.XLOOKUP($D117,#REF!,#REF!,,0,)</f>
        <v/>
      </c>
      <c r="BD117" s="42">
        <f>Tab_Process_TCs2527[[#This Row],[Flow_ID]]</f>
        <v/>
      </c>
      <c r="BE117" s="42">
        <f>"TC"&amp;"_"&amp;RIGHT(BC117,5)</f>
        <v/>
      </c>
      <c r="BF117" s="49" t="n"/>
      <c r="BG117" s="52">
        <f>Tab_Process_TCs2527[[#This Row],[TC O_6_'[%']]]+Tab_Process_TCs2527[[#This Row],[TC O_5_'[%']]]+Tab_Process_TCs2527[[#This Row],[TC_O_4_'[%']]]+Tab_Process_TCs2527[[#This Row],[TC_O_3_'[%']]]+Tab_Process_TCs2527[[#This Row],[TC_O_2_'[%']]]+Tab_Process_TCs2527[[#This Row],[TC_O_1_'[%']]]</f>
        <v/>
      </c>
      <c r="BH117" s="273" t="n"/>
      <c r="BI117" s="273" t="n"/>
      <c r="BJ117" s="273" t="n"/>
      <c r="BK117" s="273" t="n"/>
      <c r="BL117" s="273" t="n"/>
    </row>
    <row r="118">
      <c r="A118" s="280" t="b">
        <v>0</v>
      </c>
      <c r="B118" s="272">
        <f>ROW()-1</f>
        <v/>
      </c>
      <c r="C118" s="286">
        <f>_xlfn.XLOOKUP($D118,Tab_Process_TCs[Name(EN)],Tab_Process_TCs[Process_ID],,0,)</f>
        <v/>
      </c>
      <c r="D118" s="189" t="inlineStr">
        <is>
          <t>N.A.</t>
        </is>
      </c>
      <c r="E118" s="189" t="inlineStr">
        <is>
          <t>N.A.</t>
        </is>
      </c>
      <c r="F118" s="286">
        <f>_xlfn.XLOOKUP($D118,Tab_Process_TCs[Name(EN)],Tab_Process_TCs[TC?],,0,)</f>
        <v/>
      </c>
      <c r="G118" s="286">
        <f>_xlfn.XLOOKUP($D118,Tab_Process_TCs[Name(EN)],Tab_Process_TCs[Dyn_TC?],,0,)</f>
        <v/>
      </c>
      <c r="H118" s="272">
        <f>_xlfn.XLOOKUP($E118,Tab_Def_Flows[Name(EN)],Tab_Def_Flows[Flow_ID],,0,1)</f>
        <v/>
      </c>
      <c r="I118" s="272">
        <f>IF(Tab_Process_TCs2527[[#This Row],[Name(EN)]]="N.A.","N.A.","TC"&amp;"_"&amp;RIGHT(H118,5))</f>
        <v/>
      </c>
      <c r="J118" s="273" t="n"/>
      <c r="K118" s="183" t="n"/>
      <c r="L118" s="272" t="n"/>
      <c r="M118" s="296">
        <f>_xlfn.XLOOKUP($D118,Tab_Def_Processes[Name(EN)],Tab_Def_Processes[Input_Flow_I_1],,0,)</f>
        <v/>
      </c>
      <c r="N118" s="272">
        <f>_xlfn.XLOOKUP($D118,Tab_Def_Processes[Name(EN)],Tab_Def_Processes[Flow_ID_I_1],,0,)</f>
        <v/>
      </c>
      <c r="O118" s="34" t="n"/>
      <c r="P118" s="29">
        <f>_xlfn.XLOOKUP($D118,Tab_Def_Processes[Name(EN)],Tab_Def_Processes[Input_Flow_I_2],,0,)</f>
        <v/>
      </c>
      <c r="Q118" s="272">
        <f>_xlfn.XLOOKUP($D118,Tab_Def_Processes[Name(EN)],Tab_Def_Processes[Flow_ID_I_2],,0,)</f>
        <v/>
      </c>
      <c r="R118" s="34" t="n"/>
      <c r="S118" s="29">
        <f>_xlfn.XLOOKUP($D118,Tab_Def_Processes[Name(EN)],Tab_Def_Processes[Input_Flow_I_3],,0,)</f>
        <v/>
      </c>
      <c r="T118" s="272">
        <f>_xlfn.XLOOKUP($D118,Tab_Def_Processes[Name(EN)],Tab_Def_Processes[Flow_ID_I_3],,0,)</f>
        <v/>
      </c>
      <c r="U118" s="34" t="n"/>
      <c r="V118" s="29">
        <f>_xlfn.XLOOKUP($D118,Tab_Def_Processes[Name(EN)],Tab_Def_Processes[Input_Flow_I_4],,0,)</f>
        <v/>
      </c>
      <c r="W118" s="272">
        <f>_xlfn.XLOOKUP($D118,Tab_Def_Processes[Name(EN)],Tab_Def_Processes[Flow_ID_I_4],,0,)</f>
        <v/>
      </c>
      <c r="X118" s="34" t="n"/>
      <c r="Y118" s="29">
        <f>_xlfn.XLOOKUP($D118,Tab_Def_Processes[Name(EN)],Tab_Def_Processes[Input_Flow_I_5],,0,)</f>
        <v/>
      </c>
      <c r="Z118" s="272">
        <f>_xlfn.XLOOKUP($D118,Tab_Def_Processes[Name(EN)],Tab_Def_Processes[Flow_ID_I_5],,0,)</f>
        <v/>
      </c>
      <c r="AA118" s="34" t="n"/>
      <c r="AB118" s="39">
        <f>Tab_Process_TCs2527[[#This Row],[Flow_TC_I_1_'[%']]]+Tab_Process_TCs2527[[#This Row],[Flow_TC_I_2_'[%']]]+Tab_Process_TCs2527[[#This Row],[Flow_TC_I_3_'[%']]]+Tab_Process_TCs2527[[#This Row],[Flow_TC_I_4_'[%']]]+Tab_Process_TCs2527[[#This Row],[Flow_TC_I_5_'[%']]]</f>
        <v/>
      </c>
      <c r="AC118" s="296">
        <f>_xlfn.XLOOKUP($D118,#REF!,#REF!,,0,)</f>
        <v/>
      </c>
      <c r="AD118" s="272">
        <f>_xlfn.XLOOKUP($D118,#REF!,#REF!,,0,)</f>
        <v/>
      </c>
      <c r="AE118" s="42">
        <f>Tab_Process_TCs2527[[#This Row],[Flow_ID]]</f>
        <v/>
      </c>
      <c r="AF118" s="272">
        <f>"TC"&amp;"_"&amp;RIGHT(AD118,5)</f>
        <v/>
      </c>
      <c r="AG118" s="49" t="n"/>
      <c r="AH118" s="169">
        <f>_xlfn.XLOOKUP($D118,#REF!,#REF!,,0,)</f>
        <v/>
      </c>
      <c r="AI118" s="53">
        <f>_xlfn.XLOOKUP($D118,#REF!,#REF!,,0,)</f>
        <v/>
      </c>
      <c r="AJ118" s="42">
        <f>Tab_Process_TCs2527[[#This Row],[Flow_ID]]</f>
        <v/>
      </c>
      <c r="AK118" s="272">
        <f>"TC"&amp;"_"&amp;RIGHT(AI118,5)</f>
        <v/>
      </c>
      <c r="AL118" s="168" t="n"/>
      <c r="AM118" s="296">
        <f>_xlfn.XLOOKUP($D118,#REF!,#REF!,,0,)</f>
        <v/>
      </c>
      <c r="AN118" s="272">
        <f>_xlfn.XLOOKUP($D118,#REF!,#REF!,,0,)</f>
        <v/>
      </c>
      <c r="AO118" s="42">
        <f>Tab_Process_TCs2527[[#This Row],[Flow_ID]]</f>
        <v/>
      </c>
      <c r="AP118" s="272">
        <f>"TC"&amp;"_"&amp;RIGHT(AN118,5)</f>
        <v/>
      </c>
      <c r="AQ118" s="168" t="n"/>
      <c r="AR118" s="296">
        <f>_xlfn.XLOOKUP($D118,#REF!,#REF!,,0,)</f>
        <v/>
      </c>
      <c r="AS118" s="272">
        <f>_xlfn.XLOOKUP($D118,#REF!,#REF!,,0,)</f>
        <v/>
      </c>
      <c r="AT118" s="42">
        <f>Tab_Process_TCs2527[[#This Row],[Flow_ID]]</f>
        <v/>
      </c>
      <c r="AU118" s="42">
        <f>"TC"&amp;"_"&amp;RIGHT(AN118,5)</f>
        <v/>
      </c>
      <c r="AV118" s="168" t="n"/>
      <c r="AW118" s="296">
        <f>_xlfn.XLOOKUP($D118,#REF!,#REF!,,0,)</f>
        <v/>
      </c>
      <c r="AX118" s="272">
        <f>_xlfn.XLOOKUP($D118,#REF!,#REF!,,0,)</f>
        <v/>
      </c>
      <c r="AY118" s="42">
        <f>Tab_Process_TCs2527[[#This Row],[Flow_ID]]</f>
        <v/>
      </c>
      <c r="AZ118" s="42">
        <f>"TC"&amp;"_"&amp;RIGHT(AX118,5)</f>
        <v/>
      </c>
      <c r="BA118" s="168" t="n"/>
      <c r="BB118" s="272">
        <f>_xlfn.XLOOKUP($D118,#REF!,#REF!,,0,)</f>
        <v/>
      </c>
      <c r="BC118" s="272">
        <f>_xlfn.XLOOKUP($D118,#REF!,#REF!,,0,)</f>
        <v/>
      </c>
      <c r="BD118" s="42">
        <f>Tab_Process_TCs2527[[#This Row],[Flow_ID]]</f>
        <v/>
      </c>
      <c r="BE118" s="42">
        <f>"TC"&amp;"_"&amp;RIGHT(BC118,5)</f>
        <v/>
      </c>
      <c r="BF118" s="49" t="n"/>
      <c r="BG118" s="52">
        <f>Tab_Process_TCs2527[[#This Row],[TC O_6_'[%']]]+Tab_Process_TCs2527[[#This Row],[TC O_5_'[%']]]+Tab_Process_TCs2527[[#This Row],[TC_O_4_'[%']]]+Tab_Process_TCs2527[[#This Row],[TC_O_3_'[%']]]+Tab_Process_TCs2527[[#This Row],[TC_O_2_'[%']]]+Tab_Process_TCs2527[[#This Row],[TC_O_1_'[%']]]</f>
        <v/>
      </c>
      <c r="BH118" s="273" t="n"/>
      <c r="BI118" s="273" t="n"/>
      <c r="BJ118" s="273" t="n"/>
      <c r="BK118" s="273" t="n"/>
      <c r="BL118" s="273" t="n"/>
    </row>
    <row r="119">
      <c r="A119" s="280" t="b">
        <v>0</v>
      </c>
      <c r="B119" s="272">
        <f>ROW()-1</f>
        <v/>
      </c>
      <c r="C119" s="286">
        <f>_xlfn.XLOOKUP($D119,Tab_Process_TCs[Name(EN)],Tab_Process_TCs[Process_ID],,0,)</f>
        <v/>
      </c>
      <c r="D119" s="189" t="inlineStr">
        <is>
          <t>N.A.</t>
        </is>
      </c>
      <c r="E119" s="189" t="inlineStr">
        <is>
          <t>N.A.</t>
        </is>
      </c>
      <c r="F119" s="286">
        <f>_xlfn.XLOOKUP($D119,Tab_Process_TCs[Name(EN)],Tab_Process_TCs[TC?],,0,)</f>
        <v/>
      </c>
      <c r="G119" s="286">
        <f>_xlfn.XLOOKUP($D119,Tab_Process_TCs[Name(EN)],Tab_Process_TCs[Dyn_TC?],,0,)</f>
        <v/>
      </c>
      <c r="H119" s="272">
        <f>_xlfn.XLOOKUP($E119,Tab_Def_Flows[Name(EN)],Tab_Def_Flows[Flow_ID],,0,1)</f>
        <v/>
      </c>
      <c r="I119" s="272">
        <f>IF(Tab_Process_TCs2527[[#This Row],[Name(EN)]]="N.A.","N.A.","TC"&amp;"_"&amp;RIGHT(H119,5))</f>
        <v/>
      </c>
      <c r="J119" s="273" t="n"/>
      <c r="K119" s="183" t="n"/>
      <c r="L119" s="272" t="n"/>
      <c r="M119" s="296">
        <f>_xlfn.XLOOKUP($D119,Tab_Def_Processes[Name(EN)],Tab_Def_Processes[Input_Flow_I_1],,0,)</f>
        <v/>
      </c>
      <c r="N119" s="272">
        <f>_xlfn.XLOOKUP($D119,Tab_Def_Processes[Name(EN)],Tab_Def_Processes[Flow_ID_I_1],,0,)</f>
        <v/>
      </c>
      <c r="O119" s="34" t="n"/>
      <c r="P119" s="29">
        <f>_xlfn.XLOOKUP($D119,Tab_Def_Processes[Name(EN)],Tab_Def_Processes[Input_Flow_I_2],,0,)</f>
        <v/>
      </c>
      <c r="Q119" s="272">
        <f>_xlfn.XLOOKUP($D119,Tab_Def_Processes[Name(EN)],Tab_Def_Processes[Flow_ID_I_2],,0,)</f>
        <v/>
      </c>
      <c r="R119" s="34" t="n"/>
      <c r="S119" s="29">
        <f>_xlfn.XLOOKUP($D119,Tab_Def_Processes[Name(EN)],Tab_Def_Processes[Input_Flow_I_3],,0,)</f>
        <v/>
      </c>
      <c r="T119" s="272">
        <f>_xlfn.XLOOKUP($D119,Tab_Def_Processes[Name(EN)],Tab_Def_Processes[Flow_ID_I_3],,0,)</f>
        <v/>
      </c>
      <c r="U119" s="34" t="n"/>
      <c r="V119" s="29">
        <f>_xlfn.XLOOKUP($D119,Tab_Def_Processes[Name(EN)],Tab_Def_Processes[Input_Flow_I_4],,0,)</f>
        <v/>
      </c>
      <c r="W119" s="272">
        <f>_xlfn.XLOOKUP($D119,Tab_Def_Processes[Name(EN)],Tab_Def_Processes[Flow_ID_I_4],,0,)</f>
        <v/>
      </c>
      <c r="X119" s="34" t="n"/>
      <c r="Y119" s="29">
        <f>_xlfn.XLOOKUP($D119,Tab_Def_Processes[Name(EN)],Tab_Def_Processes[Input_Flow_I_5],,0,)</f>
        <v/>
      </c>
      <c r="Z119" s="272">
        <f>_xlfn.XLOOKUP($D119,Tab_Def_Processes[Name(EN)],Tab_Def_Processes[Flow_ID_I_5],,0,)</f>
        <v/>
      </c>
      <c r="AA119" s="34" t="n"/>
      <c r="AB119" s="39">
        <f>Tab_Process_TCs2527[[#This Row],[Flow_TC_I_1_'[%']]]+Tab_Process_TCs2527[[#This Row],[Flow_TC_I_2_'[%']]]+Tab_Process_TCs2527[[#This Row],[Flow_TC_I_3_'[%']]]+Tab_Process_TCs2527[[#This Row],[Flow_TC_I_4_'[%']]]+Tab_Process_TCs2527[[#This Row],[Flow_TC_I_5_'[%']]]</f>
        <v/>
      </c>
      <c r="AC119" s="296">
        <f>_xlfn.XLOOKUP($D119,#REF!,#REF!,,0,)</f>
        <v/>
      </c>
      <c r="AD119" s="272">
        <f>_xlfn.XLOOKUP($D119,#REF!,#REF!,,0,)</f>
        <v/>
      </c>
      <c r="AE119" s="42">
        <f>Tab_Process_TCs2527[[#This Row],[Flow_ID]]</f>
        <v/>
      </c>
      <c r="AF119" s="272">
        <f>"TC"&amp;"_"&amp;RIGHT(AD119,5)</f>
        <v/>
      </c>
      <c r="AG119" s="49" t="n"/>
      <c r="AH119" s="169">
        <f>_xlfn.XLOOKUP($D119,#REF!,#REF!,,0,)</f>
        <v/>
      </c>
      <c r="AI119" s="53">
        <f>_xlfn.XLOOKUP($D119,#REF!,#REF!,,0,)</f>
        <v/>
      </c>
      <c r="AJ119" s="42">
        <f>Tab_Process_TCs2527[[#This Row],[Flow_ID]]</f>
        <v/>
      </c>
      <c r="AK119" s="272">
        <f>"TC"&amp;"_"&amp;RIGHT(AI119,5)</f>
        <v/>
      </c>
      <c r="AL119" s="168" t="n"/>
      <c r="AM119" s="296">
        <f>_xlfn.XLOOKUP($D119,#REF!,#REF!,,0,)</f>
        <v/>
      </c>
      <c r="AN119" s="272">
        <f>_xlfn.XLOOKUP($D119,#REF!,#REF!,,0,)</f>
        <v/>
      </c>
      <c r="AO119" s="42">
        <f>Tab_Process_TCs2527[[#This Row],[Flow_ID]]</f>
        <v/>
      </c>
      <c r="AP119" s="272">
        <f>"TC"&amp;"_"&amp;RIGHT(AN119,5)</f>
        <v/>
      </c>
      <c r="AQ119" s="168" t="n"/>
      <c r="AR119" s="296">
        <f>_xlfn.XLOOKUP($D119,#REF!,#REF!,,0,)</f>
        <v/>
      </c>
      <c r="AS119" s="272">
        <f>_xlfn.XLOOKUP($D119,#REF!,#REF!,,0,)</f>
        <v/>
      </c>
      <c r="AT119" s="42">
        <f>Tab_Process_TCs2527[[#This Row],[Flow_ID]]</f>
        <v/>
      </c>
      <c r="AU119" s="42">
        <f>"TC"&amp;"_"&amp;RIGHT(AN119,5)</f>
        <v/>
      </c>
      <c r="AV119" s="168" t="n"/>
      <c r="AW119" s="296">
        <f>_xlfn.XLOOKUP($D119,#REF!,#REF!,,0,)</f>
        <v/>
      </c>
      <c r="AX119" s="272">
        <f>_xlfn.XLOOKUP($D119,#REF!,#REF!,,0,)</f>
        <v/>
      </c>
      <c r="AY119" s="42">
        <f>Tab_Process_TCs2527[[#This Row],[Flow_ID]]</f>
        <v/>
      </c>
      <c r="AZ119" s="42">
        <f>"TC"&amp;"_"&amp;RIGHT(AX119,5)</f>
        <v/>
      </c>
      <c r="BA119" s="168" t="n"/>
      <c r="BB119" s="272">
        <f>_xlfn.XLOOKUP($D119,#REF!,#REF!,,0,)</f>
        <v/>
      </c>
      <c r="BC119" s="272">
        <f>_xlfn.XLOOKUP($D119,#REF!,#REF!,,0,)</f>
        <v/>
      </c>
      <c r="BD119" s="42">
        <f>Tab_Process_TCs2527[[#This Row],[Flow_ID]]</f>
        <v/>
      </c>
      <c r="BE119" s="42">
        <f>"TC"&amp;"_"&amp;RIGHT(BC119,5)</f>
        <v/>
      </c>
      <c r="BF119" s="49" t="n"/>
      <c r="BG119" s="52">
        <f>Tab_Process_TCs2527[[#This Row],[TC O_6_'[%']]]+Tab_Process_TCs2527[[#This Row],[TC O_5_'[%']]]+Tab_Process_TCs2527[[#This Row],[TC_O_4_'[%']]]+Tab_Process_TCs2527[[#This Row],[TC_O_3_'[%']]]+Tab_Process_TCs2527[[#This Row],[TC_O_2_'[%']]]+Tab_Process_TCs2527[[#This Row],[TC_O_1_'[%']]]</f>
        <v/>
      </c>
      <c r="BH119" s="273" t="n"/>
      <c r="BI119" s="273" t="n"/>
      <c r="BJ119" s="273" t="n"/>
      <c r="BK119" s="273" t="n"/>
      <c r="BL119" s="273" t="n"/>
    </row>
    <row r="120">
      <c r="A120" s="280" t="b">
        <v>0</v>
      </c>
      <c r="B120" s="272">
        <f>ROW()-1</f>
        <v/>
      </c>
      <c r="C120" s="286">
        <f>_xlfn.XLOOKUP($D120,Tab_Process_TCs[Name(EN)],Tab_Process_TCs[Process_ID],,0,)</f>
        <v/>
      </c>
      <c r="D120" s="189" t="inlineStr">
        <is>
          <t>N.A.</t>
        </is>
      </c>
      <c r="E120" s="189" t="inlineStr">
        <is>
          <t>N.A.</t>
        </is>
      </c>
      <c r="F120" s="286">
        <f>_xlfn.XLOOKUP($D120,Tab_Process_TCs[Name(EN)],Tab_Process_TCs[TC?],,0,)</f>
        <v/>
      </c>
      <c r="G120" s="286">
        <f>_xlfn.XLOOKUP($D120,Tab_Process_TCs[Name(EN)],Tab_Process_TCs[Dyn_TC?],,0,)</f>
        <v/>
      </c>
      <c r="H120" s="272">
        <f>_xlfn.XLOOKUP($E120,Tab_Def_Flows[Name(EN)],Tab_Def_Flows[Flow_ID],,0,1)</f>
        <v/>
      </c>
      <c r="I120" s="272">
        <f>IF(Tab_Process_TCs2527[[#This Row],[Name(EN)]]="N.A.","N.A.","TC"&amp;"_"&amp;RIGHT(H120,5))</f>
        <v/>
      </c>
      <c r="J120" s="273" t="n"/>
      <c r="K120" s="183" t="n"/>
      <c r="L120" s="272" t="n"/>
      <c r="M120" s="296">
        <f>_xlfn.XLOOKUP($D120,Tab_Def_Processes[Name(EN)],Tab_Def_Processes[Input_Flow_I_1],,0,)</f>
        <v/>
      </c>
      <c r="N120" s="272">
        <f>_xlfn.XLOOKUP($D120,Tab_Def_Processes[Name(EN)],Tab_Def_Processes[Flow_ID_I_1],,0,)</f>
        <v/>
      </c>
      <c r="O120" s="34" t="n"/>
      <c r="P120" s="29">
        <f>_xlfn.XLOOKUP($D120,Tab_Def_Processes[Name(EN)],Tab_Def_Processes[Input_Flow_I_2],,0,)</f>
        <v/>
      </c>
      <c r="Q120" s="272">
        <f>_xlfn.XLOOKUP($D120,Tab_Def_Processes[Name(EN)],Tab_Def_Processes[Flow_ID_I_2],,0,)</f>
        <v/>
      </c>
      <c r="R120" s="34" t="n"/>
      <c r="S120" s="29">
        <f>_xlfn.XLOOKUP($D120,Tab_Def_Processes[Name(EN)],Tab_Def_Processes[Input_Flow_I_3],,0,)</f>
        <v/>
      </c>
      <c r="T120" s="272">
        <f>_xlfn.XLOOKUP($D120,Tab_Def_Processes[Name(EN)],Tab_Def_Processes[Flow_ID_I_3],,0,)</f>
        <v/>
      </c>
      <c r="U120" s="34" t="n"/>
      <c r="V120" s="29">
        <f>_xlfn.XLOOKUP($D120,Tab_Def_Processes[Name(EN)],Tab_Def_Processes[Input_Flow_I_4],,0,)</f>
        <v/>
      </c>
      <c r="W120" s="272">
        <f>_xlfn.XLOOKUP($D120,Tab_Def_Processes[Name(EN)],Tab_Def_Processes[Flow_ID_I_4],,0,)</f>
        <v/>
      </c>
      <c r="X120" s="34" t="n"/>
      <c r="Y120" s="29">
        <f>_xlfn.XLOOKUP($D120,Tab_Def_Processes[Name(EN)],Tab_Def_Processes[Input_Flow_I_5],,0,)</f>
        <v/>
      </c>
      <c r="Z120" s="272">
        <f>_xlfn.XLOOKUP($D120,Tab_Def_Processes[Name(EN)],Tab_Def_Processes[Flow_ID_I_5],,0,)</f>
        <v/>
      </c>
      <c r="AA120" s="34" t="n"/>
      <c r="AB120" s="39">
        <f>Tab_Process_TCs2527[[#This Row],[Flow_TC_I_1_'[%']]]+Tab_Process_TCs2527[[#This Row],[Flow_TC_I_2_'[%']]]+Tab_Process_TCs2527[[#This Row],[Flow_TC_I_3_'[%']]]+Tab_Process_TCs2527[[#This Row],[Flow_TC_I_4_'[%']]]+Tab_Process_TCs2527[[#This Row],[Flow_TC_I_5_'[%']]]</f>
        <v/>
      </c>
      <c r="AC120" s="296">
        <f>_xlfn.XLOOKUP($D120,#REF!,#REF!,,0,)</f>
        <v/>
      </c>
      <c r="AD120" s="272">
        <f>_xlfn.XLOOKUP($D120,#REF!,#REF!,,0,)</f>
        <v/>
      </c>
      <c r="AE120" s="42">
        <f>Tab_Process_TCs2527[[#This Row],[Flow_ID]]</f>
        <v/>
      </c>
      <c r="AF120" s="272">
        <f>"TC"&amp;"_"&amp;RIGHT(AD120,5)</f>
        <v/>
      </c>
      <c r="AG120" s="49" t="n"/>
      <c r="AH120" s="169">
        <f>_xlfn.XLOOKUP($D120,#REF!,#REF!,,0,)</f>
        <v/>
      </c>
      <c r="AI120" s="53">
        <f>_xlfn.XLOOKUP($D120,#REF!,#REF!,,0,)</f>
        <v/>
      </c>
      <c r="AJ120" s="42">
        <f>Tab_Process_TCs2527[[#This Row],[Flow_ID]]</f>
        <v/>
      </c>
      <c r="AK120" s="272">
        <f>"TC"&amp;"_"&amp;RIGHT(AI120,5)</f>
        <v/>
      </c>
      <c r="AL120" s="168" t="n"/>
      <c r="AM120" s="296">
        <f>_xlfn.XLOOKUP($D120,#REF!,#REF!,,0,)</f>
        <v/>
      </c>
      <c r="AN120" s="272">
        <f>_xlfn.XLOOKUP($D120,#REF!,#REF!,,0,)</f>
        <v/>
      </c>
      <c r="AO120" s="42">
        <f>Tab_Process_TCs2527[[#This Row],[Flow_ID]]</f>
        <v/>
      </c>
      <c r="AP120" s="272">
        <f>"TC"&amp;"_"&amp;RIGHT(AN120,5)</f>
        <v/>
      </c>
      <c r="AQ120" s="168" t="n"/>
      <c r="AR120" s="296">
        <f>_xlfn.XLOOKUP($D120,#REF!,#REF!,,0,)</f>
        <v/>
      </c>
      <c r="AS120" s="272">
        <f>_xlfn.XLOOKUP($D120,#REF!,#REF!,,0,)</f>
        <v/>
      </c>
      <c r="AT120" s="42">
        <f>Tab_Process_TCs2527[[#This Row],[Flow_ID]]</f>
        <v/>
      </c>
      <c r="AU120" s="42">
        <f>"TC"&amp;"_"&amp;RIGHT(AN120,5)</f>
        <v/>
      </c>
      <c r="AV120" s="168" t="n"/>
      <c r="AW120" s="296">
        <f>_xlfn.XLOOKUP($D120,#REF!,#REF!,,0,)</f>
        <v/>
      </c>
      <c r="AX120" s="272">
        <f>_xlfn.XLOOKUP($D120,#REF!,#REF!,,0,)</f>
        <v/>
      </c>
      <c r="AY120" s="42">
        <f>Tab_Process_TCs2527[[#This Row],[Flow_ID]]</f>
        <v/>
      </c>
      <c r="AZ120" s="42">
        <f>"TC"&amp;"_"&amp;RIGHT(AX120,5)</f>
        <v/>
      </c>
      <c r="BA120" s="168" t="n"/>
      <c r="BB120" s="272">
        <f>_xlfn.XLOOKUP($D120,#REF!,#REF!,,0,)</f>
        <v/>
      </c>
      <c r="BC120" s="272">
        <f>_xlfn.XLOOKUP($D120,#REF!,#REF!,,0,)</f>
        <v/>
      </c>
      <c r="BD120" s="42">
        <f>Tab_Process_TCs2527[[#This Row],[Flow_ID]]</f>
        <v/>
      </c>
      <c r="BE120" s="42">
        <f>"TC"&amp;"_"&amp;RIGHT(BC120,5)</f>
        <v/>
      </c>
      <c r="BF120" s="49" t="n"/>
      <c r="BG120" s="52">
        <f>Tab_Process_TCs2527[[#This Row],[TC O_6_'[%']]]+Tab_Process_TCs2527[[#This Row],[TC O_5_'[%']]]+Tab_Process_TCs2527[[#This Row],[TC_O_4_'[%']]]+Tab_Process_TCs2527[[#This Row],[TC_O_3_'[%']]]+Tab_Process_TCs2527[[#This Row],[TC_O_2_'[%']]]+Tab_Process_TCs2527[[#This Row],[TC_O_1_'[%']]]</f>
        <v/>
      </c>
      <c r="BH120" s="273" t="n"/>
      <c r="BI120" s="273" t="n"/>
      <c r="BJ120" s="273" t="n"/>
      <c r="BK120" s="273" t="n"/>
      <c r="BL120" s="273" t="n"/>
    </row>
    <row r="121">
      <c r="A121" s="280" t="b">
        <v>0</v>
      </c>
      <c r="B121" s="272">
        <f>ROW()-1</f>
        <v/>
      </c>
      <c r="C121" s="286">
        <f>_xlfn.XLOOKUP($D121,Tab_Process_TCs[Name(EN)],Tab_Process_TCs[Process_ID],,0,)</f>
        <v/>
      </c>
      <c r="D121" s="189" t="inlineStr">
        <is>
          <t>N.A.</t>
        </is>
      </c>
      <c r="E121" s="189" t="inlineStr">
        <is>
          <t>N.A.</t>
        </is>
      </c>
      <c r="F121" s="286">
        <f>_xlfn.XLOOKUP($D121,Tab_Process_TCs[Name(EN)],Tab_Process_TCs[TC?],,0,)</f>
        <v/>
      </c>
      <c r="G121" s="286">
        <f>_xlfn.XLOOKUP($D121,Tab_Process_TCs[Name(EN)],Tab_Process_TCs[Dyn_TC?],,0,)</f>
        <v/>
      </c>
      <c r="H121" s="272">
        <f>_xlfn.XLOOKUP($E121,Tab_Def_Flows[Name(EN)],Tab_Def_Flows[Flow_ID],,0,1)</f>
        <v/>
      </c>
      <c r="I121" s="272">
        <f>IF(Tab_Process_TCs2527[[#This Row],[Name(EN)]]="N.A.","N.A.","TC"&amp;"_"&amp;RIGHT(H121,5))</f>
        <v/>
      </c>
      <c r="J121" s="273" t="n"/>
      <c r="K121" s="183" t="n"/>
      <c r="L121" s="272" t="n"/>
      <c r="M121" s="296">
        <f>_xlfn.XLOOKUP($D121,Tab_Def_Processes[Name(EN)],Tab_Def_Processes[Input_Flow_I_1],,0,)</f>
        <v/>
      </c>
      <c r="N121" s="272">
        <f>_xlfn.XLOOKUP($D121,Tab_Def_Processes[Name(EN)],Tab_Def_Processes[Flow_ID_I_1],,0,)</f>
        <v/>
      </c>
      <c r="O121" s="34" t="n"/>
      <c r="P121" s="29">
        <f>_xlfn.XLOOKUP($D121,Tab_Def_Processes[Name(EN)],Tab_Def_Processes[Input_Flow_I_2],,0,)</f>
        <v/>
      </c>
      <c r="Q121" s="272">
        <f>_xlfn.XLOOKUP($D121,Tab_Def_Processes[Name(EN)],Tab_Def_Processes[Flow_ID_I_2],,0,)</f>
        <v/>
      </c>
      <c r="R121" s="34" t="n"/>
      <c r="S121" s="29">
        <f>_xlfn.XLOOKUP($D121,Tab_Def_Processes[Name(EN)],Tab_Def_Processes[Input_Flow_I_3],,0,)</f>
        <v/>
      </c>
      <c r="T121" s="272">
        <f>_xlfn.XLOOKUP($D121,Tab_Def_Processes[Name(EN)],Tab_Def_Processes[Flow_ID_I_3],,0,)</f>
        <v/>
      </c>
      <c r="U121" s="34" t="n"/>
      <c r="V121" s="29">
        <f>_xlfn.XLOOKUP($D121,Tab_Def_Processes[Name(EN)],Tab_Def_Processes[Input_Flow_I_4],,0,)</f>
        <v/>
      </c>
      <c r="W121" s="272">
        <f>_xlfn.XLOOKUP($D121,Tab_Def_Processes[Name(EN)],Tab_Def_Processes[Flow_ID_I_4],,0,)</f>
        <v/>
      </c>
      <c r="X121" s="34" t="n"/>
      <c r="Y121" s="29">
        <f>_xlfn.XLOOKUP($D121,Tab_Def_Processes[Name(EN)],Tab_Def_Processes[Input_Flow_I_5],,0,)</f>
        <v/>
      </c>
      <c r="Z121" s="272">
        <f>_xlfn.XLOOKUP($D121,Tab_Def_Processes[Name(EN)],Tab_Def_Processes[Flow_ID_I_5],,0,)</f>
        <v/>
      </c>
      <c r="AA121" s="34" t="n"/>
      <c r="AB121" s="39">
        <f>Tab_Process_TCs2527[[#This Row],[Flow_TC_I_1_'[%']]]+Tab_Process_TCs2527[[#This Row],[Flow_TC_I_2_'[%']]]+Tab_Process_TCs2527[[#This Row],[Flow_TC_I_3_'[%']]]+Tab_Process_TCs2527[[#This Row],[Flow_TC_I_4_'[%']]]+Tab_Process_TCs2527[[#This Row],[Flow_TC_I_5_'[%']]]</f>
        <v/>
      </c>
      <c r="AC121" s="296">
        <f>_xlfn.XLOOKUP($D121,#REF!,#REF!,,0,)</f>
        <v/>
      </c>
      <c r="AD121" s="272">
        <f>_xlfn.XLOOKUP($D121,#REF!,#REF!,,0,)</f>
        <v/>
      </c>
      <c r="AE121" s="42">
        <f>Tab_Process_TCs2527[[#This Row],[Flow_ID]]</f>
        <v/>
      </c>
      <c r="AF121" s="272">
        <f>"TC"&amp;"_"&amp;RIGHT(AD121,5)</f>
        <v/>
      </c>
      <c r="AG121" s="49" t="n"/>
      <c r="AH121" s="169">
        <f>_xlfn.XLOOKUP($D121,#REF!,#REF!,,0,)</f>
        <v/>
      </c>
      <c r="AI121" s="53">
        <f>_xlfn.XLOOKUP($D121,#REF!,#REF!,,0,)</f>
        <v/>
      </c>
      <c r="AJ121" s="42">
        <f>Tab_Process_TCs2527[[#This Row],[Flow_ID]]</f>
        <v/>
      </c>
      <c r="AK121" s="272">
        <f>"TC"&amp;"_"&amp;RIGHT(AI121,5)</f>
        <v/>
      </c>
      <c r="AL121" s="168" t="n"/>
      <c r="AM121" s="296">
        <f>_xlfn.XLOOKUP($D121,#REF!,#REF!,,0,)</f>
        <v/>
      </c>
      <c r="AN121" s="272">
        <f>_xlfn.XLOOKUP($D121,#REF!,#REF!,,0,)</f>
        <v/>
      </c>
      <c r="AO121" s="42">
        <f>Tab_Process_TCs2527[[#This Row],[Flow_ID]]</f>
        <v/>
      </c>
      <c r="AP121" s="272">
        <f>"TC"&amp;"_"&amp;RIGHT(AN121,5)</f>
        <v/>
      </c>
      <c r="AQ121" s="168" t="n"/>
      <c r="AR121" s="296">
        <f>_xlfn.XLOOKUP($D121,#REF!,#REF!,,0,)</f>
        <v/>
      </c>
      <c r="AS121" s="272">
        <f>_xlfn.XLOOKUP($D121,#REF!,#REF!,,0,)</f>
        <v/>
      </c>
      <c r="AT121" s="42">
        <f>Tab_Process_TCs2527[[#This Row],[Flow_ID]]</f>
        <v/>
      </c>
      <c r="AU121" s="42">
        <f>"TC"&amp;"_"&amp;RIGHT(AN121,5)</f>
        <v/>
      </c>
      <c r="AV121" s="168" t="n"/>
      <c r="AW121" s="296">
        <f>_xlfn.XLOOKUP($D121,#REF!,#REF!,,0,)</f>
        <v/>
      </c>
      <c r="AX121" s="272">
        <f>_xlfn.XLOOKUP($D121,#REF!,#REF!,,0,)</f>
        <v/>
      </c>
      <c r="AY121" s="42">
        <f>Tab_Process_TCs2527[[#This Row],[Flow_ID]]</f>
        <v/>
      </c>
      <c r="AZ121" s="42">
        <f>"TC"&amp;"_"&amp;RIGHT(AX121,5)</f>
        <v/>
      </c>
      <c r="BA121" s="168" t="n"/>
      <c r="BB121" s="272">
        <f>_xlfn.XLOOKUP($D121,#REF!,#REF!,,0,)</f>
        <v/>
      </c>
      <c r="BC121" s="272">
        <f>_xlfn.XLOOKUP($D121,#REF!,#REF!,,0,)</f>
        <v/>
      </c>
      <c r="BD121" s="42">
        <f>Tab_Process_TCs2527[[#This Row],[Flow_ID]]</f>
        <v/>
      </c>
      <c r="BE121" s="42">
        <f>"TC"&amp;"_"&amp;RIGHT(BC121,5)</f>
        <v/>
      </c>
      <c r="BF121" s="49" t="n"/>
      <c r="BG121" s="52">
        <f>Tab_Process_TCs2527[[#This Row],[TC O_6_'[%']]]+Tab_Process_TCs2527[[#This Row],[TC O_5_'[%']]]+Tab_Process_TCs2527[[#This Row],[TC_O_4_'[%']]]+Tab_Process_TCs2527[[#This Row],[TC_O_3_'[%']]]+Tab_Process_TCs2527[[#This Row],[TC_O_2_'[%']]]+Tab_Process_TCs2527[[#This Row],[TC_O_1_'[%']]]</f>
        <v/>
      </c>
      <c r="BH121" s="273" t="n"/>
      <c r="BI121" s="273" t="n"/>
      <c r="BJ121" s="273" t="n"/>
      <c r="BK121" s="273" t="n"/>
      <c r="BL121" s="273" t="n"/>
    </row>
    <row r="122">
      <c r="A122" s="280" t="b">
        <v>0</v>
      </c>
      <c r="B122" s="272">
        <f>ROW()-1</f>
        <v/>
      </c>
      <c r="C122" s="286">
        <f>_xlfn.XLOOKUP($D122,Tab_Process_TCs[Name(EN)],Tab_Process_TCs[Process_ID],,0,)</f>
        <v/>
      </c>
      <c r="D122" s="189" t="inlineStr">
        <is>
          <t>N.A.</t>
        </is>
      </c>
      <c r="E122" s="189" t="inlineStr">
        <is>
          <t>N.A.</t>
        </is>
      </c>
      <c r="F122" s="286">
        <f>_xlfn.XLOOKUP($D122,Tab_Process_TCs[Name(EN)],Tab_Process_TCs[TC?],,0,)</f>
        <v/>
      </c>
      <c r="G122" s="286">
        <f>_xlfn.XLOOKUP($D122,Tab_Process_TCs[Name(EN)],Tab_Process_TCs[Dyn_TC?],,0,)</f>
        <v/>
      </c>
      <c r="H122" s="272">
        <f>_xlfn.XLOOKUP($E122,Tab_Def_Flows[Name(EN)],Tab_Def_Flows[Flow_ID],,0,1)</f>
        <v/>
      </c>
      <c r="I122" s="272">
        <f>IF(Tab_Process_TCs2527[[#This Row],[Name(EN)]]="N.A.","N.A.","TC"&amp;"_"&amp;RIGHT(H122,5))</f>
        <v/>
      </c>
      <c r="J122" s="273" t="n"/>
      <c r="K122" s="183" t="n"/>
      <c r="L122" s="272" t="n"/>
      <c r="M122" s="296">
        <f>_xlfn.XLOOKUP($D122,Tab_Def_Processes[Name(EN)],Tab_Def_Processes[Input_Flow_I_1],,0,)</f>
        <v/>
      </c>
      <c r="N122" s="272">
        <f>_xlfn.XLOOKUP($D122,Tab_Def_Processes[Name(EN)],Tab_Def_Processes[Flow_ID_I_1],,0,)</f>
        <v/>
      </c>
      <c r="O122" s="34" t="n"/>
      <c r="P122" s="29">
        <f>_xlfn.XLOOKUP($D122,Tab_Def_Processes[Name(EN)],Tab_Def_Processes[Input_Flow_I_2],,0,)</f>
        <v/>
      </c>
      <c r="Q122" s="272">
        <f>_xlfn.XLOOKUP($D122,Tab_Def_Processes[Name(EN)],Tab_Def_Processes[Flow_ID_I_2],,0,)</f>
        <v/>
      </c>
      <c r="R122" s="34" t="n"/>
      <c r="S122" s="29">
        <f>_xlfn.XLOOKUP($D122,Tab_Def_Processes[Name(EN)],Tab_Def_Processes[Input_Flow_I_3],,0,)</f>
        <v/>
      </c>
      <c r="T122" s="272">
        <f>_xlfn.XLOOKUP($D122,Tab_Def_Processes[Name(EN)],Tab_Def_Processes[Flow_ID_I_3],,0,)</f>
        <v/>
      </c>
      <c r="U122" s="34" t="n"/>
      <c r="V122" s="29">
        <f>_xlfn.XLOOKUP($D122,Tab_Def_Processes[Name(EN)],Tab_Def_Processes[Input_Flow_I_4],,0,)</f>
        <v/>
      </c>
      <c r="W122" s="272">
        <f>_xlfn.XLOOKUP($D122,Tab_Def_Processes[Name(EN)],Tab_Def_Processes[Flow_ID_I_4],,0,)</f>
        <v/>
      </c>
      <c r="X122" s="34" t="n"/>
      <c r="Y122" s="29">
        <f>_xlfn.XLOOKUP($D122,Tab_Def_Processes[Name(EN)],Tab_Def_Processes[Input_Flow_I_5],,0,)</f>
        <v/>
      </c>
      <c r="Z122" s="272">
        <f>_xlfn.XLOOKUP($D122,Tab_Def_Processes[Name(EN)],Tab_Def_Processes[Flow_ID_I_5],,0,)</f>
        <v/>
      </c>
      <c r="AA122" s="34" t="n"/>
      <c r="AB122" s="39">
        <f>Tab_Process_TCs2527[[#This Row],[Flow_TC_I_1_'[%']]]+Tab_Process_TCs2527[[#This Row],[Flow_TC_I_2_'[%']]]+Tab_Process_TCs2527[[#This Row],[Flow_TC_I_3_'[%']]]+Tab_Process_TCs2527[[#This Row],[Flow_TC_I_4_'[%']]]+Tab_Process_TCs2527[[#This Row],[Flow_TC_I_5_'[%']]]</f>
        <v/>
      </c>
      <c r="AC122" s="296">
        <f>_xlfn.XLOOKUP($D122,#REF!,#REF!,,0,)</f>
        <v/>
      </c>
      <c r="AD122" s="272">
        <f>_xlfn.XLOOKUP($D122,#REF!,#REF!,,0,)</f>
        <v/>
      </c>
      <c r="AE122" s="42">
        <f>Tab_Process_TCs2527[[#This Row],[Flow_ID]]</f>
        <v/>
      </c>
      <c r="AF122" s="272">
        <f>"TC"&amp;"_"&amp;RIGHT(AD122,5)</f>
        <v/>
      </c>
      <c r="AG122" s="49" t="n"/>
      <c r="AH122" s="169">
        <f>_xlfn.XLOOKUP($D122,#REF!,#REF!,,0,)</f>
        <v/>
      </c>
      <c r="AI122" s="53">
        <f>_xlfn.XLOOKUP($D122,#REF!,#REF!,,0,)</f>
        <v/>
      </c>
      <c r="AJ122" s="42">
        <f>Tab_Process_TCs2527[[#This Row],[Flow_ID]]</f>
        <v/>
      </c>
      <c r="AK122" s="272">
        <f>"TC"&amp;"_"&amp;RIGHT(AI122,5)</f>
        <v/>
      </c>
      <c r="AL122" s="168" t="n"/>
      <c r="AM122" s="296">
        <f>_xlfn.XLOOKUP($D122,#REF!,#REF!,,0,)</f>
        <v/>
      </c>
      <c r="AN122" s="272">
        <f>_xlfn.XLOOKUP($D122,#REF!,#REF!,,0,)</f>
        <v/>
      </c>
      <c r="AO122" s="42">
        <f>Tab_Process_TCs2527[[#This Row],[Flow_ID]]</f>
        <v/>
      </c>
      <c r="AP122" s="272">
        <f>"TC"&amp;"_"&amp;RIGHT(AN122,5)</f>
        <v/>
      </c>
      <c r="AQ122" s="168" t="n"/>
      <c r="AR122" s="296">
        <f>_xlfn.XLOOKUP($D122,#REF!,#REF!,,0,)</f>
        <v/>
      </c>
      <c r="AS122" s="272">
        <f>_xlfn.XLOOKUP($D122,#REF!,#REF!,,0,)</f>
        <v/>
      </c>
      <c r="AT122" s="42">
        <f>Tab_Process_TCs2527[[#This Row],[Flow_ID]]</f>
        <v/>
      </c>
      <c r="AU122" s="42">
        <f>"TC"&amp;"_"&amp;RIGHT(AN122,5)</f>
        <v/>
      </c>
      <c r="AV122" s="168" t="n"/>
      <c r="AW122" s="296">
        <f>_xlfn.XLOOKUP($D122,#REF!,#REF!,,0,)</f>
        <v/>
      </c>
      <c r="AX122" s="272">
        <f>_xlfn.XLOOKUP($D122,#REF!,#REF!,,0,)</f>
        <v/>
      </c>
      <c r="AY122" s="42">
        <f>Tab_Process_TCs2527[[#This Row],[Flow_ID]]</f>
        <v/>
      </c>
      <c r="AZ122" s="42">
        <f>"TC"&amp;"_"&amp;RIGHT(AX122,5)</f>
        <v/>
      </c>
      <c r="BA122" s="168" t="n"/>
      <c r="BB122" s="272">
        <f>_xlfn.XLOOKUP($D122,#REF!,#REF!,,0,)</f>
        <v/>
      </c>
      <c r="BC122" s="272">
        <f>_xlfn.XLOOKUP($D122,#REF!,#REF!,,0,)</f>
        <v/>
      </c>
      <c r="BD122" s="42">
        <f>Tab_Process_TCs2527[[#This Row],[Flow_ID]]</f>
        <v/>
      </c>
      <c r="BE122" s="42">
        <f>"TC"&amp;"_"&amp;RIGHT(BC122,5)</f>
        <v/>
      </c>
      <c r="BF122" s="49" t="n"/>
      <c r="BG122" s="52">
        <f>Tab_Process_TCs2527[[#This Row],[TC O_6_'[%']]]+Tab_Process_TCs2527[[#This Row],[TC O_5_'[%']]]+Tab_Process_TCs2527[[#This Row],[TC_O_4_'[%']]]+Tab_Process_TCs2527[[#This Row],[TC_O_3_'[%']]]+Tab_Process_TCs2527[[#This Row],[TC_O_2_'[%']]]+Tab_Process_TCs2527[[#This Row],[TC_O_1_'[%']]]</f>
        <v/>
      </c>
      <c r="BH122" s="273" t="n"/>
      <c r="BI122" s="273" t="n"/>
      <c r="BJ122" s="273" t="n"/>
      <c r="BK122" s="273" t="n"/>
      <c r="BL122" s="273" t="n"/>
    </row>
    <row r="123">
      <c r="A123" s="280" t="b">
        <v>0</v>
      </c>
      <c r="B123" s="272">
        <f>ROW()-1</f>
        <v/>
      </c>
      <c r="C123" s="286">
        <f>_xlfn.XLOOKUP($D123,Tab_Process_TCs[Name(EN)],Tab_Process_TCs[Process_ID],,0,)</f>
        <v/>
      </c>
      <c r="D123" s="189" t="inlineStr">
        <is>
          <t>N.A.</t>
        </is>
      </c>
      <c r="E123" s="189" t="inlineStr">
        <is>
          <t>N.A.</t>
        </is>
      </c>
      <c r="F123" s="286">
        <f>_xlfn.XLOOKUP($D123,Tab_Process_TCs[Name(EN)],Tab_Process_TCs[TC?],,0,)</f>
        <v/>
      </c>
      <c r="G123" s="286">
        <f>_xlfn.XLOOKUP($D123,Tab_Process_TCs[Name(EN)],Tab_Process_TCs[Dyn_TC?],,0,)</f>
        <v/>
      </c>
      <c r="H123" s="272">
        <f>_xlfn.XLOOKUP($E123,Tab_Def_Flows[Name(EN)],Tab_Def_Flows[Flow_ID],,0,1)</f>
        <v/>
      </c>
      <c r="I123" s="272">
        <f>IF(Tab_Process_TCs2527[[#This Row],[Name(EN)]]="N.A.","N.A.","TC"&amp;"_"&amp;RIGHT(H123,5))</f>
        <v/>
      </c>
      <c r="J123" s="273" t="n"/>
      <c r="K123" s="183" t="n"/>
      <c r="L123" s="272" t="n"/>
      <c r="M123" s="296">
        <f>_xlfn.XLOOKUP($D123,Tab_Def_Processes[Name(EN)],Tab_Def_Processes[Input_Flow_I_1],,0,)</f>
        <v/>
      </c>
      <c r="N123" s="272">
        <f>_xlfn.XLOOKUP($D123,Tab_Def_Processes[Name(EN)],Tab_Def_Processes[Flow_ID_I_1],,0,)</f>
        <v/>
      </c>
      <c r="O123" s="34" t="n"/>
      <c r="P123" s="29">
        <f>_xlfn.XLOOKUP($D123,Tab_Def_Processes[Name(EN)],Tab_Def_Processes[Input_Flow_I_2],,0,)</f>
        <v/>
      </c>
      <c r="Q123" s="272">
        <f>_xlfn.XLOOKUP($D123,Tab_Def_Processes[Name(EN)],Tab_Def_Processes[Flow_ID_I_2],,0,)</f>
        <v/>
      </c>
      <c r="R123" s="34" t="n"/>
      <c r="S123" s="29">
        <f>_xlfn.XLOOKUP($D123,Tab_Def_Processes[Name(EN)],Tab_Def_Processes[Input_Flow_I_3],,0,)</f>
        <v/>
      </c>
      <c r="T123" s="272">
        <f>_xlfn.XLOOKUP($D123,Tab_Def_Processes[Name(EN)],Tab_Def_Processes[Flow_ID_I_3],,0,)</f>
        <v/>
      </c>
      <c r="U123" s="34" t="n"/>
      <c r="V123" s="29">
        <f>_xlfn.XLOOKUP($D123,Tab_Def_Processes[Name(EN)],Tab_Def_Processes[Input_Flow_I_4],,0,)</f>
        <v/>
      </c>
      <c r="W123" s="272">
        <f>_xlfn.XLOOKUP($D123,Tab_Def_Processes[Name(EN)],Tab_Def_Processes[Flow_ID_I_4],,0,)</f>
        <v/>
      </c>
      <c r="X123" s="34" t="n"/>
      <c r="Y123" s="29">
        <f>_xlfn.XLOOKUP($D123,Tab_Def_Processes[Name(EN)],Tab_Def_Processes[Input_Flow_I_5],,0,)</f>
        <v/>
      </c>
      <c r="Z123" s="272">
        <f>_xlfn.XLOOKUP($D123,Tab_Def_Processes[Name(EN)],Tab_Def_Processes[Flow_ID_I_5],,0,)</f>
        <v/>
      </c>
      <c r="AA123" s="34" t="n"/>
      <c r="AB123" s="39">
        <f>Tab_Process_TCs2527[[#This Row],[Flow_TC_I_1_'[%']]]+Tab_Process_TCs2527[[#This Row],[Flow_TC_I_2_'[%']]]+Tab_Process_TCs2527[[#This Row],[Flow_TC_I_3_'[%']]]+Tab_Process_TCs2527[[#This Row],[Flow_TC_I_4_'[%']]]+Tab_Process_TCs2527[[#This Row],[Flow_TC_I_5_'[%']]]</f>
        <v/>
      </c>
      <c r="AC123" s="296">
        <f>_xlfn.XLOOKUP($D123,#REF!,#REF!,,0,)</f>
        <v/>
      </c>
      <c r="AD123" s="272">
        <f>_xlfn.XLOOKUP($D123,#REF!,#REF!,,0,)</f>
        <v/>
      </c>
      <c r="AE123" s="42">
        <f>Tab_Process_TCs2527[[#This Row],[Flow_ID]]</f>
        <v/>
      </c>
      <c r="AF123" s="272">
        <f>"TC"&amp;"_"&amp;RIGHT(AD123,5)</f>
        <v/>
      </c>
      <c r="AG123" s="49" t="n"/>
      <c r="AH123" s="169">
        <f>_xlfn.XLOOKUP($D123,#REF!,#REF!,,0,)</f>
        <v/>
      </c>
      <c r="AI123" s="53">
        <f>_xlfn.XLOOKUP($D123,#REF!,#REF!,,0,)</f>
        <v/>
      </c>
      <c r="AJ123" s="42">
        <f>Tab_Process_TCs2527[[#This Row],[Flow_ID]]</f>
        <v/>
      </c>
      <c r="AK123" s="272">
        <f>"TC"&amp;"_"&amp;RIGHT(AI123,5)</f>
        <v/>
      </c>
      <c r="AL123" s="168" t="n"/>
      <c r="AM123" s="296">
        <f>_xlfn.XLOOKUP($D123,#REF!,#REF!,,0,)</f>
        <v/>
      </c>
      <c r="AN123" s="272">
        <f>_xlfn.XLOOKUP($D123,#REF!,#REF!,,0,)</f>
        <v/>
      </c>
      <c r="AO123" s="42">
        <f>Tab_Process_TCs2527[[#This Row],[Flow_ID]]</f>
        <v/>
      </c>
      <c r="AP123" s="272">
        <f>"TC"&amp;"_"&amp;RIGHT(AN123,5)</f>
        <v/>
      </c>
      <c r="AQ123" s="168" t="n"/>
      <c r="AR123" s="296">
        <f>_xlfn.XLOOKUP($D123,#REF!,#REF!,,0,)</f>
        <v/>
      </c>
      <c r="AS123" s="272">
        <f>_xlfn.XLOOKUP($D123,#REF!,#REF!,,0,)</f>
        <v/>
      </c>
      <c r="AT123" s="42">
        <f>Tab_Process_TCs2527[[#This Row],[Flow_ID]]</f>
        <v/>
      </c>
      <c r="AU123" s="42">
        <f>"TC"&amp;"_"&amp;RIGHT(AN123,5)</f>
        <v/>
      </c>
      <c r="AV123" s="168" t="n"/>
      <c r="AW123" s="296">
        <f>_xlfn.XLOOKUP($D123,#REF!,#REF!,,0,)</f>
        <v/>
      </c>
      <c r="AX123" s="272">
        <f>_xlfn.XLOOKUP($D123,#REF!,#REF!,,0,)</f>
        <v/>
      </c>
      <c r="AY123" s="42">
        <f>Tab_Process_TCs2527[[#This Row],[Flow_ID]]</f>
        <v/>
      </c>
      <c r="AZ123" s="42">
        <f>"TC"&amp;"_"&amp;RIGHT(AX123,5)</f>
        <v/>
      </c>
      <c r="BA123" s="168" t="n"/>
      <c r="BB123" s="272">
        <f>_xlfn.XLOOKUP($D123,#REF!,#REF!,,0,)</f>
        <v/>
      </c>
      <c r="BC123" s="272">
        <f>_xlfn.XLOOKUP($D123,#REF!,#REF!,,0,)</f>
        <v/>
      </c>
      <c r="BD123" s="42">
        <f>Tab_Process_TCs2527[[#This Row],[Flow_ID]]</f>
        <v/>
      </c>
      <c r="BE123" s="42">
        <f>"TC"&amp;"_"&amp;RIGHT(BC123,5)</f>
        <v/>
      </c>
      <c r="BF123" s="49" t="n"/>
      <c r="BG123" s="52">
        <f>Tab_Process_TCs2527[[#This Row],[TC O_6_'[%']]]+Tab_Process_TCs2527[[#This Row],[TC O_5_'[%']]]+Tab_Process_TCs2527[[#This Row],[TC_O_4_'[%']]]+Tab_Process_TCs2527[[#This Row],[TC_O_3_'[%']]]+Tab_Process_TCs2527[[#This Row],[TC_O_2_'[%']]]+Tab_Process_TCs2527[[#This Row],[TC_O_1_'[%']]]</f>
        <v/>
      </c>
      <c r="BH123" s="273" t="n"/>
      <c r="BI123" s="273" t="n"/>
      <c r="BJ123" s="273" t="n"/>
      <c r="BK123" s="273" t="n"/>
      <c r="BL123" s="273" t="n"/>
    </row>
    <row r="124">
      <c r="A124" s="280" t="b">
        <v>0</v>
      </c>
      <c r="B124" s="272">
        <f>ROW()-1</f>
        <v/>
      </c>
      <c r="C124" s="286">
        <f>_xlfn.XLOOKUP($D124,Tab_Process_TCs[Name(EN)],Tab_Process_TCs[Process_ID],,0,)</f>
        <v/>
      </c>
      <c r="D124" s="189" t="inlineStr">
        <is>
          <t>N.A.</t>
        </is>
      </c>
      <c r="E124" s="189" t="inlineStr">
        <is>
          <t>N.A.</t>
        </is>
      </c>
      <c r="F124" s="286">
        <f>_xlfn.XLOOKUP($D124,Tab_Process_TCs[Name(EN)],Tab_Process_TCs[TC?],,0,)</f>
        <v/>
      </c>
      <c r="G124" s="286">
        <f>_xlfn.XLOOKUP($D124,Tab_Process_TCs[Name(EN)],Tab_Process_TCs[Dyn_TC?],,0,)</f>
        <v/>
      </c>
      <c r="H124" s="272">
        <f>_xlfn.XLOOKUP($E124,Tab_Def_Flows[Name(EN)],Tab_Def_Flows[Flow_ID],,0,1)</f>
        <v/>
      </c>
      <c r="I124" s="272">
        <f>IF(Tab_Process_TCs2527[[#This Row],[Name(EN)]]="N.A.","N.A.","TC"&amp;"_"&amp;RIGHT(H124,5))</f>
        <v/>
      </c>
      <c r="J124" s="273" t="n"/>
      <c r="K124" s="183" t="n"/>
      <c r="L124" s="272" t="n"/>
      <c r="M124" s="296">
        <f>_xlfn.XLOOKUP($D124,Tab_Def_Processes[Name(EN)],Tab_Def_Processes[Input_Flow_I_1],,0,)</f>
        <v/>
      </c>
      <c r="N124" s="272">
        <f>_xlfn.XLOOKUP($D124,Tab_Def_Processes[Name(EN)],Tab_Def_Processes[Flow_ID_I_1],,0,)</f>
        <v/>
      </c>
      <c r="O124" s="34" t="n"/>
      <c r="P124" s="29">
        <f>_xlfn.XLOOKUP($D124,Tab_Def_Processes[Name(EN)],Tab_Def_Processes[Input_Flow_I_2],,0,)</f>
        <v/>
      </c>
      <c r="Q124" s="272">
        <f>_xlfn.XLOOKUP($D124,Tab_Def_Processes[Name(EN)],Tab_Def_Processes[Flow_ID_I_2],,0,)</f>
        <v/>
      </c>
      <c r="R124" s="34" t="n"/>
      <c r="S124" s="29">
        <f>_xlfn.XLOOKUP($D124,Tab_Def_Processes[Name(EN)],Tab_Def_Processes[Input_Flow_I_3],,0,)</f>
        <v/>
      </c>
      <c r="T124" s="272">
        <f>_xlfn.XLOOKUP($D124,Tab_Def_Processes[Name(EN)],Tab_Def_Processes[Flow_ID_I_3],,0,)</f>
        <v/>
      </c>
      <c r="U124" s="34" t="n"/>
      <c r="V124" s="29">
        <f>_xlfn.XLOOKUP($D124,Tab_Def_Processes[Name(EN)],Tab_Def_Processes[Input_Flow_I_4],,0,)</f>
        <v/>
      </c>
      <c r="W124" s="272">
        <f>_xlfn.XLOOKUP($D124,Tab_Def_Processes[Name(EN)],Tab_Def_Processes[Flow_ID_I_4],,0,)</f>
        <v/>
      </c>
      <c r="X124" s="34" t="n"/>
      <c r="Y124" s="29">
        <f>_xlfn.XLOOKUP($D124,Tab_Def_Processes[Name(EN)],Tab_Def_Processes[Input_Flow_I_5],,0,)</f>
        <v/>
      </c>
      <c r="Z124" s="272">
        <f>_xlfn.XLOOKUP($D124,Tab_Def_Processes[Name(EN)],Tab_Def_Processes[Flow_ID_I_5],,0,)</f>
        <v/>
      </c>
      <c r="AA124" s="34" t="n"/>
      <c r="AB124" s="39">
        <f>Tab_Process_TCs2527[[#This Row],[Flow_TC_I_1_'[%']]]+Tab_Process_TCs2527[[#This Row],[Flow_TC_I_2_'[%']]]+Tab_Process_TCs2527[[#This Row],[Flow_TC_I_3_'[%']]]+Tab_Process_TCs2527[[#This Row],[Flow_TC_I_4_'[%']]]+Tab_Process_TCs2527[[#This Row],[Flow_TC_I_5_'[%']]]</f>
        <v/>
      </c>
      <c r="AC124" s="296">
        <f>_xlfn.XLOOKUP($D124,#REF!,#REF!,,0,)</f>
        <v/>
      </c>
      <c r="AD124" s="272">
        <f>_xlfn.XLOOKUP($D124,#REF!,#REF!,,0,)</f>
        <v/>
      </c>
      <c r="AE124" s="42">
        <f>Tab_Process_TCs2527[[#This Row],[Flow_ID]]</f>
        <v/>
      </c>
      <c r="AF124" s="272">
        <f>"TC"&amp;"_"&amp;RIGHT(AD124,5)</f>
        <v/>
      </c>
      <c r="AG124" s="170" t="n"/>
      <c r="AH124" s="169">
        <f>_xlfn.XLOOKUP($D124,#REF!,#REF!,,0,)</f>
        <v/>
      </c>
      <c r="AI124" s="53">
        <f>_xlfn.XLOOKUP($D124,#REF!,#REF!,,0,)</f>
        <v/>
      </c>
      <c r="AJ124" s="42">
        <f>Tab_Process_TCs2527[[#This Row],[Flow_ID]]</f>
        <v/>
      </c>
      <c r="AK124" s="272">
        <f>"TC"&amp;"_"&amp;RIGHT(AI124,5)</f>
        <v/>
      </c>
      <c r="AL124" s="168" t="n"/>
      <c r="AM124" s="296">
        <f>_xlfn.XLOOKUP($D124,#REF!,#REF!,,0,)</f>
        <v/>
      </c>
      <c r="AN124" s="272">
        <f>_xlfn.XLOOKUP($D124,#REF!,#REF!,,0,)</f>
        <v/>
      </c>
      <c r="AO124" s="42">
        <f>Tab_Process_TCs2527[[#This Row],[Flow_ID]]</f>
        <v/>
      </c>
      <c r="AP124" s="272">
        <f>"TC"&amp;"_"&amp;RIGHT(AN124,5)</f>
        <v/>
      </c>
      <c r="AQ124" s="168" t="n"/>
      <c r="AR124" s="296">
        <f>_xlfn.XLOOKUP($D124,#REF!,#REF!,,0,)</f>
        <v/>
      </c>
      <c r="AS124" s="272">
        <f>_xlfn.XLOOKUP($D124,#REF!,#REF!,,0,)</f>
        <v/>
      </c>
      <c r="AT124" s="42">
        <f>Tab_Process_TCs2527[[#This Row],[Flow_ID]]</f>
        <v/>
      </c>
      <c r="AU124" s="42">
        <f>"TC"&amp;"_"&amp;RIGHT(AN124,5)</f>
        <v/>
      </c>
      <c r="AV124" s="168" t="n"/>
      <c r="AW124" s="296">
        <f>_xlfn.XLOOKUP($D124,#REF!,#REF!,,0,)</f>
        <v/>
      </c>
      <c r="AX124" s="272">
        <f>_xlfn.XLOOKUP($D124,#REF!,#REF!,,0,)</f>
        <v/>
      </c>
      <c r="AY124" s="42">
        <f>Tab_Process_TCs2527[[#This Row],[Flow_ID]]</f>
        <v/>
      </c>
      <c r="AZ124" s="42">
        <f>"TC"&amp;"_"&amp;RIGHT(AX124,5)</f>
        <v/>
      </c>
      <c r="BA124" s="168" t="n"/>
      <c r="BB124" s="272">
        <f>_xlfn.XLOOKUP($D124,#REF!,#REF!,,0,)</f>
        <v/>
      </c>
      <c r="BC124" s="272">
        <f>_xlfn.XLOOKUP($D124,#REF!,#REF!,,0,)</f>
        <v/>
      </c>
      <c r="BD124" s="42">
        <f>Tab_Process_TCs2527[[#This Row],[Flow_ID]]</f>
        <v/>
      </c>
      <c r="BE124" s="42">
        <f>"TC"&amp;"_"&amp;RIGHT(BC124,5)</f>
        <v/>
      </c>
      <c r="BF124" s="49" t="n"/>
      <c r="BG124" s="52">
        <f>Tab_Process_TCs2527[[#This Row],[TC O_6_'[%']]]+Tab_Process_TCs2527[[#This Row],[TC O_5_'[%']]]+Tab_Process_TCs2527[[#This Row],[TC_O_4_'[%']]]+Tab_Process_TCs2527[[#This Row],[TC_O_3_'[%']]]+Tab_Process_TCs2527[[#This Row],[TC_O_2_'[%']]]+Tab_Process_TCs2527[[#This Row],[TC_O_1_'[%']]]</f>
        <v/>
      </c>
      <c r="BH124" s="273" t="n"/>
      <c r="BI124" s="273" t="n"/>
      <c r="BJ124" s="273" t="n"/>
      <c r="BK124" s="273" t="n"/>
      <c r="BL124" s="273" t="n"/>
    </row>
    <row r="125">
      <c r="A125" s="280" t="b">
        <v>0</v>
      </c>
      <c r="B125" s="272">
        <f>ROW()-1</f>
        <v/>
      </c>
      <c r="C125" s="286">
        <f>_xlfn.XLOOKUP($D125,Tab_Process_TCs[Name(EN)],Tab_Process_TCs[Process_ID],,0,)</f>
        <v/>
      </c>
      <c r="D125" s="189" t="inlineStr">
        <is>
          <t>N.A.</t>
        </is>
      </c>
      <c r="E125" s="189" t="inlineStr">
        <is>
          <t>N.A.</t>
        </is>
      </c>
      <c r="F125" s="286">
        <f>_xlfn.XLOOKUP($D125,Tab_Process_TCs[Name(EN)],Tab_Process_TCs[TC?],,0,)</f>
        <v/>
      </c>
      <c r="G125" s="286">
        <f>_xlfn.XLOOKUP($D125,Tab_Process_TCs[Name(EN)],Tab_Process_TCs[Dyn_TC?],,0,)</f>
        <v/>
      </c>
      <c r="H125" s="272">
        <f>_xlfn.XLOOKUP($E125,Tab_Def_Flows[Name(EN)],Tab_Def_Flows[Flow_ID],,0,1)</f>
        <v/>
      </c>
      <c r="I125" s="272">
        <f>IF(Tab_Process_TCs2527[[#This Row],[Name(EN)]]="N.A.","N.A.","TC"&amp;"_"&amp;RIGHT(H125,5))</f>
        <v/>
      </c>
      <c r="J125" s="273" t="n"/>
      <c r="K125" s="183" t="n"/>
      <c r="L125" s="272" t="n"/>
      <c r="M125" s="296">
        <f>_xlfn.XLOOKUP($D125,Tab_Def_Processes[Name(EN)],Tab_Def_Processes[Input_Flow_I_1],,0,)</f>
        <v/>
      </c>
      <c r="N125" s="272">
        <f>_xlfn.XLOOKUP($D125,Tab_Def_Processes[Name(EN)],Tab_Def_Processes[Flow_ID_I_1],,0,)</f>
        <v/>
      </c>
      <c r="O125" s="34" t="n"/>
      <c r="P125" s="29">
        <f>_xlfn.XLOOKUP($D125,Tab_Def_Processes[Name(EN)],Tab_Def_Processes[Input_Flow_I_2],,0,)</f>
        <v/>
      </c>
      <c r="Q125" s="272">
        <f>_xlfn.XLOOKUP($D125,Tab_Def_Processes[Name(EN)],Tab_Def_Processes[Flow_ID_I_2],,0,)</f>
        <v/>
      </c>
      <c r="R125" s="34" t="n"/>
      <c r="S125" s="29">
        <f>_xlfn.XLOOKUP($D125,Tab_Def_Processes[Name(EN)],Tab_Def_Processes[Input_Flow_I_3],,0,)</f>
        <v/>
      </c>
      <c r="T125" s="272">
        <f>_xlfn.XLOOKUP($D125,Tab_Def_Processes[Name(EN)],Tab_Def_Processes[Flow_ID_I_3],,0,)</f>
        <v/>
      </c>
      <c r="U125" s="34" t="n"/>
      <c r="V125" s="29">
        <f>_xlfn.XLOOKUP($D125,Tab_Def_Processes[Name(EN)],Tab_Def_Processes[Input_Flow_I_4],,0,)</f>
        <v/>
      </c>
      <c r="W125" s="272">
        <f>_xlfn.XLOOKUP($D125,Tab_Def_Processes[Name(EN)],Tab_Def_Processes[Flow_ID_I_4],,0,)</f>
        <v/>
      </c>
      <c r="X125" s="34" t="n"/>
      <c r="Y125" s="29">
        <f>_xlfn.XLOOKUP($D125,Tab_Def_Processes[Name(EN)],Tab_Def_Processes[Input_Flow_I_5],,0,)</f>
        <v/>
      </c>
      <c r="Z125" s="272">
        <f>_xlfn.XLOOKUP($D125,Tab_Def_Processes[Name(EN)],Tab_Def_Processes[Flow_ID_I_5],,0,)</f>
        <v/>
      </c>
      <c r="AA125" s="34" t="n"/>
      <c r="AB125" s="39">
        <f>Tab_Process_TCs2527[[#This Row],[Flow_TC_I_1_'[%']]]+Tab_Process_TCs2527[[#This Row],[Flow_TC_I_2_'[%']]]+Tab_Process_TCs2527[[#This Row],[Flow_TC_I_3_'[%']]]+Tab_Process_TCs2527[[#This Row],[Flow_TC_I_4_'[%']]]+Tab_Process_TCs2527[[#This Row],[Flow_TC_I_5_'[%']]]</f>
        <v/>
      </c>
      <c r="AC125" s="296">
        <f>_xlfn.XLOOKUP($D125,#REF!,#REF!,,0,)</f>
        <v/>
      </c>
      <c r="AD125" s="272">
        <f>_xlfn.XLOOKUP($D125,#REF!,#REF!,,0,)</f>
        <v/>
      </c>
      <c r="AE125" s="42">
        <f>Tab_Process_TCs2527[[#This Row],[Flow_ID]]</f>
        <v/>
      </c>
      <c r="AF125" s="272">
        <f>"TC"&amp;"_"&amp;RIGHT(AD125,5)</f>
        <v/>
      </c>
      <c r="AG125" s="170" t="n"/>
      <c r="AH125" s="169">
        <f>_xlfn.XLOOKUP($D125,#REF!,#REF!,,0,)</f>
        <v/>
      </c>
      <c r="AI125" s="53">
        <f>_xlfn.XLOOKUP($D125,#REF!,#REF!,,0,)</f>
        <v/>
      </c>
      <c r="AJ125" s="42">
        <f>Tab_Process_TCs2527[[#This Row],[Flow_ID]]</f>
        <v/>
      </c>
      <c r="AK125" s="272">
        <f>"TC"&amp;"_"&amp;RIGHT(AI125,5)</f>
        <v/>
      </c>
      <c r="AL125" s="168" t="n"/>
      <c r="AM125" s="296">
        <f>_xlfn.XLOOKUP($D125,#REF!,#REF!,,0,)</f>
        <v/>
      </c>
      <c r="AN125" s="272">
        <f>_xlfn.XLOOKUP($D125,#REF!,#REF!,,0,)</f>
        <v/>
      </c>
      <c r="AO125" s="42">
        <f>Tab_Process_TCs2527[[#This Row],[Flow_ID]]</f>
        <v/>
      </c>
      <c r="AP125" s="272">
        <f>"TC"&amp;"_"&amp;RIGHT(AN125,5)</f>
        <v/>
      </c>
      <c r="AQ125" s="168" t="n"/>
      <c r="AR125" s="296">
        <f>_xlfn.XLOOKUP($D125,#REF!,#REF!,,0,)</f>
        <v/>
      </c>
      <c r="AS125" s="272">
        <f>_xlfn.XLOOKUP($D125,#REF!,#REF!,,0,)</f>
        <v/>
      </c>
      <c r="AT125" s="42">
        <f>Tab_Process_TCs2527[[#This Row],[Flow_ID]]</f>
        <v/>
      </c>
      <c r="AU125" s="42">
        <f>"TC"&amp;"_"&amp;RIGHT(AN125,5)</f>
        <v/>
      </c>
      <c r="AV125" s="168" t="n"/>
      <c r="AW125" s="296">
        <f>_xlfn.XLOOKUP($D125,#REF!,#REF!,,0,)</f>
        <v/>
      </c>
      <c r="AX125" s="272">
        <f>_xlfn.XLOOKUP($D125,#REF!,#REF!,,0,)</f>
        <v/>
      </c>
      <c r="AY125" s="42">
        <f>Tab_Process_TCs2527[[#This Row],[Flow_ID]]</f>
        <v/>
      </c>
      <c r="AZ125" s="42">
        <f>"TC"&amp;"_"&amp;RIGHT(AX125,5)</f>
        <v/>
      </c>
      <c r="BA125" s="168" t="n"/>
      <c r="BB125" s="272">
        <f>_xlfn.XLOOKUP($D125,#REF!,#REF!,,0,)</f>
        <v/>
      </c>
      <c r="BC125" s="272">
        <f>_xlfn.XLOOKUP($D125,#REF!,#REF!,,0,)</f>
        <v/>
      </c>
      <c r="BD125" s="42">
        <f>Tab_Process_TCs2527[[#This Row],[Flow_ID]]</f>
        <v/>
      </c>
      <c r="BE125" s="42">
        <f>"TC"&amp;"_"&amp;RIGHT(BC125,5)</f>
        <v/>
      </c>
      <c r="BF125" s="49" t="n"/>
      <c r="BG125" s="52">
        <f>Tab_Process_TCs2527[[#This Row],[TC O_6_'[%']]]+Tab_Process_TCs2527[[#This Row],[TC O_5_'[%']]]+Tab_Process_TCs2527[[#This Row],[TC_O_4_'[%']]]+Tab_Process_TCs2527[[#This Row],[TC_O_3_'[%']]]+Tab_Process_TCs2527[[#This Row],[TC_O_2_'[%']]]+Tab_Process_TCs2527[[#This Row],[TC_O_1_'[%']]]</f>
        <v/>
      </c>
      <c r="BH125" s="273" t="n"/>
      <c r="BI125" s="273" t="n"/>
      <c r="BJ125" s="273" t="n"/>
      <c r="BK125" s="273" t="n"/>
      <c r="BL125" s="273" t="n"/>
    </row>
    <row r="126">
      <c r="A126" s="280" t="b">
        <v>0</v>
      </c>
      <c r="B126" s="272">
        <f>ROW()-1</f>
        <v/>
      </c>
      <c r="C126" s="286">
        <f>_xlfn.XLOOKUP($D126,Tab_Process_TCs[Name(EN)],Tab_Process_TCs[Process_ID],,0,)</f>
        <v/>
      </c>
      <c r="D126" s="189" t="inlineStr">
        <is>
          <t>N.A.</t>
        </is>
      </c>
      <c r="E126" s="189" t="inlineStr">
        <is>
          <t>N.A.</t>
        </is>
      </c>
      <c r="F126" s="286">
        <f>_xlfn.XLOOKUP($D126,Tab_Process_TCs[Name(EN)],Tab_Process_TCs[TC?],,0,)</f>
        <v/>
      </c>
      <c r="G126" s="286">
        <f>_xlfn.XLOOKUP($D126,Tab_Process_TCs[Name(EN)],Tab_Process_TCs[Dyn_TC?],,0,)</f>
        <v/>
      </c>
      <c r="H126" s="272">
        <f>_xlfn.XLOOKUP($E126,Tab_Def_Flows[Name(EN)],Tab_Def_Flows[Flow_ID],,0,1)</f>
        <v/>
      </c>
      <c r="I126" s="272">
        <f>IF(Tab_Process_TCs2527[[#This Row],[Name(EN)]]="N.A.","N.A.","TC"&amp;"_"&amp;RIGHT(H126,5))</f>
        <v/>
      </c>
      <c r="J126" s="273" t="n"/>
      <c r="K126" s="183" t="n"/>
      <c r="L126" s="272" t="n"/>
      <c r="M126" s="296">
        <f>_xlfn.XLOOKUP($D126,Tab_Def_Processes[Name(EN)],Tab_Def_Processes[Input_Flow_I_1],,0,)</f>
        <v/>
      </c>
      <c r="N126" s="272">
        <f>_xlfn.XLOOKUP($D126,Tab_Def_Processes[Name(EN)],Tab_Def_Processes[Flow_ID_I_1],,0,)</f>
        <v/>
      </c>
      <c r="O126" s="34" t="n"/>
      <c r="P126" s="29">
        <f>_xlfn.XLOOKUP($D126,Tab_Def_Processes[Name(EN)],Tab_Def_Processes[Input_Flow_I_2],,0,)</f>
        <v/>
      </c>
      <c r="Q126" s="272">
        <f>_xlfn.XLOOKUP($D126,Tab_Def_Processes[Name(EN)],Tab_Def_Processes[Flow_ID_I_2],,0,)</f>
        <v/>
      </c>
      <c r="R126" s="34" t="n"/>
      <c r="S126" s="29">
        <f>_xlfn.XLOOKUP($D126,Tab_Def_Processes[Name(EN)],Tab_Def_Processes[Input_Flow_I_3],,0,)</f>
        <v/>
      </c>
      <c r="T126" s="272">
        <f>_xlfn.XLOOKUP($D126,Tab_Def_Processes[Name(EN)],Tab_Def_Processes[Flow_ID_I_3],,0,)</f>
        <v/>
      </c>
      <c r="U126" s="34" t="n"/>
      <c r="V126" s="29">
        <f>_xlfn.XLOOKUP($D126,Tab_Def_Processes[Name(EN)],Tab_Def_Processes[Input_Flow_I_4],,0,)</f>
        <v/>
      </c>
      <c r="W126" s="272">
        <f>_xlfn.XLOOKUP($D126,Tab_Def_Processes[Name(EN)],Tab_Def_Processes[Flow_ID_I_4],,0,)</f>
        <v/>
      </c>
      <c r="X126" s="34" t="n"/>
      <c r="Y126" s="29">
        <f>_xlfn.XLOOKUP($D126,Tab_Def_Processes[Name(EN)],Tab_Def_Processes[Input_Flow_I_5],,0,)</f>
        <v/>
      </c>
      <c r="Z126" s="272">
        <f>_xlfn.XLOOKUP($D126,Tab_Def_Processes[Name(EN)],Tab_Def_Processes[Flow_ID_I_5],,0,)</f>
        <v/>
      </c>
      <c r="AA126" s="34" t="n"/>
      <c r="AB126" s="39">
        <f>Tab_Process_TCs2527[[#This Row],[Flow_TC_I_1_'[%']]]+Tab_Process_TCs2527[[#This Row],[Flow_TC_I_2_'[%']]]+Tab_Process_TCs2527[[#This Row],[Flow_TC_I_3_'[%']]]+Tab_Process_TCs2527[[#This Row],[Flow_TC_I_4_'[%']]]+Tab_Process_TCs2527[[#This Row],[Flow_TC_I_5_'[%']]]</f>
        <v/>
      </c>
      <c r="AC126" s="296">
        <f>_xlfn.XLOOKUP($D126,#REF!,#REF!,,0,)</f>
        <v/>
      </c>
      <c r="AD126" s="272">
        <f>_xlfn.XLOOKUP($D126,#REF!,#REF!,,0,)</f>
        <v/>
      </c>
      <c r="AE126" s="42">
        <f>Tab_Process_TCs2527[[#This Row],[Flow_ID]]</f>
        <v/>
      </c>
      <c r="AF126" s="272">
        <f>"TC"&amp;"_"&amp;RIGHT(AD126,5)</f>
        <v/>
      </c>
      <c r="AG126" s="170" t="n"/>
      <c r="AH126" s="169">
        <f>_xlfn.XLOOKUP($D126,#REF!,#REF!,,0,)</f>
        <v/>
      </c>
      <c r="AI126" s="53">
        <f>_xlfn.XLOOKUP($D126,#REF!,#REF!,,0,)</f>
        <v/>
      </c>
      <c r="AJ126" s="42">
        <f>Tab_Process_TCs2527[[#This Row],[Flow_ID]]</f>
        <v/>
      </c>
      <c r="AK126" s="272">
        <f>"TC"&amp;"_"&amp;RIGHT(AI126,5)</f>
        <v/>
      </c>
      <c r="AL126" s="168" t="n"/>
      <c r="AM126" s="296">
        <f>_xlfn.XLOOKUP($D126,#REF!,#REF!,,0,)</f>
        <v/>
      </c>
      <c r="AN126" s="272">
        <f>_xlfn.XLOOKUP($D126,#REF!,#REF!,,0,)</f>
        <v/>
      </c>
      <c r="AO126" s="42">
        <f>Tab_Process_TCs2527[[#This Row],[Flow_ID]]</f>
        <v/>
      </c>
      <c r="AP126" s="272">
        <f>"TC"&amp;"_"&amp;RIGHT(AN126,5)</f>
        <v/>
      </c>
      <c r="AQ126" s="168" t="n"/>
      <c r="AR126" s="296">
        <f>_xlfn.XLOOKUP($D126,#REF!,#REF!,,0,)</f>
        <v/>
      </c>
      <c r="AS126" s="272">
        <f>_xlfn.XLOOKUP($D126,#REF!,#REF!,,0,)</f>
        <v/>
      </c>
      <c r="AT126" s="42">
        <f>Tab_Process_TCs2527[[#This Row],[Flow_ID]]</f>
        <v/>
      </c>
      <c r="AU126" s="42">
        <f>"TC"&amp;"_"&amp;RIGHT(AN126,5)</f>
        <v/>
      </c>
      <c r="AV126" s="168" t="n"/>
      <c r="AW126" s="296">
        <f>_xlfn.XLOOKUP($D126,#REF!,#REF!,,0,)</f>
        <v/>
      </c>
      <c r="AX126" s="272">
        <f>_xlfn.XLOOKUP($D126,#REF!,#REF!,,0,)</f>
        <v/>
      </c>
      <c r="AY126" s="42">
        <f>Tab_Process_TCs2527[[#This Row],[Flow_ID]]</f>
        <v/>
      </c>
      <c r="AZ126" s="42">
        <f>"TC"&amp;"_"&amp;RIGHT(AX126,5)</f>
        <v/>
      </c>
      <c r="BA126" s="168" t="n"/>
      <c r="BB126" s="272">
        <f>_xlfn.XLOOKUP($D126,#REF!,#REF!,,0,)</f>
        <v/>
      </c>
      <c r="BC126" s="272">
        <f>_xlfn.XLOOKUP($D126,#REF!,#REF!,,0,)</f>
        <v/>
      </c>
      <c r="BD126" s="42">
        <f>Tab_Process_TCs2527[[#This Row],[Flow_ID]]</f>
        <v/>
      </c>
      <c r="BE126" s="42">
        <f>"TC"&amp;"_"&amp;RIGHT(BC126,5)</f>
        <v/>
      </c>
      <c r="BF126" s="49" t="n"/>
      <c r="BG126" s="52">
        <f>Tab_Process_TCs2527[[#This Row],[TC O_6_'[%']]]+Tab_Process_TCs2527[[#This Row],[TC O_5_'[%']]]+Tab_Process_TCs2527[[#This Row],[TC_O_4_'[%']]]+Tab_Process_TCs2527[[#This Row],[TC_O_3_'[%']]]+Tab_Process_TCs2527[[#This Row],[TC_O_2_'[%']]]+Tab_Process_TCs2527[[#This Row],[TC_O_1_'[%']]]</f>
        <v/>
      </c>
      <c r="BH126" s="273" t="n"/>
      <c r="BI126" s="273" t="n"/>
      <c r="BJ126" s="273" t="n"/>
      <c r="BK126" s="273" t="n"/>
      <c r="BL126" s="273" t="n"/>
    </row>
    <row r="127">
      <c r="A127" s="280" t="b">
        <v>0</v>
      </c>
      <c r="B127" s="272">
        <f>ROW()-1</f>
        <v/>
      </c>
      <c r="C127" s="286">
        <f>_xlfn.XLOOKUP($D127,Tab_Process_TCs[Name(EN)],Tab_Process_TCs[Process_ID],,0,)</f>
        <v/>
      </c>
      <c r="D127" s="189" t="inlineStr">
        <is>
          <t>N.A.</t>
        </is>
      </c>
      <c r="E127" s="189" t="inlineStr">
        <is>
          <t>N.A.</t>
        </is>
      </c>
      <c r="F127" s="286">
        <f>_xlfn.XLOOKUP($D127,Tab_Process_TCs[Name(EN)],Tab_Process_TCs[TC?],,0,)</f>
        <v/>
      </c>
      <c r="G127" s="286">
        <f>_xlfn.XLOOKUP($D127,Tab_Process_TCs[Name(EN)],Tab_Process_TCs[Dyn_TC?],,0,)</f>
        <v/>
      </c>
      <c r="H127" s="272">
        <f>_xlfn.XLOOKUP($E127,Tab_Def_Flows[Name(EN)],Tab_Def_Flows[Flow_ID],,0,1)</f>
        <v/>
      </c>
      <c r="I127" s="272">
        <f>IF(Tab_Process_TCs2527[[#This Row],[Name(EN)]]="N.A.","N.A.","TC"&amp;"_"&amp;RIGHT(H127,5))</f>
        <v/>
      </c>
      <c r="J127" s="273" t="n"/>
      <c r="K127" s="183" t="n"/>
      <c r="L127" s="272" t="n"/>
      <c r="M127" s="296">
        <f>_xlfn.XLOOKUP($D127,Tab_Def_Processes[Name(EN)],Tab_Def_Processes[Input_Flow_I_1],,0,)</f>
        <v/>
      </c>
      <c r="N127" s="272">
        <f>_xlfn.XLOOKUP($D127,Tab_Def_Processes[Name(EN)],Tab_Def_Processes[Flow_ID_I_1],,0,)</f>
        <v/>
      </c>
      <c r="O127" s="34" t="n"/>
      <c r="P127" s="29">
        <f>_xlfn.XLOOKUP($D127,Tab_Def_Processes[Name(EN)],Tab_Def_Processes[Input_Flow_I_2],,0,)</f>
        <v/>
      </c>
      <c r="Q127" s="272">
        <f>_xlfn.XLOOKUP($D127,Tab_Def_Processes[Name(EN)],Tab_Def_Processes[Flow_ID_I_2],,0,)</f>
        <v/>
      </c>
      <c r="R127" s="34" t="n"/>
      <c r="S127" s="29">
        <f>_xlfn.XLOOKUP($D127,Tab_Def_Processes[Name(EN)],Tab_Def_Processes[Input_Flow_I_3],,0,)</f>
        <v/>
      </c>
      <c r="T127" s="272">
        <f>_xlfn.XLOOKUP($D127,Tab_Def_Processes[Name(EN)],Tab_Def_Processes[Flow_ID_I_3],,0,)</f>
        <v/>
      </c>
      <c r="U127" s="34" t="n"/>
      <c r="V127" s="29">
        <f>_xlfn.XLOOKUP($D127,Tab_Def_Processes[Name(EN)],Tab_Def_Processes[Input_Flow_I_4],,0,)</f>
        <v/>
      </c>
      <c r="W127" s="272">
        <f>_xlfn.XLOOKUP($D127,Tab_Def_Processes[Name(EN)],Tab_Def_Processes[Flow_ID_I_4],,0,)</f>
        <v/>
      </c>
      <c r="X127" s="34" t="n"/>
      <c r="Y127" s="29">
        <f>_xlfn.XLOOKUP($D127,Tab_Def_Processes[Name(EN)],Tab_Def_Processes[Input_Flow_I_5],,0,)</f>
        <v/>
      </c>
      <c r="Z127" s="272">
        <f>_xlfn.XLOOKUP($D127,Tab_Def_Processes[Name(EN)],Tab_Def_Processes[Flow_ID_I_5],,0,)</f>
        <v/>
      </c>
      <c r="AA127" s="34" t="n"/>
      <c r="AB127" s="39">
        <f>Tab_Process_TCs2527[[#This Row],[Flow_TC_I_1_'[%']]]+Tab_Process_TCs2527[[#This Row],[Flow_TC_I_2_'[%']]]+Tab_Process_TCs2527[[#This Row],[Flow_TC_I_3_'[%']]]+Tab_Process_TCs2527[[#This Row],[Flow_TC_I_4_'[%']]]+Tab_Process_TCs2527[[#This Row],[Flow_TC_I_5_'[%']]]</f>
        <v/>
      </c>
      <c r="AC127" s="296">
        <f>_xlfn.XLOOKUP($D127,#REF!,#REF!,,0,)</f>
        <v/>
      </c>
      <c r="AD127" s="272">
        <f>_xlfn.XLOOKUP($D127,#REF!,#REF!,,0,)</f>
        <v/>
      </c>
      <c r="AE127" s="42">
        <f>Tab_Process_TCs2527[[#This Row],[Flow_ID]]</f>
        <v/>
      </c>
      <c r="AF127" s="272">
        <f>"TC"&amp;"_"&amp;RIGHT(AD127,5)</f>
        <v/>
      </c>
      <c r="AG127" s="170" t="n"/>
      <c r="AH127" s="169">
        <f>_xlfn.XLOOKUP($D127,#REF!,#REF!,,0,)</f>
        <v/>
      </c>
      <c r="AI127" s="53">
        <f>_xlfn.XLOOKUP($D127,#REF!,#REF!,,0,)</f>
        <v/>
      </c>
      <c r="AJ127" s="42">
        <f>Tab_Process_TCs2527[[#This Row],[Flow_ID]]</f>
        <v/>
      </c>
      <c r="AK127" s="272">
        <f>"TC"&amp;"_"&amp;RIGHT(AI127,5)</f>
        <v/>
      </c>
      <c r="AL127" s="168" t="n"/>
      <c r="AM127" s="296">
        <f>_xlfn.XLOOKUP($D127,#REF!,#REF!,,0,)</f>
        <v/>
      </c>
      <c r="AN127" s="272">
        <f>_xlfn.XLOOKUP($D127,#REF!,#REF!,,0,)</f>
        <v/>
      </c>
      <c r="AO127" s="42">
        <f>Tab_Process_TCs2527[[#This Row],[Flow_ID]]</f>
        <v/>
      </c>
      <c r="AP127" s="272">
        <f>"TC"&amp;"_"&amp;RIGHT(AN127,5)</f>
        <v/>
      </c>
      <c r="AQ127" s="168" t="n"/>
      <c r="AR127" s="296">
        <f>_xlfn.XLOOKUP($D127,#REF!,#REF!,,0,)</f>
        <v/>
      </c>
      <c r="AS127" s="272">
        <f>_xlfn.XLOOKUP($D127,#REF!,#REF!,,0,)</f>
        <v/>
      </c>
      <c r="AT127" s="42">
        <f>Tab_Process_TCs2527[[#This Row],[Flow_ID]]</f>
        <v/>
      </c>
      <c r="AU127" s="42">
        <f>"TC"&amp;"_"&amp;RIGHT(AN127,5)</f>
        <v/>
      </c>
      <c r="AV127" s="168" t="n"/>
      <c r="AW127" s="296">
        <f>_xlfn.XLOOKUP($D127,#REF!,#REF!,,0,)</f>
        <v/>
      </c>
      <c r="AX127" s="272">
        <f>_xlfn.XLOOKUP($D127,#REF!,#REF!,,0,)</f>
        <v/>
      </c>
      <c r="AY127" s="42">
        <f>Tab_Process_TCs2527[[#This Row],[Flow_ID]]</f>
        <v/>
      </c>
      <c r="AZ127" s="42">
        <f>"TC"&amp;"_"&amp;RIGHT(AX127,5)</f>
        <v/>
      </c>
      <c r="BA127" s="168" t="n"/>
      <c r="BB127" s="272">
        <f>_xlfn.XLOOKUP($D127,#REF!,#REF!,,0,)</f>
        <v/>
      </c>
      <c r="BC127" s="272">
        <f>_xlfn.XLOOKUP($D127,#REF!,#REF!,,0,)</f>
        <v/>
      </c>
      <c r="BD127" s="42">
        <f>Tab_Process_TCs2527[[#This Row],[Flow_ID]]</f>
        <v/>
      </c>
      <c r="BE127" s="42">
        <f>"TC"&amp;"_"&amp;RIGHT(BC127,5)</f>
        <v/>
      </c>
      <c r="BF127" s="49" t="n"/>
      <c r="BG127" s="52">
        <f>Tab_Process_TCs2527[[#This Row],[TC O_6_'[%']]]+Tab_Process_TCs2527[[#This Row],[TC O_5_'[%']]]+Tab_Process_TCs2527[[#This Row],[TC_O_4_'[%']]]+Tab_Process_TCs2527[[#This Row],[TC_O_3_'[%']]]+Tab_Process_TCs2527[[#This Row],[TC_O_2_'[%']]]+Tab_Process_TCs2527[[#This Row],[TC_O_1_'[%']]]</f>
        <v/>
      </c>
      <c r="BH127" s="273" t="n"/>
      <c r="BI127" s="273" t="n"/>
      <c r="BJ127" s="273" t="n"/>
      <c r="BK127" s="273" t="n"/>
      <c r="BL127" s="273" t="n"/>
    </row>
    <row r="128">
      <c r="A128" s="280" t="b">
        <v>0</v>
      </c>
      <c r="B128" s="272">
        <f>ROW()-1</f>
        <v/>
      </c>
      <c r="C128" s="286">
        <f>_xlfn.XLOOKUP($D128,Tab_Process_TCs[Name(EN)],Tab_Process_TCs[Process_ID],,0,)</f>
        <v/>
      </c>
      <c r="D128" s="189" t="inlineStr">
        <is>
          <t>N.A.</t>
        </is>
      </c>
      <c r="E128" s="189" t="inlineStr">
        <is>
          <t>N.A.</t>
        </is>
      </c>
      <c r="F128" s="286">
        <f>_xlfn.XLOOKUP($D128,Tab_Process_TCs[Name(EN)],Tab_Process_TCs[TC?],,0,)</f>
        <v/>
      </c>
      <c r="G128" s="286">
        <f>_xlfn.XLOOKUP($D128,Tab_Process_TCs[Name(EN)],Tab_Process_TCs[Dyn_TC?],,0,)</f>
        <v/>
      </c>
      <c r="H128" s="272">
        <f>_xlfn.XLOOKUP($E128,Tab_Def_Flows[Name(EN)],Tab_Def_Flows[Flow_ID],,0,1)</f>
        <v/>
      </c>
      <c r="I128" s="272">
        <f>IF(Tab_Process_TCs2527[[#This Row],[Name(EN)]]="N.A.","N.A.","TC"&amp;"_"&amp;RIGHT(H128,5))</f>
        <v/>
      </c>
      <c r="J128" s="273" t="n"/>
      <c r="K128" s="183" t="n"/>
      <c r="L128" s="272" t="n"/>
      <c r="M128" s="296">
        <f>_xlfn.XLOOKUP($D128,Tab_Def_Processes[Name(EN)],Tab_Def_Processes[Input_Flow_I_1],,0,)</f>
        <v/>
      </c>
      <c r="N128" s="272">
        <f>_xlfn.XLOOKUP($D128,Tab_Def_Processes[Name(EN)],Tab_Def_Processes[Flow_ID_I_1],,0,)</f>
        <v/>
      </c>
      <c r="O128" s="34" t="n"/>
      <c r="P128" s="29">
        <f>_xlfn.XLOOKUP($D128,Tab_Def_Processes[Name(EN)],Tab_Def_Processes[Input_Flow_I_2],,0,)</f>
        <v/>
      </c>
      <c r="Q128" s="272">
        <f>_xlfn.XLOOKUP($D128,Tab_Def_Processes[Name(EN)],Tab_Def_Processes[Flow_ID_I_2],,0,)</f>
        <v/>
      </c>
      <c r="R128" s="34" t="n"/>
      <c r="S128" s="29">
        <f>_xlfn.XLOOKUP($D128,Tab_Def_Processes[Name(EN)],Tab_Def_Processes[Input_Flow_I_3],,0,)</f>
        <v/>
      </c>
      <c r="T128" s="272">
        <f>_xlfn.XLOOKUP($D128,Tab_Def_Processes[Name(EN)],Tab_Def_Processes[Flow_ID_I_3],,0,)</f>
        <v/>
      </c>
      <c r="U128" s="34" t="n"/>
      <c r="V128" s="29">
        <f>_xlfn.XLOOKUP($D128,Tab_Def_Processes[Name(EN)],Tab_Def_Processes[Input_Flow_I_4],,0,)</f>
        <v/>
      </c>
      <c r="W128" s="272">
        <f>_xlfn.XLOOKUP($D128,Tab_Def_Processes[Name(EN)],Tab_Def_Processes[Flow_ID_I_4],,0,)</f>
        <v/>
      </c>
      <c r="X128" s="34" t="n"/>
      <c r="Y128" s="29">
        <f>_xlfn.XLOOKUP($D128,Tab_Def_Processes[Name(EN)],Tab_Def_Processes[Input_Flow_I_5],,0,)</f>
        <v/>
      </c>
      <c r="Z128" s="272">
        <f>_xlfn.XLOOKUP($D128,Tab_Def_Processes[Name(EN)],Tab_Def_Processes[Flow_ID_I_5],,0,)</f>
        <v/>
      </c>
      <c r="AA128" s="34" t="n"/>
      <c r="AB128" s="39">
        <f>Tab_Process_TCs2527[[#This Row],[Flow_TC_I_1_'[%']]]+Tab_Process_TCs2527[[#This Row],[Flow_TC_I_2_'[%']]]+Tab_Process_TCs2527[[#This Row],[Flow_TC_I_3_'[%']]]+Tab_Process_TCs2527[[#This Row],[Flow_TC_I_4_'[%']]]+Tab_Process_TCs2527[[#This Row],[Flow_TC_I_5_'[%']]]</f>
        <v/>
      </c>
      <c r="AC128" s="296">
        <f>_xlfn.XLOOKUP($D128,#REF!,#REF!,,0,)</f>
        <v/>
      </c>
      <c r="AD128" s="272">
        <f>_xlfn.XLOOKUP($D128,#REF!,#REF!,,0,)</f>
        <v/>
      </c>
      <c r="AE128" s="42">
        <f>Tab_Process_TCs2527[[#This Row],[Flow_ID]]</f>
        <v/>
      </c>
      <c r="AF128" s="272">
        <f>"TC"&amp;"_"&amp;RIGHT(AD128,5)</f>
        <v/>
      </c>
      <c r="AG128" s="170" t="n"/>
      <c r="AH128" s="169">
        <f>_xlfn.XLOOKUP($D128,#REF!,#REF!,,0,)</f>
        <v/>
      </c>
      <c r="AI128" s="53">
        <f>_xlfn.XLOOKUP($D128,#REF!,#REF!,,0,)</f>
        <v/>
      </c>
      <c r="AJ128" s="42">
        <f>Tab_Process_TCs2527[[#This Row],[Flow_ID]]</f>
        <v/>
      </c>
      <c r="AK128" s="272">
        <f>"TC"&amp;"_"&amp;RIGHT(AI128,5)</f>
        <v/>
      </c>
      <c r="AL128" s="168" t="n"/>
      <c r="AM128" s="296">
        <f>_xlfn.XLOOKUP($D128,#REF!,#REF!,,0,)</f>
        <v/>
      </c>
      <c r="AN128" s="272">
        <f>_xlfn.XLOOKUP($D128,#REF!,#REF!,,0,)</f>
        <v/>
      </c>
      <c r="AO128" s="42">
        <f>Tab_Process_TCs2527[[#This Row],[Flow_ID]]</f>
        <v/>
      </c>
      <c r="AP128" s="272">
        <f>"TC"&amp;"_"&amp;RIGHT(AN128,5)</f>
        <v/>
      </c>
      <c r="AQ128" s="168" t="n"/>
      <c r="AR128" s="296">
        <f>_xlfn.XLOOKUP($D128,#REF!,#REF!,,0,)</f>
        <v/>
      </c>
      <c r="AS128" s="272">
        <f>_xlfn.XLOOKUP($D128,#REF!,#REF!,,0,)</f>
        <v/>
      </c>
      <c r="AT128" s="42">
        <f>Tab_Process_TCs2527[[#This Row],[Flow_ID]]</f>
        <v/>
      </c>
      <c r="AU128" s="42">
        <f>"TC"&amp;"_"&amp;RIGHT(AN128,5)</f>
        <v/>
      </c>
      <c r="AV128" s="168" t="n"/>
      <c r="AW128" s="296">
        <f>_xlfn.XLOOKUP($D128,#REF!,#REF!,,0,)</f>
        <v/>
      </c>
      <c r="AX128" s="272">
        <f>_xlfn.XLOOKUP($D128,#REF!,#REF!,,0,)</f>
        <v/>
      </c>
      <c r="AY128" s="42">
        <f>Tab_Process_TCs2527[[#This Row],[Flow_ID]]</f>
        <v/>
      </c>
      <c r="AZ128" s="42">
        <f>"TC"&amp;"_"&amp;RIGHT(AX128,5)</f>
        <v/>
      </c>
      <c r="BA128" s="168" t="n"/>
      <c r="BB128" s="272">
        <f>_xlfn.XLOOKUP($D128,#REF!,#REF!,,0,)</f>
        <v/>
      </c>
      <c r="BC128" s="272">
        <f>_xlfn.XLOOKUP($D128,#REF!,#REF!,,0,)</f>
        <v/>
      </c>
      <c r="BD128" s="42">
        <f>Tab_Process_TCs2527[[#This Row],[Flow_ID]]</f>
        <v/>
      </c>
      <c r="BE128" s="42">
        <f>"TC"&amp;"_"&amp;RIGHT(BC128,5)</f>
        <v/>
      </c>
      <c r="BF128" s="49" t="n"/>
      <c r="BG128" s="52">
        <f>Tab_Process_TCs2527[[#This Row],[TC O_6_'[%']]]+Tab_Process_TCs2527[[#This Row],[TC O_5_'[%']]]+Tab_Process_TCs2527[[#This Row],[TC_O_4_'[%']]]+Tab_Process_TCs2527[[#This Row],[TC_O_3_'[%']]]+Tab_Process_TCs2527[[#This Row],[TC_O_2_'[%']]]+Tab_Process_TCs2527[[#This Row],[TC_O_1_'[%']]]</f>
        <v/>
      </c>
      <c r="BH128" s="273" t="n"/>
      <c r="BI128" s="273" t="n"/>
      <c r="BJ128" s="273" t="n"/>
      <c r="BK128" s="273" t="n"/>
      <c r="BL128" s="273" t="n"/>
    </row>
    <row r="129">
      <c r="A129" s="280" t="b">
        <v>0</v>
      </c>
      <c r="B129" s="272">
        <f>ROW()-1</f>
        <v/>
      </c>
      <c r="C129" s="286">
        <f>_xlfn.XLOOKUP($D129,Tab_Process_TCs[Name(EN)],Tab_Process_TCs[Process_ID],,0,)</f>
        <v/>
      </c>
      <c r="D129" s="189" t="inlineStr">
        <is>
          <t>N.A.</t>
        </is>
      </c>
      <c r="E129" s="189" t="inlineStr">
        <is>
          <t>N.A.</t>
        </is>
      </c>
      <c r="F129" s="286">
        <f>_xlfn.XLOOKUP($D129,Tab_Process_TCs[Name(EN)],Tab_Process_TCs[TC?],,0,)</f>
        <v/>
      </c>
      <c r="G129" s="286">
        <f>_xlfn.XLOOKUP($D129,Tab_Process_TCs[Name(EN)],Tab_Process_TCs[Dyn_TC?],,0,)</f>
        <v/>
      </c>
      <c r="H129" s="272">
        <f>_xlfn.XLOOKUP($E129,Tab_Def_Flows[Name(EN)],Tab_Def_Flows[Flow_ID],,0,1)</f>
        <v/>
      </c>
      <c r="I129" s="272">
        <f>IF(Tab_Process_TCs2527[[#This Row],[Name(EN)]]="N.A.","N.A.","TC"&amp;"_"&amp;RIGHT(H129,5))</f>
        <v/>
      </c>
      <c r="J129" s="273" t="n"/>
      <c r="K129" s="183" t="n"/>
      <c r="L129" s="272" t="n"/>
      <c r="M129" s="296">
        <f>_xlfn.XLOOKUP($D129,Tab_Def_Processes[Name(EN)],Tab_Def_Processes[Input_Flow_I_1],,0,)</f>
        <v/>
      </c>
      <c r="N129" s="272">
        <f>_xlfn.XLOOKUP($D129,Tab_Def_Processes[Name(EN)],Tab_Def_Processes[Flow_ID_I_1],,0,)</f>
        <v/>
      </c>
      <c r="O129" s="34" t="n"/>
      <c r="P129" s="29">
        <f>_xlfn.XLOOKUP($D129,Tab_Def_Processes[Name(EN)],Tab_Def_Processes[Input_Flow_I_2],,0,)</f>
        <v/>
      </c>
      <c r="Q129" s="272">
        <f>_xlfn.XLOOKUP($D129,Tab_Def_Processes[Name(EN)],Tab_Def_Processes[Flow_ID_I_2],,0,)</f>
        <v/>
      </c>
      <c r="R129" s="34" t="n"/>
      <c r="S129" s="29">
        <f>_xlfn.XLOOKUP($D129,Tab_Def_Processes[Name(EN)],Tab_Def_Processes[Input_Flow_I_3],,0,)</f>
        <v/>
      </c>
      <c r="T129" s="272">
        <f>_xlfn.XLOOKUP($D129,Tab_Def_Processes[Name(EN)],Tab_Def_Processes[Flow_ID_I_3],,0,)</f>
        <v/>
      </c>
      <c r="U129" s="34" t="n"/>
      <c r="V129" s="29">
        <f>_xlfn.XLOOKUP($D129,Tab_Def_Processes[Name(EN)],Tab_Def_Processes[Input_Flow_I_4],,0,)</f>
        <v/>
      </c>
      <c r="W129" s="272">
        <f>_xlfn.XLOOKUP($D129,Tab_Def_Processes[Name(EN)],Tab_Def_Processes[Flow_ID_I_4],,0,)</f>
        <v/>
      </c>
      <c r="X129" s="34" t="n"/>
      <c r="Y129" s="29">
        <f>_xlfn.XLOOKUP($D129,Tab_Def_Processes[Name(EN)],Tab_Def_Processes[Input_Flow_I_5],,0,)</f>
        <v/>
      </c>
      <c r="Z129" s="272">
        <f>_xlfn.XLOOKUP($D129,Tab_Def_Processes[Name(EN)],Tab_Def_Processes[Flow_ID_I_5],,0,)</f>
        <v/>
      </c>
      <c r="AA129" s="34" t="n"/>
      <c r="AB129" s="39">
        <f>Tab_Process_TCs2527[[#This Row],[Flow_TC_I_1_'[%']]]+Tab_Process_TCs2527[[#This Row],[Flow_TC_I_2_'[%']]]+Tab_Process_TCs2527[[#This Row],[Flow_TC_I_3_'[%']]]+Tab_Process_TCs2527[[#This Row],[Flow_TC_I_4_'[%']]]+Tab_Process_TCs2527[[#This Row],[Flow_TC_I_5_'[%']]]</f>
        <v/>
      </c>
      <c r="AC129" s="296">
        <f>_xlfn.XLOOKUP($D129,#REF!,#REF!,,0,)</f>
        <v/>
      </c>
      <c r="AD129" s="272">
        <f>_xlfn.XLOOKUP($D129,#REF!,#REF!,,0,)</f>
        <v/>
      </c>
      <c r="AE129" s="42">
        <f>Tab_Process_TCs2527[[#This Row],[Flow_ID]]</f>
        <v/>
      </c>
      <c r="AF129" s="272">
        <f>"TC"&amp;"_"&amp;RIGHT(AD129,5)</f>
        <v/>
      </c>
      <c r="AG129" s="170" t="n"/>
      <c r="AH129" s="169">
        <f>_xlfn.XLOOKUP($D129,#REF!,#REF!,,0,)</f>
        <v/>
      </c>
      <c r="AI129" s="53">
        <f>_xlfn.XLOOKUP($D129,#REF!,#REF!,,0,)</f>
        <v/>
      </c>
      <c r="AJ129" s="42">
        <f>Tab_Process_TCs2527[[#This Row],[Flow_ID]]</f>
        <v/>
      </c>
      <c r="AK129" s="272">
        <f>"TC"&amp;"_"&amp;RIGHT(AI129,5)</f>
        <v/>
      </c>
      <c r="AL129" s="168" t="n"/>
      <c r="AM129" s="296">
        <f>_xlfn.XLOOKUP($D129,#REF!,#REF!,,0,)</f>
        <v/>
      </c>
      <c r="AN129" s="272">
        <f>_xlfn.XLOOKUP($D129,#REF!,#REF!,,0,)</f>
        <v/>
      </c>
      <c r="AO129" s="42">
        <f>Tab_Process_TCs2527[[#This Row],[Flow_ID]]</f>
        <v/>
      </c>
      <c r="AP129" s="272">
        <f>"TC"&amp;"_"&amp;RIGHT(AN129,5)</f>
        <v/>
      </c>
      <c r="AQ129" s="168" t="n"/>
      <c r="AR129" s="296">
        <f>_xlfn.XLOOKUP($D129,#REF!,#REF!,,0,)</f>
        <v/>
      </c>
      <c r="AS129" s="272">
        <f>_xlfn.XLOOKUP($D129,#REF!,#REF!,,0,)</f>
        <v/>
      </c>
      <c r="AT129" s="42">
        <f>Tab_Process_TCs2527[[#This Row],[Flow_ID]]</f>
        <v/>
      </c>
      <c r="AU129" s="42">
        <f>"TC"&amp;"_"&amp;RIGHT(AN129,5)</f>
        <v/>
      </c>
      <c r="AV129" s="168" t="n"/>
      <c r="AW129" s="296">
        <f>_xlfn.XLOOKUP($D129,#REF!,#REF!,,0,)</f>
        <v/>
      </c>
      <c r="AX129" s="272">
        <f>_xlfn.XLOOKUP($D129,#REF!,#REF!,,0,)</f>
        <v/>
      </c>
      <c r="AY129" s="42">
        <f>Tab_Process_TCs2527[[#This Row],[Flow_ID]]</f>
        <v/>
      </c>
      <c r="AZ129" s="42">
        <f>"TC"&amp;"_"&amp;RIGHT(AX129,5)</f>
        <v/>
      </c>
      <c r="BA129" s="168" t="n"/>
      <c r="BB129" s="272">
        <f>_xlfn.XLOOKUP($D129,#REF!,#REF!,,0,)</f>
        <v/>
      </c>
      <c r="BC129" s="272">
        <f>_xlfn.XLOOKUP($D129,#REF!,#REF!,,0,)</f>
        <v/>
      </c>
      <c r="BD129" s="42">
        <f>Tab_Process_TCs2527[[#This Row],[Flow_ID]]</f>
        <v/>
      </c>
      <c r="BE129" s="42">
        <f>"TC"&amp;"_"&amp;RIGHT(BC129,5)</f>
        <v/>
      </c>
      <c r="BF129" s="49" t="n"/>
      <c r="BG129" s="52">
        <f>Tab_Process_TCs2527[[#This Row],[TC O_6_'[%']]]+Tab_Process_TCs2527[[#This Row],[TC O_5_'[%']]]+Tab_Process_TCs2527[[#This Row],[TC_O_4_'[%']]]+Tab_Process_TCs2527[[#This Row],[TC_O_3_'[%']]]+Tab_Process_TCs2527[[#This Row],[TC_O_2_'[%']]]+Tab_Process_TCs2527[[#This Row],[TC_O_1_'[%']]]</f>
        <v/>
      </c>
      <c r="BH129" s="273" t="n"/>
      <c r="BI129" s="273" t="n"/>
      <c r="BJ129" s="273" t="n"/>
      <c r="BK129" s="273" t="n"/>
      <c r="BL129" s="273" t="n"/>
    </row>
    <row r="130">
      <c r="A130" s="280" t="b">
        <v>0</v>
      </c>
      <c r="B130" s="272">
        <f>ROW()-1</f>
        <v/>
      </c>
      <c r="C130" s="286">
        <f>_xlfn.XLOOKUP($D130,Tab_Process_TCs[Name(EN)],Tab_Process_TCs[Process_ID],,0,)</f>
        <v/>
      </c>
      <c r="D130" s="189" t="inlineStr">
        <is>
          <t>N.A.</t>
        </is>
      </c>
      <c r="E130" s="189" t="inlineStr">
        <is>
          <t>N.A.</t>
        </is>
      </c>
      <c r="F130" s="286">
        <f>_xlfn.XLOOKUP($D130,Tab_Process_TCs[Name(EN)],Tab_Process_TCs[TC?],,0,)</f>
        <v/>
      </c>
      <c r="G130" s="286">
        <f>_xlfn.XLOOKUP($D130,Tab_Process_TCs[Name(EN)],Tab_Process_TCs[Dyn_TC?],,0,)</f>
        <v/>
      </c>
      <c r="H130" s="272">
        <f>_xlfn.XLOOKUP($E130,Tab_Def_Flows[Name(EN)],Tab_Def_Flows[Flow_ID],,0,1)</f>
        <v/>
      </c>
      <c r="I130" s="272">
        <f>IF(Tab_Process_TCs2527[[#This Row],[Name(EN)]]="N.A.","N.A.","TC"&amp;"_"&amp;RIGHT(H130,5))</f>
        <v/>
      </c>
      <c r="J130" s="273" t="n"/>
      <c r="K130" s="183" t="n"/>
      <c r="L130" s="272" t="n"/>
      <c r="M130" s="296">
        <f>_xlfn.XLOOKUP($D130,Tab_Def_Processes[Name(EN)],Tab_Def_Processes[Input_Flow_I_1],,0,)</f>
        <v/>
      </c>
      <c r="N130" s="272">
        <f>_xlfn.XLOOKUP($D130,Tab_Def_Processes[Name(EN)],Tab_Def_Processes[Flow_ID_I_1],,0,)</f>
        <v/>
      </c>
      <c r="O130" s="34" t="n"/>
      <c r="P130" s="29">
        <f>_xlfn.XLOOKUP($D130,Tab_Def_Processes[Name(EN)],Tab_Def_Processes[Input_Flow_I_2],,0,)</f>
        <v/>
      </c>
      <c r="Q130" s="272">
        <f>_xlfn.XLOOKUP($D130,Tab_Def_Processes[Name(EN)],Tab_Def_Processes[Flow_ID_I_2],,0,)</f>
        <v/>
      </c>
      <c r="R130" s="34" t="n"/>
      <c r="S130" s="29">
        <f>_xlfn.XLOOKUP($D130,Tab_Def_Processes[Name(EN)],Tab_Def_Processes[Input_Flow_I_3],,0,)</f>
        <v/>
      </c>
      <c r="T130" s="272">
        <f>_xlfn.XLOOKUP($D130,Tab_Def_Processes[Name(EN)],Tab_Def_Processes[Flow_ID_I_3],,0,)</f>
        <v/>
      </c>
      <c r="U130" s="34" t="n"/>
      <c r="V130" s="29">
        <f>_xlfn.XLOOKUP($D130,Tab_Def_Processes[Name(EN)],Tab_Def_Processes[Input_Flow_I_4],,0,)</f>
        <v/>
      </c>
      <c r="W130" s="272">
        <f>_xlfn.XLOOKUP($D130,Tab_Def_Processes[Name(EN)],Tab_Def_Processes[Flow_ID_I_4],,0,)</f>
        <v/>
      </c>
      <c r="X130" s="34" t="n"/>
      <c r="Y130" s="29">
        <f>_xlfn.XLOOKUP($D130,Tab_Def_Processes[Name(EN)],Tab_Def_Processes[Input_Flow_I_5],,0,)</f>
        <v/>
      </c>
      <c r="Z130" s="272">
        <f>_xlfn.XLOOKUP($D130,Tab_Def_Processes[Name(EN)],Tab_Def_Processes[Flow_ID_I_5],,0,)</f>
        <v/>
      </c>
      <c r="AA130" s="34" t="n"/>
      <c r="AB130" s="39">
        <f>Tab_Process_TCs2527[[#This Row],[Flow_TC_I_1_'[%']]]+Tab_Process_TCs2527[[#This Row],[Flow_TC_I_2_'[%']]]+Tab_Process_TCs2527[[#This Row],[Flow_TC_I_3_'[%']]]+Tab_Process_TCs2527[[#This Row],[Flow_TC_I_4_'[%']]]+Tab_Process_TCs2527[[#This Row],[Flow_TC_I_5_'[%']]]</f>
        <v/>
      </c>
      <c r="AC130" s="296">
        <f>_xlfn.XLOOKUP($D130,#REF!,#REF!,,0,)</f>
        <v/>
      </c>
      <c r="AD130" s="272">
        <f>_xlfn.XLOOKUP($D130,#REF!,#REF!,,0,)</f>
        <v/>
      </c>
      <c r="AE130" s="42">
        <f>Tab_Process_TCs2527[[#This Row],[Flow_ID]]</f>
        <v/>
      </c>
      <c r="AF130" s="272">
        <f>"TC"&amp;"_"&amp;RIGHT(AD130,5)</f>
        <v/>
      </c>
      <c r="AG130" s="170" t="n"/>
      <c r="AH130" s="169">
        <f>_xlfn.XLOOKUP($D130,#REF!,#REF!,,0,)</f>
        <v/>
      </c>
      <c r="AI130" s="53">
        <f>_xlfn.XLOOKUP($D130,#REF!,#REF!,,0,)</f>
        <v/>
      </c>
      <c r="AJ130" s="42">
        <f>Tab_Process_TCs2527[[#This Row],[Flow_ID]]</f>
        <v/>
      </c>
      <c r="AK130" s="272">
        <f>"TC"&amp;"_"&amp;RIGHT(AI130,5)</f>
        <v/>
      </c>
      <c r="AL130" s="168" t="n"/>
      <c r="AM130" s="296">
        <f>_xlfn.XLOOKUP($D130,#REF!,#REF!,,0,)</f>
        <v/>
      </c>
      <c r="AN130" s="272">
        <f>_xlfn.XLOOKUP($D130,#REF!,#REF!,,0,)</f>
        <v/>
      </c>
      <c r="AO130" s="42">
        <f>Tab_Process_TCs2527[[#This Row],[Flow_ID]]</f>
        <v/>
      </c>
      <c r="AP130" s="272">
        <f>"TC"&amp;"_"&amp;RIGHT(AN130,5)</f>
        <v/>
      </c>
      <c r="AQ130" s="168" t="n"/>
      <c r="AR130" s="296">
        <f>_xlfn.XLOOKUP($D130,#REF!,#REF!,,0,)</f>
        <v/>
      </c>
      <c r="AS130" s="272">
        <f>_xlfn.XLOOKUP($D130,#REF!,#REF!,,0,)</f>
        <v/>
      </c>
      <c r="AT130" s="42">
        <f>Tab_Process_TCs2527[[#This Row],[Flow_ID]]</f>
        <v/>
      </c>
      <c r="AU130" s="42">
        <f>"TC"&amp;"_"&amp;RIGHT(AN130,5)</f>
        <v/>
      </c>
      <c r="AV130" s="168" t="n"/>
      <c r="AW130" s="296">
        <f>_xlfn.XLOOKUP($D130,#REF!,#REF!,,0,)</f>
        <v/>
      </c>
      <c r="AX130" s="272">
        <f>_xlfn.XLOOKUP($D130,#REF!,#REF!,,0,)</f>
        <v/>
      </c>
      <c r="AY130" s="42">
        <f>Tab_Process_TCs2527[[#This Row],[Flow_ID]]</f>
        <v/>
      </c>
      <c r="AZ130" s="42">
        <f>"TC"&amp;"_"&amp;RIGHT(AX130,5)</f>
        <v/>
      </c>
      <c r="BA130" s="168" t="n"/>
      <c r="BB130" s="272">
        <f>_xlfn.XLOOKUP($D130,#REF!,#REF!,,0,)</f>
        <v/>
      </c>
      <c r="BC130" s="272">
        <f>_xlfn.XLOOKUP($D130,#REF!,#REF!,,0,)</f>
        <v/>
      </c>
      <c r="BD130" s="42">
        <f>Tab_Process_TCs2527[[#This Row],[Flow_ID]]</f>
        <v/>
      </c>
      <c r="BE130" s="42">
        <f>"TC"&amp;"_"&amp;RIGHT(BC130,5)</f>
        <v/>
      </c>
      <c r="BF130" s="49" t="n"/>
      <c r="BG130" s="52">
        <f>Tab_Process_TCs2527[[#This Row],[TC O_6_'[%']]]+Tab_Process_TCs2527[[#This Row],[TC O_5_'[%']]]+Tab_Process_TCs2527[[#This Row],[TC_O_4_'[%']]]+Tab_Process_TCs2527[[#This Row],[TC_O_3_'[%']]]+Tab_Process_TCs2527[[#This Row],[TC_O_2_'[%']]]+Tab_Process_TCs2527[[#This Row],[TC_O_1_'[%']]]</f>
        <v/>
      </c>
      <c r="BH130" s="273" t="n"/>
      <c r="BI130" s="273" t="n"/>
      <c r="BJ130" s="273" t="n"/>
      <c r="BK130" s="273" t="n"/>
      <c r="BL130" s="273" t="n"/>
    </row>
    <row r="131">
      <c r="A131" s="280" t="b">
        <v>0</v>
      </c>
      <c r="B131" s="272">
        <f>ROW()-1</f>
        <v/>
      </c>
      <c r="C131" s="286">
        <f>_xlfn.XLOOKUP($D131,Tab_Process_TCs[Name(EN)],Tab_Process_TCs[Process_ID],,0,)</f>
        <v/>
      </c>
      <c r="D131" s="189" t="inlineStr">
        <is>
          <t>N.A.</t>
        </is>
      </c>
      <c r="E131" s="189" t="inlineStr">
        <is>
          <t>N.A.</t>
        </is>
      </c>
      <c r="F131" s="286">
        <f>_xlfn.XLOOKUP($D131,Tab_Process_TCs[Name(EN)],Tab_Process_TCs[TC?],,0,)</f>
        <v/>
      </c>
      <c r="G131" s="286">
        <f>_xlfn.XLOOKUP($D131,Tab_Process_TCs[Name(EN)],Tab_Process_TCs[Dyn_TC?],,0,)</f>
        <v/>
      </c>
      <c r="H131" s="272">
        <f>_xlfn.XLOOKUP($E131,Tab_Def_Flows[Name(EN)],Tab_Def_Flows[Flow_ID],,0,1)</f>
        <v/>
      </c>
      <c r="I131" s="272">
        <f>IF(Tab_Process_TCs2527[[#This Row],[Name(EN)]]="N.A.","N.A.","TC"&amp;"_"&amp;RIGHT(H131,5))</f>
        <v/>
      </c>
      <c r="J131" s="273" t="n"/>
      <c r="K131" s="183" t="n"/>
      <c r="L131" s="272" t="n"/>
      <c r="M131" s="296">
        <f>_xlfn.XLOOKUP($D131,Tab_Def_Processes[Name(EN)],Tab_Def_Processes[Input_Flow_I_1],,0,)</f>
        <v/>
      </c>
      <c r="N131" s="272">
        <f>_xlfn.XLOOKUP($D131,Tab_Def_Processes[Name(EN)],Tab_Def_Processes[Flow_ID_I_1],,0,)</f>
        <v/>
      </c>
      <c r="O131" s="34" t="n"/>
      <c r="P131" s="29">
        <f>_xlfn.XLOOKUP($D131,Tab_Def_Processes[Name(EN)],Tab_Def_Processes[Input_Flow_I_2],,0,)</f>
        <v/>
      </c>
      <c r="Q131" s="272">
        <f>_xlfn.XLOOKUP($D131,Tab_Def_Processes[Name(EN)],Tab_Def_Processes[Flow_ID_I_2],,0,)</f>
        <v/>
      </c>
      <c r="R131" s="34" t="n"/>
      <c r="S131" s="29">
        <f>_xlfn.XLOOKUP($D131,Tab_Def_Processes[Name(EN)],Tab_Def_Processes[Input_Flow_I_3],,0,)</f>
        <v/>
      </c>
      <c r="T131" s="272">
        <f>_xlfn.XLOOKUP($D131,Tab_Def_Processes[Name(EN)],Tab_Def_Processes[Flow_ID_I_3],,0,)</f>
        <v/>
      </c>
      <c r="U131" s="34" t="n"/>
      <c r="V131" s="29">
        <f>_xlfn.XLOOKUP($D131,Tab_Def_Processes[Name(EN)],Tab_Def_Processes[Input_Flow_I_4],,0,)</f>
        <v/>
      </c>
      <c r="W131" s="272">
        <f>_xlfn.XLOOKUP($D131,Tab_Def_Processes[Name(EN)],Tab_Def_Processes[Flow_ID_I_4],,0,)</f>
        <v/>
      </c>
      <c r="X131" s="34" t="n"/>
      <c r="Y131" s="29">
        <f>_xlfn.XLOOKUP($D131,Tab_Def_Processes[Name(EN)],Tab_Def_Processes[Input_Flow_I_5],,0,)</f>
        <v/>
      </c>
      <c r="Z131" s="272">
        <f>_xlfn.XLOOKUP($D131,Tab_Def_Processes[Name(EN)],Tab_Def_Processes[Flow_ID_I_5],,0,)</f>
        <v/>
      </c>
      <c r="AA131" s="34" t="n"/>
      <c r="AB131" s="39">
        <f>Tab_Process_TCs2527[[#This Row],[Flow_TC_I_1_'[%']]]+Tab_Process_TCs2527[[#This Row],[Flow_TC_I_2_'[%']]]+Tab_Process_TCs2527[[#This Row],[Flow_TC_I_3_'[%']]]+Tab_Process_TCs2527[[#This Row],[Flow_TC_I_4_'[%']]]+Tab_Process_TCs2527[[#This Row],[Flow_TC_I_5_'[%']]]</f>
        <v/>
      </c>
      <c r="AC131" s="296">
        <f>_xlfn.XLOOKUP($D131,#REF!,#REF!,,0,)</f>
        <v/>
      </c>
      <c r="AD131" s="272">
        <f>_xlfn.XLOOKUP($D131,#REF!,#REF!,,0,)</f>
        <v/>
      </c>
      <c r="AE131" s="42">
        <f>Tab_Process_TCs2527[[#This Row],[Flow_ID]]</f>
        <v/>
      </c>
      <c r="AF131" s="272">
        <f>"TC"&amp;"_"&amp;RIGHT(AD131,5)</f>
        <v/>
      </c>
      <c r="AG131" s="170" t="n"/>
      <c r="AH131" s="169">
        <f>_xlfn.XLOOKUP($D131,#REF!,#REF!,,0,)</f>
        <v/>
      </c>
      <c r="AI131" s="53">
        <f>_xlfn.XLOOKUP($D131,#REF!,#REF!,,0,)</f>
        <v/>
      </c>
      <c r="AJ131" s="42">
        <f>Tab_Process_TCs2527[[#This Row],[Flow_ID]]</f>
        <v/>
      </c>
      <c r="AK131" s="272">
        <f>"TC"&amp;"_"&amp;RIGHT(AI131,5)</f>
        <v/>
      </c>
      <c r="AL131" s="168" t="n"/>
      <c r="AM131" s="296">
        <f>_xlfn.XLOOKUP($D131,#REF!,#REF!,,0,)</f>
        <v/>
      </c>
      <c r="AN131" s="272">
        <f>_xlfn.XLOOKUP($D131,#REF!,#REF!,,0,)</f>
        <v/>
      </c>
      <c r="AO131" s="42">
        <f>Tab_Process_TCs2527[[#This Row],[Flow_ID]]</f>
        <v/>
      </c>
      <c r="AP131" s="272">
        <f>"TC"&amp;"_"&amp;RIGHT(AN131,5)</f>
        <v/>
      </c>
      <c r="AQ131" s="168" t="n"/>
      <c r="AR131" s="296">
        <f>_xlfn.XLOOKUP($D131,#REF!,#REF!,,0,)</f>
        <v/>
      </c>
      <c r="AS131" s="272">
        <f>_xlfn.XLOOKUP($D131,#REF!,#REF!,,0,)</f>
        <v/>
      </c>
      <c r="AT131" s="42">
        <f>Tab_Process_TCs2527[[#This Row],[Flow_ID]]</f>
        <v/>
      </c>
      <c r="AU131" s="42">
        <f>"TC"&amp;"_"&amp;RIGHT(AN131,5)</f>
        <v/>
      </c>
      <c r="AV131" s="168" t="n"/>
      <c r="AW131" s="296">
        <f>_xlfn.XLOOKUP($D131,#REF!,#REF!,,0,)</f>
        <v/>
      </c>
      <c r="AX131" s="272">
        <f>_xlfn.XLOOKUP($D131,#REF!,#REF!,,0,)</f>
        <v/>
      </c>
      <c r="AY131" s="42">
        <f>Tab_Process_TCs2527[[#This Row],[Flow_ID]]</f>
        <v/>
      </c>
      <c r="AZ131" s="42">
        <f>"TC"&amp;"_"&amp;RIGHT(AX131,5)</f>
        <v/>
      </c>
      <c r="BA131" s="168" t="n"/>
      <c r="BB131" s="272">
        <f>_xlfn.XLOOKUP($D131,#REF!,#REF!,,0,)</f>
        <v/>
      </c>
      <c r="BC131" s="272">
        <f>_xlfn.XLOOKUP($D131,#REF!,#REF!,,0,)</f>
        <v/>
      </c>
      <c r="BD131" s="42">
        <f>Tab_Process_TCs2527[[#This Row],[Flow_ID]]</f>
        <v/>
      </c>
      <c r="BE131" s="42">
        <f>"TC"&amp;"_"&amp;RIGHT(BC131,5)</f>
        <v/>
      </c>
      <c r="BF131" s="49" t="n"/>
      <c r="BG131" s="52">
        <f>Tab_Process_TCs2527[[#This Row],[TC O_6_'[%']]]+Tab_Process_TCs2527[[#This Row],[TC O_5_'[%']]]+Tab_Process_TCs2527[[#This Row],[TC_O_4_'[%']]]+Tab_Process_TCs2527[[#This Row],[TC_O_3_'[%']]]+Tab_Process_TCs2527[[#This Row],[TC_O_2_'[%']]]+Tab_Process_TCs2527[[#This Row],[TC_O_1_'[%']]]</f>
        <v/>
      </c>
      <c r="BH131" s="273" t="n"/>
      <c r="BI131" s="273" t="n"/>
      <c r="BJ131" s="273" t="n"/>
      <c r="BK131" s="273" t="n"/>
      <c r="BL131" s="273" t="n"/>
    </row>
    <row r="132">
      <c r="A132" s="280" t="b">
        <v>0</v>
      </c>
      <c r="B132" s="272">
        <f>ROW()-1</f>
        <v/>
      </c>
      <c r="C132" s="286">
        <f>_xlfn.XLOOKUP($D132,Tab_Process_TCs[Name(EN)],Tab_Process_TCs[Process_ID],,0,)</f>
        <v/>
      </c>
      <c r="D132" s="189" t="inlineStr">
        <is>
          <t>N.A.</t>
        </is>
      </c>
      <c r="E132" s="189" t="inlineStr">
        <is>
          <t>N.A.</t>
        </is>
      </c>
      <c r="F132" s="286">
        <f>_xlfn.XLOOKUP($D132,Tab_Process_TCs[Name(EN)],Tab_Process_TCs[TC?],,0,)</f>
        <v/>
      </c>
      <c r="G132" s="286">
        <f>_xlfn.XLOOKUP($D132,Tab_Process_TCs[Name(EN)],Tab_Process_TCs[Dyn_TC?],,0,)</f>
        <v/>
      </c>
      <c r="H132" s="272">
        <f>_xlfn.XLOOKUP($E132,Tab_Def_Flows[Name(EN)],Tab_Def_Flows[Flow_ID],,0,1)</f>
        <v/>
      </c>
      <c r="I132" s="272">
        <f>IF(Tab_Process_TCs2527[[#This Row],[Name(EN)]]="N.A.","N.A.","TC"&amp;"_"&amp;RIGHT(H132,5))</f>
        <v/>
      </c>
      <c r="J132" s="273" t="n"/>
      <c r="K132" s="183" t="n"/>
      <c r="L132" s="272" t="n"/>
      <c r="M132" s="296">
        <f>_xlfn.XLOOKUP($D132,Tab_Def_Processes[Name(EN)],Tab_Def_Processes[Input_Flow_I_1],,0,)</f>
        <v/>
      </c>
      <c r="N132" s="272">
        <f>_xlfn.XLOOKUP($D132,Tab_Def_Processes[Name(EN)],Tab_Def_Processes[Flow_ID_I_1],,0,)</f>
        <v/>
      </c>
      <c r="O132" s="34" t="n"/>
      <c r="P132" s="29">
        <f>_xlfn.XLOOKUP($D132,Tab_Def_Processes[Name(EN)],Tab_Def_Processes[Input_Flow_I_2],,0,)</f>
        <v/>
      </c>
      <c r="Q132" s="272">
        <f>_xlfn.XLOOKUP($D132,Tab_Def_Processes[Name(EN)],Tab_Def_Processes[Flow_ID_I_2],,0,)</f>
        <v/>
      </c>
      <c r="R132" s="34" t="n"/>
      <c r="S132" s="29">
        <f>_xlfn.XLOOKUP($D132,Tab_Def_Processes[Name(EN)],Tab_Def_Processes[Input_Flow_I_3],,0,)</f>
        <v/>
      </c>
      <c r="T132" s="272">
        <f>_xlfn.XLOOKUP($D132,Tab_Def_Processes[Name(EN)],Tab_Def_Processes[Flow_ID_I_3],,0,)</f>
        <v/>
      </c>
      <c r="U132" s="34" t="n"/>
      <c r="V132" s="29">
        <f>_xlfn.XLOOKUP($D132,Tab_Def_Processes[Name(EN)],Tab_Def_Processes[Input_Flow_I_4],,0,)</f>
        <v/>
      </c>
      <c r="W132" s="272">
        <f>_xlfn.XLOOKUP($D132,Tab_Def_Processes[Name(EN)],Tab_Def_Processes[Flow_ID_I_4],,0,)</f>
        <v/>
      </c>
      <c r="X132" s="34" t="n"/>
      <c r="Y132" s="29">
        <f>_xlfn.XLOOKUP($D132,Tab_Def_Processes[Name(EN)],Tab_Def_Processes[Input_Flow_I_5],,0,)</f>
        <v/>
      </c>
      <c r="Z132" s="272">
        <f>_xlfn.XLOOKUP($D132,Tab_Def_Processes[Name(EN)],Tab_Def_Processes[Flow_ID_I_5],,0,)</f>
        <v/>
      </c>
      <c r="AA132" s="34" t="n"/>
      <c r="AB132" s="39">
        <f>Tab_Process_TCs2527[[#This Row],[Flow_TC_I_1_'[%']]]+Tab_Process_TCs2527[[#This Row],[Flow_TC_I_2_'[%']]]+Tab_Process_TCs2527[[#This Row],[Flow_TC_I_3_'[%']]]+Tab_Process_TCs2527[[#This Row],[Flow_TC_I_4_'[%']]]+Tab_Process_TCs2527[[#This Row],[Flow_TC_I_5_'[%']]]</f>
        <v/>
      </c>
      <c r="AC132" s="296">
        <f>_xlfn.XLOOKUP($D132,#REF!,#REF!,,0,)</f>
        <v/>
      </c>
      <c r="AD132" s="272">
        <f>_xlfn.XLOOKUP($D132,#REF!,#REF!,,0,)</f>
        <v/>
      </c>
      <c r="AE132" s="42">
        <f>Tab_Process_TCs2527[[#This Row],[Flow_ID]]</f>
        <v/>
      </c>
      <c r="AF132" s="272">
        <f>"TC"&amp;"_"&amp;RIGHT(AD132,5)</f>
        <v/>
      </c>
      <c r="AG132" s="170" t="n"/>
      <c r="AH132" s="169">
        <f>_xlfn.XLOOKUP($D132,#REF!,#REF!,,0,)</f>
        <v/>
      </c>
      <c r="AI132" s="53">
        <f>_xlfn.XLOOKUP($D132,#REF!,#REF!,,0,)</f>
        <v/>
      </c>
      <c r="AJ132" s="42">
        <f>Tab_Process_TCs2527[[#This Row],[Flow_ID]]</f>
        <v/>
      </c>
      <c r="AK132" s="272">
        <f>"TC"&amp;"_"&amp;RIGHT(AI132,5)</f>
        <v/>
      </c>
      <c r="AL132" s="168" t="n"/>
      <c r="AM132" s="296">
        <f>_xlfn.XLOOKUP($D132,#REF!,#REF!,,0,)</f>
        <v/>
      </c>
      <c r="AN132" s="272">
        <f>_xlfn.XLOOKUP($D132,#REF!,#REF!,,0,)</f>
        <v/>
      </c>
      <c r="AO132" s="42">
        <f>Tab_Process_TCs2527[[#This Row],[Flow_ID]]</f>
        <v/>
      </c>
      <c r="AP132" s="272">
        <f>"TC"&amp;"_"&amp;RIGHT(AN132,5)</f>
        <v/>
      </c>
      <c r="AQ132" s="168" t="n"/>
      <c r="AR132" s="296">
        <f>_xlfn.XLOOKUP($D132,#REF!,#REF!,,0,)</f>
        <v/>
      </c>
      <c r="AS132" s="272">
        <f>_xlfn.XLOOKUP($D132,#REF!,#REF!,,0,)</f>
        <v/>
      </c>
      <c r="AT132" s="42">
        <f>Tab_Process_TCs2527[[#This Row],[Flow_ID]]</f>
        <v/>
      </c>
      <c r="AU132" s="42">
        <f>"TC"&amp;"_"&amp;RIGHT(AN132,5)</f>
        <v/>
      </c>
      <c r="AV132" s="168" t="n"/>
      <c r="AW132" s="296">
        <f>_xlfn.XLOOKUP($D132,#REF!,#REF!,,0,)</f>
        <v/>
      </c>
      <c r="AX132" s="272">
        <f>_xlfn.XLOOKUP($D132,#REF!,#REF!,,0,)</f>
        <v/>
      </c>
      <c r="AY132" s="42">
        <f>Tab_Process_TCs2527[[#This Row],[Flow_ID]]</f>
        <v/>
      </c>
      <c r="AZ132" s="42">
        <f>"TC"&amp;"_"&amp;RIGHT(AX132,5)</f>
        <v/>
      </c>
      <c r="BA132" s="168" t="n"/>
      <c r="BB132" s="272">
        <f>_xlfn.XLOOKUP($D132,#REF!,#REF!,,0,)</f>
        <v/>
      </c>
      <c r="BC132" s="272">
        <f>_xlfn.XLOOKUP($D132,#REF!,#REF!,,0,)</f>
        <v/>
      </c>
      <c r="BD132" s="42">
        <f>Tab_Process_TCs2527[[#This Row],[Flow_ID]]</f>
        <v/>
      </c>
      <c r="BE132" s="42">
        <f>"TC"&amp;"_"&amp;RIGHT(BC132,5)</f>
        <v/>
      </c>
      <c r="BF132" s="49" t="n"/>
      <c r="BG132" s="52">
        <f>Tab_Process_TCs2527[[#This Row],[TC O_6_'[%']]]+Tab_Process_TCs2527[[#This Row],[TC O_5_'[%']]]+Tab_Process_TCs2527[[#This Row],[TC_O_4_'[%']]]+Tab_Process_TCs2527[[#This Row],[TC_O_3_'[%']]]+Tab_Process_TCs2527[[#This Row],[TC_O_2_'[%']]]+Tab_Process_TCs2527[[#This Row],[TC_O_1_'[%']]]</f>
        <v/>
      </c>
      <c r="BH132" s="273" t="n"/>
      <c r="BI132" s="273" t="n"/>
      <c r="BJ132" s="273" t="n"/>
      <c r="BK132" s="273" t="n"/>
      <c r="BL132" s="273" t="n"/>
    </row>
    <row r="133">
      <c r="A133" s="280" t="b">
        <v>0</v>
      </c>
      <c r="B133" s="272">
        <f>ROW()-1</f>
        <v/>
      </c>
      <c r="C133" s="286">
        <f>_xlfn.XLOOKUP($D133,Tab_Process_TCs[Name(EN)],Tab_Process_TCs[Process_ID],,0,)</f>
        <v/>
      </c>
      <c r="D133" s="189" t="inlineStr">
        <is>
          <t>N.A.</t>
        </is>
      </c>
      <c r="E133" s="189" t="inlineStr">
        <is>
          <t>N.A.</t>
        </is>
      </c>
      <c r="F133" s="286">
        <f>_xlfn.XLOOKUP($D133,Tab_Process_TCs[Name(EN)],Tab_Process_TCs[TC?],,0,)</f>
        <v/>
      </c>
      <c r="G133" s="286">
        <f>_xlfn.XLOOKUP($D133,Tab_Process_TCs[Name(EN)],Tab_Process_TCs[Dyn_TC?],,0,)</f>
        <v/>
      </c>
      <c r="H133" s="272">
        <f>_xlfn.XLOOKUP($E133,Tab_Def_Flows[Name(EN)],Tab_Def_Flows[Flow_ID],,0,1)</f>
        <v/>
      </c>
      <c r="I133" s="272">
        <f>IF(Tab_Process_TCs2527[[#This Row],[Name(EN)]]="N.A.","N.A.","TC"&amp;"_"&amp;RIGHT(H133,5))</f>
        <v/>
      </c>
      <c r="J133" s="273" t="n"/>
      <c r="K133" s="183" t="n"/>
      <c r="L133" s="272" t="n"/>
      <c r="M133" s="296">
        <f>_xlfn.XLOOKUP($D133,Tab_Def_Processes[Name(EN)],Tab_Def_Processes[Input_Flow_I_1],,0,)</f>
        <v/>
      </c>
      <c r="N133" s="272">
        <f>_xlfn.XLOOKUP($D133,Tab_Def_Processes[Name(EN)],Tab_Def_Processes[Flow_ID_I_1],,0,)</f>
        <v/>
      </c>
      <c r="O133" s="34" t="n"/>
      <c r="P133" s="29">
        <f>_xlfn.XLOOKUP($D133,Tab_Def_Processes[Name(EN)],Tab_Def_Processes[Input_Flow_I_2],,0,)</f>
        <v/>
      </c>
      <c r="Q133" s="272">
        <f>_xlfn.XLOOKUP($D133,Tab_Def_Processes[Name(EN)],Tab_Def_Processes[Flow_ID_I_2],,0,)</f>
        <v/>
      </c>
      <c r="R133" s="34" t="n"/>
      <c r="S133" s="29">
        <f>_xlfn.XLOOKUP($D133,Tab_Def_Processes[Name(EN)],Tab_Def_Processes[Input_Flow_I_3],,0,)</f>
        <v/>
      </c>
      <c r="T133" s="272">
        <f>_xlfn.XLOOKUP($D133,Tab_Def_Processes[Name(EN)],Tab_Def_Processes[Flow_ID_I_3],,0,)</f>
        <v/>
      </c>
      <c r="U133" s="34" t="n"/>
      <c r="V133" s="29">
        <f>_xlfn.XLOOKUP($D133,Tab_Def_Processes[Name(EN)],Tab_Def_Processes[Input_Flow_I_4],,0,)</f>
        <v/>
      </c>
      <c r="W133" s="272">
        <f>_xlfn.XLOOKUP($D133,Tab_Def_Processes[Name(EN)],Tab_Def_Processes[Flow_ID_I_4],,0,)</f>
        <v/>
      </c>
      <c r="X133" s="34" t="n"/>
      <c r="Y133" s="29">
        <f>_xlfn.XLOOKUP($D133,Tab_Def_Processes[Name(EN)],Tab_Def_Processes[Input_Flow_I_5],,0,)</f>
        <v/>
      </c>
      <c r="Z133" s="272">
        <f>_xlfn.XLOOKUP($D133,Tab_Def_Processes[Name(EN)],Tab_Def_Processes[Flow_ID_I_5],,0,)</f>
        <v/>
      </c>
      <c r="AA133" s="34" t="n"/>
      <c r="AB133" s="39">
        <f>Tab_Process_TCs2527[[#This Row],[Flow_TC_I_1_'[%']]]+Tab_Process_TCs2527[[#This Row],[Flow_TC_I_2_'[%']]]+Tab_Process_TCs2527[[#This Row],[Flow_TC_I_3_'[%']]]+Tab_Process_TCs2527[[#This Row],[Flow_TC_I_4_'[%']]]+Tab_Process_TCs2527[[#This Row],[Flow_TC_I_5_'[%']]]</f>
        <v/>
      </c>
      <c r="AC133" s="296">
        <f>_xlfn.XLOOKUP($D133,#REF!,#REF!,,0,)</f>
        <v/>
      </c>
      <c r="AD133" s="272">
        <f>_xlfn.XLOOKUP($D133,#REF!,#REF!,,0,)</f>
        <v/>
      </c>
      <c r="AE133" s="42">
        <f>Tab_Process_TCs2527[[#This Row],[Flow_ID]]</f>
        <v/>
      </c>
      <c r="AF133" s="272">
        <f>"TC"&amp;"_"&amp;RIGHT(AD133,5)</f>
        <v/>
      </c>
      <c r="AG133" s="170" t="n"/>
      <c r="AH133" s="169">
        <f>_xlfn.XLOOKUP($D133,#REF!,#REF!,,0,)</f>
        <v/>
      </c>
      <c r="AI133" s="53">
        <f>_xlfn.XLOOKUP($D133,#REF!,#REF!,,0,)</f>
        <v/>
      </c>
      <c r="AJ133" s="42">
        <f>Tab_Process_TCs2527[[#This Row],[Flow_ID]]</f>
        <v/>
      </c>
      <c r="AK133" s="272">
        <f>"TC"&amp;"_"&amp;RIGHT(AI133,5)</f>
        <v/>
      </c>
      <c r="AL133" s="168" t="n"/>
      <c r="AM133" s="296">
        <f>_xlfn.XLOOKUP($D133,#REF!,#REF!,,0,)</f>
        <v/>
      </c>
      <c r="AN133" s="272">
        <f>_xlfn.XLOOKUP($D133,#REF!,#REF!,,0,)</f>
        <v/>
      </c>
      <c r="AO133" s="42">
        <f>Tab_Process_TCs2527[[#This Row],[Flow_ID]]</f>
        <v/>
      </c>
      <c r="AP133" s="272">
        <f>"TC"&amp;"_"&amp;RIGHT(AN133,5)</f>
        <v/>
      </c>
      <c r="AQ133" s="168" t="n"/>
      <c r="AR133" s="296">
        <f>_xlfn.XLOOKUP($D133,#REF!,#REF!,,0,)</f>
        <v/>
      </c>
      <c r="AS133" s="272">
        <f>_xlfn.XLOOKUP($D133,#REF!,#REF!,,0,)</f>
        <v/>
      </c>
      <c r="AT133" s="42">
        <f>Tab_Process_TCs2527[[#This Row],[Flow_ID]]</f>
        <v/>
      </c>
      <c r="AU133" s="42">
        <f>"TC"&amp;"_"&amp;RIGHT(AN133,5)</f>
        <v/>
      </c>
      <c r="AV133" s="168" t="n"/>
      <c r="AW133" s="296">
        <f>_xlfn.XLOOKUP($D133,#REF!,#REF!,,0,)</f>
        <v/>
      </c>
      <c r="AX133" s="272">
        <f>_xlfn.XLOOKUP($D133,#REF!,#REF!,,0,)</f>
        <v/>
      </c>
      <c r="AY133" s="42">
        <f>Tab_Process_TCs2527[[#This Row],[Flow_ID]]</f>
        <v/>
      </c>
      <c r="AZ133" s="42">
        <f>"TC"&amp;"_"&amp;RIGHT(AX133,5)</f>
        <v/>
      </c>
      <c r="BA133" s="168" t="n"/>
      <c r="BB133" s="272">
        <f>_xlfn.XLOOKUP($D133,#REF!,#REF!,,0,)</f>
        <v/>
      </c>
      <c r="BC133" s="272">
        <f>_xlfn.XLOOKUP($D133,#REF!,#REF!,,0,)</f>
        <v/>
      </c>
      <c r="BD133" s="42">
        <f>Tab_Process_TCs2527[[#This Row],[Flow_ID]]</f>
        <v/>
      </c>
      <c r="BE133" s="42">
        <f>"TC"&amp;"_"&amp;RIGHT(BC133,5)</f>
        <v/>
      </c>
      <c r="BF133" s="49" t="n"/>
      <c r="BG133" s="52">
        <f>Tab_Process_TCs2527[[#This Row],[TC O_6_'[%']]]+Tab_Process_TCs2527[[#This Row],[TC O_5_'[%']]]+Tab_Process_TCs2527[[#This Row],[TC_O_4_'[%']]]+Tab_Process_TCs2527[[#This Row],[TC_O_3_'[%']]]+Tab_Process_TCs2527[[#This Row],[TC_O_2_'[%']]]+Tab_Process_TCs2527[[#This Row],[TC_O_1_'[%']]]</f>
        <v/>
      </c>
      <c r="BH133" s="273" t="n"/>
      <c r="BI133" s="273" t="n"/>
      <c r="BJ133" s="273" t="n"/>
      <c r="BK133" s="273" t="n"/>
      <c r="BL133" s="273" t="n"/>
    </row>
    <row r="134">
      <c r="A134" s="280" t="b">
        <v>0</v>
      </c>
      <c r="B134" s="272">
        <f>ROW()-1</f>
        <v/>
      </c>
      <c r="C134" s="286">
        <f>_xlfn.XLOOKUP($D134,Tab_Process_TCs[Name(EN)],Tab_Process_TCs[Process_ID],,0,)</f>
        <v/>
      </c>
      <c r="D134" s="189" t="inlineStr">
        <is>
          <t>N.A.</t>
        </is>
      </c>
      <c r="E134" s="189" t="inlineStr">
        <is>
          <t>N.A.</t>
        </is>
      </c>
      <c r="F134" s="286">
        <f>_xlfn.XLOOKUP($D134,Tab_Process_TCs[Name(EN)],Tab_Process_TCs[TC?],,0,)</f>
        <v/>
      </c>
      <c r="G134" s="286">
        <f>_xlfn.XLOOKUP($D134,Tab_Process_TCs[Name(EN)],Tab_Process_TCs[Dyn_TC?],,0,)</f>
        <v/>
      </c>
      <c r="H134" s="272">
        <f>_xlfn.XLOOKUP($E134,Tab_Def_Flows[Name(EN)],Tab_Def_Flows[Flow_ID],,0,1)</f>
        <v/>
      </c>
      <c r="I134" s="272">
        <f>IF(Tab_Process_TCs2527[[#This Row],[Name(EN)]]="N.A.","N.A.","TC"&amp;"_"&amp;RIGHT(H134,5))</f>
        <v/>
      </c>
      <c r="J134" s="273" t="n"/>
      <c r="K134" s="183" t="n"/>
      <c r="L134" s="272" t="n"/>
      <c r="M134" s="296">
        <f>_xlfn.XLOOKUP($D134,Tab_Def_Processes[Name(EN)],Tab_Def_Processes[Input_Flow_I_1],,0,)</f>
        <v/>
      </c>
      <c r="N134" s="272">
        <f>_xlfn.XLOOKUP($D134,Tab_Def_Processes[Name(EN)],Tab_Def_Processes[Flow_ID_I_1],,0,)</f>
        <v/>
      </c>
      <c r="O134" s="34" t="n"/>
      <c r="P134" s="29">
        <f>_xlfn.XLOOKUP($D134,Tab_Def_Processes[Name(EN)],Tab_Def_Processes[Input_Flow_I_2],,0,)</f>
        <v/>
      </c>
      <c r="Q134" s="272">
        <f>_xlfn.XLOOKUP($D134,Tab_Def_Processes[Name(EN)],Tab_Def_Processes[Flow_ID_I_2],,0,)</f>
        <v/>
      </c>
      <c r="R134" s="34" t="n"/>
      <c r="S134" s="29">
        <f>_xlfn.XLOOKUP($D134,Tab_Def_Processes[Name(EN)],Tab_Def_Processes[Input_Flow_I_3],,0,)</f>
        <v/>
      </c>
      <c r="T134" s="272">
        <f>_xlfn.XLOOKUP($D134,Tab_Def_Processes[Name(EN)],Tab_Def_Processes[Flow_ID_I_3],,0,)</f>
        <v/>
      </c>
      <c r="U134" s="34" t="n"/>
      <c r="V134" s="29">
        <f>_xlfn.XLOOKUP($D134,Tab_Def_Processes[Name(EN)],Tab_Def_Processes[Input_Flow_I_4],,0,)</f>
        <v/>
      </c>
      <c r="W134" s="272">
        <f>_xlfn.XLOOKUP($D134,Tab_Def_Processes[Name(EN)],Tab_Def_Processes[Flow_ID_I_4],,0,)</f>
        <v/>
      </c>
      <c r="X134" s="34" t="n"/>
      <c r="Y134" s="29">
        <f>_xlfn.XLOOKUP($D134,Tab_Def_Processes[Name(EN)],Tab_Def_Processes[Input_Flow_I_5],,0,)</f>
        <v/>
      </c>
      <c r="Z134" s="272">
        <f>_xlfn.XLOOKUP($D134,Tab_Def_Processes[Name(EN)],Tab_Def_Processes[Flow_ID_I_5],,0,)</f>
        <v/>
      </c>
      <c r="AA134" s="34" t="n"/>
      <c r="AB134" s="39">
        <f>Tab_Process_TCs2527[[#This Row],[Flow_TC_I_1_'[%']]]+Tab_Process_TCs2527[[#This Row],[Flow_TC_I_2_'[%']]]+Tab_Process_TCs2527[[#This Row],[Flow_TC_I_3_'[%']]]+Tab_Process_TCs2527[[#This Row],[Flow_TC_I_4_'[%']]]+Tab_Process_TCs2527[[#This Row],[Flow_TC_I_5_'[%']]]</f>
        <v/>
      </c>
      <c r="AC134" s="296">
        <f>_xlfn.XLOOKUP($D134,#REF!,#REF!,,0,)</f>
        <v/>
      </c>
      <c r="AD134" s="272">
        <f>_xlfn.XLOOKUP($D134,#REF!,#REF!,,0,)</f>
        <v/>
      </c>
      <c r="AE134" s="42">
        <f>Tab_Process_TCs2527[[#This Row],[Flow_ID]]</f>
        <v/>
      </c>
      <c r="AF134" s="272">
        <f>"TC"&amp;"_"&amp;RIGHT(AD134,5)</f>
        <v/>
      </c>
      <c r="AG134" s="170" t="n"/>
      <c r="AH134" s="169">
        <f>_xlfn.XLOOKUP($D134,#REF!,#REF!,,0,)</f>
        <v/>
      </c>
      <c r="AI134" s="53">
        <f>_xlfn.XLOOKUP($D134,#REF!,#REF!,,0,)</f>
        <v/>
      </c>
      <c r="AJ134" s="42">
        <f>Tab_Process_TCs2527[[#This Row],[Flow_ID]]</f>
        <v/>
      </c>
      <c r="AK134" s="272">
        <f>"TC"&amp;"_"&amp;RIGHT(AI134,5)</f>
        <v/>
      </c>
      <c r="AL134" s="168" t="n"/>
      <c r="AM134" s="296">
        <f>_xlfn.XLOOKUP($D134,#REF!,#REF!,,0,)</f>
        <v/>
      </c>
      <c r="AN134" s="272">
        <f>_xlfn.XLOOKUP($D134,#REF!,#REF!,,0,)</f>
        <v/>
      </c>
      <c r="AO134" s="42">
        <f>Tab_Process_TCs2527[[#This Row],[Flow_ID]]</f>
        <v/>
      </c>
      <c r="AP134" s="272">
        <f>"TC"&amp;"_"&amp;RIGHT(AN134,5)</f>
        <v/>
      </c>
      <c r="AQ134" s="168" t="n"/>
      <c r="AR134" s="296">
        <f>_xlfn.XLOOKUP($D134,#REF!,#REF!,,0,)</f>
        <v/>
      </c>
      <c r="AS134" s="272">
        <f>_xlfn.XLOOKUP($D134,#REF!,#REF!,,0,)</f>
        <v/>
      </c>
      <c r="AT134" s="42">
        <f>Tab_Process_TCs2527[[#This Row],[Flow_ID]]</f>
        <v/>
      </c>
      <c r="AU134" s="42">
        <f>"TC"&amp;"_"&amp;RIGHT(AN134,5)</f>
        <v/>
      </c>
      <c r="AV134" s="168" t="n"/>
      <c r="AW134" s="296">
        <f>_xlfn.XLOOKUP($D134,#REF!,#REF!,,0,)</f>
        <v/>
      </c>
      <c r="AX134" s="272">
        <f>_xlfn.XLOOKUP($D134,#REF!,#REF!,,0,)</f>
        <v/>
      </c>
      <c r="AY134" s="42">
        <f>Tab_Process_TCs2527[[#This Row],[Flow_ID]]</f>
        <v/>
      </c>
      <c r="AZ134" s="42">
        <f>"TC"&amp;"_"&amp;RIGHT(AX134,5)</f>
        <v/>
      </c>
      <c r="BA134" s="168" t="n"/>
      <c r="BB134" s="272">
        <f>_xlfn.XLOOKUP($D134,#REF!,#REF!,,0,)</f>
        <v/>
      </c>
      <c r="BC134" s="272">
        <f>_xlfn.XLOOKUP($D134,#REF!,#REF!,,0,)</f>
        <v/>
      </c>
      <c r="BD134" s="42">
        <f>Tab_Process_TCs2527[[#This Row],[Flow_ID]]</f>
        <v/>
      </c>
      <c r="BE134" s="42">
        <f>"TC"&amp;"_"&amp;RIGHT(BC134,5)</f>
        <v/>
      </c>
      <c r="BF134" s="49" t="n"/>
      <c r="BG134" s="52">
        <f>Tab_Process_TCs2527[[#This Row],[TC O_6_'[%']]]+Tab_Process_TCs2527[[#This Row],[TC O_5_'[%']]]+Tab_Process_TCs2527[[#This Row],[TC_O_4_'[%']]]+Tab_Process_TCs2527[[#This Row],[TC_O_3_'[%']]]+Tab_Process_TCs2527[[#This Row],[TC_O_2_'[%']]]+Tab_Process_TCs2527[[#This Row],[TC_O_1_'[%']]]</f>
        <v/>
      </c>
      <c r="BH134" s="273" t="n"/>
      <c r="BI134" s="273" t="n"/>
      <c r="BJ134" s="273" t="n"/>
      <c r="BK134" s="273" t="n"/>
      <c r="BL134" s="273" t="n"/>
    </row>
    <row r="135">
      <c r="A135" s="280" t="b">
        <v>0</v>
      </c>
      <c r="B135" s="272">
        <f>ROW()-1</f>
        <v/>
      </c>
      <c r="C135" s="286">
        <f>_xlfn.XLOOKUP($D135,Tab_Process_TCs[Name(EN)],Tab_Process_TCs[Process_ID],,0,)</f>
        <v/>
      </c>
      <c r="D135" s="189" t="inlineStr">
        <is>
          <t>N.A.</t>
        </is>
      </c>
      <c r="E135" s="189" t="inlineStr">
        <is>
          <t>N.A.</t>
        </is>
      </c>
      <c r="F135" s="286">
        <f>_xlfn.XLOOKUP($D135,Tab_Process_TCs[Name(EN)],Tab_Process_TCs[TC?],,0,)</f>
        <v/>
      </c>
      <c r="G135" s="286">
        <f>_xlfn.XLOOKUP($D135,Tab_Process_TCs[Name(EN)],Tab_Process_TCs[Dyn_TC?],,0,)</f>
        <v/>
      </c>
      <c r="H135" s="272">
        <f>_xlfn.XLOOKUP($E135,Tab_Def_Flows[Name(EN)],Tab_Def_Flows[Flow_ID],,0,1)</f>
        <v/>
      </c>
      <c r="I135" s="272">
        <f>IF(Tab_Process_TCs2527[[#This Row],[Name(EN)]]="N.A.","N.A.","TC"&amp;"_"&amp;RIGHT(H135,5))</f>
        <v/>
      </c>
      <c r="J135" s="273" t="n"/>
      <c r="K135" s="183" t="n"/>
      <c r="L135" s="272" t="n"/>
      <c r="M135" s="296">
        <f>_xlfn.XLOOKUP($D135,Tab_Def_Processes[Name(EN)],Tab_Def_Processes[Input_Flow_I_1],,0,)</f>
        <v/>
      </c>
      <c r="N135" s="272">
        <f>_xlfn.XLOOKUP($D135,Tab_Def_Processes[Name(EN)],Tab_Def_Processes[Flow_ID_I_1],,0,)</f>
        <v/>
      </c>
      <c r="O135" s="34" t="n"/>
      <c r="P135" s="29">
        <f>_xlfn.XLOOKUP($D135,Tab_Def_Processes[Name(EN)],Tab_Def_Processes[Input_Flow_I_2],,0,)</f>
        <v/>
      </c>
      <c r="Q135" s="272">
        <f>_xlfn.XLOOKUP($D135,Tab_Def_Processes[Name(EN)],Tab_Def_Processes[Flow_ID_I_2],,0,)</f>
        <v/>
      </c>
      <c r="R135" s="34" t="n"/>
      <c r="S135" s="29">
        <f>_xlfn.XLOOKUP($D135,Tab_Def_Processes[Name(EN)],Tab_Def_Processes[Input_Flow_I_3],,0,)</f>
        <v/>
      </c>
      <c r="T135" s="272">
        <f>_xlfn.XLOOKUP($D135,Tab_Def_Processes[Name(EN)],Tab_Def_Processes[Flow_ID_I_3],,0,)</f>
        <v/>
      </c>
      <c r="U135" s="34" t="n"/>
      <c r="V135" s="29">
        <f>_xlfn.XLOOKUP($D135,Tab_Def_Processes[Name(EN)],Tab_Def_Processes[Input_Flow_I_4],,0,)</f>
        <v/>
      </c>
      <c r="W135" s="272">
        <f>_xlfn.XLOOKUP($D135,Tab_Def_Processes[Name(EN)],Tab_Def_Processes[Flow_ID_I_4],,0,)</f>
        <v/>
      </c>
      <c r="X135" s="34" t="n"/>
      <c r="Y135" s="29">
        <f>_xlfn.XLOOKUP($D135,Tab_Def_Processes[Name(EN)],Tab_Def_Processes[Input_Flow_I_5],,0,)</f>
        <v/>
      </c>
      <c r="Z135" s="272">
        <f>_xlfn.XLOOKUP($D135,Tab_Def_Processes[Name(EN)],Tab_Def_Processes[Flow_ID_I_5],,0,)</f>
        <v/>
      </c>
      <c r="AA135" s="34" t="n"/>
      <c r="AB135" s="39">
        <f>Tab_Process_TCs2527[[#This Row],[Flow_TC_I_1_'[%']]]+Tab_Process_TCs2527[[#This Row],[Flow_TC_I_2_'[%']]]+Tab_Process_TCs2527[[#This Row],[Flow_TC_I_3_'[%']]]+Tab_Process_TCs2527[[#This Row],[Flow_TC_I_4_'[%']]]+Tab_Process_TCs2527[[#This Row],[Flow_TC_I_5_'[%']]]</f>
        <v/>
      </c>
      <c r="AC135" s="296">
        <f>_xlfn.XLOOKUP($D135,#REF!,#REF!,,0,)</f>
        <v/>
      </c>
      <c r="AD135" s="272">
        <f>_xlfn.XLOOKUP($D135,#REF!,#REF!,,0,)</f>
        <v/>
      </c>
      <c r="AE135" s="42">
        <f>Tab_Process_TCs2527[[#This Row],[Flow_ID]]</f>
        <v/>
      </c>
      <c r="AF135" s="272">
        <f>"TC"&amp;"_"&amp;RIGHT(AD135,5)</f>
        <v/>
      </c>
      <c r="AG135" s="170" t="n"/>
      <c r="AH135" s="169">
        <f>_xlfn.XLOOKUP($D135,#REF!,#REF!,,0,)</f>
        <v/>
      </c>
      <c r="AI135" s="53">
        <f>_xlfn.XLOOKUP($D135,#REF!,#REF!,,0,)</f>
        <v/>
      </c>
      <c r="AJ135" s="42">
        <f>Tab_Process_TCs2527[[#This Row],[Flow_ID]]</f>
        <v/>
      </c>
      <c r="AK135" s="272">
        <f>"TC"&amp;"_"&amp;RIGHT(AI135,5)</f>
        <v/>
      </c>
      <c r="AL135" s="168" t="n"/>
      <c r="AM135" s="296">
        <f>_xlfn.XLOOKUP($D135,#REF!,#REF!,,0,)</f>
        <v/>
      </c>
      <c r="AN135" s="272">
        <f>_xlfn.XLOOKUP($D135,#REF!,#REF!,,0,)</f>
        <v/>
      </c>
      <c r="AO135" s="42">
        <f>Tab_Process_TCs2527[[#This Row],[Flow_ID]]</f>
        <v/>
      </c>
      <c r="AP135" s="272">
        <f>"TC"&amp;"_"&amp;RIGHT(AN135,5)</f>
        <v/>
      </c>
      <c r="AQ135" s="168" t="n"/>
      <c r="AR135" s="296">
        <f>_xlfn.XLOOKUP($D135,#REF!,#REF!,,0,)</f>
        <v/>
      </c>
      <c r="AS135" s="272">
        <f>_xlfn.XLOOKUP($D135,#REF!,#REF!,,0,)</f>
        <v/>
      </c>
      <c r="AT135" s="42">
        <f>Tab_Process_TCs2527[[#This Row],[Flow_ID]]</f>
        <v/>
      </c>
      <c r="AU135" s="42">
        <f>"TC"&amp;"_"&amp;RIGHT(AN135,5)</f>
        <v/>
      </c>
      <c r="AV135" s="168" t="n"/>
      <c r="AW135" s="296">
        <f>_xlfn.XLOOKUP($D135,#REF!,#REF!,,0,)</f>
        <v/>
      </c>
      <c r="AX135" s="272">
        <f>_xlfn.XLOOKUP($D135,#REF!,#REF!,,0,)</f>
        <v/>
      </c>
      <c r="AY135" s="42">
        <f>Tab_Process_TCs2527[[#This Row],[Flow_ID]]</f>
        <v/>
      </c>
      <c r="AZ135" s="42">
        <f>"TC"&amp;"_"&amp;RIGHT(AX135,5)</f>
        <v/>
      </c>
      <c r="BA135" s="168" t="n"/>
      <c r="BB135" s="272">
        <f>_xlfn.XLOOKUP($D135,#REF!,#REF!,,0,)</f>
        <v/>
      </c>
      <c r="BC135" s="272">
        <f>_xlfn.XLOOKUP($D135,#REF!,#REF!,,0,)</f>
        <v/>
      </c>
      <c r="BD135" s="42">
        <f>Tab_Process_TCs2527[[#This Row],[Flow_ID]]</f>
        <v/>
      </c>
      <c r="BE135" s="42">
        <f>"TC"&amp;"_"&amp;RIGHT(BC135,5)</f>
        <v/>
      </c>
      <c r="BF135" s="49" t="n"/>
      <c r="BG135" s="52">
        <f>Tab_Process_TCs2527[[#This Row],[TC O_6_'[%']]]+Tab_Process_TCs2527[[#This Row],[TC O_5_'[%']]]+Tab_Process_TCs2527[[#This Row],[TC_O_4_'[%']]]+Tab_Process_TCs2527[[#This Row],[TC_O_3_'[%']]]+Tab_Process_TCs2527[[#This Row],[TC_O_2_'[%']]]+Tab_Process_TCs2527[[#This Row],[TC_O_1_'[%']]]</f>
        <v/>
      </c>
      <c r="BH135" s="273" t="n"/>
      <c r="BI135" s="273" t="n"/>
      <c r="BJ135" s="273" t="n"/>
      <c r="BK135" s="273" t="n"/>
      <c r="BL135" s="273" t="n"/>
    </row>
    <row r="136">
      <c r="A136" s="280" t="b">
        <v>0</v>
      </c>
      <c r="B136" s="272">
        <f>ROW()-1</f>
        <v/>
      </c>
      <c r="C136" s="286">
        <f>_xlfn.XLOOKUP($D136,Tab_Process_TCs[Name(EN)],Tab_Process_TCs[Process_ID],,0,)</f>
        <v/>
      </c>
      <c r="D136" s="189" t="inlineStr">
        <is>
          <t>N.A.</t>
        </is>
      </c>
      <c r="E136" s="189" t="inlineStr">
        <is>
          <t>N.A.</t>
        </is>
      </c>
      <c r="F136" s="286">
        <f>_xlfn.XLOOKUP($D136,Tab_Process_TCs[Name(EN)],Tab_Process_TCs[TC?],,0,)</f>
        <v/>
      </c>
      <c r="G136" s="286">
        <f>_xlfn.XLOOKUP($D136,Tab_Process_TCs[Name(EN)],Tab_Process_TCs[Dyn_TC?],,0,)</f>
        <v/>
      </c>
      <c r="H136" s="272">
        <f>_xlfn.XLOOKUP($E136,Tab_Def_Flows[Name(EN)],Tab_Def_Flows[Flow_ID],,0,1)</f>
        <v/>
      </c>
      <c r="I136" s="272">
        <f>IF(Tab_Process_TCs2527[[#This Row],[Name(EN)]]="N.A.","N.A.","TC"&amp;"_"&amp;RIGHT(H136,5))</f>
        <v/>
      </c>
      <c r="J136" s="273" t="n"/>
      <c r="K136" s="183" t="n"/>
      <c r="L136" s="272" t="n"/>
      <c r="M136" s="296">
        <f>_xlfn.XLOOKUP($D136,Tab_Def_Processes[Name(EN)],Tab_Def_Processes[Input_Flow_I_1],,0,)</f>
        <v/>
      </c>
      <c r="N136" s="272">
        <f>_xlfn.XLOOKUP($D136,Tab_Def_Processes[Name(EN)],Tab_Def_Processes[Flow_ID_I_1],,0,)</f>
        <v/>
      </c>
      <c r="O136" s="34" t="n"/>
      <c r="P136" s="29">
        <f>_xlfn.XLOOKUP($D136,Tab_Def_Processes[Name(EN)],Tab_Def_Processes[Input_Flow_I_2],,0,)</f>
        <v/>
      </c>
      <c r="Q136" s="272">
        <f>_xlfn.XLOOKUP($D136,Tab_Def_Processes[Name(EN)],Tab_Def_Processes[Flow_ID_I_2],,0,)</f>
        <v/>
      </c>
      <c r="R136" s="34" t="n"/>
      <c r="S136" s="29">
        <f>_xlfn.XLOOKUP($D136,Tab_Def_Processes[Name(EN)],Tab_Def_Processes[Input_Flow_I_3],,0,)</f>
        <v/>
      </c>
      <c r="T136" s="272">
        <f>_xlfn.XLOOKUP($D136,Tab_Def_Processes[Name(EN)],Tab_Def_Processes[Flow_ID_I_3],,0,)</f>
        <v/>
      </c>
      <c r="U136" s="34" t="n"/>
      <c r="V136" s="29">
        <f>_xlfn.XLOOKUP($D136,Tab_Def_Processes[Name(EN)],Tab_Def_Processes[Input_Flow_I_4],,0,)</f>
        <v/>
      </c>
      <c r="W136" s="272">
        <f>_xlfn.XLOOKUP($D136,Tab_Def_Processes[Name(EN)],Tab_Def_Processes[Flow_ID_I_4],,0,)</f>
        <v/>
      </c>
      <c r="X136" s="34" t="n"/>
      <c r="Y136" s="29">
        <f>_xlfn.XLOOKUP($D136,Tab_Def_Processes[Name(EN)],Tab_Def_Processes[Input_Flow_I_5],,0,)</f>
        <v/>
      </c>
      <c r="Z136" s="272">
        <f>_xlfn.XLOOKUP($D136,Tab_Def_Processes[Name(EN)],Tab_Def_Processes[Flow_ID_I_5],,0,)</f>
        <v/>
      </c>
      <c r="AA136" s="34" t="n"/>
      <c r="AB136" s="39">
        <f>Tab_Process_TCs2527[[#This Row],[Flow_TC_I_1_'[%']]]+Tab_Process_TCs2527[[#This Row],[Flow_TC_I_2_'[%']]]+Tab_Process_TCs2527[[#This Row],[Flow_TC_I_3_'[%']]]+Tab_Process_TCs2527[[#This Row],[Flow_TC_I_4_'[%']]]+Tab_Process_TCs2527[[#This Row],[Flow_TC_I_5_'[%']]]</f>
        <v/>
      </c>
      <c r="AC136" s="296">
        <f>_xlfn.XLOOKUP($D136,#REF!,#REF!,,0,)</f>
        <v/>
      </c>
      <c r="AD136" s="272">
        <f>_xlfn.XLOOKUP($D136,#REF!,#REF!,,0,)</f>
        <v/>
      </c>
      <c r="AE136" s="42">
        <f>Tab_Process_TCs2527[[#This Row],[Flow_ID]]</f>
        <v/>
      </c>
      <c r="AF136" s="272">
        <f>"TC"&amp;"_"&amp;RIGHT(AD136,5)</f>
        <v/>
      </c>
      <c r="AG136" s="170" t="n"/>
      <c r="AH136" s="169">
        <f>_xlfn.XLOOKUP($D136,#REF!,#REF!,,0,)</f>
        <v/>
      </c>
      <c r="AI136" s="53">
        <f>_xlfn.XLOOKUP($D136,#REF!,#REF!,,0,)</f>
        <v/>
      </c>
      <c r="AJ136" s="42">
        <f>Tab_Process_TCs2527[[#This Row],[Flow_ID]]</f>
        <v/>
      </c>
      <c r="AK136" s="272">
        <f>"TC"&amp;"_"&amp;RIGHT(AI136,5)</f>
        <v/>
      </c>
      <c r="AL136" s="168" t="n"/>
      <c r="AM136" s="296">
        <f>_xlfn.XLOOKUP($D136,#REF!,#REF!,,0,)</f>
        <v/>
      </c>
      <c r="AN136" s="272">
        <f>_xlfn.XLOOKUP($D136,#REF!,#REF!,,0,)</f>
        <v/>
      </c>
      <c r="AO136" s="42">
        <f>Tab_Process_TCs2527[[#This Row],[Flow_ID]]</f>
        <v/>
      </c>
      <c r="AP136" s="272">
        <f>"TC"&amp;"_"&amp;RIGHT(AN136,5)</f>
        <v/>
      </c>
      <c r="AQ136" s="168" t="n"/>
      <c r="AR136" s="296">
        <f>_xlfn.XLOOKUP($D136,#REF!,#REF!,,0,)</f>
        <v/>
      </c>
      <c r="AS136" s="272">
        <f>_xlfn.XLOOKUP($D136,#REF!,#REF!,,0,)</f>
        <v/>
      </c>
      <c r="AT136" s="42">
        <f>Tab_Process_TCs2527[[#This Row],[Flow_ID]]</f>
        <v/>
      </c>
      <c r="AU136" s="42">
        <f>"TC"&amp;"_"&amp;RIGHT(AN136,5)</f>
        <v/>
      </c>
      <c r="AV136" s="168" t="n"/>
      <c r="AW136" s="296">
        <f>_xlfn.XLOOKUP($D136,#REF!,#REF!,,0,)</f>
        <v/>
      </c>
      <c r="AX136" s="272">
        <f>_xlfn.XLOOKUP($D136,#REF!,#REF!,,0,)</f>
        <v/>
      </c>
      <c r="AY136" s="42">
        <f>Tab_Process_TCs2527[[#This Row],[Flow_ID]]</f>
        <v/>
      </c>
      <c r="AZ136" s="42">
        <f>"TC"&amp;"_"&amp;RIGHT(AX136,5)</f>
        <v/>
      </c>
      <c r="BA136" s="168" t="n"/>
      <c r="BB136" s="272">
        <f>_xlfn.XLOOKUP($D136,#REF!,#REF!,,0,)</f>
        <v/>
      </c>
      <c r="BC136" s="272">
        <f>_xlfn.XLOOKUP($D136,#REF!,#REF!,,0,)</f>
        <v/>
      </c>
      <c r="BD136" s="42">
        <f>Tab_Process_TCs2527[[#This Row],[Flow_ID]]</f>
        <v/>
      </c>
      <c r="BE136" s="42">
        <f>"TC"&amp;"_"&amp;RIGHT(BC136,5)</f>
        <v/>
      </c>
      <c r="BF136" s="49" t="n"/>
      <c r="BG136" s="52">
        <f>Tab_Process_TCs2527[[#This Row],[TC O_6_'[%']]]+Tab_Process_TCs2527[[#This Row],[TC O_5_'[%']]]+Tab_Process_TCs2527[[#This Row],[TC_O_4_'[%']]]+Tab_Process_TCs2527[[#This Row],[TC_O_3_'[%']]]+Tab_Process_TCs2527[[#This Row],[TC_O_2_'[%']]]+Tab_Process_TCs2527[[#This Row],[TC_O_1_'[%']]]</f>
        <v/>
      </c>
      <c r="BH136" s="273" t="n"/>
      <c r="BI136" s="273" t="n"/>
      <c r="BJ136" s="273" t="n"/>
      <c r="BK136" s="273" t="n"/>
      <c r="BL136" s="273" t="n"/>
    </row>
    <row r="137">
      <c r="A137" s="280" t="b">
        <v>0</v>
      </c>
      <c r="B137" s="272">
        <f>ROW()-1</f>
        <v/>
      </c>
      <c r="C137" s="286">
        <f>_xlfn.XLOOKUP($D137,Tab_Process_TCs[Name(EN)],Tab_Process_TCs[Process_ID],,0,)</f>
        <v/>
      </c>
      <c r="D137" s="189" t="inlineStr">
        <is>
          <t>N.A.</t>
        </is>
      </c>
      <c r="E137" s="189" t="inlineStr">
        <is>
          <t>N.A.</t>
        </is>
      </c>
      <c r="F137" s="286">
        <f>_xlfn.XLOOKUP($D137,Tab_Process_TCs[Name(EN)],Tab_Process_TCs[TC?],,0,)</f>
        <v/>
      </c>
      <c r="G137" s="286">
        <f>_xlfn.XLOOKUP($D137,Tab_Process_TCs[Name(EN)],Tab_Process_TCs[Dyn_TC?],,0,)</f>
        <v/>
      </c>
      <c r="H137" s="272">
        <f>_xlfn.XLOOKUP($E137,Tab_Def_Flows[Name(EN)],Tab_Def_Flows[Flow_ID],,0,1)</f>
        <v/>
      </c>
      <c r="I137" s="272">
        <f>IF(Tab_Process_TCs2527[[#This Row],[Name(EN)]]="N.A.","N.A.","TC"&amp;"_"&amp;RIGHT(H137,5))</f>
        <v/>
      </c>
      <c r="J137" s="273" t="n"/>
      <c r="K137" s="183" t="n"/>
      <c r="L137" s="272" t="n"/>
      <c r="M137" s="296">
        <f>_xlfn.XLOOKUP($D137,Tab_Def_Processes[Name(EN)],Tab_Def_Processes[Input_Flow_I_1],,0,)</f>
        <v/>
      </c>
      <c r="N137" s="272">
        <f>_xlfn.XLOOKUP($D137,Tab_Def_Processes[Name(EN)],Tab_Def_Processes[Flow_ID_I_1],,0,)</f>
        <v/>
      </c>
      <c r="O137" s="34" t="n"/>
      <c r="P137" s="29">
        <f>_xlfn.XLOOKUP($D137,Tab_Def_Processes[Name(EN)],Tab_Def_Processes[Input_Flow_I_2],,0,)</f>
        <v/>
      </c>
      <c r="Q137" s="272">
        <f>_xlfn.XLOOKUP($D137,Tab_Def_Processes[Name(EN)],Tab_Def_Processes[Flow_ID_I_2],,0,)</f>
        <v/>
      </c>
      <c r="R137" s="34" t="n"/>
      <c r="S137" s="29">
        <f>_xlfn.XLOOKUP($D137,Tab_Def_Processes[Name(EN)],Tab_Def_Processes[Input_Flow_I_3],,0,)</f>
        <v/>
      </c>
      <c r="T137" s="272">
        <f>_xlfn.XLOOKUP($D137,Tab_Def_Processes[Name(EN)],Tab_Def_Processes[Flow_ID_I_3],,0,)</f>
        <v/>
      </c>
      <c r="U137" s="34" t="n"/>
      <c r="V137" s="29">
        <f>_xlfn.XLOOKUP($D137,Tab_Def_Processes[Name(EN)],Tab_Def_Processes[Input_Flow_I_4],,0,)</f>
        <v/>
      </c>
      <c r="W137" s="272">
        <f>_xlfn.XLOOKUP($D137,Tab_Def_Processes[Name(EN)],Tab_Def_Processes[Flow_ID_I_4],,0,)</f>
        <v/>
      </c>
      <c r="X137" s="34" t="n"/>
      <c r="Y137" s="29">
        <f>_xlfn.XLOOKUP($D137,Tab_Def_Processes[Name(EN)],Tab_Def_Processes[Input_Flow_I_5],,0,)</f>
        <v/>
      </c>
      <c r="Z137" s="272">
        <f>_xlfn.XLOOKUP($D137,Tab_Def_Processes[Name(EN)],Tab_Def_Processes[Flow_ID_I_5],,0,)</f>
        <v/>
      </c>
      <c r="AA137" s="34" t="n"/>
      <c r="AB137" s="39">
        <f>Tab_Process_TCs2527[[#This Row],[Flow_TC_I_1_'[%']]]+Tab_Process_TCs2527[[#This Row],[Flow_TC_I_2_'[%']]]+Tab_Process_TCs2527[[#This Row],[Flow_TC_I_3_'[%']]]+Tab_Process_TCs2527[[#This Row],[Flow_TC_I_4_'[%']]]+Tab_Process_TCs2527[[#This Row],[Flow_TC_I_5_'[%']]]</f>
        <v/>
      </c>
      <c r="AC137" s="296">
        <f>_xlfn.XLOOKUP($D137,#REF!,#REF!,,0,)</f>
        <v/>
      </c>
      <c r="AD137" s="272">
        <f>_xlfn.XLOOKUP($D137,#REF!,#REF!,,0,)</f>
        <v/>
      </c>
      <c r="AE137" s="42">
        <f>Tab_Process_TCs2527[[#This Row],[Flow_ID]]</f>
        <v/>
      </c>
      <c r="AF137" s="272">
        <f>"TC"&amp;"_"&amp;RIGHT(AD137,5)</f>
        <v/>
      </c>
      <c r="AG137" s="170" t="n"/>
      <c r="AH137" s="169">
        <f>_xlfn.XLOOKUP($D137,#REF!,#REF!,,0,)</f>
        <v/>
      </c>
      <c r="AI137" s="53">
        <f>_xlfn.XLOOKUP($D137,#REF!,#REF!,,0,)</f>
        <v/>
      </c>
      <c r="AJ137" s="42">
        <f>Tab_Process_TCs2527[[#This Row],[Flow_ID]]</f>
        <v/>
      </c>
      <c r="AK137" s="272">
        <f>"TC"&amp;"_"&amp;RIGHT(AI137,5)</f>
        <v/>
      </c>
      <c r="AL137" s="168" t="n"/>
      <c r="AM137" s="296">
        <f>_xlfn.XLOOKUP($D137,#REF!,#REF!,,0,)</f>
        <v/>
      </c>
      <c r="AN137" s="272">
        <f>_xlfn.XLOOKUP($D137,#REF!,#REF!,,0,)</f>
        <v/>
      </c>
      <c r="AO137" s="42">
        <f>Tab_Process_TCs2527[[#This Row],[Flow_ID]]</f>
        <v/>
      </c>
      <c r="AP137" s="272">
        <f>"TC"&amp;"_"&amp;RIGHT(AN137,5)</f>
        <v/>
      </c>
      <c r="AQ137" s="168" t="n"/>
      <c r="AR137" s="296">
        <f>_xlfn.XLOOKUP($D137,#REF!,#REF!,,0,)</f>
        <v/>
      </c>
      <c r="AS137" s="272">
        <f>_xlfn.XLOOKUP($D137,#REF!,#REF!,,0,)</f>
        <v/>
      </c>
      <c r="AT137" s="42">
        <f>Tab_Process_TCs2527[[#This Row],[Flow_ID]]</f>
        <v/>
      </c>
      <c r="AU137" s="42">
        <f>"TC"&amp;"_"&amp;RIGHT(AN137,5)</f>
        <v/>
      </c>
      <c r="AV137" s="168" t="n"/>
      <c r="AW137" s="296">
        <f>_xlfn.XLOOKUP($D137,#REF!,#REF!,,0,)</f>
        <v/>
      </c>
      <c r="AX137" s="272">
        <f>_xlfn.XLOOKUP($D137,#REF!,#REF!,,0,)</f>
        <v/>
      </c>
      <c r="AY137" s="42">
        <f>Tab_Process_TCs2527[[#This Row],[Flow_ID]]</f>
        <v/>
      </c>
      <c r="AZ137" s="42">
        <f>"TC"&amp;"_"&amp;RIGHT(AX137,5)</f>
        <v/>
      </c>
      <c r="BA137" s="168" t="n"/>
      <c r="BB137" s="272">
        <f>_xlfn.XLOOKUP($D137,#REF!,#REF!,,0,)</f>
        <v/>
      </c>
      <c r="BC137" s="272">
        <f>_xlfn.XLOOKUP($D137,#REF!,#REF!,,0,)</f>
        <v/>
      </c>
      <c r="BD137" s="42">
        <f>Tab_Process_TCs2527[[#This Row],[Flow_ID]]</f>
        <v/>
      </c>
      <c r="BE137" s="42">
        <f>"TC"&amp;"_"&amp;RIGHT(BC137,5)</f>
        <v/>
      </c>
      <c r="BF137" s="49" t="n"/>
      <c r="BG137" s="52">
        <f>Tab_Process_TCs2527[[#This Row],[TC O_6_'[%']]]+Tab_Process_TCs2527[[#This Row],[TC O_5_'[%']]]+Tab_Process_TCs2527[[#This Row],[TC_O_4_'[%']]]+Tab_Process_TCs2527[[#This Row],[TC_O_3_'[%']]]+Tab_Process_TCs2527[[#This Row],[TC_O_2_'[%']]]+Tab_Process_TCs2527[[#This Row],[TC_O_1_'[%']]]</f>
        <v/>
      </c>
      <c r="BH137" s="273" t="n"/>
      <c r="BI137" s="273" t="n"/>
      <c r="BJ137" s="273" t="n"/>
      <c r="BK137" s="273" t="n"/>
      <c r="BL137" s="273" t="n"/>
    </row>
    <row r="138">
      <c r="A138" s="280" t="b">
        <v>0</v>
      </c>
      <c r="B138" s="272">
        <f>ROW()-1</f>
        <v/>
      </c>
      <c r="C138" s="286">
        <f>_xlfn.XLOOKUP($D138,Tab_Process_TCs[Name(EN)],Tab_Process_TCs[Process_ID],,0,)</f>
        <v/>
      </c>
      <c r="D138" s="189" t="inlineStr">
        <is>
          <t>N.A.</t>
        </is>
      </c>
      <c r="E138" s="189" t="inlineStr">
        <is>
          <t>N.A.</t>
        </is>
      </c>
      <c r="F138" s="286">
        <f>_xlfn.XLOOKUP($D138,Tab_Process_TCs[Name(EN)],Tab_Process_TCs[TC?],,0,)</f>
        <v/>
      </c>
      <c r="G138" s="286">
        <f>_xlfn.XLOOKUP($D138,Tab_Process_TCs[Name(EN)],Tab_Process_TCs[Dyn_TC?],,0,)</f>
        <v/>
      </c>
      <c r="H138" s="272">
        <f>_xlfn.XLOOKUP($E138,Tab_Def_Flows[Name(EN)],Tab_Def_Flows[Flow_ID],,0,1)</f>
        <v/>
      </c>
      <c r="I138" s="272">
        <f>IF(Tab_Process_TCs2527[[#This Row],[Name(EN)]]="N.A.","N.A.","TC"&amp;"_"&amp;RIGHT(H138,5))</f>
        <v/>
      </c>
      <c r="J138" s="273" t="n"/>
      <c r="K138" s="56" t="n"/>
      <c r="L138" s="272" t="n"/>
      <c r="M138" s="296">
        <f>_xlfn.XLOOKUP($D138,Tab_Def_Processes[Name(EN)],Tab_Def_Processes[Input_Flow_I_1],,0,)</f>
        <v/>
      </c>
      <c r="N138" s="272">
        <f>_xlfn.XLOOKUP($D138,Tab_Def_Processes[Name(EN)],Tab_Def_Processes[Flow_ID_I_1],,0,)</f>
        <v/>
      </c>
      <c r="O138" s="181" t="n"/>
      <c r="P138" s="29">
        <f>_xlfn.XLOOKUP($D138,Tab_Def_Processes[Name(EN)],Tab_Def_Processes[Input_Flow_I_2],,0,)</f>
        <v/>
      </c>
      <c r="Q138" s="272">
        <f>_xlfn.XLOOKUP($D138,Tab_Def_Processes[Name(EN)],Tab_Def_Processes[Flow_ID_I_2],,0,)</f>
        <v/>
      </c>
      <c r="R138" s="181" t="n"/>
      <c r="S138" s="29">
        <f>_xlfn.XLOOKUP($D138,Tab_Def_Processes[Name(EN)],Tab_Def_Processes[Input_Flow_I_3],,0,)</f>
        <v/>
      </c>
      <c r="T138" s="272">
        <f>_xlfn.XLOOKUP($D138,Tab_Def_Processes[Name(EN)],Tab_Def_Processes[Flow_ID_I_3],,0,)</f>
        <v/>
      </c>
      <c r="U138" s="181" t="n"/>
      <c r="V138" s="29">
        <f>_xlfn.XLOOKUP($D138,Tab_Def_Processes[Name(EN)],Tab_Def_Processes[Input_Flow_I_4],,0,)</f>
        <v/>
      </c>
      <c r="W138" s="272">
        <f>_xlfn.XLOOKUP($D138,Tab_Def_Processes[Name(EN)],Tab_Def_Processes[Flow_ID_I_4],,0,)</f>
        <v/>
      </c>
      <c r="X138" s="181" t="n"/>
      <c r="Y138" s="29">
        <f>_xlfn.XLOOKUP($D138,Tab_Def_Processes[Name(EN)],Tab_Def_Processes[Input_Flow_I_5],,0,)</f>
        <v/>
      </c>
      <c r="Z138" s="272">
        <f>_xlfn.XLOOKUP($D138,Tab_Def_Processes[Name(EN)],Tab_Def_Processes[Flow_ID_I_5],,0,)</f>
        <v/>
      </c>
      <c r="AA138" s="181" t="n"/>
      <c r="AB138" s="32">
        <f>Tab_Process_TCs2527[[#This Row],[Flow_TC_I_1_'[%']]]+Tab_Process_TCs2527[[#This Row],[Flow_TC_I_2_'[%']]]+Tab_Process_TCs2527[[#This Row],[Flow_TC_I_3_'[%']]]+Tab_Process_TCs2527[[#This Row],[Flow_TC_I_4_'[%']]]+Tab_Process_TCs2527[[#This Row],[Flow_TC_I_5_'[%']]]</f>
        <v/>
      </c>
      <c r="AC138" s="296">
        <f>_xlfn.XLOOKUP($D138,#REF!,#REF!,,0,)</f>
        <v/>
      </c>
      <c r="AD138" s="272">
        <f>_xlfn.XLOOKUP($D138,#REF!,#REF!,,0,)</f>
        <v/>
      </c>
      <c r="AE138" s="42">
        <f>Tab_Process_TCs2527[[#This Row],[Flow_ID]]</f>
        <v/>
      </c>
      <c r="AF138" s="272">
        <f>"TC"&amp;"_"&amp;RIGHT(AD138,5)</f>
        <v/>
      </c>
      <c r="AG138" s="170" t="n">
        <v>0.2</v>
      </c>
      <c r="AH138" s="296">
        <f>_xlfn.XLOOKUP($D138,#REF!,#REF!,,0,)</f>
        <v/>
      </c>
      <c r="AI138" s="272">
        <f>_xlfn.XLOOKUP($D138,#REF!,#REF!,,0,)</f>
        <v/>
      </c>
      <c r="AJ138" s="42">
        <f>Tab_Process_TCs2527[[#This Row],[Flow_ID]]</f>
        <v/>
      </c>
      <c r="AK138" s="272">
        <f>"TC"&amp;"_"&amp;RIGHT(AI138,5)</f>
        <v/>
      </c>
      <c r="AL138" s="168" t="n">
        <v>0.8</v>
      </c>
      <c r="AM138" s="296">
        <f>_xlfn.XLOOKUP($D138,#REF!,#REF!,,0,)</f>
        <v/>
      </c>
      <c r="AN138" s="272">
        <f>_xlfn.XLOOKUP($D138,#REF!,#REF!,,0,)</f>
        <v/>
      </c>
      <c r="AO138" s="42">
        <f>Tab_Process_TCs2527[[#This Row],[Flow_ID]]</f>
        <v/>
      </c>
      <c r="AP138" s="272">
        <f>"TC"&amp;"_"&amp;RIGHT(AN138,5)</f>
        <v/>
      </c>
      <c r="AQ138" s="168" t="n"/>
      <c r="AR138" s="296">
        <f>_xlfn.XLOOKUP($D138,#REF!,#REF!,,0,)</f>
        <v/>
      </c>
      <c r="AS138" s="272">
        <f>_xlfn.XLOOKUP($D138,#REF!,#REF!,,0,)</f>
        <v/>
      </c>
      <c r="AT138" s="42">
        <f>Tab_Process_TCs2527[[#This Row],[Flow_ID]]</f>
        <v/>
      </c>
      <c r="AU138" s="42">
        <f>"TC"&amp;"_"&amp;RIGHT(AN138,5)</f>
        <v/>
      </c>
      <c r="AV138" s="168" t="n"/>
      <c r="AW138" s="296">
        <f>_xlfn.XLOOKUP($D138,#REF!,#REF!,,0,)</f>
        <v/>
      </c>
      <c r="AX138" s="272">
        <f>_xlfn.XLOOKUP($D138,#REF!,#REF!,,0,)</f>
        <v/>
      </c>
      <c r="AY138" s="42">
        <f>Tab_Process_TCs2527[[#This Row],[Flow_ID]]</f>
        <v/>
      </c>
      <c r="AZ138" s="42">
        <f>"TC"&amp;"_"&amp;RIGHT(AX138,5)</f>
        <v/>
      </c>
      <c r="BA138" s="168" t="n"/>
      <c r="BB138" s="272">
        <f>_xlfn.XLOOKUP($D138,#REF!,#REF!,,0,)</f>
        <v/>
      </c>
      <c r="BC138" s="272">
        <f>_xlfn.XLOOKUP($D138,#REF!,#REF!,,0,)</f>
        <v/>
      </c>
      <c r="BD138" s="42">
        <f>Tab_Process_TCs2527[[#This Row],[Flow_ID]]</f>
        <v/>
      </c>
      <c r="BE138" s="42">
        <f>"TC"&amp;"_"&amp;RIGHT(BC138,5)</f>
        <v/>
      </c>
      <c r="BF138" s="49" t="n"/>
      <c r="BG138" s="52">
        <f>Tab_Process_TCs2527[[#This Row],[TC O_6_'[%']]]+Tab_Process_TCs2527[[#This Row],[TC O_5_'[%']]]+Tab_Process_TCs2527[[#This Row],[TC_O_4_'[%']]]+Tab_Process_TCs2527[[#This Row],[TC_O_3_'[%']]]+Tab_Process_TCs2527[[#This Row],[TC_O_2_'[%']]]+Tab_Process_TCs2527[[#This Row],[TC_O_1_'[%']]]</f>
        <v/>
      </c>
      <c r="BH138" s="273" t="n"/>
      <c r="BI138" s="273" t="n"/>
      <c r="BJ138" s="273" t="n"/>
      <c r="BK138" s="273" t="n"/>
      <c r="BL138" s="273" t="n"/>
    </row>
    <row r="139">
      <c r="A139" s="280" t="b">
        <v>0</v>
      </c>
      <c r="B139" s="272">
        <f>ROW()-1</f>
        <v/>
      </c>
      <c r="C139" s="286">
        <f>_xlfn.XLOOKUP($D139,Tab_Process_TCs[Name(EN)],Tab_Process_TCs[Process_ID],,0,)</f>
        <v/>
      </c>
      <c r="D139" s="189" t="inlineStr">
        <is>
          <t>N.A.</t>
        </is>
      </c>
      <c r="E139" s="189" t="inlineStr">
        <is>
          <t>N.A.</t>
        </is>
      </c>
      <c r="F139" s="286">
        <f>_xlfn.XLOOKUP($D139,Tab_Process_TCs[Name(EN)],Tab_Process_TCs[TC?],,0,)</f>
        <v/>
      </c>
      <c r="G139" s="286">
        <f>_xlfn.XLOOKUP($D139,Tab_Process_TCs[Name(EN)],Tab_Process_TCs[Dyn_TC?],,0,)</f>
        <v/>
      </c>
      <c r="H139" s="272">
        <f>_xlfn.XLOOKUP($E139,Tab_Def_Flows[Name(EN)],Tab_Def_Flows[Flow_ID],,0,1)</f>
        <v/>
      </c>
      <c r="I139" s="272">
        <f>IF(Tab_Process_TCs2527[[#This Row],[Name(EN)]]="N.A.","N.A.","TC"&amp;"_"&amp;RIGHT(H139,5))</f>
        <v/>
      </c>
      <c r="J139" s="273" t="n"/>
      <c r="K139" s="56" t="n"/>
      <c r="L139" s="272" t="n"/>
      <c r="M139" s="296">
        <f>_xlfn.XLOOKUP($D139,Tab_Def_Processes[Name(EN)],Tab_Def_Processes[Input_Flow_I_1],,0,)</f>
        <v/>
      </c>
      <c r="N139" s="272">
        <f>_xlfn.XLOOKUP($D139,Tab_Def_Processes[Name(EN)],Tab_Def_Processes[Flow_ID_I_1],,0,)</f>
        <v/>
      </c>
      <c r="O139" s="181" t="n"/>
      <c r="P139" s="29">
        <f>_xlfn.XLOOKUP($D139,Tab_Def_Processes[Name(EN)],Tab_Def_Processes[Input_Flow_I_2],,0,)</f>
        <v/>
      </c>
      <c r="Q139" s="272">
        <f>_xlfn.XLOOKUP($D139,Tab_Def_Processes[Name(EN)],Tab_Def_Processes[Flow_ID_I_2],,0,)</f>
        <v/>
      </c>
      <c r="R139" s="181" t="n"/>
      <c r="S139" s="29">
        <f>_xlfn.XLOOKUP($D139,Tab_Def_Processes[Name(EN)],Tab_Def_Processes[Input_Flow_I_3],,0,)</f>
        <v/>
      </c>
      <c r="T139" s="272">
        <f>_xlfn.XLOOKUP($D139,Tab_Def_Processes[Name(EN)],Tab_Def_Processes[Flow_ID_I_3],,0,)</f>
        <v/>
      </c>
      <c r="U139" s="181" t="n"/>
      <c r="V139" s="29">
        <f>_xlfn.XLOOKUP($D139,Tab_Def_Processes[Name(EN)],Tab_Def_Processes[Input_Flow_I_4],,0,)</f>
        <v/>
      </c>
      <c r="W139" s="272">
        <f>_xlfn.XLOOKUP($D139,Tab_Def_Processes[Name(EN)],Tab_Def_Processes[Flow_ID_I_4],,0,)</f>
        <v/>
      </c>
      <c r="X139" s="181" t="n"/>
      <c r="Y139" s="29">
        <f>_xlfn.XLOOKUP($D139,Tab_Def_Processes[Name(EN)],Tab_Def_Processes[Input_Flow_I_5],,0,)</f>
        <v/>
      </c>
      <c r="Z139" s="272">
        <f>_xlfn.XLOOKUP($D139,Tab_Def_Processes[Name(EN)],Tab_Def_Processes[Flow_ID_I_5],,0,)</f>
        <v/>
      </c>
      <c r="AA139" s="181" t="n"/>
      <c r="AB139" s="32">
        <f>Tab_Process_TCs2527[[#This Row],[Flow_TC_I_1_'[%']]]+Tab_Process_TCs2527[[#This Row],[Flow_TC_I_2_'[%']]]+Tab_Process_TCs2527[[#This Row],[Flow_TC_I_3_'[%']]]+Tab_Process_TCs2527[[#This Row],[Flow_TC_I_4_'[%']]]+Tab_Process_TCs2527[[#This Row],[Flow_TC_I_5_'[%']]]</f>
        <v/>
      </c>
      <c r="AC139" s="296">
        <f>_xlfn.XLOOKUP($D139,#REF!,#REF!,,0,)</f>
        <v/>
      </c>
      <c r="AD139" s="272">
        <f>_xlfn.XLOOKUP($D139,#REF!,#REF!,,0,)</f>
        <v/>
      </c>
      <c r="AE139" s="42">
        <f>Tab_Process_TCs2527[[#This Row],[Flow_ID]]</f>
        <v/>
      </c>
      <c r="AF139" s="272">
        <f>"TC"&amp;"_"&amp;RIGHT(AD139,5)</f>
        <v/>
      </c>
      <c r="AG139" s="170" t="n">
        <v>0.2</v>
      </c>
      <c r="AH139" s="296">
        <f>_xlfn.XLOOKUP($D139,#REF!,#REF!,,0,)</f>
        <v/>
      </c>
      <c r="AI139" s="272">
        <f>_xlfn.XLOOKUP($D139,#REF!,#REF!,,0,)</f>
        <v/>
      </c>
      <c r="AJ139" s="42">
        <f>Tab_Process_TCs2527[[#This Row],[Flow_ID]]</f>
        <v/>
      </c>
      <c r="AK139" s="272">
        <f>"TC"&amp;"_"&amp;RIGHT(AI139,5)</f>
        <v/>
      </c>
      <c r="AL139" s="168" t="n">
        <v>0.8</v>
      </c>
      <c r="AM139" s="296">
        <f>_xlfn.XLOOKUP($D139,#REF!,#REF!,,0,)</f>
        <v/>
      </c>
      <c r="AN139" s="272">
        <f>_xlfn.XLOOKUP($D139,#REF!,#REF!,,0,)</f>
        <v/>
      </c>
      <c r="AO139" s="42">
        <f>Tab_Process_TCs2527[[#This Row],[Flow_ID]]</f>
        <v/>
      </c>
      <c r="AP139" s="272">
        <f>"TC"&amp;"_"&amp;RIGHT(AN139,5)</f>
        <v/>
      </c>
      <c r="AQ139" s="168" t="n"/>
      <c r="AR139" s="296">
        <f>_xlfn.XLOOKUP($D139,#REF!,#REF!,,0,)</f>
        <v/>
      </c>
      <c r="AS139" s="272">
        <f>_xlfn.XLOOKUP($D139,#REF!,#REF!,,0,)</f>
        <v/>
      </c>
      <c r="AT139" s="42">
        <f>Tab_Process_TCs2527[[#This Row],[Flow_ID]]</f>
        <v/>
      </c>
      <c r="AU139" s="42">
        <f>"TC"&amp;"_"&amp;RIGHT(AN139,5)</f>
        <v/>
      </c>
      <c r="AV139" s="168" t="n"/>
      <c r="AW139" s="296">
        <f>_xlfn.XLOOKUP($D139,#REF!,#REF!,,0,)</f>
        <v/>
      </c>
      <c r="AX139" s="272">
        <f>_xlfn.XLOOKUP($D139,#REF!,#REF!,,0,)</f>
        <v/>
      </c>
      <c r="AY139" s="42">
        <f>Tab_Process_TCs2527[[#This Row],[Flow_ID]]</f>
        <v/>
      </c>
      <c r="AZ139" s="42">
        <f>"TC"&amp;"_"&amp;RIGHT(AX139,5)</f>
        <v/>
      </c>
      <c r="BA139" s="168" t="n"/>
      <c r="BB139" s="272">
        <f>_xlfn.XLOOKUP($D139,#REF!,#REF!,,0,)</f>
        <v/>
      </c>
      <c r="BC139" s="272">
        <f>_xlfn.XLOOKUP($D139,#REF!,#REF!,,0,)</f>
        <v/>
      </c>
      <c r="BD139" s="42">
        <f>Tab_Process_TCs2527[[#This Row],[Flow_ID]]</f>
        <v/>
      </c>
      <c r="BE139" s="42">
        <f>"TC"&amp;"_"&amp;RIGHT(BC139,5)</f>
        <v/>
      </c>
      <c r="BF139" s="49" t="n"/>
      <c r="BG139" s="52">
        <f>Tab_Process_TCs2527[[#This Row],[TC O_6_'[%']]]+Tab_Process_TCs2527[[#This Row],[TC O_5_'[%']]]+Tab_Process_TCs2527[[#This Row],[TC_O_4_'[%']]]+Tab_Process_TCs2527[[#This Row],[TC_O_3_'[%']]]+Tab_Process_TCs2527[[#This Row],[TC_O_2_'[%']]]+Tab_Process_TCs2527[[#This Row],[TC_O_1_'[%']]]</f>
        <v/>
      </c>
      <c r="BH139" s="273" t="n"/>
      <c r="BI139" s="273" t="n"/>
      <c r="BJ139" s="273" t="n"/>
      <c r="BK139" s="273" t="n"/>
      <c r="BL139" s="273" t="n"/>
    </row>
    <row r="140">
      <c r="A140" s="280" t="b">
        <v>0</v>
      </c>
      <c r="B140" s="272">
        <f>ROW()-1</f>
        <v/>
      </c>
      <c r="C140" s="286">
        <f>_xlfn.XLOOKUP($D140,Tab_Process_TCs[Name(EN)],Tab_Process_TCs[Process_ID],,0,)</f>
        <v/>
      </c>
      <c r="D140" s="189" t="inlineStr">
        <is>
          <t>N.A.</t>
        </is>
      </c>
      <c r="E140" s="189" t="inlineStr">
        <is>
          <t>N.A.</t>
        </is>
      </c>
      <c r="F140" s="286">
        <f>_xlfn.XLOOKUP($D140,Tab_Process_TCs[Name(EN)],Tab_Process_TCs[TC?],,0,)</f>
        <v/>
      </c>
      <c r="G140" s="286">
        <f>_xlfn.XLOOKUP($D140,Tab_Process_TCs[Name(EN)],Tab_Process_TCs[Dyn_TC?],,0,)</f>
        <v/>
      </c>
      <c r="H140" s="272">
        <f>_xlfn.XLOOKUP($E140,Tab_Def_Flows[Name(EN)],Tab_Def_Flows[Flow_ID],,0,1)</f>
        <v/>
      </c>
      <c r="I140" s="272">
        <f>IF(Tab_Process_TCs2527[[#This Row],[Name(EN)]]="N.A.","N.A.","TC"&amp;"_"&amp;RIGHT(H140,5))</f>
        <v/>
      </c>
      <c r="J140" s="273" t="n"/>
      <c r="K140" s="56" t="n"/>
      <c r="L140" s="272" t="n"/>
      <c r="M140" s="296">
        <f>_xlfn.XLOOKUP($D140,Tab_Def_Processes[Name(EN)],Tab_Def_Processes[Input_Flow_I_1],,0,)</f>
        <v/>
      </c>
      <c r="N140" s="272">
        <f>_xlfn.XLOOKUP($D140,Tab_Def_Processes[Name(EN)],Tab_Def_Processes[Flow_ID_I_1],,0,)</f>
        <v/>
      </c>
      <c r="O140" s="181" t="n"/>
      <c r="P140" s="29">
        <f>_xlfn.XLOOKUP($D140,Tab_Def_Processes[Name(EN)],Tab_Def_Processes[Input_Flow_I_2],,0,)</f>
        <v/>
      </c>
      <c r="Q140" s="272">
        <f>_xlfn.XLOOKUP($D140,Tab_Def_Processes[Name(EN)],Tab_Def_Processes[Flow_ID_I_2],,0,)</f>
        <v/>
      </c>
      <c r="R140" s="181" t="n"/>
      <c r="S140" s="29">
        <f>_xlfn.XLOOKUP($D140,Tab_Def_Processes[Name(EN)],Tab_Def_Processes[Input_Flow_I_3],,0,)</f>
        <v/>
      </c>
      <c r="T140" s="272">
        <f>_xlfn.XLOOKUP($D140,Tab_Def_Processes[Name(EN)],Tab_Def_Processes[Flow_ID_I_3],,0,)</f>
        <v/>
      </c>
      <c r="U140" s="181" t="n"/>
      <c r="V140" s="29">
        <f>_xlfn.XLOOKUP($D140,Tab_Def_Processes[Name(EN)],Tab_Def_Processes[Input_Flow_I_4],,0,)</f>
        <v/>
      </c>
      <c r="W140" s="272">
        <f>_xlfn.XLOOKUP($D140,Tab_Def_Processes[Name(EN)],Tab_Def_Processes[Flow_ID_I_4],,0,)</f>
        <v/>
      </c>
      <c r="X140" s="181" t="n"/>
      <c r="Y140" s="29">
        <f>_xlfn.XLOOKUP($D140,Tab_Def_Processes[Name(EN)],Tab_Def_Processes[Input_Flow_I_5],,0,)</f>
        <v/>
      </c>
      <c r="Z140" s="272">
        <f>_xlfn.XLOOKUP($D140,Tab_Def_Processes[Name(EN)],Tab_Def_Processes[Flow_ID_I_5],,0,)</f>
        <v/>
      </c>
      <c r="AA140" s="181" t="n"/>
      <c r="AB140" s="32">
        <f>Tab_Process_TCs2527[[#This Row],[Flow_TC_I_1_'[%']]]+Tab_Process_TCs2527[[#This Row],[Flow_TC_I_2_'[%']]]+Tab_Process_TCs2527[[#This Row],[Flow_TC_I_3_'[%']]]+Tab_Process_TCs2527[[#This Row],[Flow_TC_I_4_'[%']]]+Tab_Process_TCs2527[[#This Row],[Flow_TC_I_5_'[%']]]</f>
        <v/>
      </c>
      <c r="AC140" s="296">
        <f>_xlfn.XLOOKUP($D140,#REF!,#REF!,,0,)</f>
        <v/>
      </c>
      <c r="AD140" s="272">
        <f>_xlfn.XLOOKUP($D140,#REF!,#REF!,,0,)</f>
        <v/>
      </c>
      <c r="AE140" s="42">
        <f>Tab_Process_TCs2527[[#This Row],[Flow_ID]]</f>
        <v/>
      </c>
      <c r="AF140" s="272">
        <f>"TC"&amp;"_"&amp;RIGHT(AD140,5)</f>
        <v/>
      </c>
      <c r="AG140" s="170" t="n">
        <v>0.2</v>
      </c>
      <c r="AH140" s="296">
        <f>_xlfn.XLOOKUP($D140,#REF!,#REF!,,0,)</f>
        <v/>
      </c>
      <c r="AI140" s="272">
        <f>_xlfn.XLOOKUP($D140,#REF!,#REF!,,0,)</f>
        <v/>
      </c>
      <c r="AJ140" s="42">
        <f>Tab_Process_TCs2527[[#This Row],[Flow_ID]]</f>
        <v/>
      </c>
      <c r="AK140" s="272">
        <f>"TC"&amp;"_"&amp;RIGHT(AI140,5)</f>
        <v/>
      </c>
      <c r="AL140" s="168" t="n">
        <v>0.8</v>
      </c>
      <c r="AM140" s="296">
        <f>_xlfn.XLOOKUP($D140,#REF!,#REF!,,0,)</f>
        <v/>
      </c>
      <c r="AN140" s="272">
        <f>_xlfn.XLOOKUP($D140,#REF!,#REF!,,0,)</f>
        <v/>
      </c>
      <c r="AO140" s="42">
        <f>Tab_Process_TCs2527[[#This Row],[Flow_ID]]</f>
        <v/>
      </c>
      <c r="AP140" s="272">
        <f>"TC"&amp;"_"&amp;RIGHT(AN140,5)</f>
        <v/>
      </c>
      <c r="AQ140" s="168" t="n"/>
      <c r="AR140" s="296">
        <f>_xlfn.XLOOKUP($D140,#REF!,#REF!,,0,)</f>
        <v/>
      </c>
      <c r="AS140" s="272">
        <f>_xlfn.XLOOKUP($D140,#REF!,#REF!,,0,)</f>
        <v/>
      </c>
      <c r="AT140" s="42">
        <f>Tab_Process_TCs2527[[#This Row],[Flow_ID]]</f>
        <v/>
      </c>
      <c r="AU140" s="42">
        <f>"TC"&amp;"_"&amp;RIGHT(AN140,5)</f>
        <v/>
      </c>
      <c r="AV140" s="168" t="n"/>
      <c r="AW140" s="296">
        <f>_xlfn.XLOOKUP($D140,#REF!,#REF!,,0,)</f>
        <v/>
      </c>
      <c r="AX140" s="272">
        <f>_xlfn.XLOOKUP($D140,#REF!,#REF!,,0,)</f>
        <v/>
      </c>
      <c r="AY140" s="42">
        <f>Tab_Process_TCs2527[[#This Row],[Flow_ID]]</f>
        <v/>
      </c>
      <c r="AZ140" s="42">
        <f>"TC"&amp;"_"&amp;RIGHT(AX140,5)</f>
        <v/>
      </c>
      <c r="BA140" s="168" t="n"/>
      <c r="BB140" s="272">
        <f>_xlfn.XLOOKUP($D140,#REF!,#REF!,,0,)</f>
        <v/>
      </c>
      <c r="BC140" s="272">
        <f>_xlfn.XLOOKUP($D140,#REF!,#REF!,,0,)</f>
        <v/>
      </c>
      <c r="BD140" s="42">
        <f>Tab_Process_TCs2527[[#This Row],[Flow_ID]]</f>
        <v/>
      </c>
      <c r="BE140" s="42">
        <f>"TC"&amp;"_"&amp;RIGHT(BC140,5)</f>
        <v/>
      </c>
      <c r="BF140" s="49" t="n"/>
      <c r="BG140" s="52">
        <f>Tab_Process_TCs2527[[#This Row],[TC O_6_'[%']]]+Tab_Process_TCs2527[[#This Row],[TC O_5_'[%']]]+Tab_Process_TCs2527[[#This Row],[TC_O_4_'[%']]]+Tab_Process_TCs2527[[#This Row],[TC_O_3_'[%']]]+Tab_Process_TCs2527[[#This Row],[TC_O_2_'[%']]]+Tab_Process_TCs2527[[#This Row],[TC_O_1_'[%']]]</f>
        <v/>
      </c>
      <c r="BH140" s="273" t="n"/>
      <c r="BI140" s="273" t="n"/>
      <c r="BJ140" s="273" t="n"/>
      <c r="BK140" s="273" t="n"/>
      <c r="BL140" s="273" t="n"/>
    </row>
    <row r="141">
      <c r="A141" s="280" t="b">
        <v>0</v>
      </c>
      <c r="B141" s="272">
        <f>ROW()-1</f>
        <v/>
      </c>
      <c r="C141" s="286">
        <f>_xlfn.XLOOKUP($D141,Tab_Process_TCs[Name(EN)],Tab_Process_TCs[Process_ID],,0,)</f>
        <v/>
      </c>
      <c r="D141" s="189" t="inlineStr">
        <is>
          <t>N.A.</t>
        </is>
      </c>
      <c r="E141" s="189" t="inlineStr">
        <is>
          <t>N.A.</t>
        </is>
      </c>
      <c r="F141" s="286">
        <f>_xlfn.XLOOKUP($D141,Tab_Process_TCs[Name(EN)],Tab_Process_TCs[TC?],,0,)</f>
        <v/>
      </c>
      <c r="G141" s="286">
        <f>_xlfn.XLOOKUP($D141,Tab_Process_TCs[Name(EN)],Tab_Process_TCs[Dyn_TC?],,0,)</f>
        <v/>
      </c>
      <c r="H141" s="272">
        <f>_xlfn.XLOOKUP($E141,Tab_Def_Flows[Name(EN)],Tab_Def_Flows[Flow_ID],,0,1)</f>
        <v/>
      </c>
      <c r="I141" s="272">
        <f>IF(Tab_Process_TCs2527[[#This Row],[Name(EN)]]="N.A.","N.A.","TC"&amp;"_"&amp;RIGHT(H141,5))</f>
        <v/>
      </c>
      <c r="J141" s="273" t="n"/>
      <c r="K141" s="56" t="n"/>
      <c r="L141" s="272" t="n"/>
      <c r="M141" s="296">
        <f>_xlfn.XLOOKUP($D141,Tab_Def_Processes[Name(EN)],Tab_Def_Processes[Input_Flow_I_1],,0,)</f>
        <v/>
      </c>
      <c r="N141" s="272">
        <f>_xlfn.XLOOKUP($D141,Tab_Def_Processes[Name(EN)],Tab_Def_Processes[Flow_ID_I_1],,0,)</f>
        <v/>
      </c>
      <c r="O141" s="181" t="n"/>
      <c r="P141" s="29">
        <f>_xlfn.XLOOKUP($D141,Tab_Def_Processes[Name(EN)],Tab_Def_Processes[Input_Flow_I_2],,0,)</f>
        <v/>
      </c>
      <c r="Q141" s="272">
        <f>_xlfn.XLOOKUP($D141,Tab_Def_Processes[Name(EN)],Tab_Def_Processes[Flow_ID_I_2],,0,)</f>
        <v/>
      </c>
      <c r="R141" s="181" t="n"/>
      <c r="S141" s="29">
        <f>_xlfn.XLOOKUP($D141,Tab_Def_Processes[Name(EN)],Tab_Def_Processes[Input_Flow_I_3],,0,)</f>
        <v/>
      </c>
      <c r="T141" s="272">
        <f>_xlfn.XLOOKUP($D141,Tab_Def_Processes[Name(EN)],Tab_Def_Processes[Flow_ID_I_3],,0,)</f>
        <v/>
      </c>
      <c r="U141" s="181" t="n"/>
      <c r="V141" s="29">
        <f>_xlfn.XLOOKUP($D141,Tab_Def_Processes[Name(EN)],Tab_Def_Processes[Input_Flow_I_4],,0,)</f>
        <v/>
      </c>
      <c r="W141" s="272">
        <f>_xlfn.XLOOKUP($D141,Tab_Def_Processes[Name(EN)],Tab_Def_Processes[Flow_ID_I_4],,0,)</f>
        <v/>
      </c>
      <c r="X141" s="181" t="n"/>
      <c r="Y141" s="29">
        <f>_xlfn.XLOOKUP($D141,Tab_Def_Processes[Name(EN)],Tab_Def_Processes[Input_Flow_I_5],,0,)</f>
        <v/>
      </c>
      <c r="Z141" s="272">
        <f>_xlfn.XLOOKUP($D141,Tab_Def_Processes[Name(EN)],Tab_Def_Processes[Flow_ID_I_5],,0,)</f>
        <v/>
      </c>
      <c r="AA141" s="181" t="n"/>
      <c r="AB141" s="32">
        <f>Tab_Process_TCs2527[[#This Row],[Flow_TC_I_1_'[%']]]+Tab_Process_TCs2527[[#This Row],[Flow_TC_I_2_'[%']]]+Tab_Process_TCs2527[[#This Row],[Flow_TC_I_3_'[%']]]+Tab_Process_TCs2527[[#This Row],[Flow_TC_I_4_'[%']]]+Tab_Process_TCs2527[[#This Row],[Flow_TC_I_5_'[%']]]</f>
        <v/>
      </c>
      <c r="AC141" s="296">
        <f>_xlfn.XLOOKUP($D141,#REF!,#REF!,,0,)</f>
        <v/>
      </c>
      <c r="AD141" s="272">
        <f>_xlfn.XLOOKUP($D141,#REF!,#REF!,,0,)</f>
        <v/>
      </c>
      <c r="AE141" s="42">
        <f>Tab_Process_TCs2527[[#This Row],[Flow_ID]]</f>
        <v/>
      </c>
      <c r="AF141" s="272">
        <f>"TC"&amp;"_"&amp;RIGHT(AD141,5)</f>
        <v/>
      </c>
      <c r="AG141" s="170" t="n">
        <v>0.2</v>
      </c>
      <c r="AH141" s="296">
        <f>_xlfn.XLOOKUP($D141,#REF!,#REF!,,0,)</f>
        <v/>
      </c>
      <c r="AI141" s="272">
        <f>_xlfn.XLOOKUP($D141,#REF!,#REF!,,0,)</f>
        <v/>
      </c>
      <c r="AJ141" s="42">
        <f>Tab_Process_TCs2527[[#This Row],[Flow_ID]]</f>
        <v/>
      </c>
      <c r="AK141" s="272">
        <f>"TC"&amp;"_"&amp;RIGHT(AI141,5)</f>
        <v/>
      </c>
      <c r="AL141" s="168" t="n">
        <v>0.8</v>
      </c>
      <c r="AM141" s="296">
        <f>_xlfn.XLOOKUP($D141,#REF!,#REF!,,0,)</f>
        <v/>
      </c>
      <c r="AN141" s="272">
        <f>_xlfn.XLOOKUP($D141,#REF!,#REF!,,0,)</f>
        <v/>
      </c>
      <c r="AO141" s="42">
        <f>Tab_Process_TCs2527[[#This Row],[Flow_ID]]</f>
        <v/>
      </c>
      <c r="AP141" s="272">
        <f>"TC"&amp;"_"&amp;RIGHT(AN141,5)</f>
        <v/>
      </c>
      <c r="AQ141" s="168" t="n"/>
      <c r="AR141" s="296">
        <f>_xlfn.XLOOKUP($D141,#REF!,#REF!,,0,)</f>
        <v/>
      </c>
      <c r="AS141" s="272">
        <f>_xlfn.XLOOKUP($D141,#REF!,#REF!,,0,)</f>
        <v/>
      </c>
      <c r="AT141" s="42">
        <f>Tab_Process_TCs2527[[#This Row],[Flow_ID]]</f>
        <v/>
      </c>
      <c r="AU141" s="42">
        <f>"TC"&amp;"_"&amp;RIGHT(AN141,5)</f>
        <v/>
      </c>
      <c r="AV141" s="168" t="n"/>
      <c r="AW141" s="296">
        <f>_xlfn.XLOOKUP($D141,#REF!,#REF!,,0,)</f>
        <v/>
      </c>
      <c r="AX141" s="272">
        <f>_xlfn.XLOOKUP($D141,#REF!,#REF!,,0,)</f>
        <v/>
      </c>
      <c r="AY141" s="42">
        <f>Tab_Process_TCs2527[[#This Row],[Flow_ID]]</f>
        <v/>
      </c>
      <c r="AZ141" s="42">
        <f>"TC"&amp;"_"&amp;RIGHT(AX141,5)</f>
        <v/>
      </c>
      <c r="BA141" s="168" t="n"/>
      <c r="BB141" s="272">
        <f>_xlfn.XLOOKUP($D141,#REF!,#REF!,,0,)</f>
        <v/>
      </c>
      <c r="BC141" s="272">
        <f>_xlfn.XLOOKUP($D141,#REF!,#REF!,,0,)</f>
        <v/>
      </c>
      <c r="BD141" s="42">
        <f>Tab_Process_TCs2527[[#This Row],[Flow_ID]]</f>
        <v/>
      </c>
      <c r="BE141" s="42">
        <f>"TC"&amp;"_"&amp;RIGHT(BC141,5)</f>
        <v/>
      </c>
      <c r="BF141" s="49" t="n"/>
      <c r="BG141" s="52">
        <f>Tab_Process_TCs2527[[#This Row],[TC O_6_'[%']]]+Tab_Process_TCs2527[[#This Row],[TC O_5_'[%']]]+Tab_Process_TCs2527[[#This Row],[TC_O_4_'[%']]]+Tab_Process_TCs2527[[#This Row],[TC_O_3_'[%']]]+Tab_Process_TCs2527[[#This Row],[TC_O_2_'[%']]]+Tab_Process_TCs2527[[#This Row],[TC_O_1_'[%']]]</f>
        <v/>
      </c>
      <c r="BH141" s="273" t="n"/>
      <c r="BI141" s="273" t="n"/>
      <c r="BJ141" s="273" t="n"/>
      <c r="BK141" s="273" t="n"/>
      <c r="BL141" s="273" t="n"/>
    </row>
    <row r="142">
      <c r="A142" s="280" t="b">
        <v>0</v>
      </c>
      <c r="B142" s="272">
        <f>ROW()-1</f>
        <v/>
      </c>
      <c r="C142" s="286">
        <f>_xlfn.XLOOKUP($D142,Tab_Process_TCs[Name(EN)],Tab_Process_TCs[Process_ID],,0,)</f>
        <v/>
      </c>
      <c r="D142" s="189" t="inlineStr">
        <is>
          <t>N.A.</t>
        </is>
      </c>
      <c r="E142" s="189" t="inlineStr">
        <is>
          <t>N.A.</t>
        </is>
      </c>
      <c r="F142" s="286">
        <f>_xlfn.XLOOKUP($D142,Tab_Process_TCs[Name(EN)],Tab_Process_TCs[TC?],,0,)</f>
        <v/>
      </c>
      <c r="G142" s="286">
        <f>_xlfn.XLOOKUP($D142,Tab_Process_TCs[Name(EN)],Tab_Process_TCs[Dyn_TC?],,0,)</f>
        <v/>
      </c>
      <c r="H142" s="272">
        <f>_xlfn.XLOOKUP($E142,Tab_Def_Flows[Name(EN)],Tab_Def_Flows[Flow_ID],,0,1)</f>
        <v/>
      </c>
      <c r="I142" s="272">
        <f>IF(Tab_Process_TCs2527[[#This Row],[Name(EN)]]="N.A.","N.A.","TC"&amp;"_"&amp;RIGHT(H142,5))</f>
        <v/>
      </c>
      <c r="J142" s="273" t="n"/>
      <c r="K142" s="56" t="n"/>
      <c r="L142" s="272" t="n"/>
      <c r="M142" s="296">
        <f>_xlfn.XLOOKUP($D142,Tab_Def_Processes[Name(EN)],Tab_Def_Processes[Input_Flow_I_1],,0,)</f>
        <v/>
      </c>
      <c r="N142" s="272">
        <f>_xlfn.XLOOKUP($D142,Tab_Def_Processes[Name(EN)],Tab_Def_Processes[Flow_ID_I_1],,0,)</f>
        <v/>
      </c>
      <c r="O142" s="181" t="n"/>
      <c r="P142" s="29">
        <f>_xlfn.XLOOKUP($D142,Tab_Def_Processes[Name(EN)],Tab_Def_Processes[Input_Flow_I_2],,0,)</f>
        <v/>
      </c>
      <c r="Q142" s="272">
        <f>_xlfn.XLOOKUP($D142,Tab_Def_Processes[Name(EN)],Tab_Def_Processes[Flow_ID_I_2],,0,)</f>
        <v/>
      </c>
      <c r="R142" s="181" t="n"/>
      <c r="S142" s="29">
        <f>_xlfn.XLOOKUP($D142,Tab_Def_Processes[Name(EN)],Tab_Def_Processes[Input_Flow_I_3],,0,)</f>
        <v/>
      </c>
      <c r="T142" s="272">
        <f>_xlfn.XLOOKUP($D142,Tab_Def_Processes[Name(EN)],Tab_Def_Processes[Flow_ID_I_3],,0,)</f>
        <v/>
      </c>
      <c r="U142" s="181" t="n"/>
      <c r="V142" s="29">
        <f>_xlfn.XLOOKUP($D142,Tab_Def_Processes[Name(EN)],Tab_Def_Processes[Input_Flow_I_4],,0,)</f>
        <v/>
      </c>
      <c r="W142" s="272">
        <f>_xlfn.XLOOKUP($D142,Tab_Def_Processes[Name(EN)],Tab_Def_Processes[Flow_ID_I_4],,0,)</f>
        <v/>
      </c>
      <c r="X142" s="181" t="n"/>
      <c r="Y142" s="29">
        <f>_xlfn.XLOOKUP($D142,Tab_Def_Processes[Name(EN)],Tab_Def_Processes[Input_Flow_I_5],,0,)</f>
        <v/>
      </c>
      <c r="Z142" s="272">
        <f>_xlfn.XLOOKUP($D142,Tab_Def_Processes[Name(EN)],Tab_Def_Processes[Flow_ID_I_5],,0,)</f>
        <v/>
      </c>
      <c r="AA142" s="181" t="n"/>
      <c r="AB142" s="32">
        <f>Tab_Process_TCs2527[[#This Row],[Flow_TC_I_1_'[%']]]+Tab_Process_TCs2527[[#This Row],[Flow_TC_I_2_'[%']]]+Tab_Process_TCs2527[[#This Row],[Flow_TC_I_3_'[%']]]+Tab_Process_TCs2527[[#This Row],[Flow_TC_I_4_'[%']]]+Tab_Process_TCs2527[[#This Row],[Flow_TC_I_5_'[%']]]</f>
        <v/>
      </c>
      <c r="AC142" s="296">
        <f>_xlfn.XLOOKUP($D142,#REF!,#REF!,,0,)</f>
        <v/>
      </c>
      <c r="AD142" s="272">
        <f>_xlfn.XLOOKUP($D142,#REF!,#REF!,,0,)</f>
        <v/>
      </c>
      <c r="AE142" s="42">
        <f>Tab_Process_TCs2527[[#This Row],[Flow_ID]]</f>
        <v/>
      </c>
      <c r="AF142" s="272">
        <f>"TC"&amp;"_"&amp;RIGHT(AD142,5)</f>
        <v/>
      </c>
      <c r="AG142" s="170" t="n">
        <v>0.2</v>
      </c>
      <c r="AH142" s="296">
        <f>_xlfn.XLOOKUP($D142,#REF!,#REF!,,0,)</f>
        <v/>
      </c>
      <c r="AI142" s="272">
        <f>_xlfn.XLOOKUP($D142,#REF!,#REF!,,0,)</f>
        <v/>
      </c>
      <c r="AJ142" s="42">
        <f>Tab_Process_TCs2527[[#This Row],[Flow_ID]]</f>
        <v/>
      </c>
      <c r="AK142" s="272">
        <f>"TC"&amp;"_"&amp;RIGHT(AI142,5)</f>
        <v/>
      </c>
      <c r="AL142" s="168" t="n">
        <v>0.8</v>
      </c>
      <c r="AM142" s="296">
        <f>_xlfn.XLOOKUP($D142,#REF!,#REF!,,0,)</f>
        <v/>
      </c>
      <c r="AN142" s="272">
        <f>_xlfn.XLOOKUP($D142,#REF!,#REF!,,0,)</f>
        <v/>
      </c>
      <c r="AO142" s="42">
        <f>Tab_Process_TCs2527[[#This Row],[Flow_ID]]</f>
        <v/>
      </c>
      <c r="AP142" s="272">
        <f>"TC"&amp;"_"&amp;RIGHT(AN142,5)</f>
        <v/>
      </c>
      <c r="AQ142" s="168" t="n"/>
      <c r="AR142" s="296">
        <f>_xlfn.XLOOKUP($D142,#REF!,#REF!,,0,)</f>
        <v/>
      </c>
      <c r="AS142" s="272">
        <f>_xlfn.XLOOKUP($D142,#REF!,#REF!,,0,)</f>
        <v/>
      </c>
      <c r="AT142" s="42">
        <f>Tab_Process_TCs2527[[#This Row],[Flow_ID]]</f>
        <v/>
      </c>
      <c r="AU142" s="42">
        <f>"TC"&amp;"_"&amp;RIGHT(AN142,5)</f>
        <v/>
      </c>
      <c r="AV142" s="168" t="n"/>
      <c r="AW142" s="296">
        <f>_xlfn.XLOOKUP($D142,#REF!,#REF!,,0,)</f>
        <v/>
      </c>
      <c r="AX142" s="272">
        <f>_xlfn.XLOOKUP($D142,#REF!,#REF!,,0,)</f>
        <v/>
      </c>
      <c r="AY142" s="42">
        <f>Tab_Process_TCs2527[[#This Row],[Flow_ID]]</f>
        <v/>
      </c>
      <c r="AZ142" s="42">
        <f>"TC"&amp;"_"&amp;RIGHT(AX142,5)</f>
        <v/>
      </c>
      <c r="BA142" s="168" t="n"/>
      <c r="BB142" s="272">
        <f>_xlfn.XLOOKUP($D142,#REF!,#REF!,,0,)</f>
        <v/>
      </c>
      <c r="BC142" s="272">
        <f>_xlfn.XLOOKUP($D142,#REF!,#REF!,,0,)</f>
        <v/>
      </c>
      <c r="BD142" s="42">
        <f>Tab_Process_TCs2527[[#This Row],[Flow_ID]]</f>
        <v/>
      </c>
      <c r="BE142" s="42">
        <f>"TC"&amp;"_"&amp;RIGHT(BC142,5)</f>
        <v/>
      </c>
      <c r="BF142" s="49" t="n"/>
      <c r="BG142" s="52">
        <f>Tab_Process_TCs2527[[#This Row],[TC O_6_'[%']]]+Tab_Process_TCs2527[[#This Row],[TC O_5_'[%']]]+Tab_Process_TCs2527[[#This Row],[TC_O_4_'[%']]]+Tab_Process_TCs2527[[#This Row],[TC_O_3_'[%']]]+Tab_Process_TCs2527[[#This Row],[TC_O_2_'[%']]]+Tab_Process_TCs2527[[#This Row],[TC_O_1_'[%']]]</f>
        <v/>
      </c>
      <c r="BH142" s="273" t="n"/>
      <c r="BI142" s="273" t="n"/>
      <c r="BJ142" s="273" t="n"/>
      <c r="BK142" s="273" t="n"/>
      <c r="BL142" s="273" t="n"/>
    </row>
    <row r="143">
      <c r="A143" s="280" t="b">
        <v>0</v>
      </c>
      <c r="B143" s="272">
        <f>ROW()-1</f>
        <v/>
      </c>
      <c r="C143" s="286">
        <f>_xlfn.XLOOKUP($D143,Tab_Process_TCs[Name(EN)],Tab_Process_TCs[Process_ID],,0,)</f>
        <v/>
      </c>
      <c r="D143" s="189" t="inlineStr">
        <is>
          <t>N.A.</t>
        </is>
      </c>
      <c r="E143" s="189" t="inlineStr">
        <is>
          <t>N.A.</t>
        </is>
      </c>
      <c r="F143" s="286">
        <f>_xlfn.XLOOKUP($D143,Tab_Process_TCs[Name(EN)],Tab_Process_TCs[TC?],,0,)</f>
        <v/>
      </c>
      <c r="G143" s="286">
        <f>_xlfn.XLOOKUP($D143,Tab_Process_TCs[Name(EN)],Tab_Process_TCs[Dyn_TC?],,0,)</f>
        <v/>
      </c>
      <c r="H143" s="272">
        <f>_xlfn.XLOOKUP($E143,Tab_Def_Flows[Name(EN)],Tab_Def_Flows[Flow_ID],,0,1)</f>
        <v/>
      </c>
      <c r="I143" s="272">
        <f>IF(Tab_Process_TCs2527[[#This Row],[Name(EN)]]="N.A.","N.A.","TC"&amp;"_"&amp;RIGHT(H143,5))</f>
        <v/>
      </c>
      <c r="J143" s="273" t="n"/>
      <c r="K143" s="56" t="n"/>
      <c r="L143" s="272" t="n"/>
      <c r="M143" s="296">
        <f>_xlfn.XLOOKUP($D143,Tab_Def_Processes[Name(EN)],Tab_Def_Processes[Input_Flow_I_1],,0,)</f>
        <v/>
      </c>
      <c r="N143" s="272">
        <f>_xlfn.XLOOKUP($D143,Tab_Def_Processes[Name(EN)],Tab_Def_Processes[Flow_ID_I_1],,0,)</f>
        <v/>
      </c>
      <c r="O143" s="181" t="n"/>
      <c r="P143" s="29">
        <f>_xlfn.XLOOKUP($D143,Tab_Def_Processes[Name(EN)],Tab_Def_Processes[Input_Flow_I_2],,0,)</f>
        <v/>
      </c>
      <c r="Q143" s="272">
        <f>_xlfn.XLOOKUP($D143,Tab_Def_Processes[Name(EN)],Tab_Def_Processes[Flow_ID_I_2],,0,)</f>
        <v/>
      </c>
      <c r="R143" s="181" t="n"/>
      <c r="S143" s="29">
        <f>_xlfn.XLOOKUP($D143,Tab_Def_Processes[Name(EN)],Tab_Def_Processes[Input_Flow_I_3],,0,)</f>
        <v/>
      </c>
      <c r="T143" s="272">
        <f>_xlfn.XLOOKUP($D143,Tab_Def_Processes[Name(EN)],Tab_Def_Processes[Flow_ID_I_3],,0,)</f>
        <v/>
      </c>
      <c r="U143" s="181" t="n"/>
      <c r="V143" s="29">
        <f>_xlfn.XLOOKUP($D143,Tab_Def_Processes[Name(EN)],Tab_Def_Processes[Input_Flow_I_4],,0,)</f>
        <v/>
      </c>
      <c r="W143" s="272">
        <f>_xlfn.XLOOKUP($D143,Tab_Def_Processes[Name(EN)],Tab_Def_Processes[Flow_ID_I_4],,0,)</f>
        <v/>
      </c>
      <c r="X143" s="181" t="n"/>
      <c r="Y143" s="29">
        <f>_xlfn.XLOOKUP($D143,Tab_Def_Processes[Name(EN)],Tab_Def_Processes[Input_Flow_I_5],,0,)</f>
        <v/>
      </c>
      <c r="Z143" s="272">
        <f>_xlfn.XLOOKUP($D143,Tab_Def_Processes[Name(EN)],Tab_Def_Processes[Flow_ID_I_5],,0,)</f>
        <v/>
      </c>
      <c r="AA143" s="181" t="n"/>
      <c r="AB143" s="32">
        <f>Tab_Process_TCs2527[[#This Row],[Flow_TC_I_1_'[%']]]+Tab_Process_TCs2527[[#This Row],[Flow_TC_I_2_'[%']]]+Tab_Process_TCs2527[[#This Row],[Flow_TC_I_3_'[%']]]+Tab_Process_TCs2527[[#This Row],[Flow_TC_I_4_'[%']]]+Tab_Process_TCs2527[[#This Row],[Flow_TC_I_5_'[%']]]</f>
        <v/>
      </c>
      <c r="AC143" s="296">
        <f>_xlfn.XLOOKUP($D143,#REF!,#REF!,,0,)</f>
        <v/>
      </c>
      <c r="AD143" s="272">
        <f>_xlfn.XLOOKUP($D143,#REF!,#REF!,,0,)</f>
        <v/>
      </c>
      <c r="AE143" s="42">
        <f>Tab_Process_TCs2527[[#This Row],[Flow_ID]]</f>
        <v/>
      </c>
      <c r="AF143" s="272">
        <f>"TC"&amp;"_"&amp;RIGHT(AD143,5)</f>
        <v/>
      </c>
      <c r="AG143" s="170" t="n">
        <v>0.2</v>
      </c>
      <c r="AH143" s="296">
        <f>_xlfn.XLOOKUP($D143,#REF!,#REF!,,0,)</f>
        <v/>
      </c>
      <c r="AI143" s="272">
        <f>_xlfn.XLOOKUP($D143,#REF!,#REF!,,0,)</f>
        <v/>
      </c>
      <c r="AJ143" s="42">
        <f>Tab_Process_TCs2527[[#This Row],[Flow_ID]]</f>
        <v/>
      </c>
      <c r="AK143" s="272">
        <f>"TC"&amp;"_"&amp;RIGHT(AI143,5)</f>
        <v/>
      </c>
      <c r="AL143" s="168" t="n">
        <v>0.8</v>
      </c>
      <c r="AM143" s="296">
        <f>_xlfn.XLOOKUP($D143,#REF!,#REF!,,0,)</f>
        <v/>
      </c>
      <c r="AN143" s="272">
        <f>_xlfn.XLOOKUP($D143,#REF!,#REF!,,0,)</f>
        <v/>
      </c>
      <c r="AO143" s="42">
        <f>Tab_Process_TCs2527[[#This Row],[Flow_ID]]</f>
        <v/>
      </c>
      <c r="AP143" s="272">
        <f>"TC"&amp;"_"&amp;RIGHT(AN143,5)</f>
        <v/>
      </c>
      <c r="AQ143" s="168" t="n"/>
      <c r="AR143" s="296">
        <f>_xlfn.XLOOKUP($D143,#REF!,#REF!,,0,)</f>
        <v/>
      </c>
      <c r="AS143" s="272">
        <f>_xlfn.XLOOKUP($D143,#REF!,#REF!,,0,)</f>
        <v/>
      </c>
      <c r="AT143" s="42">
        <f>Tab_Process_TCs2527[[#This Row],[Flow_ID]]</f>
        <v/>
      </c>
      <c r="AU143" s="42">
        <f>"TC"&amp;"_"&amp;RIGHT(AN143,5)</f>
        <v/>
      </c>
      <c r="AV143" s="168" t="n"/>
      <c r="AW143" s="296">
        <f>_xlfn.XLOOKUP($D143,#REF!,#REF!,,0,)</f>
        <v/>
      </c>
      <c r="AX143" s="272">
        <f>_xlfn.XLOOKUP($D143,#REF!,#REF!,,0,)</f>
        <v/>
      </c>
      <c r="AY143" s="42">
        <f>Tab_Process_TCs2527[[#This Row],[Flow_ID]]</f>
        <v/>
      </c>
      <c r="AZ143" s="42">
        <f>"TC"&amp;"_"&amp;RIGHT(AX143,5)</f>
        <v/>
      </c>
      <c r="BA143" s="168" t="n"/>
      <c r="BB143" s="272">
        <f>_xlfn.XLOOKUP($D143,#REF!,#REF!,,0,)</f>
        <v/>
      </c>
      <c r="BC143" s="272">
        <f>_xlfn.XLOOKUP($D143,#REF!,#REF!,,0,)</f>
        <v/>
      </c>
      <c r="BD143" s="42">
        <f>Tab_Process_TCs2527[[#This Row],[Flow_ID]]</f>
        <v/>
      </c>
      <c r="BE143" s="42">
        <f>"TC"&amp;"_"&amp;RIGHT(BC143,5)</f>
        <v/>
      </c>
      <c r="BF143" s="49" t="n"/>
      <c r="BG143" s="52">
        <f>Tab_Process_TCs2527[[#This Row],[TC O_6_'[%']]]+Tab_Process_TCs2527[[#This Row],[TC O_5_'[%']]]+Tab_Process_TCs2527[[#This Row],[TC_O_4_'[%']]]+Tab_Process_TCs2527[[#This Row],[TC_O_3_'[%']]]+Tab_Process_TCs2527[[#This Row],[TC_O_2_'[%']]]+Tab_Process_TCs2527[[#This Row],[TC_O_1_'[%']]]</f>
        <v/>
      </c>
      <c r="BH143" s="273" t="n"/>
      <c r="BI143" s="273" t="n"/>
      <c r="BJ143" s="273" t="n"/>
      <c r="BK143" s="273" t="n"/>
      <c r="BL143" s="273" t="n"/>
    </row>
    <row r="144">
      <c r="A144" s="280" t="b">
        <v>0</v>
      </c>
      <c r="B144" s="272">
        <f>ROW()-1</f>
        <v/>
      </c>
      <c r="C144" s="286">
        <f>_xlfn.XLOOKUP($D144,Tab_Process_TCs[Name(EN)],Tab_Process_TCs[Process_ID],,0,)</f>
        <v/>
      </c>
      <c r="D144" s="189" t="inlineStr">
        <is>
          <t>N.A.</t>
        </is>
      </c>
      <c r="E144" s="189" t="inlineStr">
        <is>
          <t>N.A.</t>
        </is>
      </c>
      <c r="F144" s="286">
        <f>_xlfn.XLOOKUP($D144,Tab_Process_TCs[Name(EN)],Tab_Process_TCs[TC?],,0,)</f>
        <v/>
      </c>
      <c r="G144" s="286">
        <f>_xlfn.XLOOKUP($D144,Tab_Process_TCs[Name(EN)],Tab_Process_TCs[Dyn_TC?],,0,)</f>
        <v/>
      </c>
      <c r="H144" s="272">
        <f>_xlfn.XLOOKUP($E144,Tab_Def_Flows[Name(EN)],Tab_Def_Flows[Flow_ID],,0,1)</f>
        <v/>
      </c>
      <c r="I144" s="272">
        <f>IF(Tab_Process_TCs2527[[#This Row],[Name(EN)]]="N.A.","N.A.","TC"&amp;"_"&amp;RIGHT(H144,5))</f>
        <v/>
      </c>
      <c r="J144" s="273" t="n"/>
      <c r="K144" s="183" t="n"/>
      <c r="L144" s="272" t="n"/>
      <c r="M144" s="296">
        <f>_xlfn.XLOOKUP($D144,Tab_Def_Processes[Name(EN)],Tab_Def_Processes[Input_Flow_I_1],,0,)</f>
        <v/>
      </c>
      <c r="N144" s="272">
        <f>_xlfn.XLOOKUP($D144,Tab_Def_Processes[Name(EN)],Tab_Def_Processes[Flow_ID_I_1],,0,)</f>
        <v/>
      </c>
      <c r="O144" s="181" t="n"/>
      <c r="P144" s="29">
        <f>_xlfn.XLOOKUP($D144,Tab_Def_Processes[Name(EN)],Tab_Def_Processes[Input_Flow_I_2],,0,)</f>
        <v/>
      </c>
      <c r="Q144" s="272">
        <f>_xlfn.XLOOKUP($D144,Tab_Def_Processes[Name(EN)],Tab_Def_Processes[Flow_ID_I_2],,0,)</f>
        <v/>
      </c>
      <c r="R144" s="181" t="n"/>
      <c r="S144" s="29">
        <f>_xlfn.XLOOKUP($D144,Tab_Def_Processes[Name(EN)],Tab_Def_Processes[Input_Flow_I_3],,0,)</f>
        <v/>
      </c>
      <c r="T144" s="272">
        <f>_xlfn.XLOOKUP($D144,Tab_Def_Processes[Name(EN)],Tab_Def_Processes[Flow_ID_I_3],,0,)</f>
        <v/>
      </c>
      <c r="U144" s="181" t="n"/>
      <c r="V144" s="29">
        <f>_xlfn.XLOOKUP($D144,Tab_Def_Processes[Name(EN)],Tab_Def_Processes[Input_Flow_I_4],,0,)</f>
        <v/>
      </c>
      <c r="W144" s="272">
        <f>_xlfn.XLOOKUP($D144,Tab_Def_Processes[Name(EN)],Tab_Def_Processes[Flow_ID_I_4],,0,)</f>
        <v/>
      </c>
      <c r="X144" s="181" t="n"/>
      <c r="Y144" s="29">
        <f>_xlfn.XLOOKUP($D144,Tab_Def_Processes[Name(EN)],Tab_Def_Processes[Input_Flow_I_5],,0,)</f>
        <v/>
      </c>
      <c r="Z144" s="272">
        <f>_xlfn.XLOOKUP($D144,Tab_Def_Processes[Name(EN)],Tab_Def_Processes[Flow_ID_I_5],,0,)</f>
        <v/>
      </c>
      <c r="AA144" s="181" t="n"/>
      <c r="AB144" s="32">
        <f>Tab_Process_TCs2527[[#This Row],[Flow_TC_I_1_'[%']]]+Tab_Process_TCs2527[[#This Row],[Flow_TC_I_2_'[%']]]+Tab_Process_TCs2527[[#This Row],[Flow_TC_I_3_'[%']]]+Tab_Process_TCs2527[[#This Row],[Flow_TC_I_4_'[%']]]+Tab_Process_TCs2527[[#This Row],[Flow_TC_I_5_'[%']]]</f>
        <v/>
      </c>
      <c r="AC144" s="296">
        <f>_xlfn.XLOOKUP($D144,#REF!,#REF!,,0,)</f>
        <v/>
      </c>
      <c r="AD144" s="272">
        <f>_xlfn.XLOOKUP($D144,#REF!,#REF!,,0,)</f>
        <v/>
      </c>
      <c r="AE144" s="42">
        <f>Tab_Process_TCs2527[[#This Row],[Flow_ID]]</f>
        <v/>
      </c>
      <c r="AF144" s="272">
        <f>"TC"&amp;"_"&amp;RIGHT(AD144,5)</f>
        <v/>
      </c>
      <c r="AG144" s="170" t="n">
        <v>0.2</v>
      </c>
      <c r="AH144" s="296">
        <f>_xlfn.XLOOKUP($D144,#REF!,#REF!,,0,)</f>
        <v/>
      </c>
      <c r="AI144" s="272">
        <f>_xlfn.XLOOKUP($D144,#REF!,#REF!,,0,)</f>
        <v/>
      </c>
      <c r="AJ144" s="42">
        <f>Tab_Process_TCs2527[[#This Row],[Flow_ID]]</f>
        <v/>
      </c>
      <c r="AK144" s="272">
        <f>"TC"&amp;"_"&amp;RIGHT(AI144,5)</f>
        <v/>
      </c>
      <c r="AL144" s="168" t="n">
        <v>0.8</v>
      </c>
      <c r="AM144" s="296">
        <f>_xlfn.XLOOKUP($D144,#REF!,#REF!,,0,)</f>
        <v/>
      </c>
      <c r="AN144" s="272">
        <f>_xlfn.XLOOKUP($D144,#REF!,#REF!,,0,)</f>
        <v/>
      </c>
      <c r="AO144" s="42">
        <f>Tab_Process_TCs2527[[#This Row],[Flow_ID]]</f>
        <v/>
      </c>
      <c r="AP144" s="272">
        <f>"TC"&amp;"_"&amp;RIGHT(AN144,5)</f>
        <v/>
      </c>
      <c r="AQ144" s="168" t="n"/>
      <c r="AR144" s="296">
        <f>_xlfn.XLOOKUP($D144,#REF!,#REF!,,0,)</f>
        <v/>
      </c>
      <c r="AS144" s="272">
        <f>_xlfn.XLOOKUP($D144,#REF!,#REF!,,0,)</f>
        <v/>
      </c>
      <c r="AT144" s="42">
        <f>Tab_Process_TCs2527[[#This Row],[Flow_ID]]</f>
        <v/>
      </c>
      <c r="AU144" s="42">
        <f>"TC"&amp;"_"&amp;RIGHT(AN144,5)</f>
        <v/>
      </c>
      <c r="AV144" s="168" t="n"/>
      <c r="AW144" s="296">
        <f>_xlfn.XLOOKUP($D144,#REF!,#REF!,,0,)</f>
        <v/>
      </c>
      <c r="AX144" s="272">
        <f>_xlfn.XLOOKUP($D144,#REF!,#REF!,,0,)</f>
        <v/>
      </c>
      <c r="AY144" s="42">
        <f>Tab_Process_TCs2527[[#This Row],[Flow_ID]]</f>
        <v/>
      </c>
      <c r="AZ144" s="42">
        <f>"TC"&amp;"_"&amp;RIGHT(AX144,5)</f>
        <v/>
      </c>
      <c r="BA144" s="168" t="n"/>
      <c r="BB144" s="272">
        <f>_xlfn.XLOOKUP($D144,#REF!,#REF!,,0,)</f>
        <v/>
      </c>
      <c r="BC144" s="272">
        <f>_xlfn.XLOOKUP($D144,#REF!,#REF!,,0,)</f>
        <v/>
      </c>
      <c r="BD144" s="42">
        <f>Tab_Process_TCs2527[[#This Row],[Flow_ID]]</f>
        <v/>
      </c>
      <c r="BE144" s="42">
        <f>"TC"&amp;"_"&amp;RIGHT(BC144,5)</f>
        <v/>
      </c>
      <c r="BF144" s="49" t="n"/>
      <c r="BG144" s="52">
        <f>Tab_Process_TCs2527[[#This Row],[TC O_6_'[%']]]+Tab_Process_TCs2527[[#This Row],[TC O_5_'[%']]]+Tab_Process_TCs2527[[#This Row],[TC_O_4_'[%']]]+Tab_Process_TCs2527[[#This Row],[TC_O_3_'[%']]]+Tab_Process_TCs2527[[#This Row],[TC_O_2_'[%']]]+Tab_Process_TCs2527[[#This Row],[TC_O_1_'[%']]]</f>
        <v/>
      </c>
      <c r="BH144" s="273" t="n"/>
      <c r="BI144" s="273" t="n"/>
      <c r="BJ144" s="273" t="n"/>
      <c r="BK144" s="273" t="n"/>
      <c r="BL144" s="273" t="n"/>
    </row>
    <row r="145">
      <c r="A145" s="280" t="b">
        <v>0</v>
      </c>
      <c r="B145" s="272">
        <f>ROW()-1</f>
        <v/>
      </c>
      <c r="C145" s="286">
        <f>_xlfn.XLOOKUP($D145,Tab_Process_TCs[Name(EN)],Tab_Process_TCs[Process_ID],,0,)</f>
        <v/>
      </c>
      <c r="D145" s="189" t="inlineStr">
        <is>
          <t>N.A.</t>
        </is>
      </c>
      <c r="E145" s="189" t="inlineStr">
        <is>
          <t>N.A.</t>
        </is>
      </c>
      <c r="F145" s="286">
        <f>_xlfn.XLOOKUP($D145,Tab_Process_TCs[Name(EN)],Tab_Process_TCs[TC?],,0,)</f>
        <v/>
      </c>
      <c r="G145" s="286">
        <f>_xlfn.XLOOKUP($D145,Tab_Process_TCs[Name(EN)],Tab_Process_TCs[Dyn_TC?],,0,)</f>
        <v/>
      </c>
      <c r="H145" s="272">
        <f>_xlfn.XLOOKUP($E145,Tab_Def_Flows[Name(EN)],Tab_Def_Flows[Flow_ID],,0,1)</f>
        <v/>
      </c>
      <c r="I145" s="272">
        <f>IF(Tab_Process_TCs2527[[#This Row],[Name(EN)]]="N.A.","N.A.","TC"&amp;"_"&amp;RIGHT(H145,5))</f>
        <v/>
      </c>
      <c r="J145" s="273" t="n"/>
      <c r="K145" s="183" t="n"/>
      <c r="L145" s="272" t="n"/>
      <c r="M145" s="296">
        <f>_xlfn.XLOOKUP($D145,Tab_Def_Processes[Name(EN)],Tab_Def_Processes[Input_Flow_I_1],,0,)</f>
        <v/>
      </c>
      <c r="N145" s="272">
        <f>_xlfn.XLOOKUP($D145,Tab_Def_Processes[Name(EN)],Tab_Def_Processes[Flow_ID_I_1],,0,)</f>
        <v/>
      </c>
      <c r="O145" s="181" t="n"/>
      <c r="P145" s="29">
        <f>_xlfn.XLOOKUP($D145,Tab_Def_Processes[Name(EN)],Tab_Def_Processes[Input_Flow_I_2],,0,)</f>
        <v/>
      </c>
      <c r="Q145" s="272">
        <f>_xlfn.XLOOKUP($D145,Tab_Def_Processes[Name(EN)],Tab_Def_Processes[Flow_ID_I_2],,0,)</f>
        <v/>
      </c>
      <c r="R145" s="181" t="n"/>
      <c r="S145" s="29">
        <f>_xlfn.XLOOKUP($D145,Tab_Def_Processes[Name(EN)],Tab_Def_Processes[Input_Flow_I_3],,0,)</f>
        <v/>
      </c>
      <c r="T145" s="272">
        <f>_xlfn.XLOOKUP($D145,Tab_Def_Processes[Name(EN)],Tab_Def_Processes[Flow_ID_I_3],,0,)</f>
        <v/>
      </c>
      <c r="U145" s="181" t="n"/>
      <c r="V145" s="29">
        <f>_xlfn.XLOOKUP($D145,Tab_Def_Processes[Name(EN)],Tab_Def_Processes[Input_Flow_I_4],,0,)</f>
        <v/>
      </c>
      <c r="W145" s="272">
        <f>_xlfn.XLOOKUP($D145,Tab_Def_Processes[Name(EN)],Tab_Def_Processes[Flow_ID_I_4],,0,)</f>
        <v/>
      </c>
      <c r="X145" s="181" t="n"/>
      <c r="Y145" s="29">
        <f>_xlfn.XLOOKUP($D145,Tab_Def_Processes[Name(EN)],Tab_Def_Processes[Input_Flow_I_5],,0,)</f>
        <v/>
      </c>
      <c r="Z145" s="272">
        <f>_xlfn.XLOOKUP($D145,Tab_Def_Processes[Name(EN)],Tab_Def_Processes[Flow_ID_I_5],,0,)</f>
        <v/>
      </c>
      <c r="AA145" s="181" t="n"/>
      <c r="AB145" s="32">
        <f>Tab_Process_TCs2527[[#This Row],[Flow_TC_I_1_'[%']]]+Tab_Process_TCs2527[[#This Row],[Flow_TC_I_2_'[%']]]+Tab_Process_TCs2527[[#This Row],[Flow_TC_I_3_'[%']]]+Tab_Process_TCs2527[[#This Row],[Flow_TC_I_4_'[%']]]+Tab_Process_TCs2527[[#This Row],[Flow_TC_I_5_'[%']]]</f>
        <v/>
      </c>
      <c r="AC145" s="296">
        <f>_xlfn.XLOOKUP($D145,#REF!,#REF!,,0,)</f>
        <v/>
      </c>
      <c r="AD145" s="272">
        <f>_xlfn.XLOOKUP($D145,#REF!,#REF!,,0,)</f>
        <v/>
      </c>
      <c r="AE145" s="42">
        <f>Tab_Process_TCs2527[[#This Row],[Flow_ID]]</f>
        <v/>
      </c>
      <c r="AF145" s="272">
        <f>"TC"&amp;"_"&amp;RIGHT(AD145,5)</f>
        <v/>
      </c>
      <c r="AG145" s="170" t="n">
        <v>0.2</v>
      </c>
      <c r="AH145" s="296">
        <f>_xlfn.XLOOKUP($D145,#REF!,#REF!,,0,)</f>
        <v/>
      </c>
      <c r="AI145" s="272">
        <f>_xlfn.XLOOKUP($D145,#REF!,#REF!,,0,)</f>
        <v/>
      </c>
      <c r="AJ145" s="42">
        <f>Tab_Process_TCs2527[[#This Row],[Flow_ID]]</f>
        <v/>
      </c>
      <c r="AK145" s="272">
        <f>"TC"&amp;"_"&amp;RIGHT(AI145,5)</f>
        <v/>
      </c>
      <c r="AL145" s="168" t="n">
        <v>0.8</v>
      </c>
      <c r="AM145" s="296">
        <f>_xlfn.XLOOKUP($D145,#REF!,#REF!,,0,)</f>
        <v/>
      </c>
      <c r="AN145" s="272">
        <f>_xlfn.XLOOKUP($D145,#REF!,#REF!,,0,)</f>
        <v/>
      </c>
      <c r="AO145" s="42">
        <f>Tab_Process_TCs2527[[#This Row],[Flow_ID]]</f>
        <v/>
      </c>
      <c r="AP145" s="272">
        <f>"TC"&amp;"_"&amp;RIGHT(AN145,5)</f>
        <v/>
      </c>
      <c r="AQ145" s="168" t="n"/>
      <c r="AR145" s="296">
        <f>_xlfn.XLOOKUP($D145,#REF!,#REF!,,0,)</f>
        <v/>
      </c>
      <c r="AS145" s="272">
        <f>_xlfn.XLOOKUP($D145,#REF!,#REF!,,0,)</f>
        <v/>
      </c>
      <c r="AT145" s="42">
        <f>Tab_Process_TCs2527[[#This Row],[Flow_ID]]</f>
        <v/>
      </c>
      <c r="AU145" s="42">
        <f>"TC"&amp;"_"&amp;RIGHT(AN145,5)</f>
        <v/>
      </c>
      <c r="AV145" s="168" t="n"/>
      <c r="AW145" s="296">
        <f>_xlfn.XLOOKUP($D145,#REF!,#REF!,,0,)</f>
        <v/>
      </c>
      <c r="AX145" s="272">
        <f>_xlfn.XLOOKUP($D145,#REF!,#REF!,,0,)</f>
        <v/>
      </c>
      <c r="AY145" s="42">
        <f>Tab_Process_TCs2527[[#This Row],[Flow_ID]]</f>
        <v/>
      </c>
      <c r="AZ145" s="42">
        <f>"TC"&amp;"_"&amp;RIGHT(AX145,5)</f>
        <v/>
      </c>
      <c r="BA145" s="168" t="n"/>
      <c r="BB145" s="272">
        <f>_xlfn.XLOOKUP($D145,#REF!,#REF!,,0,)</f>
        <v/>
      </c>
      <c r="BC145" s="272">
        <f>_xlfn.XLOOKUP($D145,#REF!,#REF!,,0,)</f>
        <v/>
      </c>
      <c r="BD145" s="42">
        <f>Tab_Process_TCs2527[[#This Row],[Flow_ID]]</f>
        <v/>
      </c>
      <c r="BE145" s="42">
        <f>"TC"&amp;"_"&amp;RIGHT(BC145,5)</f>
        <v/>
      </c>
      <c r="BF145" s="49" t="n"/>
      <c r="BG145" s="52">
        <f>Tab_Process_TCs2527[[#This Row],[TC O_6_'[%']]]+Tab_Process_TCs2527[[#This Row],[TC O_5_'[%']]]+Tab_Process_TCs2527[[#This Row],[TC_O_4_'[%']]]+Tab_Process_TCs2527[[#This Row],[TC_O_3_'[%']]]+Tab_Process_TCs2527[[#This Row],[TC_O_2_'[%']]]+Tab_Process_TCs2527[[#This Row],[TC_O_1_'[%']]]</f>
        <v/>
      </c>
      <c r="BH145" s="273" t="n"/>
      <c r="BI145" s="273" t="n"/>
      <c r="BJ145" s="273" t="n"/>
      <c r="BK145" s="273" t="n"/>
      <c r="BL145" s="273" t="n"/>
    </row>
    <row r="146">
      <c r="A146" s="280" t="b">
        <v>0</v>
      </c>
      <c r="B146" s="272">
        <f>ROW()-1</f>
        <v/>
      </c>
      <c r="C146" s="286">
        <f>_xlfn.XLOOKUP($D146,Tab_Process_TCs[Name(EN)],Tab_Process_TCs[Process_ID],,0,)</f>
        <v/>
      </c>
      <c r="D146" s="189" t="inlineStr">
        <is>
          <t>N.A.</t>
        </is>
      </c>
      <c r="E146" s="189" t="inlineStr">
        <is>
          <t>N.A.</t>
        </is>
      </c>
      <c r="F146" s="286">
        <f>_xlfn.XLOOKUP($D146,Tab_Process_TCs[Name(EN)],Tab_Process_TCs[TC?],,0,)</f>
        <v/>
      </c>
      <c r="G146" s="286">
        <f>_xlfn.XLOOKUP($D146,Tab_Process_TCs[Name(EN)],Tab_Process_TCs[Dyn_TC?],,0,)</f>
        <v/>
      </c>
      <c r="H146" s="272">
        <f>_xlfn.XLOOKUP($E146,Tab_Def_Flows[Name(EN)],Tab_Def_Flows[Flow_ID],,0,1)</f>
        <v/>
      </c>
      <c r="I146" s="272">
        <f>IF(Tab_Process_TCs2527[[#This Row],[Name(EN)]]="N.A.","N.A.","TC"&amp;"_"&amp;RIGHT(H146,5))</f>
        <v/>
      </c>
      <c r="J146" s="273" t="n"/>
      <c r="K146" s="183" t="n"/>
      <c r="L146" s="272" t="n"/>
      <c r="M146" s="296">
        <f>_xlfn.XLOOKUP($D146,Tab_Def_Processes[Name(EN)],Tab_Def_Processes[Input_Flow_I_1],,0,)</f>
        <v/>
      </c>
      <c r="N146" s="272">
        <f>_xlfn.XLOOKUP($D146,Tab_Def_Processes[Name(EN)],Tab_Def_Processes[Flow_ID_I_1],,0,)</f>
        <v/>
      </c>
      <c r="O146" s="181" t="n"/>
      <c r="P146" s="29">
        <f>_xlfn.XLOOKUP($D146,Tab_Def_Processes[Name(EN)],Tab_Def_Processes[Input_Flow_I_2],,0,)</f>
        <v/>
      </c>
      <c r="Q146" s="272">
        <f>_xlfn.XLOOKUP($D146,Tab_Def_Processes[Name(EN)],Tab_Def_Processes[Flow_ID_I_2],,0,)</f>
        <v/>
      </c>
      <c r="R146" s="181" t="n"/>
      <c r="S146" s="29">
        <f>_xlfn.XLOOKUP($D146,Tab_Def_Processes[Name(EN)],Tab_Def_Processes[Input_Flow_I_3],,0,)</f>
        <v/>
      </c>
      <c r="T146" s="272">
        <f>_xlfn.XLOOKUP($D146,Tab_Def_Processes[Name(EN)],Tab_Def_Processes[Flow_ID_I_3],,0,)</f>
        <v/>
      </c>
      <c r="U146" s="181" t="n"/>
      <c r="V146" s="29">
        <f>_xlfn.XLOOKUP($D146,Tab_Def_Processes[Name(EN)],Tab_Def_Processes[Input_Flow_I_4],,0,)</f>
        <v/>
      </c>
      <c r="W146" s="272">
        <f>_xlfn.XLOOKUP($D146,Tab_Def_Processes[Name(EN)],Tab_Def_Processes[Flow_ID_I_4],,0,)</f>
        <v/>
      </c>
      <c r="X146" s="181" t="n"/>
      <c r="Y146" s="29">
        <f>_xlfn.XLOOKUP($D146,Tab_Def_Processes[Name(EN)],Tab_Def_Processes[Input_Flow_I_5],,0,)</f>
        <v/>
      </c>
      <c r="Z146" s="272">
        <f>_xlfn.XLOOKUP($D146,Tab_Def_Processes[Name(EN)],Tab_Def_Processes[Flow_ID_I_5],,0,)</f>
        <v/>
      </c>
      <c r="AA146" s="181" t="n"/>
      <c r="AB146" s="32">
        <f>Tab_Process_TCs2527[[#This Row],[Flow_TC_I_1_'[%']]]+Tab_Process_TCs2527[[#This Row],[Flow_TC_I_2_'[%']]]+Tab_Process_TCs2527[[#This Row],[Flow_TC_I_3_'[%']]]+Tab_Process_TCs2527[[#This Row],[Flow_TC_I_4_'[%']]]+Tab_Process_TCs2527[[#This Row],[Flow_TC_I_5_'[%']]]</f>
        <v/>
      </c>
      <c r="AC146" s="296">
        <f>_xlfn.XLOOKUP($D146,#REF!,#REF!,,0,)</f>
        <v/>
      </c>
      <c r="AD146" s="272">
        <f>_xlfn.XLOOKUP($D146,#REF!,#REF!,,0,)</f>
        <v/>
      </c>
      <c r="AE146" s="42">
        <f>Tab_Process_TCs2527[[#This Row],[Flow_ID]]</f>
        <v/>
      </c>
      <c r="AF146" s="272">
        <f>"TC"&amp;"_"&amp;RIGHT(AD146,5)</f>
        <v/>
      </c>
      <c r="AG146" s="170" t="n">
        <v>0.2</v>
      </c>
      <c r="AH146" s="296">
        <f>_xlfn.XLOOKUP($D146,#REF!,#REF!,,0,)</f>
        <v/>
      </c>
      <c r="AI146" s="272">
        <f>_xlfn.XLOOKUP($D146,#REF!,#REF!,,0,)</f>
        <v/>
      </c>
      <c r="AJ146" s="42">
        <f>Tab_Process_TCs2527[[#This Row],[Flow_ID]]</f>
        <v/>
      </c>
      <c r="AK146" s="272">
        <f>"TC"&amp;"_"&amp;RIGHT(AI146,5)</f>
        <v/>
      </c>
      <c r="AL146" s="168" t="n">
        <v>0.8</v>
      </c>
      <c r="AM146" s="296">
        <f>_xlfn.XLOOKUP($D146,#REF!,#REF!,,0,)</f>
        <v/>
      </c>
      <c r="AN146" s="272">
        <f>_xlfn.XLOOKUP($D146,#REF!,#REF!,,0,)</f>
        <v/>
      </c>
      <c r="AO146" s="42">
        <f>Tab_Process_TCs2527[[#This Row],[Flow_ID]]</f>
        <v/>
      </c>
      <c r="AP146" s="272">
        <f>"TC"&amp;"_"&amp;RIGHT(AN146,5)</f>
        <v/>
      </c>
      <c r="AQ146" s="168" t="n"/>
      <c r="AR146" s="296">
        <f>_xlfn.XLOOKUP($D146,#REF!,#REF!,,0,)</f>
        <v/>
      </c>
      <c r="AS146" s="272">
        <f>_xlfn.XLOOKUP($D146,#REF!,#REF!,,0,)</f>
        <v/>
      </c>
      <c r="AT146" s="42">
        <f>Tab_Process_TCs2527[[#This Row],[Flow_ID]]</f>
        <v/>
      </c>
      <c r="AU146" s="42">
        <f>"TC"&amp;"_"&amp;RIGHT(AN146,5)</f>
        <v/>
      </c>
      <c r="AV146" s="168" t="n"/>
      <c r="AW146" s="296">
        <f>_xlfn.XLOOKUP($D146,#REF!,#REF!,,0,)</f>
        <v/>
      </c>
      <c r="AX146" s="272">
        <f>_xlfn.XLOOKUP($D146,#REF!,#REF!,,0,)</f>
        <v/>
      </c>
      <c r="AY146" s="42">
        <f>Tab_Process_TCs2527[[#This Row],[Flow_ID]]</f>
        <v/>
      </c>
      <c r="AZ146" s="42">
        <f>"TC"&amp;"_"&amp;RIGHT(AX146,5)</f>
        <v/>
      </c>
      <c r="BA146" s="168" t="n"/>
      <c r="BB146" s="272">
        <f>_xlfn.XLOOKUP($D146,#REF!,#REF!,,0,)</f>
        <v/>
      </c>
      <c r="BC146" s="272">
        <f>_xlfn.XLOOKUP($D146,#REF!,#REF!,,0,)</f>
        <v/>
      </c>
      <c r="BD146" s="42">
        <f>Tab_Process_TCs2527[[#This Row],[Flow_ID]]</f>
        <v/>
      </c>
      <c r="BE146" s="42">
        <f>"TC"&amp;"_"&amp;RIGHT(BC146,5)</f>
        <v/>
      </c>
      <c r="BF146" s="49" t="n"/>
      <c r="BG146" s="52">
        <f>Tab_Process_TCs2527[[#This Row],[TC O_6_'[%']]]+Tab_Process_TCs2527[[#This Row],[TC O_5_'[%']]]+Tab_Process_TCs2527[[#This Row],[TC_O_4_'[%']]]+Tab_Process_TCs2527[[#This Row],[TC_O_3_'[%']]]+Tab_Process_TCs2527[[#This Row],[TC_O_2_'[%']]]+Tab_Process_TCs2527[[#This Row],[TC_O_1_'[%']]]</f>
        <v/>
      </c>
      <c r="BH146" s="273" t="n"/>
      <c r="BI146" s="273" t="n"/>
      <c r="BJ146" s="273" t="n"/>
      <c r="BK146" s="273" t="n"/>
      <c r="BL146" s="273" t="n"/>
    </row>
    <row r="147">
      <c r="A147" s="280" t="b">
        <v>0</v>
      </c>
      <c r="B147" s="272">
        <f>ROW()-1</f>
        <v/>
      </c>
      <c r="C147" s="286">
        <f>_xlfn.XLOOKUP($D147,Tab_Process_TCs[Name(EN)],Tab_Process_TCs[Process_ID],,0,)</f>
        <v/>
      </c>
      <c r="D147" s="189" t="inlineStr">
        <is>
          <t>N.A.</t>
        </is>
      </c>
      <c r="E147" s="189" t="inlineStr">
        <is>
          <t>N.A.</t>
        </is>
      </c>
      <c r="F147" s="286">
        <f>_xlfn.XLOOKUP($D147,Tab_Process_TCs[Name(EN)],Tab_Process_TCs[TC?],,0,)</f>
        <v/>
      </c>
      <c r="G147" s="286">
        <f>_xlfn.XLOOKUP($D147,Tab_Process_TCs[Name(EN)],Tab_Process_TCs[Dyn_TC?],,0,)</f>
        <v/>
      </c>
      <c r="H147" s="272">
        <f>_xlfn.XLOOKUP($E147,Tab_Def_Flows[Name(EN)],Tab_Def_Flows[Flow_ID],,0,1)</f>
        <v/>
      </c>
      <c r="I147" s="272">
        <f>IF(Tab_Process_TCs2527[[#This Row],[Name(EN)]]="N.A.","N.A.","TC"&amp;"_"&amp;RIGHT(H147,5))</f>
        <v/>
      </c>
      <c r="J147" s="273" t="n"/>
      <c r="K147" s="56" t="n"/>
      <c r="L147" s="272" t="n"/>
      <c r="M147" s="296">
        <f>_xlfn.XLOOKUP($D147,Tab_Def_Processes[Name(EN)],Tab_Def_Processes[Input_Flow_I_1],,0,)</f>
        <v/>
      </c>
      <c r="N147" s="272">
        <f>_xlfn.XLOOKUP($D147,Tab_Def_Processes[Name(EN)],Tab_Def_Processes[Flow_ID_I_1],,0,)</f>
        <v/>
      </c>
      <c r="O147" s="181" t="n"/>
      <c r="P147" s="29">
        <f>_xlfn.XLOOKUP($D147,Tab_Def_Processes[Name(EN)],Tab_Def_Processes[Input_Flow_I_2],,0,)</f>
        <v/>
      </c>
      <c r="Q147" s="272">
        <f>_xlfn.XLOOKUP($D147,Tab_Def_Processes[Name(EN)],Tab_Def_Processes[Flow_ID_I_2],,0,)</f>
        <v/>
      </c>
      <c r="R147" s="181" t="n"/>
      <c r="S147" s="29">
        <f>_xlfn.XLOOKUP($D147,Tab_Def_Processes[Name(EN)],Tab_Def_Processes[Input_Flow_I_3],,0,)</f>
        <v/>
      </c>
      <c r="T147" s="272">
        <f>_xlfn.XLOOKUP($D147,Tab_Def_Processes[Name(EN)],Tab_Def_Processes[Flow_ID_I_3],,0,)</f>
        <v/>
      </c>
      <c r="U147" s="181" t="n"/>
      <c r="V147" s="29">
        <f>_xlfn.XLOOKUP($D147,Tab_Def_Processes[Name(EN)],Tab_Def_Processes[Input_Flow_I_4],,0,)</f>
        <v/>
      </c>
      <c r="W147" s="272">
        <f>_xlfn.XLOOKUP($D147,Tab_Def_Processes[Name(EN)],Tab_Def_Processes[Flow_ID_I_4],,0,)</f>
        <v/>
      </c>
      <c r="X147" s="181" t="n"/>
      <c r="Y147" s="29">
        <f>_xlfn.XLOOKUP($D147,Tab_Def_Processes[Name(EN)],Tab_Def_Processes[Input_Flow_I_5],,0,)</f>
        <v/>
      </c>
      <c r="Z147" s="272">
        <f>_xlfn.XLOOKUP($D147,Tab_Def_Processes[Name(EN)],Tab_Def_Processes[Flow_ID_I_5],,0,)</f>
        <v/>
      </c>
      <c r="AA147" s="181" t="n"/>
      <c r="AB147" s="32">
        <f>Tab_Process_TCs2527[[#This Row],[Flow_TC_I_1_'[%']]]+Tab_Process_TCs2527[[#This Row],[Flow_TC_I_2_'[%']]]+Tab_Process_TCs2527[[#This Row],[Flow_TC_I_3_'[%']]]+Tab_Process_TCs2527[[#This Row],[Flow_TC_I_4_'[%']]]+Tab_Process_TCs2527[[#This Row],[Flow_TC_I_5_'[%']]]</f>
        <v/>
      </c>
      <c r="AC147" s="296">
        <f>_xlfn.XLOOKUP($D147,#REF!,#REF!,,0,)</f>
        <v/>
      </c>
      <c r="AD147" s="272">
        <f>_xlfn.XLOOKUP($D147,#REF!,#REF!,,0,)</f>
        <v/>
      </c>
      <c r="AE147" s="42">
        <f>Tab_Process_TCs2527[[#This Row],[Flow_ID]]</f>
        <v/>
      </c>
      <c r="AF147" s="272">
        <f>"TC"&amp;"_"&amp;RIGHT(AD147,5)</f>
        <v/>
      </c>
      <c r="AG147" s="170" t="n">
        <v>0.2</v>
      </c>
      <c r="AH147" s="296">
        <f>_xlfn.XLOOKUP($D147,#REF!,#REF!,,0,)</f>
        <v/>
      </c>
      <c r="AI147" s="272">
        <f>_xlfn.XLOOKUP($D147,#REF!,#REF!,,0,)</f>
        <v/>
      </c>
      <c r="AJ147" s="42">
        <f>Tab_Process_TCs2527[[#This Row],[Flow_ID]]</f>
        <v/>
      </c>
      <c r="AK147" s="272">
        <f>"TC"&amp;"_"&amp;RIGHT(AI147,5)</f>
        <v/>
      </c>
      <c r="AL147" s="168" t="n">
        <v>0.8</v>
      </c>
      <c r="AM147" s="296">
        <f>_xlfn.XLOOKUP($D147,#REF!,#REF!,,0,)</f>
        <v/>
      </c>
      <c r="AN147" s="272">
        <f>_xlfn.XLOOKUP($D147,#REF!,#REF!,,0,)</f>
        <v/>
      </c>
      <c r="AO147" s="42">
        <f>Tab_Process_TCs2527[[#This Row],[Flow_ID]]</f>
        <v/>
      </c>
      <c r="AP147" s="272">
        <f>"TC"&amp;"_"&amp;RIGHT(AN147,5)</f>
        <v/>
      </c>
      <c r="AQ147" s="168" t="n"/>
      <c r="AR147" s="296">
        <f>_xlfn.XLOOKUP($D147,#REF!,#REF!,,0,)</f>
        <v/>
      </c>
      <c r="AS147" s="272">
        <f>_xlfn.XLOOKUP($D147,#REF!,#REF!,,0,)</f>
        <v/>
      </c>
      <c r="AT147" s="42">
        <f>Tab_Process_TCs2527[[#This Row],[Flow_ID]]</f>
        <v/>
      </c>
      <c r="AU147" s="42">
        <f>"TC"&amp;"_"&amp;RIGHT(AN147,5)</f>
        <v/>
      </c>
      <c r="AV147" s="168" t="n"/>
      <c r="AW147" s="296">
        <f>_xlfn.XLOOKUP($D147,#REF!,#REF!,,0,)</f>
        <v/>
      </c>
      <c r="AX147" s="272">
        <f>_xlfn.XLOOKUP($D147,#REF!,#REF!,,0,)</f>
        <v/>
      </c>
      <c r="AY147" s="42">
        <f>Tab_Process_TCs2527[[#This Row],[Flow_ID]]</f>
        <v/>
      </c>
      <c r="AZ147" s="42">
        <f>"TC"&amp;"_"&amp;RIGHT(AX147,5)</f>
        <v/>
      </c>
      <c r="BA147" s="168" t="n"/>
      <c r="BB147" s="272">
        <f>_xlfn.XLOOKUP($D147,#REF!,#REF!,,0,)</f>
        <v/>
      </c>
      <c r="BC147" s="272">
        <f>_xlfn.XLOOKUP($D147,#REF!,#REF!,,0,)</f>
        <v/>
      </c>
      <c r="BD147" s="42">
        <f>Tab_Process_TCs2527[[#This Row],[Flow_ID]]</f>
        <v/>
      </c>
      <c r="BE147" s="42">
        <f>"TC"&amp;"_"&amp;RIGHT(BC147,5)</f>
        <v/>
      </c>
      <c r="BF147" s="49" t="n"/>
      <c r="BG147" s="52">
        <f>Tab_Process_TCs2527[[#This Row],[TC O_6_'[%']]]+Tab_Process_TCs2527[[#This Row],[TC O_5_'[%']]]+Tab_Process_TCs2527[[#This Row],[TC_O_4_'[%']]]+Tab_Process_TCs2527[[#This Row],[TC_O_3_'[%']]]+Tab_Process_TCs2527[[#This Row],[TC_O_2_'[%']]]+Tab_Process_TCs2527[[#This Row],[TC_O_1_'[%']]]</f>
        <v/>
      </c>
      <c r="BH147" s="273" t="n"/>
      <c r="BI147" s="273" t="n"/>
      <c r="BJ147" s="273" t="n"/>
      <c r="BK147" s="273" t="n"/>
      <c r="BL147" s="273" t="n"/>
    </row>
    <row r="148">
      <c r="A148" s="280" t="b">
        <v>0</v>
      </c>
      <c r="B148" s="272">
        <f>ROW()-1</f>
        <v/>
      </c>
      <c r="C148" s="286">
        <f>_xlfn.XLOOKUP($D148,Tab_Process_TCs[Name(EN)],Tab_Process_TCs[Process_ID],,0,)</f>
        <v/>
      </c>
      <c r="D148" s="189" t="inlineStr">
        <is>
          <t>N.A.</t>
        </is>
      </c>
      <c r="E148" s="189" t="inlineStr">
        <is>
          <t>N.A.</t>
        </is>
      </c>
      <c r="F148" s="286">
        <f>_xlfn.XLOOKUP($D148,Tab_Process_TCs[Name(EN)],Tab_Process_TCs[TC?],,0,)</f>
        <v/>
      </c>
      <c r="G148" s="286">
        <f>_xlfn.XLOOKUP($D148,Tab_Process_TCs[Name(EN)],Tab_Process_TCs[Dyn_TC?],,0,)</f>
        <v/>
      </c>
      <c r="H148" s="272">
        <f>_xlfn.XLOOKUP($E148,Tab_Def_Flows[Name(EN)],Tab_Def_Flows[Flow_ID],,0,1)</f>
        <v/>
      </c>
      <c r="I148" s="272">
        <f>IF(Tab_Process_TCs2527[[#This Row],[Name(EN)]]="N.A.","N.A.","TC"&amp;"_"&amp;RIGHT(H148,5))</f>
        <v/>
      </c>
      <c r="J148" s="273" t="n"/>
      <c r="K148" s="56" t="n"/>
      <c r="L148" s="272" t="n"/>
      <c r="M148" s="296">
        <f>_xlfn.XLOOKUP($D148,Tab_Def_Processes[Name(EN)],Tab_Def_Processes[Input_Flow_I_1],,0,)</f>
        <v/>
      </c>
      <c r="N148" s="272">
        <f>_xlfn.XLOOKUP($D148,Tab_Def_Processes[Name(EN)],Tab_Def_Processes[Flow_ID_I_1],,0,)</f>
        <v/>
      </c>
      <c r="O148" s="181" t="n"/>
      <c r="P148" s="29">
        <f>_xlfn.XLOOKUP($D148,Tab_Def_Processes[Name(EN)],Tab_Def_Processes[Input_Flow_I_2],,0,)</f>
        <v/>
      </c>
      <c r="Q148" s="272">
        <f>_xlfn.XLOOKUP($D148,Tab_Def_Processes[Name(EN)],Tab_Def_Processes[Flow_ID_I_2],,0,)</f>
        <v/>
      </c>
      <c r="R148" s="181" t="n"/>
      <c r="S148" s="29">
        <f>_xlfn.XLOOKUP($D148,Tab_Def_Processes[Name(EN)],Tab_Def_Processes[Input_Flow_I_3],,0,)</f>
        <v/>
      </c>
      <c r="T148" s="272">
        <f>_xlfn.XLOOKUP($D148,Tab_Def_Processes[Name(EN)],Tab_Def_Processes[Flow_ID_I_3],,0,)</f>
        <v/>
      </c>
      <c r="U148" s="181" t="n"/>
      <c r="V148" s="29">
        <f>_xlfn.XLOOKUP($D148,Tab_Def_Processes[Name(EN)],Tab_Def_Processes[Input_Flow_I_4],,0,)</f>
        <v/>
      </c>
      <c r="W148" s="272">
        <f>_xlfn.XLOOKUP($D148,Tab_Def_Processes[Name(EN)],Tab_Def_Processes[Flow_ID_I_4],,0,)</f>
        <v/>
      </c>
      <c r="X148" s="181" t="n"/>
      <c r="Y148" s="29">
        <f>_xlfn.XLOOKUP($D148,Tab_Def_Processes[Name(EN)],Tab_Def_Processes[Input_Flow_I_5],,0,)</f>
        <v/>
      </c>
      <c r="Z148" s="272">
        <f>_xlfn.XLOOKUP($D148,Tab_Def_Processes[Name(EN)],Tab_Def_Processes[Flow_ID_I_5],,0,)</f>
        <v/>
      </c>
      <c r="AA148" s="181" t="n"/>
      <c r="AB148" s="32">
        <f>Tab_Process_TCs2527[[#This Row],[Flow_TC_I_1_'[%']]]+Tab_Process_TCs2527[[#This Row],[Flow_TC_I_2_'[%']]]+Tab_Process_TCs2527[[#This Row],[Flow_TC_I_3_'[%']]]+Tab_Process_TCs2527[[#This Row],[Flow_TC_I_4_'[%']]]+Tab_Process_TCs2527[[#This Row],[Flow_TC_I_5_'[%']]]</f>
        <v/>
      </c>
      <c r="AC148" s="296">
        <f>_xlfn.XLOOKUP($D148,#REF!,#REF!,,0,)</f>
        <v/>
      </c>
      <c r="AD148" s="272">
        <f>_xlfn.XLOOKUP($D148,#REF!,#REF!,,0,)</f>
        <v/>
      </c>
      <c r="AE148" s="42">
        <f>Tab_Process_TCs2527[[#This Row],[Flow_ID]]</f>
        <v/>
      </c>
      <c r="AF148" s="272">
        <f>"TC"&amp;"_"&amp;RIGHT(AD148,5)</f>
        <v/>
      </c>
      <c r="AG148" s="170" t="n">
        <v>0.2</v>
      </c>
      <c r="AH148" s="296">
        <f>_xlfn.XLOOKUP($D148,#REF!,#REF!,,0,)</f>
        <v/>
      </c>
      <c r="AI148" s="272">
        <f>_xlfn.XLOOKUP($D148,#REF!,#REF!,,0,)</f>
        <v/>
      </c>
      <c r="AJ148" s="42">
        <f>Tab_Process_TCs2527[[#This Row],[Flow_ID]]</f>
        <v/>
      </c>
      <c r="AK148" s="272">
        <f>"TC"&amp;"_"&amp;RIGHT(AI148,5)</f>
        <v/>
      </c>
      <c r="AL148" s="168" t="n">
        <v>0.8</v>
      </c>
      <c r="AM148" s="296">
        <f>_xlfn.XLOOKUP($D148,#REF!,#REF!,,0,)</f>
        <v/>
      </c>
      <c r="AN148" s="272">
        <f>_xlfn.XLOOKUP($D148,#REF!,#REF!,,0,)</f>
        <v/>
      </c>
      <c r="AO148" s="42">
        <f>Tab_Process_TCs2527[[#This Row],[Flow_ID]]</f>
        <v/>
      </c>
      <c r="AP148" s="272">
        <f>"TC"&amp;"_"&amp;RIGHT(AN148,5)</f>
        <v/>
      </c>
      <c r="AQ148" s="168" t="n"/>
      <c r="AR148" s="296">
        <f>_xlfn.XLOOKUP($D148,#REF!,#REF!,,0,)</f>
        <v/>
      </c>
      <c r="AS148" s="272">
        <f>_xlfn.XLOOKUP($D148,#REF!,#REF!,,0,)</f>
        <v/>
      </c>
      <c r="AT148" s="42">
        <f>Tab_Process_TCs2527[[#This Row],[Flow_ID]]</f>
        <v/>
      </c>
      <c r="AU148" s="42">
        <f>"TC"&amp;"_"&amp;RIGHT(AN148,5)</f>
        <v/>
      </c>
      <c r="AV148" s="168" t="n"/>
      <c r="AW148" s="296">
        <f>_xlfn.XLOOKUP($D148,#REF!,#REF!,,0,)</f>
        <v/>
      </c>
      <c r="AX148" s="272">
        <f>_xlfn.XLOOKUP($D148,#REF!,#REF!,,0,)</f>
        <v/>
      </c>
      <c r="AY148" s="42">
        <f>Tab_Process_TCs2527[[#This Row],[Flow_ID]]</f>
        <v/>
      </c>
      <c r="AZ148" s="42">
        <f>"TC"&amp;"_"&amp;RIGHT(AX148,5)</f>
        <v/>
      </c>
      <c r="BA148" s="168" t="n"/>
      <c r="BB148" s="272">
        <f>_xlfn.XLOOKUP($D148,#REF!,#REF!,,0,)</f>
        <v/>
      </c>
      <c r="BC148" s="272">
        <f>_xlfn.XLOOKUP($D148,#REF!,#REF!,,0,)</f>
        <v/>
      </c>
      <c r="BD148" s="42">
        <f>Tab_Process_TCs2527[[#This Row],[Flow_ID]]</f>
        <v/>
      </c>
      <c r="BE148" s="42">
        <f>"TC"&amp;"_"&amp;RIGHT(BC148,5)</f>
        <v/>
      </c>
      <c r="BF148" s="49" t="n"/>
      <c r="BG148" s="52">
        <f>Tab_Process_TCs2527[[#This Row],[TC O_6_'[%']]]+Tab_Process_TCs2527[[#This Row],[TC O_5_'[%']]]+Tab_Process_TCs2527[[#This Row],[TC_O_4_'[%']]]+Tab_Process_TCs2527[[#This Row],[TC_O_3_'[%']]]+Tab_Process_TCs2527[[#This Row],[TC_O_2_'[%']]]+Tab_Process_TCs2527[[#This Row],[TC_O_1_'[%']]]</f>
        <v/>
      </c>
      <c r="BH148" s="273" t="n"/>
      <c r="BI148" s="273" t="n"/>
      <c r="BJ148" s="273" t="n"/>
      <c r="BK148" s="273" t="n"/>
      <c r="BL148" s="273" t="n"/>
    </row>
    <row r="149" ht="15.75" customHeight="1" thickBot="1">
      <c r="A149" s="280" t="b">
        <v>0</v>
      </c>
      <c r="B149" s="272">
        <f>ROW()-1</f>
        <v/>
      </c>
      <c r="C149" s="286">
        <f>_xlfn.XLOOKUP($D149,Tab_Process_TCs[Name(EN)],Tab_Process_TCs[Process_ID],,0,)</f>
        <v/>
      </c>
      <c r="D149" s="189" t="inlineStr">
        <is>
          <t>N.A.</t>
        </is>
      </c>
      <c r="E149" s="189" t="inlineStr">
        <is>
          <t>N.A.</t>
        </is>
      </c>
      <c r="F149" s="286">
        <f>_xlfn.XLOOKUP($D149,Tab_Process_TCs[Name(EN)],Tab_Process_TCs[TC?],,0,)</f>
        <v/>
      </c>
      <c r="G149" s="286">
        <f>_xlfn.XLOOKUP($D149,Tab_Process_TCs[Name(EN)],Tab_Process_TCs[Dyn_TC?],,0,)</f>
        <v/>
      </c>
      <c r="H149" s="272">
        <f>_xlfn.XLOOKUP($E149,Tab_Def_Flows[Name(EN)],Tab_Def_Flows[Flow_ID],,0,1)</f>
        <v/>
      </c>
      <c r="I149" s="272">
        <f>IF(Tab_Process_TCs2527[[#This Row],[Name(EN)]]="N.A.","N.A.","TC"&amp;"_"&amp;RIGHT(H149,5))</f>
        <v/>
      </c>
      <c r="J149" s="273" t="n"/>
      <c r="K149" s="183" t="n"/>
      <c r="L149" s="272" t="n"/>
      <c r="M149" s="296">
        <f>_xlfn.XLOOKUP($D149,Tab_Def_Processes[Name(EN)],Tab_Def_Processes[Input_Flow_I_1],,0,)</f>
        <v/>
      </c>
      <c r="N149" s="272">
        <f>_xlfn.XLOOKUP($D149,Tab_Def_Processes[Name(EN)],Tab_Def_Processes[Flow_ID_I_1],,0,)</f>
        <v/>
      </c>
      <c r="O149" s="181" t="n"/>
      <c r="P149" s="29">
        <f>_xlfn.XLOOKUP($D149,Tab_Def_Processes[Name(EN)],Tab_Def_Processes[Input_Flow_I_2],,0,)</f>
        <v/>
      </c>
      <c r="Q149" s="272">
        <f>_xlfn.XLOOKUP($D149,Tab_Def_Processes[Name(EN)],Tab_Def_Processes[Flow_ID_I_2],,0,)</f>
        <v/>
      </c>
      <c r="R149" s="181" t="n"/>
      <c r="S149" s="29">
        <f>_xlfn.XLOOKUP($D149,Tab_Def_Processes[Name(EN)],Tab_Def_Processes[Input_Flow_I_3],,0,)</f>
        <v/>
      </c>
      <c r="T149" s="272">
        <f>_xlfn.XLOOKUP($D149,Tab_Def_Processes[Name(EN)],Tab_Def_Processes[Flow_ID_I_3],,0,)</f>
        <v/>
      </c>
      <c r="U149" s="181" t="n"/>
      <c r="V149" s="29">
        <f>_xlfn.XLOOKUP($D149,Tab_Def_Processes[Name(EN)],Tab_Def_Processes[Input_Flow_I_4],,0,)</f>
        <v/>
      </c>
      <c r="W149" s="272">
        <f>_xlfn.XLOOKUP($D149,Tab_Def_Processes[Name(EN)],Tab_Def_Processes[Flow_ID_I_4],,0,)</f>
        <v/>
      </c>
      <c r="X149" s="181" t="n"/>
      <c r="Y149" s="29">
        <f>_xlfn.XLOOKUP($D149,Tab_Def_Processes[Name(EN)],Tab_Def_Processes[Input_Flow_I_5],,0,)</f>
        <v/>
      </c>
      <c r="Z149" s="272">
        <f>_xlfn.XLOOKUP($D149,Tab_Def_Processes[Name(EN)],Tab_Def_Processes[Flow_ID_I_5],,0,)</f>
        <v/>
      </c>
      <c r="AA149" s="181" t="n"/>
      <c r="AB149" s="32">
        <f>Tab_Process_TCs2527[[#This Row],[Flow_TC_I_1_'[%']]]+Tab_Process_TCs2527[[#This Row],[Flow_TC_I_2_'[%']]]+Tab_Process_TCs2527[[#This Row],[Flow_TC_I_3_'[%']]]+Tab_Process_TCs2527[[#This Row],[Flow_TC_I_4_'[%']]]+Tab_Process_TCs2527[[#This Row],[Flow_TC_I_5_'[%']]]</f>
        <v/>
      </c>
      <c r="AC149" s="18">
        <f>_xlfn.XLOOKUP($D149,#REF!,#REF!,,0,)</f>
        <v/>
      </c>
      <c r="AD149" s="19">
        <f>_xlfn.XLOOKUP($D149,#REF!,#REF!,,0,)</f>
        <v/>
      </c>
      <c r="AE149" s="42">
        <f>Tab_Process_TCs2527[[#This Row],[Flow_ID]]</f>
        <v/>
      </c>
      <c r="AF149" s="19">
        <f>"TC"&amp;"_"&amp;RIGHT(AD149,5)</f>
        <v/>
      </c>
      <c r="AG149" s="173" t="n">
        <v>0.2</v>
      </c>
      <c r="AH149" s="18">
        <f>_xlfn.XLOOKUP($D149,#REF!,#REF!,,0,)</f>
        <v/>
      </c>
      <c r="AI149" s="19">
        <f>_xlfn.XLOOKUP($D149,#REF!,#REF!,,0,)</f>
        <v/>
      </c>
      <c r="AJ149" s="42">
        <f>Tab_Process_TCs2527[[#This Row],[Flow_ID]]</f>
        <v/>
      </c>
      <c r="AK149" s="19">
        <f>"TC"&amp;"_"&amp;RIGHT(AI149,5)</f>
        <v/>
      </c>
      <c r="AL149" s="174" t="n">
        <v>0.8</v>
      </c>
      <c r="AM149" s="18">
        <f>_xlfn.XLOOKUP($D149,#REF!,#REF!,,0,)</f>
        <v/>
      </c>
      <c r="AN149" s="19">
        <f>_xlfn.XLOOKUP($D149,#REF!,#REF!,,0,)</f>
        <v/>
      </c>
      <c r="AO149" s="42">
        <f>Tab_Process_TCs2527[[#This Row],[Flow_ID]]</f>
        <v/>
      </c>
      <c r="AP149" s="19">
        <f>"TC"&amp;"_"&amp;RIGHT(AN149,5)</f>
        <v/>
      </c>
      <c r="AQ149" s="174" t="n"/>
      <c r="AR149" s="18">
        <f>_xlfn.XLOOKUP($D149,#REF!,#REF!,,0,)</f>
        <v/>
      </c>
      <c r="AS149" s="19">
        <f>_xlfn.XLOOKUP($D149,#REF!,#REF!,,0,)</f>
        <v/>
      </c>
      <c r="AT149" s="42">
        <f>Tab_Process_TCs2527[[#This Row],[Flow_ID]]</f>
        <v/>
      </c>
      <c r="AU149" s="42">
        <f>"TC"&amp;"_"&amp;RIGHT(AN149,5)</f>
        <v/>
      </c>
      <c r="AV149" s="174" t="n"/>
      <c r="AW149" s="18">
        <f>_xlfn.XLOOKUP($D149,#REF!,#REF!,,0,)</f>
        <v/>
      </c>
      <c r="AX149" s="19">
        <f>_xlfn.XLOOKUP($D149,#REF!,#REF!,,0,)</f>
        <v/>
      </c>
      <c r="AY149" s="42">
        <f>Tab_Process_TCs2527[[#This Row],[Flow_ID]]</f>
        <v/>
      </c>
      <c r="AZ149" s="42">
        <f>"TC"&amp;"_"&amp;RIGHT(AX149,5)</f>
        <v/>
      </c>
      <c r="BA149" s="174" t="n"/>
      <c r="BB149" s="272">
        <f>_xlfn.XLOOKUP($D149,#REF!,#REF!,,0,)</f>
        <v/>
      </c>
      <c r="BC149" s="272">
        <f>_xlfn.XLOOKUP($D149,#REF!,#REF!,,0,)</f>
        <v/>
      </c>
      <c r="BD149" s="42">
        <f>Tab_Process_TCs2527[[#This Row],[Flow_ID]]</f>
        <v/>
      </c>
      <c r="BE149" s="42">
        <f>"TC"&amp;"_"&amp;RIGHT(BC149,5)</f>
        <v/>
      </c>
      <c r="BF149" s="49" t="n"/>
      <c r="BG149" s="52">
        <f>Tab_Process_TCs2527[[#This Row],[TC O_6_'[%']]]+Tab_Process_TCs2527[[#This Row],[TC O_5_'[%']]]+Tab_Process_TCs2527[[#This Row],[TC_O_4_'[%']]]+Tab_Process_TCs2527[[#This Row],[TC_O_3_'[%']]]+Tab_Process_TCs2527[[#This Row],[TC_O_2_'[%']]]+Tab_Process_TCs2527[[#This Row],[TC_O_1_'[%']]]</f>
        <v/>
      </c>
      <c r="BH149" s="273" t="n"/>
      <c r="BI149" s="273" t="n"/>
      <c r="BJ149" s="273" t="n"/>
      <c r="BK149" s="273" t="n"/>
      <c r="BL149" s="273" t="n"/>
    </row>
  </sheetData>
  <conditionalFormatting sqref="BG2:BG149">
    <cfRule type="iconSet" priority="34">
      <iconSet>
        <cfvo type="percent" val="0"/>
        <cfvo type="percent" val="33"/>
        <cfvo type="percent" val="100"/>
      </iconSet>
    </cfRule>
    <cfRule type="iconSet" priority="35">
      <iconSet>
        <cfvo type="percent" val="0"/>
        <cfvo type="percent" val="0"/>
        <cfvo type="percent" val="100"/>
      </iconSet>
    </cfRule>
    <cfRule type="iconSet" priority="36">
      <iconSet iconSet="3Symbols">
        <cfvo type="percent" val="0"/>
        <cfvo type="percent" val="0"/>
        <cfvo type="percent" val="100"/>
      </iconSet>
    </cfRule>
    <cfRule type="iconSet" priority="37">
      <iconSet iconSet="3Symbols">
        <cfvo type="percent" val="0"/>
        <cfvo type="percent" val="33"/>
        <cfvo type="percent" val="67"/>
      </iconSet>
    </cfRule>
  </conditionalFormatting>
  <conditionalFormatting sqref="BG1:BG149 BH150:BH1048576">
    <cfRule type="iconSet" priority="1">
      <iconSet>
        <cfvo type="percent" val="0"/>
        <cfvo type="percent" val="0.01"/>
        <cfvo type="percent" val="1"/>
      </iconSet>
    </cfRule>
  </conditionalFormatting>
  <pageMargins left="0.7" right="0.7" top="0.787401575" bottom="0.7874015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tabColor theme="5" tint="0.7999816888943144"/>
    <outlinePr summaryBelow="1" summaryRight="1"/>
    <pageSetUpPr/>
  </sheetPr>
  <dimension ref="A1:R51"/>
  <sheetViews>
    <sheetView zoomScale="145" zoomScaleNormal="145" workbookViewId="0">
      <selection activeCell="M2" sqref="M2"/>
    </sheetView>
  </sheetViews>
  <sheetFormatPr baseColWidth="8" defaultRowHeight="15"/>
  <cols>
    <col width="11.7109375" customWidth="1" min="1" max="1"/>
    <col width="6.140625" customWidth="1" min="2" max="2"/>
    <col width="12.85546875" customWidth="1" min="3" max="3"/>
    <col width="41.140625" customWidth="1" min="4" max="4"/>
    <col width="13" customWidth="1" min="5" max="9"/>
    <col width="8.85546875" customWidth="1" min="10" max="10"/>
    <col width="10" customWidth="1" min="11" max="11"/>
    <col width="17.28515625" customWidth="1" min="12" max="12"/>
    <col width="19.140625" customWidth="1" min="13" max="13"/>
    <col width="19.42578125" customWidth="1" min="14" max="14"/>
    <col width="18.140625" customWidth="1" min="15" max="15"/>
    <col width="16.140625" customWidth="1" min="16" max="16"/>
    <col width="20.140625" customWidth="1" min="17" max="17"/>
    <col width="17.7109375" customWidth="1" min="18" max="18"/>
  </cols>
  <sheetData>
    <row r="1">
      <c r="A1" s="295" t="inlineStr">
        <is>
          <t>Complete?</t>
        </is>
      </c>
      <c r="B1" s="295" t="inlineStr">
        <is>
          <t>ID</t>
        </is>
      </c>
      <c r="C1" s="295" t="inlineStr">
        <is>
          <t>Process_ID</t>
        </is>
      </c>
      <c r="D1" s="295" t="inlineStr">
        <is>
          <t>Name(EN)</t>
        </is>
      </c>
      <c r="E1" s="295" t="inlineStr">
        <is>
          <t>Process_Type</t>
        </is>
      </c>
      <c r="F1" s="295" t="inlineStr">
        <is>
          <t>TC?</t>
        </is>
      </c>
      <c r="G1" s="295" t="inlineStr">
        <is>
          <t>Dyn_TC?</t>
        </is>
      </c>
      <c r="H1" s="295" t="inlineStr">
        <is>
          <t>Stock?</t>
        </is>
      </c>
      <c r="I1" s="295" t="inlineStr">
        <is>
          <t>Initial_Stock?</t>
        </is>
      </c>
      <c r="J1" s="295" t="inlineStr">
        <is>
          <t>DSM?</t>
        </is>
      </c>
      <c r="K1" s="295" t="inlineStr">
        <is>
          <t>FOMP?</t>
        </is>
      </c>
      <c r="L1" s="295" t="inlineStr">
        <is>
          <t>Category_ID</t>
        </is>
      </c>
      <c r="M1" s="295" t="inlineStr">
        <is>
          <t>Category_ID[long]</t>
        </is>
      </c>
      <c r="N1" s="295" t="inlineStr">
        <is>
          <t>Category_Name</t>
        </is>
      </c>
      <c r="O1" s="295" t="inlineStr">
        <is>
          <t>Inflow_Split_[%]</t>
        </is>
      </c>
      <c r="P1" s="295" t="inlineStr">
        <is>
          <t>Lifetime_Type</t>
        </is>
      </c>
      <c r="Q1" s="295" t="inlineStr">
        <is>
          <t>Lifetime_Mean</t>
        </is>
      </c>
      <c r="R1" s="295" t="inlineStr">
        <is>
          <t>Lifetime_StdDev</t>
        </is>
      </c>
    </row>
    <row r="2">
      <c r="A2" s="280" t="b">
        <v>1</v>
      </c>
      <c r="B2" s="272">
        <f>ROW()-1</f>
        <v/>
      </c>
      <c r="C2" s="272">
        <f>_xlfn.XLOOKUP($D2,Tab_Def_Processes[Name(EN)],Tab_Def_Processes[Process_ID],,0,)</f>
        <v/>
      </c>
      <c r="D2" s="273" t="inlineStr">
        <is>
          <t>N.A.</t>
        </is>
      </c>
      <c r="E2" s="272">
        <f>_xlfn.XLOOKUP($D2,Tab_Def_Processes[Name(EN)],Tab_Def_Processes[Process_Type],,0,)</f>
        <v/>
      </c>
      <c r="F2" s="272">
        <f>_xlfn.XLOOKUP($D2,Tab_Def_Processes[Name(EN)],Tab_Def_Processes[TC?],,0,)</f>
        <v/>
      </c>
      <c r="G2" s="272">
        <f>_xlfn.XLOOKUP($D2,Tab_Def_Processes[Name(EN)],Tab_Def_Processes[Dyn_TC?],,0,)</f>
        <v/>
      </c>
      <c r="H2" s="272">
        <f>_xlfn.XLOOKUP($D2,Tab_Def_Processes[Name(EN)],Tab_Def_Processes[Stock?],,0,)</f>
        <v/>
      </c>
      <c r="I2" s="272">
        <f>_xlfn.XLOOKUP($D2,Tab_Def_Processes[Name(EN)],Tab_Def_Processes[Initial_Stock?],,0,)</f>
        <v/>
      </c>
      <c r="J2" s="272">
        <f>_xlfn.XLOOKUP($D2,Tab_Def_Processes[Name(EN)],Tab_Def_Processes[DSM?],,0,)</f>
        <v/>
      </c>
      <c r="K2" s="272">
        <f>_xlfn.XLOOKUP($D2,Tab_Def_Processes[Name(EN)],Tab_Def_Processes[FOMP?],,0,)</f>
        <v/>
      </c>
      <c r="L2" s="273" t="n">
        <v>1</v>
      </c>
      <c r="M2" s="272">
        <f>_xlfn.XLOOKUP($L2,Tab_DSM_Category_ID[Category ID],Tab_DSM_Category_ID[DSM Material],,0,)</f>
        <v/>
      </c>
      <c r="N2" s="273" t="n"/>
      <c r="O2" s="33" t="n"/>
      <c r="P2" s="273" t="n"/>
      <c r="Q2" s="273" t="n"/>
      <c r="R2" s="273" t="n"/>
    </row>
    <row r="3">
      <c r="A3" s="280" t="b">
        <v>0</v>
      </c>
      <c r="B3" s="272">
        <f>ROW()-1</f>
        <v/>
      </c>
      <c r="C3" s="272">
        <f>_xlfn.XLOOKUP($D3,Tab_Def_Processes[Name(EN)],Tab_Def_Processes[Process_ID],,0,)</f>
        <v/>
      </c>
      <c r="D3" s="273" t="inlineStr">
        <is>
          <t>N.A.</t>
        </is>
      </c>
      <c r="E3" s="272">
        <f>_xlfn.XLOOKUP($D3,Tab_Def_Processes[Name(EN)],Tab_Def_Processes[Process_Type],,0,)</f>
        <v/>
      </c>
      <c r="F3" s="272">
        <f>_xlfn.XLOOKUP($D3,Tab_Def_Processes[Name(EN)],Tab_Def_Processes[TC?],,0,)</f>
        <v/>
      </c>
      <c r="G3" s="272">
        <f>_xlfn.XLOOKUP($D3,Tab_Def_Processes[Name(EN)],Tab_Def_Processes[Dyn_TC?],,0,)</f>
        <v/>
      </c>
      <c r="H3" s="272">
        <f>_xlfn.XLOOKUP($D3,Tab_Def_Processes[Name(EN)],Tab_Def_Processes[Stock?],,0,)</f>
        <v/>
      </c>
      <c r="I3" s="272">
        <f>_xlfn.XLOOKUP($D3,Tab_Def_Processes[Name(EN)],Tab_Def_Processes[Initial_Stock?],,0,)</f>
        <v/>
      </c>
      <c r="J3" s="272">
        <f>_xlfn.XLOOKUP($D3,Tab_Def_Processes[Name(EN)],Tab_Def_Processes[DSM?],,0,)</f>
        <v/>
      </c>
      <c r="K3" s="272">
        <f>_xlfn.XLOOKUP($D3,Tab_Def_Processes[Name(EN)],Tab_Def_Processes[FOMP?],,0,)</f>
        <v/>
      </c>
      <c r="L3" s="273" t="n">
        <v>3</v>
      </c>
      <c r="M3" s="272">
        <f>_xlfn.XLOOKUP($L3,Tab_DSM_Category_ID[Category ID],Tab_DSM_Category_ID[DSM Material],,0,)</f>
        <v/>
      </c>
      <c r="N3" s="273" t="n"/>
      <c r="O3" s="33" t="n"/>
      <c r="P3" s="273" t="n"/>
      <c r="Q3" s="273" t="n"/>
      <c r="R3" s="273" t="n"/>
    </row>
    <row r="4">
      <c r="A4" s="280" t="b">
        <v>0</v>
      </c>
      <c r="B4" s="272">
        <f>ROW()-1</f>
        <v/>
      </c>
      <c r="C4" s="272">
        <f>_xlfn.XLOOKUP($D4,Tab_Def_Processes[Name(EN)],Tab_Def_Processes[Process_ID],,0,)</f>
        <v/>
      </c>
      <c r="D4" s="273" t="inlineStr">
        <is>
          <t>N.A.</t>
        </is>
      </c>
      <c r="E4" s="272">
        <f>_xlfn.XLOOKUP($D4,Tab_Def_Processes[Name(EN)],Tab_Def_Processes[Process_Type],,0,)</f>
        <v/>
      </c>
      <c r="F4" s="272">
        <f>_xlfn.XLOOKUP($D4,Tab_Def_Processes[Name(EN)],Tab_Def_Processes[TC?],,0,)</f>
        <v/>
      </c>
      <c r="G4" s="272">
        <f>_xlfn.XLOOKUP($D4,Tab_Def_Processes[Name(EN)],Tab_Def_Processes[Dyn_TC?],,0,)</f>
        <v/>
      </c>
      <c r="H4" s="272">
        <f>_xlfn.XLOOKUP($D4,Tab_Def_Processes[Name(EN)],Tab_Def_Processes[Stock?],,0,)</f>
        <v/>
      </c>
      <c r="I4" s="272">
        <f>_xlfn.XLOOKUP($D4,Tab_Def_Processes[Name(EN)],Tab_Def_Processes[Initial_Stock?],,0,)</f>
        <v/>
      </c>
      <c r="J4" s="272">
        <f>_xlfn.XLOOKUP($D4,Tab_Def_Processes[Name(EN)],Tab_Def_Processes[DSM?],,0,)</f>
        <v/>
      </c>
      <c r="K4" s="272">
        <f>_xlfn.XLOOKUP($D4,Tab_Def_Processes[Name(EN)],Tab_Def_Processes[FOMP?],,0,)</f>
        <v/>
      </c>
      <c r="L4" s="273" t="n"/>
      <c r="M4" s="272">
        <f>_xlfn.XLOOKUP($L4,Tab_DSM_Category_ID[Category ID],Tab_DSM_Category_ID[DSM Material],,0,)</f>
        <v/>
      </c>
      <c r="N4" s="273" t="n"/>
      <c r="O4" s="33" t="n"/>
      <c r="P4" s="273" t="n"/>
      <c r="Q4" s="273" t="n"/>
      <c r="R4" s="273" t="n"/>
    </row>
    <row r="5">
      <c r="A5" s="280" t="b">
        <v>0</v>
      </c>
      <c r="B5" s="272">
        <f>ROW()-1</f>
        <v/>
      </c>
      <c r="C5" s="272">
        <f>_xlfn.XLOOKUP($D5,Tab_Def_Processes[Name(EN)],Tab_Def_Processes[Process_ID],,0,)</f>
        <v/>
      </c>
      <c r="D5" s="273" t="inlineStr">
        <is>
          <t>N.A.</t>
        </is>
      </c>
      <c r="E5" s="272">
        <f>_xlfn.XLOOKUP($D5,Tab_Def_Processes[Name(EN)],Tab_Def_Processes[Process_Type],,0,)</f>
        <v/>
      </c>
      <c r="F5" s="272">
        <f>_xlfn.XLOOKUP($D5,Tab_Def_Processes[Name(EN)],Tab_Def_Processes[TC?],,0,)</f>
        <v/>
      </c>
      <c r="G5" s="272">
        <f>_xlfn.XLOOKUP($D5,Tab_Def_Processes[Name(EN)],Tab_Def_Processes[Dyn_TC?],,0,)</f>
        <v/>
      </c>
      <c r="H5" s="272">
        <f>_xlfn.XLOOKUP($D5,Tab_Def_Processes[Name(EN)],Tab_Def_Processes[Stock?],,0,)</f>
        <v/>
      </c>
      <c r="I5" s="272">
        <f>_xlfn.XLOOKUP($D5,Tab_Def_Processes[Name(EN)],Tab_Def_Processes[Initial_Stock?],,0,)</f>
        <v/>
      </c>
      <c r="J5" s="272">
        <f>_xlfn.XLOOKUP($D5,Tab_Def_Processes[Name(EN)],Tab_Def_Processes[DSM?],,0,)</f>
        <v/>
      </c>
      <c r="K5" s="272">
        <f>_xlfn.XLOOKUP($D5,Tab_Def_Processes[Name(EN)],Tab_Def_Processes[FOMP?],,0,)</f>
        <v/>
      </c>
      <c r="L5" s="273" t="n"/>
      <c r="M5" s="272">
        <f>_xlfn.XLOOKUP($L5,Tab_DSM_Category_ID[Category ID],Tab_DSM_Category_ID[DSM Material],,0,)</f>
        <v/>
      </c>
      <c r="N5" s="273" t="n"/>
      <c r="O5" s="33" t="n"/>
      <c r="P5" s="273" t="n"/>
      <c r="Q5" s="273" t="n"/>
      <c r="R5" s="273" t="n"/>
    </row>
    <row r="6">
      <c r="A6" s="280" t="b">
        <v>0</v>
      </c>
      <c r="B6" s="272">
        <f>ROW()-1</f>
        <v/>
      </c>
      <c r="C6" s="272">
        <f>_xlfn.XLOOKUP($D6,Tab_Def_Processes[Name(EN)],Tab_Def_Processes[Process_ID],,0,)</f>
        <v/>
      </c>
      <c r="D6" s="273" t="inlineStr">
        <is>
          <t>N.A.</t>
        </is>
      </c>
      <c r="E6" s="272">
        <f>_xlfn.XLOOKUP($D6,Tab_Def_Processes[Name(EN)],Tab_Def_Processes[Process_Type],,0,)</f>
        <v/>
      </c>
      <c r="F6" s="272">
        <f>_xlfn.XLOOKUP($D6,Tab_Def_Processes[Name(EN)],Tab_Def_Processes[TC?],,0,)</f>
        <v/>
      </c>
      <c r="G6" s="272">
        <f>_xlfn.XLOOKUP($D6,Tab_Def_Processes[Name(EN)],Tab_Def_Processes[Dyn_TC?],,0,)</f>
        <v/>
      </c>
      <c r="H6" s="272">
        <f>_xlfn.XLOOKUP($D6,Tab_Def_Processes[Name(EN)],Tab_Def_Processes[Stock?],,0,)</f>
        <v/>
      </c>
      <c r="I6" s="272">
        <f>_xlfn.XLOOKUP($D6,Tab_Def_Processes[Name(EN)],Tab_Def_Processes[Initial_Stock?],,0,)</f>
        <v/>
      </c>
      <c r="J6" s="272">
        <f>_xlfn.XLOOKUP($D6,Tab_Def_Processes[Name(EN)],Tab_Def_Processes[DSM?],,0,)</f>
        <v/>
      </c>
      <c r="K6" s="272">
        <f>_xlfn.XLOOKUP($D6,Tab_Def_Processes[Name(EN)],Tab_Def_Processes[FOMP?],,0,)</f>
        <v/>
      </c>
      <c r="L6" s="273" t="n"/>
      <c r="M6" s="272">
        <f>_xlfn.XLOOKUP($L6,Tab_DSM_Category_ID[Category ID],Tab_DSM_Category_ID[DSM Material],,0,)</f>
        <v/>
      </c>
      <c r="N6" s="273" t="n"/>
      <c r="O6" s="33" t="n"/>
      <c r="P6" s="273" t="n"/>
      <c r="Q6" s="273" t="n"/>
      <c r="R6" s="273" t="n"/>
    </row>
    <row r="7">
      <c r="A7" s="280" t="b">
        <v>0</v>
      </c>
      <c r="B7" s="272">
        <f>ROW()-1</f>
        <v/>
      </c>
      <c r="C7" s="272">
        <f>_xlfn.XLOOKUP($D7,Tab_Def_Processes[Name(EN)],Tab_Def_Processes[Process_ID],,0,)</f>
        <v/>
      </c>
      <c r="D7" s="273" t="inlineStr">
        <is>
          <t>N.A.</t>
        </is>
      </c>
      <c r="E7" s="272">
        <f>_xlfn.XLOOKUP($D7,Tab_Def_Processes[Name(EN)],Tab_Def_Processes[Process_Type],,0,)</f>
        <v/>
      </c>
      <c r="F7" s="272">
        <f>_xlfn.XLOOKUP($D7,Tab_Def_Processes[Name(EN)],Tab_Def_Processes[TC?],,0,)</f>
        <v/>
      </c>
      <c r="G7" s="272">
        <f>_xlfn.XLOOKUP($D7,Tab_Def_Processes[Name(EN)],Tab_Def_Processes[Dyn_TC?],,0,)</f>
        <v/>
      </c>
      <c r="H7" s="272">
        <f>_xlfn.XLOOKUP($D7,Tab_Def_Processes[Name(EN)],Tab_Def_Processes[Stock?],,0,)</f>
        <v/>
      </c>
      <c r="I7" s="272">
        <f>_xlfn.XLOOKUP($D7,Tab_Def_Processes[Name(EN)],Tab_Def_Processes[Initial_Stock?],,0,)</f>
        <v/>
      </c>
      <c r="J7" s="272">
        <f>_xlfn.XLOOKUP($D7,Tab_Def_Processes[Name(EN)],Tab_Def_Processes[DSM?],,0,)</f>
        <v/>
      </c>
      <c r="K7" s="272">
        <f>_xlfn.XLOOKUP($D7,Tab_Def_Processes[Name(EN)],Tab_Def_Processes[FOMP?],,0,)</f>
        <v/>
      </c>
      <c r="L7" s="273" t="n"/>
      <c r="M7" s="272">
        <f>_xlfn.XLOOKUP($L7,Tab_DSM_Category_ID[Category ID],Tab_DSM_Category_ID[DSM Material],,0,)</f>
        <v/>
      </c>
      <c r="N7" s="273" t="n"/>
      <c r="O7" s="33" t="n"/>
      <c r="P7" s="273" t="n"/>
      <c r="Q7" s="273" t="n"/>
      <c r="R7" s="273" t="n"/>
    </row>
    <row r="8">
      <c r="A8" s="280" t="b">
        <v>0</v>
      </c>
      <c r="B8" s="272">
        <f>ROW()-1</f>
        <v/>
      </c>
      <c r="C8" s="272">
        <f>_xlfn.XLOOKUP($D8,Tab_Def_Processes[Name(EN)],Tab_Def_Processes[Process_ID],,0,)</f>
        <v/>
      </c>
      <c r="D8" s="273" t="inlineStr">
        <is>
          <t>N.A.</t>
        </is>
      </c>
      <c r="E8" s="272">
        <f>_xlfn.XLOOKUP($D8,Tab_Def_Processes[Name(EN)],Tab_Def_Processes[Process_Type],,0,)</f>
        <v/>
      </c>
      <c r="F8" s="272">
        <f>_xlfn.XLOOKUP($D8,Tab_Def_Processes[Name(EN)],Tab_Def_Processes[TC?],,0,)</f>
        <v/>
      </c>
      <c r="G8" s="272">
        <f>_xlfn.XLOOKUP($D8,Tab_Def_Processes[Name(EN)],Tab_Def_Processes[Dyn_TC?],,0,)</f>
        <v/>
      </c>
      <c r="H8" s="272">
        <f>_xlfn.XLOOKUP($D8,Tab_Def_Processes[Name(EN)],Tab_Def_Processes[Stock?],,0,)</f>
        <v/>
      </c>
      <c r="I8" s="272">
        <f>_xlfn.XLOOKUP($D8,Tab_Def_Processes[Name(EN)],Tab_Def_Processes[Initial_Stock?],,0,)</f>
        <v/>
      </c>
      <c r="J8" s="272">
        <f>_xlfn.XLOOKUP($D8,Tab_Def_Processes[Name(EN)],Tab_Def_Processes[DSM?],,0,)</f>
        <v/>
      </c>
      <c r="K8" s="272">
        <f>_xlfn.XLOOKUP($D8,Tab_Def_Processes[Name(EN)],Tab_Def_Processes[FOMP?],,0,)</f>
        <v/>
      </c>
      <c r="L8" s="273" t="n"/>
      <c r="M8" s="272">
        <f>_xlfn.XLOOKUP($L8,Tab_DSM_Category_ID[Category ID],Tab_DSM_Category_ID[DSM Material],,0,)</f>
        <v/>
      </c>
      <c r="N8" s="273" t="n"/>
      <c r="O8" s="33" t="n"/>
      <c r="P8" s="273" t="n"/>
      <c r="Q8" s="273" t="n"/>
      <c r="R8" s="273" t="n"/>
    </row>
    <row r="9">
      <c r="A9" s="280" t="b">
        <v>0</v>
      </c>
      <c r="B9" s="272">
        <f>ROW()-1</f>
        <v/>
      </c>
      <c r="C9" s="272">
        <f>_xlfn.XLOOKUP($D9,Tab_Def_Processes[Name(EN)],Tab_Def_Processes[Process_ID],,0,)</f>
        <v/>
      </c>
      <c r="D9" s="273" t="inlineStr">
        <is>
          <t>N.A.</t>
        </is>
      </c>
      <c r="E9" s="272">
        <f>_xlfn.XLOOKUP($D9,Tab_Def_Processes[Name(EN)],Tab_Def_Processes[Process_Type],,0,)</f>
        <v/>
      </c>
      <c r="F9" s="272">
        <f>_xlfn.XLOOKUP($D9,Tab_Def_Processes[Name(EN)],Tab_Def_Processes[TC?],,0,)</f>
        <v/>
      </c>
      <c r="G9" s="272">
        <f>_xlfn.XLOOKUP($D9,Tab_Def_Processes[Name(EN)],Tab_Def_Processes[Dyn_TC?],,0,)</f>
        <v/>
      </c>
      <c r="H9" s="272">
        <f>_xlfn.XLOOKUP($D9,Tab_Def_Processes[Name(EN)],Tab_Def_Processes[Stock?],,0,)</f>
        <v/>
      </c>
      <c r="I9" s="272">
        <f>_xlfn.XLOOKUP($D9,Tab_Def_Processes[Name(EN)],Tab_Def_Processes[Initial_Stock?],,0,)</f>
        <v/>
      </c>
      <c r="J9" s="272">
        <f>_xlfn.XLOOKUP($D9,Tab_Def_Processes[Name(EN)],Tab_Def_Processes[DSM?],,0,)</f>
        <v/>
      </c>
      <c r="K9" s="272">
        <f>_xlfn.XLOOKUP($D9,Tab_Def_Processes[Name(EN)],Tab_Def_Processes[FOMP?],,0,)</f>
        <v/>
      </c>
      <c r="L9" s="273" t="n"/>
      <c r="M9" s="272">
        <f>_xlfn.XLOOKUP($L9,Tab_DSM_Category_ID[Category ID],Tab_DSM_Category_ID[DSM Material],,0,)</f>
        <v/>
      </c>
      <c r="N9" s="273" t="n"/>
      <c r="O9" s="33" t="n"/>
      <c r="P9" s="273" t="n"/>
      <c r="Q9" s="273" t="n"/>
      <c r="R9" s="273" t="n"/>
    </row>
    <row r="10">
      <c r="A10" s="280" t="b">
        <v>0</v>
      </c>
      <c r="B10" s="272">
        <f>ROW()-1</f>
        <v/>
      </c>
      <c r="C10" s="272">
        <f>_xlfn.XLOOKUP($D10,Tab_Def_Processes[Name(EN)],Tab_Def_Processes[Process_ID],,0,)</f>
        <v/>
      </c>
      <c r="D10" s="273" t="inlineStr">
        <is>
          <t>N.A.</t>
        </is>
      </c>
      <c r="E10" s="272">
        <f>_xlfn.XLOOKUP($D10,Tab_Def_Processes[Name(EN)],Tab_Def_Processes[Process_Type],,0,)</f>
        <v/>
      </c>
      <c r="F10" s="272">
        <f>_xlfn.XLOOKUP($D10,Tab_Def_Processes[Name(EN)],Tab_Def_Processes[TC?],,0,)</f>
        <v/>
      </c>
      <c r="G10" s="272">
        <f>_xlfn.XLOOKUP($D10,Tab_Def_Processes[Name(EN)],Tab_Def_Processes[Dyn_TC?],,0,)</f>
        <v/>
      </c>
      <c r="H10" s="272">
        <f>_xlfn.XLOOKUP($D10,Tab_Def_Processes[Name(EN)],Tab_Def_Processes[Stock?],,0,)</f>
        <v/>
      </c>
      <c r="I10" s="272">
        <f>_xlfn.XLOOKUP($D10,Tab_Def_Processes[Name(EN)],Tab_Def_Processes[Initial_Stock?],,0,)</f>
        <v/>
      </c>
      <c r="J10" s="272">
        <f>_xlfn.XLOOKUP($D10,Tab_Def_Processes[Name(EN)],Tab_Def_Processes[DSM?],,0,)</f>
        <v/>
      </c>
      <c r="K10" s="272">
        <f>_xlfn.XLOOKUP($D10,Tab_Def_Processes[Name(EN)],Tab_Def_Processes[FOMP?],,0,)</f>
        <v/>
      </c>
      <c r="L10" s="273" t="n"/>
      <c r="M10" s="272">
        <f>_xlfn.XLOOKUP($L10,Tab_DSM_Category_ID[Category ID],Tab_DSM_Category_ID[DSM Material],,0,)</f>
        <v/>
      </c>
      <c r="N10" s="273" t="n"/>
      <c r="O10" s="33" t="n"/>
      <c r="P10" s="273" t="n"/>
      <c r="Q10" s="273" t="n"/>
      <c r="R10" s="273" t="n"/>
    </row>
    <row r="11">
      <c r="A11" s="280" t="b">
        <v>0</v>
      </c>
      <c r="B11" s="272">
        <f>ROW()-1</f>
        <v/>
      </c>
      <c r="C11" s="272">
        <f>_xlfn.XLOOKUP($D11,Tab_Def_Processes[Name(EN)],Tab_Def_Processes[Process_ID],,0,)</f>
        <v/>
      </c>
      <c r="D11" s="273" t="inlineStr">
        <is>
          <t>N.A.</t>
        </is>
      </c>
      <c r="E11" s="272">
        <f>_xlfn.XLOOKUP($D11,Tab_Def_Processes[Name(EN)],Tab_Def_Processes[Process_Type],,0,)</f>
        <v/>
      </c>
      <c r="F11" s="272">
        <f>_xlfn.XLOOKUP($D11,Tab_Def_Processes[Name(EN)],Tab_Def_Processes[TC?],,0,)</f>
        <v/>
      </c>
      <c r="G11" s="272">
        <f>_xlfn.XLOOKUP($D11,Tab_Def_Processes[Name(EN)],Tab_Def_Processes[Dyn_TC?],,0,)</f>
        <v/>
      </c>
      <c r="H11" s="272">
        <f>_xlfn.XLOOKUP($D11,Tab_Def_Processes[Name(EN)],Tab_Def_Processes[Stock?],,0,)</f>
        <v/>
      </c>
      <c r="I11" s="272">
        <f>_xlfn.XLOOKUP($D11,Tab_Def_Processes[Name(EN)],Tab_Def_Processes[Initial_Stock?],,0,)</f>
        <v/>
      </c>
      <c r="J11" s="272">
        <f>_xlfn.XLOOKUP($D11,Tab_Def_Processes[Name(EN)],Tab_Def_Processes[DSM?],,0,)</f>
        <v/>
      </c>
      <c r="K11" s="272">
        <f>_xlfn.XLOOKUP($D11,Tab_Def_Processes[Name(EN)],Tab_Def_Processes[FOMP?],,0,)</f>
        <v/>
      </c>
      <c r="L11" s="273" t="n"/>
      <c r="M11" s="272">
        <f>_xlfn.XLOOKUP($L11,Tab_DSM_Category_ID[Category ID],Tab_DSM_Category_ID[DSM Material],,0,)</f>
        <v/>
      </c>
      <c r="N11" s="273" t="n"/>
      <c r="O11" s="33" t="n"/>
      <c r="P11" s="273" t="n"/>
      <c r="Q11" s="273" t="n"/>
      <c r="R11" s="273" t="n"/>
    </row>
    <row r="12">
      <c r="A12" s="280" t="b">
        <v>0</v>
      </c>
      <c r="B12" s="272">
        <f>ROW()-1</f>
        <v/>
      </c>
      <c r="C12" s="272">
        <f>_xlfn.XLOOKUP($D12,Tab_Def_Processes[Name(EN)],Tab_Def_Processes[Process_ID],,0,)</f>
        <v/>
      </c>
      <c r="D12" s="273" t="inlineStr">
        <is>
          <t>N.A.</t>
        </is>
      </c>
      <c r="E12" s="272">
        <f>_xlfn.XLOOKUP($D12,Tab_Def_Processes[Name(EN)],Tab_Def_Processes[Process_Type],,0,)</f>
        <v/>
      </c>
      <c r="F12" s="272">
        <f>_xlfn.XLOOKUP($D12,Tab_Def_Processes[Name(EN)],Tab_Def_Processes[TC?],,0,)</f>
        <v/>
      </c>
      <c r="G12" s="272">
        <f>_xlfn.XLOOKUP($D12,Tab_Def_Processes[Name(EN)],Tab_Def_Processes[Dyn_TC?],,0,)</f>
        <v/>
      </c>
      <c r="H12" s="272">
        <f>_xlfn.XLOOKUP($D12,Tab_Def_Processes[Name(EN)],Tab_Def_Processes[Stock?],,0,)</f>
        <v/>
      </c>
      <c r="I12" s="272">
        <f>_xlfn.XLOOKUP($D12,Tab_Def_Processes[Name(EN)],Tab_Def_Processes[Initial_Stock?],,0,)</f>
        <v/>
      </c>
      <c r="J12" s="272">
        <f>_xlfn.XLOOKUP($D12,Tab_Def_Processes[Name(EN)],Tab_Def_Processes[DSM?],,0,)</f>
        <v/>
      </c>
      <c r="K12" s="272">
        <f>_xlfn.XLOOKUP($D12,Tab_Def_Processes[Name(EN)],Tab_Def_Processes[FOMP?],,0,)</f>
        <v/>
      </c>
      <c r="L12" s="273" t="n"/>
      <c r="M12" s="272">
        <f>_xlfn.XLOOKUP($L12,Tab_DSM_Category_ID[Category ID],Tab_DSM_Category_ID[DSM Material],,0,)</f>
        <v/>
      </c>
      <c r="N12" s="273" t="n"/>
      <c r="O12" s="33" t="n"/>
      <c r="P12" s="273" t="n"/>
      <c r="Q12" s="273" t="n"/>
      <c r="R12" s="273" t="n"/>
    </row>
    <row r="13">
      <c r="A13" s="280" t="b">
        <v>0</v>
      </c>
      <c r="B13" s="272">
        <f>ROW()-1</f>
        <v/>
      </c>
      <c r="C13" s="272">
        <f>_xlfn.XLOOKUP($D13,Tab_Def_Processes[Name(EN)],Tab_Def_Processes[Process_ID],,0,)</f>
        <v/>
      </c>
      <c r="D13" s="273" t="inlineStr">
        <is>
          <t>N.A.</t>
        </is>
      </c>
      <c r="E13" s="272">
        <f>_xlfn.XLOOKUP($D13,Tab_Def_Processes[Name(EN)],Tab_Def_Processes[Process_Type],,0,)</f>
        <v/>
      </c>
      <c r="F13" s="272">
        <f>_xlfn.XLOOKUP($D13,Tab_Def_Processes[Name(EN)],Tab_Def_Processes[TC?],,0,)</f>
        <v/>
      </c>
      <c r="G13" s="272">
        <f>_xlfn.XLOOKUP($D13,Tab_Def_Processes[Name(EN)],Tab_Def_Processes[Dyn_TC?],,0,)</f>
        <v/>
      </c>
      <c r="H13" s="272">
        <f>_xlfn.XLOOKUP($D13,Tab_Def_Processes[Name(EN)],Tab_Def_Processes[Stock?],,0,)</f>
        <v/>
      </c>
      <c r="I13" s="272">
        <f>_xlfn.XLOOKUP($D13,Tab_Def_Processes[Name(EN)],Tab_Def_Processes[Initial_Stock?],,0,)</f>
        <v/>
      </c>
      <c r="J13" s="272">
        <f>_xlfn.XLOOKUP($D13,Tab_Def_Processes[Name(EN)],Tab_Def_Processes[DSM?],,0,)</f>
        <v/>
      </c>
      <c r="K13" s="272">
        <f>_xlfn.XLOOKUP($D13,Tab_Def_Processes[Name(EN)],Tab_Def_Processes[FOMP?],,0,)</f>
        <v/>
      </c>
      <c r="L13" s="273" t="n"/>
      <c r="M13" s="272">
        <f>_xlfn.XLOOKUP($L13,Tab_DSM_Category_ID[Category ID],Tab_DSM_Category_ID[DSM Material],,0,)</f>
        <v/>
      </c>
      <c r="N13" s="273" t="n"/>
      <c r="O13" s="33" t="n"/>
      <c r="P13" s="273" t="n"/>
      <c r="Q13" s="273" t="n"/>
      <c r="R13" s="273" t="n"/>
    </row>
    <row r="14">
      <c r="A14" s="280" t="b">
        <v>0</v>
      </c>
      <c r="B14" s="272">
        <f>ROW()-1</f>
        <v/>
      </c>
      <c r="C14" s="272">
        <f>_xlfn.XLOOKUP($D14,Tab_Def_Processes[Name(EN)],Tab_Def_Processes[Process_ID],,0,)</f>
        <v/>
      </c>
      <c r="D14" s="273" t="inlineStr">
        <is>
          <t>N.A.</t>
        </is>
      </c>
      <c r="E14" s="272">
        <f>_xlfn.XLOOKUP($D14,Tab_Def_Processes[Name(EN)],Tab_Def_Processes[Process_Type],,0,)</f>
        <v/>
      </c>
      <c r="F14" s="272">
        <f>_xlfn.XLOOKUP($D14,Tab_Def_Processes[Name(EN)],Tab_Def_Processes[TC?],,0,)</f>
        <v/>
      </c>
      <c r="G14" s="272">
        <f>_xlfn.XLOOKUP($D14,Tab_Def_Processes[Name(EN)],Tab_Def_Processes[Dyn_TC?],,0,)</f>
        <v/>
      </c>
      <c r="H14" s="272">
        <f>_xlfn.XLOOKUP($D14,Tab_Def_Processes[Name(EN)],Tab_Def_Processes[Stock?],,0,)</f>
        <v/>
      </c>
      <c r="I14" s="272">
        <f>_xlfn.XLOOKUP($D14,Tab_Def_Processes[Name(EN)],Tab_Def_Processes[Initial_Stock?],,0,)</f>
        <v/>
      </c>
      <c r="J14" s="272">
        <f>_xlfn.XLOOKUP($D14,Tab_Def_Processes[Name(EN)],Tab_Def_Processes[DSM?],,0,)</f>
        <v/>
      </c>
      <c r="K14" s="272">
        <f>_xlfn.XLOOKUP($D14,Tab_Def_Processes[Name(EN)],Tab_Def_Processes[FOMP?],,0,)</f>
        <v/>
      </c>
      <c r="L14" s="273" t="n"/>
      <c r="M14" s="272">
        <f>_xlfn.XLOOKUP($L14,Tab_DSM_Category_ID[Category ID],Tab_DSM_Category_ID[DSM Material],,0,)</f>
        <v/>
      </c>
      <c r="N14" s="273" t="n"/>
      <c r="O14" s="33" t="n"/>
      <c r="P14" s="273" t="n"/>
      <c r="Q14" s="273" t="n"/>
      <c r="R14" s="273" t="n"/>
    </row>
    <row r="15">
      <c r="A15" s="280" t="b">
        <v>0</v>
      </c>
      <c r="B15" s="272">
        <f>ROW()-1</f>
        <v/>
      </c>
      <c r="C15" s="272">
        <f>_xlfn.XLOOKUP($D15,Tab_Def_Processes[Name(EN)],Tab_Def_Processes[Process_ID],,0,)</f>
        <v/>
      </c>
      <c r="D15" s="273" t="inlineStr">
        <is>
          <t>N.A.</t>
        </is>
      </c>
      <c r="E15" s="272">
        <f>_xlfn.XLOOKUP($D15,Tab_Def_Processes[Name(EN)],Tab_Def_Processes[Process_Type],,0,)</f>
        <v/>
      </c>
      <c r="F15" s="272">
        <f>_xlfn.XLOOKUP($D15,Tab_Def_Processes[Name(EN)],Tab_Def_Processes[TC?],,0,)</f>
        <v/>
      </c>
      <c r="G15" s="272">
        <f>_xlfn.XLOOKUP($D15,Tab_Def_Processes[Name(EN)],Tab_Def_Processes[Dyn_TC?],,0,)</f>
        <v/>
      </c>
      <c r="H15" s="272">
        <f>_xlfn.XLOOKUP($D15,Tab_Def_Processes[Name(EN)],Tab_Def_Processes[Stock?],,0,)</f>
        <v/>
      </c>
      <c r="I15" s="272">
        <f>_xlfn.XLOOKUP($D15,Tab_Def_Processes[Name(EN)],Tab_Def_Processes[Initial_Stock?],,0,)</f>
        <v/>
      </c>
      <c r="J15" s="272">
        <f>_xlfn.XLOOKUP($D15,Tab_Def_Processes[Name(EN)],Tab_Def_Processes[DSM?],,0,)</f>
        <v/>
      </c>
      <c r="K15" s="272">
        <f>_xlfn.XLOOKUP($D15,Tab_Def_Processes[Name(EN)],Tab_Def_Processes[FOMP?],,0,)</f>
        <v/>
      </c>
      <c r="L15" s="273" t="n"/>
      <c r="M15" s="272">
        <f>_xlfn.XLOOKUP($L15,Tab_DSM_Category_ID[Category ID],Tab_DSM_Category_ID[DSM Material],,0,)</f>
        <v/>
      </c>
      <c r="N15" s="273" t="n"/>
      <c r="O15" s="33" t="n"/>
      <c r="P15" s="273" t="n"/>
      <c r="Q15" s="273" t="n"/>
      <c r="R15" s="273" t="n"/>
    </row>
    <row r="16">
      <c r="A16" s="280" t="b">
        <v>0</v>
      </c>
      <c r="B16" s="272">
        <f>ROW()-1</f>
        <v/>
      </c>
      <c r="C16" s="272">
        <f>_xlfn.XLOOKUP($D16,Tab_Def_Processes[Name(EN)],Tab_Def_Processes[Process_ID],,0,)</f>
        <v/>
      </c>
      <c r="D16" s="273" t="inlineStr">
        <is>
          <t>N.A.</t>
        </is>
      </c>
      <c r="E16" s="272">
        <f>_xlfn.XLOOKUP($D16,Tab_Def_Processes[Name(EN)],Tab_Def_Processes[Process_Type],,0,)</f>
        <v/>
      </c>
      <c r="F16" s="272">
        <f>_xlfn.XLOOKUP($D16,Tab_Def_Processes[Name(EN)],Tab_Def_Processes[TC?],,0,)</f>
        <v/>
      </c>
      <c r="G16" s="272">
        <f>_xlfn.XLOOKUP($D16,Tab_Def_Processes[Name(EN)],Tab_Def_Processes[Dyn_TC?],,0,)</f>
        <v/>
      </c>
      <c r="H16" s="272">
        <f>_xlfn.XLOOKUP($D16,Tab_Def_Processes[Name(EN)],Tab_Def_Processes[Stock?],,0,)</f>
        <v/>
      </c>
      <c r="I16" s="272">
        <f>_xlfn.XLOOKUP($D16,Tab_Def_Processes[Name(EN)],Tab_Def_Processes[Initial_Stock?],,0,)</f>
        <v/>
      </c>
      <c r="J16" s="272">
        <f>_xlfn.XLOOKUP($D16,Tab_Def_Processes[Name(EN)],Tab_Def_Processes[DSM?],,0,)</f>
        <v/>
      </c>
      <c r="K16" s="272">
        <f>_xlfn.XLOOKUP($D16,Tab_Def_Processes[Name(EN)],Tab_Def_Processes[FOMP?],,0,)</f>
        <v/>
      </c>
      <c r="L16" s="273" t="n"/>
      <c r="M16" s="272">
        <f>_xlfn.XLOOKUP($L16,Tab_DSM_Category_ID[Category ID],Tab_DSM_Category_ID[DSM Material],,0,)</f>
        <v/>
      </c>
      <c r="N16" s="273" t="n"/>
      <c r="O16" s="33" t="n"/>
      <c r="P16" s="273" t="n"/>
      <c r="Q16" s="273" t="n"/>
      <c r="R16" s="273" t="n"/>
    </row>
    <row r="17">
      <c r="A17" s="280" t="b">
        <v>0</v>
      </c>
      <c r="B17" s="272">
        <f>ROW()-1</f>
        <v/>
      </c>
      <c r="C17" s="272">
        <f>_xlfn.XLOOKUP($D17,Tab_Def_Processes[Name(EN)],Tab_Def_Processes[Process_ID],,0,)</f>
        <v/>
      </c>
      <c r="D17" s="273" t="inlineStr">
        <is>
          <t>N.A.</t>
        </is>
      </c>
      <c r="E17" s="272">
        <f>_xlfn.XLOOKUP($D17,Tab_Def_Processes[Name(EN)],Tab_Def_Processes[Process_Type],,0,)</f>
        <v/>
      </c>
      <c r="F17" s="272">
        <f>_xlfn.XLOOKUP($D17,Tab_Def_Processes[Name(EN)],Tab_Def_Processes[TC?],,0,)</f>
        <v/>
      </c>
      <c r="G17" s="272">
        <f>_xlfn.XLOOKUP($D17,Tab_Def_Processes[Name(EN)],Tab_Def_Processes[Dyn_TC?],,0,)</f>
        <v/>
      </c>
      <c r="H17" s="272">
        <f>_xlfn.XLOOKUP($D17,Tab_Def_Processes[Name(EN)],Tab_Def_Processes[Stock?],,0,)</f>
        <v/>
      </c>
      <c r="I17" s="272">
        <f>_xlfn.XLOOKUP($D17,Tab_Def_Processes[Name(EN)],Tab_Def_Processes[Initial_Stock?],,0,)</f>
        <v/>
      </c>
      <c r="J17" s="272">
        <f>_xlfn.XLOOKUP($D17,Tab_Def_Processes[Name(EN)],Tab_Def_Processes[DSM?],,0,)</f>
        <v/>
      </c>
      <c r="K17" s="272">
        <f>_xlfn.XLOOKUP($D17,Tab_Def_Processes[Name(EN)],Tab_Def_Processes[FOMP?],,0,)</f>
        <v/>
      </c>
      <c r="L17" s="273" t="n"/>
      <c r="M17" s="272">
        <f>_xlfn.XLOOKUP($L17,Tab_DSM_Category_ID[Category ID],Tab_DSM_Category_ID[DSM Material],,0,)</f>
        <v/>
      </c>
      <c r="N17" s="273" t="n"/>
      <c r="O17" s="33" t="n"/>
      <c r="P17" s="273" t="n"/>
      <c r="Q17" s="273" t="n"/>
      <c r="R17" s="273" t="n"/>
    </row>
    <row r="18">
      <c r="A18" s="280" t="b">
        <v>0</v>
      </c>
      <c r="B18" s="272">
        <f>ROW()-1</f>
        <v/>
      </c>
      <c r="C18" s="272">
        <f>_xlfn.XLOOKUP($D18,Tab_Def_Processes[Name(EN)],Tab_Def_Processes[Process_ID],,0,)</f>
        <v/>
      </c>
      <c r="D18" s="273" t="inlineStr">
        <is>
          <t>N.A.</t>
        </is>
      </c>
      <c r="E18" s="272">
        <f>_xlfn.XLOOKUP($D18,Tab_Def_Processes[Name(EN)],Tab_Def_Processes[Process_Type],,0,)</f>
        <v/>
      </c>
      <c r="F18" s="272">
        <f>_xlfn.XLOOKUP($D18,Tab_Def_Processes[Name(EN)],Tab_Def_Processes[TC?],,0,)</f>
        <v/>
      </c>
      <c r="G18" s="272">
        <f>_xlfn.XLOOKUP($D18,Tab_Def_Processes[Name(EN)],Tab_Def_Processes[Dyn_TC?],,0,)</f>
        <v/>
      </c>
      <c r="H18" s="272">
        <f>_xlfn.XLOOKUP($D18,Tab_Def_Processes[Name(EN)],Tab_Def_Processes[Stock?],,0,)</f>
        <v/>
      </c>
      <c r="I18" s="272">
        <f>_xlfn.XLOOKUP($D18,Tab_Def_Processes[Name(EN)],Tab_Def_Processes[Initial_Stock?],,0,)</f>
        <v/>
      </c>
      <c r="J18" s="272">
        <f>_xlfn.XLOOKUP($D18,Tab_Def_Processes[Name(EN)],Tab_Def_Processes[DSM?],,0,)</f>
        <v/>
      </c>
      <c r="K18" s="272">
        <f>_xlfn.XLOOKUP($D18,Tab_Def_Processes[Name(EN)],Tab_Def_Processes[FOMP?],,0,)</f>
        <v/>
      </c>
      <c r="L18" s="273" t="n"/>
      <c r="M18" s="272">
        <f>_xlfn.XLOOKUP($L18,Tab_DSM_Category_ID[Category ID],Tab_DSM_Category_ID[DSM Material],,0,)</f>
        <v/>
      </c>
      <c r="N18" s="273" t="n"/>
      <c r="O18" s="33" t="n"/>
      <c r="P18" s="273" t="n"/>
      <c r="Q18" s="273" t="n"/>
      <c r="R18" s="273" t="n"/>
    </row>
    <row r="19">
      <c r="A19" s="280" t="b">
        <v>0</v>
      </c>
      <c r="B19" s="272">
        <f>ROW()-1</f>
        <v/>
      </c>
      <c r="C19" s="272">
        <f>_xlfn.XLOOKUP($D19,Tab_Def_Processes[Name(EN)],Tab_Def_Processes[Process_ID],,0,)</f>
        <v/>
      </c>
      <c r="D19" s="273" t="inlineStr">
        <is>
          <t>N.A.</t>
        </is>
      </c>
      <c r="E19" s="272">
        <f>_xlfn.XLOOKUP($D19,Tab_Def_Processes[Name(EN)],Tab_Def_Processes[Process_Type],,0,)</f>
        <v/>
      </c>
      <c r="F19" s="272">
        <f>_xlfn.XLOOKUP($D19,Tab_Def_Processes[Name(EN)],Tab_Def_Processes[TC?],,0,)</f>
        <v/>
      </c>
      <c r="G19" s="272">
        <f>_xlfn.XLOOKUP($D19,Tab_Def_Processes[Name(EN)],Tab_Def_Processes[Dyn_TC?],,0,)</f>
        <v/>
      </c>
      <c r="H19" s="272">
        <f>_xlfn.XLOOKUP($D19,Tab_Def_Processes[Name(EN)],Tab_Def_Processes[Stock?],,0,)</f>
        <v/>
      </c>
      <c r="I19" s="272">
        <f>_xlfn.XLOOKUP($D19,Tab_Def_Processes[Name(EN)],Tab_Def_Processes[Initial_Stock?],,0,)</f>
        <v/>
      </c>
      <c r="J19" s="272">
        <f>_xlfn.XLOOKUP($D19,Tab_Def_Processes[Name(EN)],Tab_Def_Processes[DSM?],,0,)</f>
        <v/>
      </c>
      <c r="K19" s="272">
        <f>_xlfn.XLOOKUP($D19,Tab_Def_Processes[Name(EN)],Tab_Def_Processes[FOMP?],,0,)</f>
        <v/>
      </c>
      <c r="L19" s="273" t="n"/>
      <c r="M19" s="272">
        <f>_xlfn.XLOOKUP($L19,Tab_DSM_Category_ID[Category ID],Tab_DSM_Category_ID[DSM Material],,0,)</f>
        <v/>
      </c>
      <c r="N19" s="273" t="n"/>
      <c r="O19" s="33" t="n"/>
      <c r="P19" s="273" t="n"/>
      <c r="Q19" s="273" t="n"/>
      <c r="R19" s="273" t="n"/>
    </row>
    <row r="20">
      <c r="A20" s="280" t="b">
        <v>0</v>
      </c>
      <c r="B20" s="272">
        <f>ROW()-1</f>
        <v/>
      </c>
      <c r="C20" s="272">
        <f>_xlfn.XLOOKUP($D20,Tab_Def_Processes[Name(EN)],Tab_Def_Processes[Process_ID],,0,)</f>
        <v/>
      </c>
      <c r="D20" s="273" t="inlineStr">
        <is>
          <t>N.A.</t>
        </is>
      </c>
      <c r="E20" s="272">
        <f>_xlfn.XLOOKUP($D20,Tab_Def_Processes[Name(EN)],Tab_Def_Processes[Process_Type],,0,)</f>
        <v/>
      </c>
      <c r="F20" s="272">
        <f>_xlfn.XLOOKUP($D20,Tab_Def_Processes[Name(EN)],Tab_Def_Processes[TC?],,0,)</f>
        <v/>
      </c>
      <c r="G20" s="272">
        <f>_xlfn.XLOOKUP($D20,Tab_Def_Processes[Name(EN)],Tab_Def_Processes[Dyn_TC?],,0,)</f>
        <v/>
      </c>
      <c r="H20" s="272">
        <f>_xlfn.XLOOKUP($D20,Tab_Def_Processes[Name(EN)],Tab_Def_Processes[Stock?],,0,)</f>
        <v/>
      </c>
      <c r="I20" s="272">
        <f>_xlfn.XLOOKUP($D20,Tab_Def_Processes[Name(EN)],Tab_Def_Processes[Initial_Stock?],,0,)</f>
        <v/>
      </c>
      <c r="J20" s="272">
        <f>_xlfn.XLOOKUP($D20,Tab_Def_Processes[Name(EN)],Tab_Def_Processes[DSM?],,0,)</f>
        <v/>
      </c>
      <c r="K20" s="272">
        <f>_xlfn.XLOOKUP($D20,Tab_Def_Processes[Name(EN)],Tab_Def_Processes[FOMP?],,0,)</f>
        <v/>
      </c>
      <c r="L20" s="273" t="n"/>
      <c r="M20" s="272">
        <f>_xlfn.XLOOKUP($L20,Tab_DSM_Category_ID[Category ID],Tab_DSM_Category_ID[DSM Material],,0,)</f>
        <v/>
      </c>
      <c r="N20" s="273" t="n"/>
      <c r="O20" s="33" t="n"/>
      <c r="P20" s="273" t="n"/>
      <c r="Q20" s="273" t="n"/>
      <c r="R20" s="273" t="n"/>
    </row>
    <row r="21">
      <c r="A21" s="280" t="b">
        <v>0</v>
      </c>
      <c r="B21" s="272">
        <f>ROW()-1</f>
        <v/>
      </c>
      <c r="C21" s="272">
        <f>_xlfn.XLOOKUP($D21,Tab_Def_Processes[Name(EN)],Tab_Def_Processes[Process_ID],,0,)</f>
        <v/>
      </c>
      <c r="D21" s="273" t="inlineStr">
        <is>
          <t>N.A.</t>
        </is>
      </c>
      <c r="E21" s="272">
        <f>_xlfn.XLOOKUP($D21,Tab_Def_Processes[Name(EN)],Tab_Def_Processes[Process_Type],,0,)</f>
        <v/>
      </c>
      <c r="F21" s="272">
        <f>_xlfn.XLOOKUP($D21,Tab_Def_Processes[Name(EN)],Tab_Def_Processes[TC?],,0,)</f>
        <v/>
      </c>
      <c r="G21" s="272">
        <f>_xlfn.XLOOKUP($D21,Tab_Def_Processes[Name(EN)],Tab_Def_Processes[Dyn_TC?],,0,)</f>
        <v/>
      </c>
      <c r="H21" s="272">
        <f>_xlfn.XLOOKUP($D21,Tab_Def_Processes[Name(EN)],Tab_Def_Processes[Stock?],,0,)</f>
        <v/>
      </c>
      <c r="I21" s="272">
        <f>_xlfn.XLOOKUP($D21,Tab_Def_Processes[Name(EN)],Tab_Def_Processes[Initial_Stock?],,0,)</f>
        <v/>
      </c>
      <c r="J21" s="272">
        <f>_xlfn.XLOOKUP($D21,Tab_Def_Processes[Name(EN)],Tab_Def_Processes[DSM?],,0,)</f>
        <v/>
      </c>
      <c r="K21" s="272">
        <f>_xlfn.XLOOKUP($D21,Tab_Def_Processes[Name(EN)],Tab_Def_Processes[FOMP?],,0,)</f>
        <v/>
      </c>
      <c r="L21" s="273" t="n"/>
      <c r="M21" s="272">
        <f>_xlfn.XLOOKUP($L21,Tab_DSM_Category_ID[Category ID],Tab_DSM_Category_ID[DSM Material],,0,)</f>
        <v/>
      </c>
      <c r="N21" s="273" t="n"/>
      <c r="O21" s="33" t="n"/>
      <c r="P21" s="273" t="n"/>
      <c r="Q21" s="273" t="n"/>
      <c r="R21" s="273" t="n"/>
    </row>
    <row r="22">
      <c r="A22" s="280" t="b">
        <v>0</v>
      </c>
      <c r="B22" s="272">
        <f>ROW()-1</f>
        <v/>
      </c>
      <c r="C22" s="272">
        <f>_xlfn.XLOOKUP($D22,Tab_Def_Processes[Name(EN)],Tab_Def_Processes[Process_ID],,0,)</f>
        <v/>
      </c>
      <c r="D22" s="273" t="inlineStr">
        <is>
          <t>N.A.</t>
        </is>
      </c>
      <c r="E22" s="272">
        <f>_xlfn.XLOOKUP($D22,Tab_Def_Processes[Name(EN)],Tab_Def_Processes[Process_Type],,0,)</f>
        <v/>
      </c>
      <c r="F22" s="272">
        <f>_xlfn.XLOOKUP($D22,Tab_Def_Processes[Name(EN)],Tab_Def_Processes[TC?],,0,)</f>
        <v/>
      </c>
      <c r="G22" s="272">
        <f>_xlfn.XLOOKUP($D22,Tab_Def_Processes[Name(EN)],Tab_Def_Processes[Dyn_TC?],,0,)</f>
        <v/>
      </c>
      <c r="H22" s="272">
        <f>_xlfn.XLOOKUP($D22,Tab_Def_Processes[Name(EN)],Tab_Def_Processes[Stock?],,0,)</f>
        <v/>
      </c>
      <c r="I22" s="272">
        <f>_xlfn.XLOOKUP($D22,Tab_Def_Processes[Name(EN)],Tab_Def_Processes[Initial_Stock?],,0,)</f>
        <v/>
      </c>
      <c r="J22" s="272">
        <f>_xlfn.XLOOKUP($D22,Tab_Def_Processes[Name(EN)],Tab_Def_Processes[DSM?],,0,)</f>
        <v/>
      </c>
      <c r="K22" s="272">
        <f>_xlfn.XLOOKUP($D22,Tab_Def_Processes[Name(EN)],Tab_Def_Processes[FOMP?],,0,)</f>
        <v/>
      </c>
      <c r="L22" s="273" t="n"/>
      <c r="M22" s="272">
        <f>_xlfn.XLOOKUP($L22,Tab_DSM_Category_ID[Category ID],Tab_DSM_Category_ID[DSM Material],,0,)</f>
        <v/>
      </c>
      <c r="N22" s="273" t="n"/>
      <c r="O22" s="33" t="n"/>
      <c r="P22" s="273" t="n"/>
      <c r="Q22" s="273" t="n"/>
      <c r="R22" s="273" t="n"/>
    </row>
    <row r="23">
      <c r="A23" s="280" t="b">
        <v>0</v>
      </c>
      <c r="B23" s="272">
        <f>ROW()-1</f>
        <v/>
      </c>
      <c r="C23" s="272">
        <f>_xlfn.XLOOKUP($D23,Tab_Def_Processes[Name(EN)],Tab_Def_Processes[Process_ID],,0,)</f>
        <v/>
      </c>
      <c r="D23" s="273" t="inlineStr">
        <is>
          <t>N.A.</t>
        </is>
      </c>
      <c r="E23" s="272">
        <f>_xlfn.XLOOKUP($D23,Tab_Def_Processes[Name(EN)],Tab_Def_Processes[Process_Type],,0,)</f>
        <v/>
      </c>
      <c r="F23" s="272">
        <f>_xlfn.XLOOKUP($D23,Tab_Def_Processes[Name(EN)],Tab_Def_Processes[TC?],,0,)</f>
        <v/>
      </c>
      <c r="G23" s="272">
        <f>_xlfn.XLOOKUP($D23,Tab_Def_Processes[Name(EN)],Tab_Def_Processes[Dyn_TC?],,0,)</f>
        <v/>
      </c>
      <c r="H23" s="272">
        <f>_xlfn.XLOOKUP($D23,Tab_Def_Processes[Name(EN)],Tab_Def_Processes[Stock?],,0,)</f>
        <v/>
      </c>
      <c r="I23" s="272">
        <f>_xlfn.XLOOKUP($D23,Tab_Def_Processes[Name(EN)],Tab_Def_Processes[Initial_Stock?],,0,)</f>
        <v/>
      </c>
      <c r="J23" s="272">
        <f>_xlfn.XLOOKUP($D23,Tab_Def_Processes[Name(EN)],Tab_Def_Processes[DSM?],,0,)</f>
        <v/>
      </c>
      <c r="K23" s="272">
        <f>_xlfn.XLOOKUP($D23,Tab_Def_Processes[Name(EN)],Tab_Def_Processes[FOMP?],,0,)</f>
        <v/>
      </c>
      <c r="L23" s="273" t="n"/>
      <c r="M23" s="272">
        <f>_xlfn.XLOOKUP($L23,Tab_DSM_Category_ID[Category ID],Tab_DSM_Category_ID[DSM Material],,0,)</f>
        <v/>
      </c>
      <c r="N23" s="273" t="n"/>
      <c r="O23" s="33" t="n"/>
      <c r="P23" s="273" t="n"/>
      <c r="Q23" s="273" t="n"/>
      <c r="R23" s="273" t="n"/>
    </row>
    <row r="24">
      <c r="A24" s="280" t="b">
        <v>0</v>
      </c>
      <c r="B24" s="272">
        <f>ROW()-1</f>
        <v/>
      </c>
      <c r="C24" s="272">
        <f>_xlfn.XLOOKUP($D24,Tab_Def_Processes[Name(EN)],Tab_Def_Processes[Process_ID],,0,)</f>
        <v/>
      </c>
      <c r="D24" s="273" t="inlineStr">
        <is>
          <t>N.A.</t>
        </is>
      </c>
      <c r="E24" s="272">
        <f>_xlfn.XLOOKUP($D24,Tab_Def_Processes[Name(EN)],Tab_Def_Processes[Process_Type],,0,)</f>
        <v/>
      </c>
      <c r="F24" s="272">
        <f>_xlfn.XLOOKUP($D24,Tab_Def_Processes[Name(EN)],Tab_Def_Processes[TC?],,0,)</f>
        <v/>
      </c>
      <c r="G24" s="272">
        <f>_xlfn.XLOOKUP($D24,Tab_Def_Processes[Name(EN)],Tab_Def_Processes[Dyn_TC?],,0,)</f>
        <v/>
      </c>
      <c r="H24" s="272">
        <f>_xlfn.XLOOKUP($D24,Tab_Def_Processes[Name(EN)],Tab_Def_Processes[Stock?],,0,)</f>
        <v/>
      </c>
      <c r="I24" s="272">
        <f>_xlfn.XLOOKUP($D24,Tab_Def_Processes[Name(EN)],Tab_Def_Processes[Initial_Stock?],,0,)</f>
        <v/>
      </c>
      <c r="J24" s="272">
        <f>_xlfn.XLOOKUP($D24,Tab_Def_Processes[Name(EN)],Tab_Def_Processes[DSM?],,0,)</f>
        <v/>
      </c>
      <c r="K24" s="272">
        <f>_xlfn.XLOOKUP($D24,Tab_Def_Processes[Name(EN)],Tab_Def_Processes[FOMP?],,0,)</f>
        <v/>
      </c>
      <c r="L24" s="273" t="n"/>
      <c r="M24" s="272">
        <f>_xlfn.XLOOKUP($L24,Tab_DSM_Category_ID[Category ID],Tab_DSM_Category_ID[DSM Material],,0,)</f>
        <v/>
      </c>
      <c r="N24" s="273" t="n"/>
      <c r="O24" s="33" t="n"/>
      <c r="P24" s="273" t="n"/>
      <c r="Q24" s="273" t="n"/>
      <c r="R24" s="273" t="n"/>
    </row>
    <row r="25">
      <c r="A25" s="280" t="b">
        <v>0</v>
      </c>
      <c r="B25" s="272">
        <f>ROW()-1</f>
        <v/>
      </c>
      <c r="C25" s="272">
        <f>_xlfn.XLOOKUP($D25,Tab_Def_Processes[Name(EN)],Tab_Def_Processes[Process_ID],,0,)</f>
        <v/>
      </c>
      <c r="D25" s="273" t="inlineStr">
        <is>
          <t>N.A.</t>
        </is>
      </c>
      <c r="E25" s="272">
        <f>_xlfn.XLOOKUP($D25,Tab_Def_Processes[Name(EN)],Tab_Def_Processes[Process_Type],,0,)</f>
        <v/>
      </c>
      <c r="F25" s="272">
        <f>_xlfn.XLOOKUP($D25,Tab_Def_Processes[Name(EN)],Tab_Def_Processes[TC?],,0,)</f>
        <v/>
      </c>
      <c r="G25" s="272">
        <f>_xlfn.XLOOKUP($D25,Tab_Def_Processes[Name(EN)],Tab_Def_Processes[Dyn_TC?],,0,)</f>
        <v/>
      </c>
      <c r="H25" s="272">
        <f>_xlfn.XLOOKUP($D25,Tab_Def_Processes[Name(EN)],Tab_Def_Processes[Stock?],,0,)</f>
        <v/>
      </c>
      <c r="I25" s="272">
        <f>_xlfn.XLOOKUP($D25,Tab_Def_Processes[Name(EN)],Tab_Def_Processes[Initial_Stock?],,0,)</f>
        <v/>
      </c>
      <c r="J25" s="272">
        <f>_xlfn.XLOOKUP($D25,Tab_Def_Processes[Name(EN)],Tab_Def_Processes[DSM?],,0,)</f>
        <v/>
      </c>
      <c r="K25" s="272">
        <f>_xlfn.XLOOKUP($D25,Tab_Def_Processes[Name(EN)],Tab_Def_Processes[FOMP?],,0,)</f>
        <v/>
      </c>
      <c r="L25" s="273" t="n"/>
      <c r="M25" s="272">
        <f>_xlfn.XLOOKUP($L25,Tab_DSM_Category_ID[Category ID],Tab_DSM_Category_ID[DSM Material],,0,)</f>
        <v/>
      </c>
      <c r="N25" s="273" t="n"/>
      <c r="O25" s="33" t="n"/>
      <c r="P25" s="273" t="n"/>
      <c r="Q25" s="273" t="n"/>
      <c r="R25" s="273" t="n"/>
    </row>
    <row r="26">
      <c r="A26" s="280" t="b">
        <v>0</v>
      </c>
      <c r="B26" s="272">
        <f>ROW()-1</f>
        <v/>
      </c>
      <c r="C26" s="272">
        <f>_xlfn.XLOOKUP($D26,Tab_Def_Processes[Name(EN)],Tab_Def_Processes[Process_ID],,0,)</f>
        <v/>
      </c>
      <c r="D26" s="273" t="inlineStr">
        <is>
          <t>N.A.</t>
        </is>
      </c>
      <c r="E26" s="272">
        <f>_xlfn.XLOOKUP($D26,Tab_Def_Processes[Name(EN)],Tab_Def_Processes[Process_Type],,0,)</f>
        <v/>
      </c>
      <c r="F26" s="272">
        <f>_xlfn.XLOOKUP($D26,Tab_Def_Processes[Name(EN)],Tab_Def_Processes[TC?],,0,)</f>
        <v/>
      </c>
      <c r="G26" s="272">
        <f>_xlfn.XLOOKUP($D26,Tab_Def_Processes[Name(EN)],Tab_Def_Processes[Dyn_TC?],,0,)</f>
        <v/>
      </c>
      <c r="H26" s="272">
        <f>_xlfn.XLOOKUP($D26,Tab_Def_Processes[Name(EN)],Tab_Def_Processes[Stock?],,0,)</f>
        <v/>
      </c>
      <c r="I26" s="272">
        <f>_xlfn.XLOOKUP($D26,Tab_Def_Processes[Name(EN)],Tab_Def_Processes[Initial_Stock?],,0,)</f>
        <v/>
      </c>
      <c r="J26" s="272">
        <f>_xlfn.XLOOKUP($D26,Tab_Def_Processes[Name(EN)],Tab_Def_Processes[DSM?],,0,)</f>
        <v/>
      </c>
      <c r="K26" s="272">
        <f>_xlfn.XLOOKUP($D26,Tab_Def_Processes[Name(EN)],Tab_Def_Processes[FOMP?],,0,)</f>
        <v/>
      </c>
      <c r="L26" s="273" t="n"/>
      <c r="M26" s="272">
        <f>_xlfn.XLOOKUP($L26,Tab_DSM_Category_ID[Category ID],Tab_DSM_Category_ID[DSM Material],,0,)</f>
        <v/>
      </c>
      <c r="N26" s="273" t="n"/>
      <c r="O26" s="33" t="n"/>
      <c r="P26" s="273" t="n"/>
      <c r="Q26" s="273" t="n"/>
      <c r="R26" s="273" t="n"/>
    </row>
    <row r="27">
      <c r="A27" s="280" t="b">
        <v>0</v>
      </c>
      <c r="B27" s="272">
        <f>ROW()-1</f>
        <v/>
      </c>
      <c r="C27" s="272">
        <f>_xlfn.XLOOKUP($D27,Tab_Def_Processes[Name(EN)],Tab_Def_Processes[Process_ID],,0,)</f>
        <v/>
      </c>
      <c r="D27" s="273" t="inlineStr">
        <is>
          <t>N.A.</t>
        </is>
      </c>
      <c r="E27" s="272">
        <f>_xlfn.XLOOKUP($D27,Tab_Def_Processes[Name(EN)],Tab_Def_Processes[Process_Type],,0,)</f>
        <v/>
      </c>
      <c r="F27" s="272">
        <f>_xlfn.XLOOKUP($D27,Tab_Def_Processes[Name(EN)],Tab_Def_Processes[TC?],,0,)</f>
        <v/>
      </c>
      <c r="G27" s="272">
        <f>_xlfn.XLOOKUP($D27,Tab_Def_Processes[Name(EN)],Tab_Def_Processes[Dyn_TC?],,0,)</f>
        <v/>
      </c>
      <c r="H27" s="272">
        <f>_xlfn.XLOOKUP($D27,Tab_Def_Processes[Name(EN)],Tab_Def_Processes[Stock?],,0,)</f>
        <v/>
      </c>
      <c r="I27" s="272">
        <f>_xlfn.XLOOKUP($D27,Tab_Def_Processes[Name(EN)],Tab_Def_Processes[Initial_Stock?],,0,)</f>
        <v/>
      </c>
      <c r="J27" s="272">
        <f>_xlfn.XLOOKUP($D27,Tab_Def_Processes[Name(EN)],Tab_Def_Processes[DSM?],,0,)</f>
        <v/>
      </c>
      <c r="K27" s="272">
        <f>_xlfn.XLOOKUP($D27,Tab_Def_Processes[Name(EN)],Tab_Def_Processes[FOMP?],,0,)</f>
        <v/>
      </c>
      <c r="L27" s="273" t="n"/>
      <c r="M27" s="272">
        <f>_xlfn.XLOOKUP($L27,Tab_DSM_Category_ID[Category ID],Tab_DSM_Category_ID[DSM Material],,0,)</f>
        <v/>
      </c>
      <c r="N27" s="273" t="n"/>
      <c r="O27" s="33" t="n"/>
      <c r="P27" s="273" t="n"/>
      <c r="Q27" s="273" t="n"/>
      <c r="R27" s="273" t="n"/>
    </row>
    <row r="28">
      <c r="A28" s="280" t="b">
        <v>0</v>
      </c>
      <c r="B28" s="272">
        <f>ROW()-1</f>
        <v/>
      </c>
      <c r="C28" s="272">
        <f>_xlfn.XLOOKUP($D28,Tab_Def_Processes[Name(EN)],Tab_Def_Processes[Process_ID],,0,)</f>
        <v/>
      </c>
      <c r="D28" s="273" t="inlineStr">
        <is>
          <t>N.A.</t>
        </is>
      </c>
      <c r="E28" s="272">
        <f>_xlfn.XLOOKUP($D28,Tab_Def_Processes[Name(EN)],Tab_Def_Processes[Process_Type],,0,)</f>
        <v/>
      </c>
      <c r="F28" s="272">
        <f>_xlfn.XLOOKUP($D28,Tab_Def_Processes[Name(EN)],Tab_Def_Processes[TC?],,0,)</f>
        <v/>
      </c>
      <c r="G28" s="272">
        <f>_xlfn.XLOOKUP($D28,Tab_Def_Processes[Name(EN)],Tab_Def_Processes[Dyn_TC?],,0,)</f>
        <v/>
      </c>
      <c r="H28" s="272">
        <f>_xlfn.XLOOKUP($D28,Tab_Def_Processes[Name(EN)],Tab_Def_Processes[Stock?],,0,)</f>
        <v/>
      </c>
      <c r="I28" s="272">
        <f>_xlfn.XLOOKUP($D28,Tab_Def_Processes[Name(EN)],Tab_Def_Processes[Initial_Stock?],,0,)</f>
        <v/>
      </c>
      <c r="J28" s="272">
        <f>_xlfn.XLOOKUP($D28,Tab_Def_Processes[Name(EN)],Tab_Def_Processes[DSM?],,0,)</f>
        <v/>
      </c>
      <c r="K28" s="272">
        <f>_xlfn.XLOOKUP($D28,Tab_Def_Processes[Name(EN)],Tab_Def_Processes[FOMP?],,0,)</f>
        <v/>
      </c>
      <c r="L28" s="273" t="n"/>
      <c r="M28" s="272">
        <f>_xlfn.XLOOKUP($L28,Tab_DSM_Category_ID[Category ID],Tab_DSM_Category_ID[DSM Material],,0,)</f>
        <v/>
      </c>
      <c r="N28" s="273" t="n"/>
      <c r="O28" s="33" t="n"/>
      <c r="P28" s="273" t="n"/>
      <c r="Q28" s="273" t="n"/>
      <c r="R28" s="273" t="n"/>
    </row>
    <row r="29">
      <c r="A29" s="280" t="b">
        <v>0</v>
      </c>
      <c r="B29" s="272">
        <f>ROW()-1</f>
        <v/>
      </c>
      <c r="C29" s="272">
        <f>_xlfn.XLOOKUP($D29,Tab_Def_Processes[Name(EN)],Tab_Def_Processes[Process_ID],,0,)</f>
        <v/>
      </c>
      <c r="D29" s="273" t="inlineStr">
        <is>
          <t>N.A.</t>
        </is>
      </c>
      <c r="E29" s="272">
        <f>_xlfn.XLOOKUP($D29,Tab_Def_Processes[Name(EN)],Tab_Def_Processes[Process_Type],,0,)</f>
        <v/>
      </c>
      <c r="F29" s="272">
        <f>_xlfn.XLOOKUP($D29,Tab_Def_Processes[Name(EN)],Tab_Def_Processes[TC?],,0,)</f>
        <v/>
      </c>
      <c r="G29" s="272">
        <f>_xlfn.XLOOKUP($D29,Tab_Def_Processes[Name(EN)],Tab_Def_Processes[Dyn_TC?],,0,)</f>
        <v/>
      </c>
      <c r="H29" s="272">
        <f>_xlfn.XLOOKUP($D29,Tab_Def_Processes[Name(EN)],Tab_Def_Processes[Stock?],,0,)</f>
        <v/>
      </c>
      <c r="I29" s="272">
        <f>_xlfn.XLOOKUP($D29,Tab_Def_Processes[Name(EN)],Tab_Def_Processes[Initial_Stock?],,0,)</f>
        <v/>
      </c>
      <c r="J29" s="272">
        <f>_xlfn.XLOOKUP($D29,Tab_Def_Processes[Name(EN)],Tab_Def_Processes[DSM?],,0,)</f>
        <v/>
      </c>
      <c r="K29" s="272">
        <f>_xlfn.XLOOKUP($D29,Tab_Def_Processes[Name(EN)],Tab_Def_Processes[FOMP?],,0,)</f>
        <v/>
      </c>
      <c r="L29" s="273" t="n"/>
      <c r="M29" s="272">
        <f>_xlfn.XLOOKUP($L29,Tab_DSM_Category_ID[Category ID],Tab_DSM_Category_ID[DSM Material],,0,)</f>
        <v/>
      </c>
      <c r="N29" s="273" t="n"/>
      <c r="O29" s="33" t="n"/>
      <c r="P29" s="273" t="n"/>
      <c r="Q29" s="273" t="n"/>
      <c r="R29" s="273" t="n"/>
    </row>
    <row r="30">
      <c r="A30" s="280" t="b">
        <v>0</v>
      </c>
      <c r="B30" s="272">
        <f>ROW()-1</f>
        <v/>
      </c>
      <c r="C30" s="272">
        <f>_xlfn.XLOOKUP($D30,Tab_Def_Processes[Name(EN)],Tab_Def_Processes[Process_ID],,0,)</f>
        <v/>
      </c>
      <c r="D30" s="273" t="inlineStr">
        <is>
          <t>N.A.</t>
        </is>
      </c>
      <c r="E30" s="272">
        <f>_xlfn.XLOOKUP($D30,Tab_Def_Processes[Name(EN)],Tab_Def_Processes[Process_Type],,0,)</f>
        <v/>
      </c>
      <c r="F30" s="272">
        <f>_xlfn.XLOOKUP($D30,Tab_Def_Processes[Name(EN)],Tab_Def_Processes[TC?],,0,)</f>
        <v/>
      </c>
      <c r="G30" s="272">
        <f>_xlfn.XLOOKUP($D30,Tab_Def_Processes[Name(EN)],Tab_Def_Processes[Dyn_TC?],,0,)</f>
        <v/>
      </c>
      <c r="H30" s="272">
        <f>_xlfn.XLOOKUP($D30,Tab_Def_Processes[Name(EN)],Tab_Def_Processes[Stock?],,0,)</f>
        <v/>
      </c>
      <c r="I30" s="272">
        <f>_xlfn.XLOOKUP($D30,Tab_Def_Processes[Name(EN)],Tab_Def_Processes[Initial_Stock?],,0,)</f>
        <v/>
      </c>
      <c r="J30" s="272">
        <f>_xlfn.XLOOKUP($D30,Tab_Def_Processes[Name(EN)],Tab_Def_Processes[DSM?],,0,)</f>
        <v/>
      </c>
      <c r="K30" s="272">
        <f>_xlfn.XLOOKUP($D30,Tab_Def_Processes[Name(EN)],Tab_Def_Processes[FOMP?],,0,)</f>
        <v/>
      </c>
      <c r="L30" s="273" t="n"/>
      <c r="M30" s="272">
        <f>_xlfn.XLOOKUP($L30,Tab_DSM_Category_ID[Category ID],Tab_DSM_Category_ID[DSM Material],,0,)</f>
        <v/>
      </c>
      <c r="N30" s="273" t="n"/>
      <c r="O30" s="33" t="n"/>
      <c r="P30" s="273" t="n"/>
      <c r="Q30" s="273" t="n"/>
      <c r="R30" s="273" t="n"/>
    </row>
    <row r="31">
      <c r="A31" s="280" t="b">
        <v>0</v>
      </c>
      <c r="B31" s="272">
        <f>ROW()-1</f>
        <v/>
      </c>
      <c r="C31" s="272">
        <f>_xlfn.XLOOKUP($D31,Tab_Def_Processes[Name(EN)],Tab_Def_Processes[Process_ID],,0,)</f>
        <v/>
      </c>
      <c r="D31" s="273" t="inlineStr">
        <is>
          <t>N.A.</t>
        </is>
      </c>
      <c r="E31" s="272">
        <f>_xlfn.XLOOKUP($D31,Tab_Def_Processes[Name(EN)],Tab_Def_Processes[Process_Type],,0,)</f>
        <v/>
      </c>
      <c r="F31" s="272">
        <f>_xlfn.XLOOKUP($D31,Tab_Def_Processes[Name(EN)],Tab_Def_Processes[TC?],,0,)</f>
        <v/>
      </c>
      <c r="G31" s="272">
        <f>_xlfn.XLOOKUP($D31,Tab_Def_Processes[Name(EN)],Tab_Def_Processes[Dyn_TC?],,0,)</f>
        <v/>
      </c>
      <c r="H31" s="272">
        <f>_xlfn.XLOOKUP($D31,Tab_Def_Processes[Name(EN)],Tab_Def_Processes[Stock?],,0,)</f>
        <v/>
      </c>
      <c r="I31" s="272">
        <f>_xlfn.XLOOKUP($D31,Tab_Def_Processes[Name(EN)],Tab_Def_Processes[Initial_Stock?],,0,)</f>
        <v/>
      </c>
      <c r="J31" s="272">
        <f>_xlfn.XLOOKUP($D31,Tab_Def_Processes[Name(EN)],Tab_Def_Processes[DSM?],,0,)</f>
        <v/>
      </c>
      <c r="K31" s="272">
        <f>_xlfn.XLOOKUP($D31,Tab_Def_Processes[Name(EN)],Tab_Def_Processes[FOMP?],,0,)</f>
        <v/>
      </c>
      <c r="L31" s="273" t="n"/>
      <c r="M31" s="272">
        <f>_xlfn.XLOOKUP($L31,Tab_DSM_Category_ID[Category ID],Tab_DSM_Category_ID[DSM Material],,0,)</f>
        <v/>
      </c>
      <c r="N31" s="273" t="n"/>
      <c r="O31" s="33" t="n"/>
      <c r="P31" s="273" t="n"/>
      <c r="Q31" s="273" t="n"/>
      <c r="R31" s="273" t="n"/>
    </row>
    <row r="32">
      <c r="A32" s="280" t="b">
        <v>0</v>
      </c>
      <c r="B32" s="272">
        <f>ROW()-1</f>
        <v/>
      </c>
      <c r="C32" s="272">
        <f>_xlfn.XLOOKUP($D32,Tab_Def_Processes[Name(EN)],Tab_Def_Processes[Process_ID],,0,)</f>
        <v/>
      </c>
      <c r="D32" s="273" t="inlineStr">
        <is>
          <t>N.A.</t>
        </is>
      </c>
      <c r="E32" s="272">
        <f>_xlfn.XLOOKUP($D32,Tab_Def_Processes[Name(EN)],Tab_Def_Processes[Process_Type],,0,)</f>
        <v/>
      </c>
      <c r="F32" s="272">
        <f>_xlfn.XLOOKUP($D32,Tab_Def_Processes[Name(EN)],Tab_Def_Processes[TC?],,0,)</f>
        <v/>
      </c>
      <c r="G32" s="272">
        <f>_xlfn.XLOOKUP($D32,Tab_Def_Processes[Name(EN)],Tab_Def_Processes[Dyn_TC?],,0,)</f>
        <v/>
      </c>
      <c r="H32" s="272">
        <f>_xlfn.XLOOKUP($D32,Tab_Def_Processes[Name(EN)],Tab_Def_Processes[Stock?],,0,)</f>
        <v/>
      </c>
      <c r="I32" s="272">
        <f>_xlfn.XLOOKUP($D32,Tab_Def_Processes[Name(EN)],Tab_Def_Processes[Initial_Stock?],,0,)</f>
        <v/>
      </c>
      <c r="J32" s="272">
        <f>_xlfn.XLOOKUP($D32,Tab_Def_Processes[Name(EN)],Tab_Def_Processes[DSM?],,0,)</f>
        <v/>
      </c>
      <c r="K32" s="272">
        <f>_xlfn.XLOOKUP($D32,Tab_Def_Processes[Name(EN)],Tab_Def_Processes[FOMP?],,0,)</f>
        <v/>
      </c>
      <c r="L32" s="273" t="n"/>
      <c r="M32" s="272">
        <f>_xlfn.XLOOKUP($L32,Tab_DSM_Category_ID[Category ID],Tab_DSM_Category_ID[DSM Material],,0,)</f>
        <v/>
      </c>
      <c r="N32" s="273" t="n"/>
      <c r="O32" s="33" t="n"/>
      <c r="P32" s="273" t="n"/>
      <c r="Q32" s="273" t="n"/>
      <c r="R32" s="273" t="n"/>
    </row>
    <row r="33">
      <c r="A33" s="280" t="b">
        <v>0</v>
      </c>
      <c r="B33" s="272">
        <f>ROW()-1</f>
        <v/>
      </c>
      <c r="C33" s="272">
        <f>_xlfn.XLOOKUP($D33,Tab_Def_Processes[Name(EN)],Tab_Def_Processes[Process_ID],,0,)</f>
        <v/>
      </c>
      <c r="D33" s="273" t="inlineStr">
        <is>
          <t>N.A.</t>
        </is>
      </c>
      <c r="E33" s="272">
        <f>_xlfn.XLOOKUP($D33,Tab_Def_Processes[Name(EN)],Tab_Def_Processes[Process_Type],,0,)</f>
        <v/>
      </c>
      <c r="F33" s="272">
        <f>_xlfn.XLOOKUP($D33,Tab_Def_Processes[Name(EN)],Tab_Def_Processes[TC?],,0,)</f>
        <v/>
      </c>
      <c r="G33" s="272">
        <f>_xlfn.XLOOKUP($D33,Tab_Def_Processes[Name(EN)],Tab_Def_Processes[Dyn_TC?],,0,)</f>
        <v/>
      </c>
      <c r="H33" s="272">
        <f>_xlfn.XLOOKUP($D33,Tab_Def_Processes[Name(EN)],Tab_Def_Processes[Stock?],,0,)</f>
        <v/>
      </c>
      <c r="I33" s="272">
        <f>_xlfn.XLOOKUP($D33,Tab_Def_Processes[Name(EN)],Tab_Def_Processes[Initial_Stock?],,0,)</f>
        <v/>
      </c>
      <c r="J33" s="272">
        <f>_xlfn.XLOOKUP($D33,Tab_Def_Processes[Name(EN)],Tab_Def_Processes[DSM?],,0,)</f>
        <v/>
      </c>
      <c r="K33" s="272">
        <f>_xlfn.XLOOKUP($D33,Tab_Def_Processes[Name(EN)],Tab_Def_Processes[FOMP?],,0,)</f>
        <v/>
      </c>
      <c r="L33" s="273" t="n"/>
      <c r="M33" s="272">
        <f>_xlfn.XLOOKUP($L33,Tab_DSM_Category_ID[Category ID],Tab_DSM_Category_ID[DSM Material],,0,)</f>
        <v/>
      </c>
      <c r="N33" s="273" t="n"/>
      <c r="O33" s="33" t="n"/>
      <c r="P33" s="273" t="n"/>
      <c r="Q33" s="273" t="n"/>
      <c r="R33" s="273" t="n"/>
    </row>
    <row r="34">
      <c r="A34" s="280" t="b">
        <v>0</v>
      </c>
      <c r="B34" s="272">
        <f>ROW()-1</f>
        <v/>
      </c>
      <c r="C34" s="272">
        <f>_xlfn.XLOOKUP($D34,Tab_Def_Processes[Name(EN)],Tab_Def_Processes[Process_ID],,0,)</f>
        <v/>
      </c>
      <c r="D34" s="273" t="inlineStr">
        <is>
          <t>N.A.</t>
        </is>
      </c>
      <c r="E34" s="272">
        <f>_xlfn.XLOOKUP($D34,Tab_Def_Processes[Name(EN)],Tab_Def_Processes[Process_Type],,0,)</f>
        <v/>
      </c>
      <c r="F34" s="272">
        <f>_xlfn.XLOOKUP($D34,Tab_Def_Processes[Name(EN)],Tab_Def_Processes[TC?],,0,)</f>
        <v/>
      </c>
      <c r="G34" s="272">
        <f>_xlfn.XLOOKUP($D34,Tab_Def_Processes[Name(EN)],Tab_Def_Processes[Dyn_TC?],,0,)</f>
        <v/>
      </c>
      <c r="H34" s="272">
        <f>_xlfn.XLOOKUP($D34,Tab_Def_Processes[Name(EN)],Tab_Def_Processes[Stock?],,0,)</f>
        <v/>
      </c>
      <c r="I34" s="272">
        <f>_xlfn.XLOOKUP($D34,Tab_Def_Processes[Name(EN)],Tab_Def_Processes[Initial_Stock?],,0,)</f>
        <v/>
      </c>
      <c r="J34" s="272">
        <f>_xlfn.XLOOKUP($D34,Tab_Def_Processes[Name(EN)],Tab_Def_Processes[DSM?],,0,)</f>
        <v/>
      </c>
      <c r="K34" s="272">
        <f>_xlfn.XLOOKUP($D34,Tab_Def_Processes[Name(EN)],Tab_Def_Processes[FOMP?],,0,)</f>
        <v/>
      </c>
      <c r="L34" s="273" t="n"/>
      <c r="M34" s="272">
        <f>_xlfn.XLOOKUP($L34,Tab_DSM_Category_ID[Category ID],Tab_DSM_Category_ID[DSM Material],,0,)</f>
        <v/>
      </c>
      <c r="N34" s="273" t="n"/>
      <c r="O34" s="33" t="n"/>
      <c r="P34" s="273" t="n"/>
      <c r="Q34" s="273" t="n"/>
      <c r="R34" s="273" t="n"/>
    </row>
    <row r="35">
      <c r="A35" s="280" t="b">
        <v>0</v>
      </c>
      <c r="B35" s="272">
        <f>ROW()-1</f>
        <v/>
      </c>
      <c r="C35" s="272">
        <f>_xlfn.XLOOKUP($D35,Tab_Def_Processes[Name(EN)],Tab_Def_Processes[Process_ID],,0,)</f>
        <v/>
      </c>
      <c r="D35" s="273" t="inlineStr">
        <is>
          <t>N.A.</t>
        </is>
      </c>
      <c r="E35" s="272">
        <f>_xlfn.XLOOKUP($D35,Tab_Def_Processes[Name(EN)],Tab_Def_Processes[Process_Type],,0,)</f>
        <v/>
      </c>
      <c r="F35" s="272">
        <f>_xlfn.XLOOKUP($D35,Tab_Def_Processes[Name(EN)],Tab_Def_Processes[TC?],,0,)</f>
        <v/>
      </c>
      <c r="G35" s="272">
        <f>_xlfn.XLOOKUP($D35,Tab_Def_Processes[Name(EN)],Tab_Def_Processes[Dyn_TC?],,0,)</f>
        <v/>
      </c>
      <c r="H35" s="272">
        <f>_xlfn.XLOOKUP($D35,Tab_Def_Processes[Name(EN)],Tab_Def_Processes[Stock?],,0,)</f>
        <v/>
      </c>
      <c r="I35" s="272">
        <f>_xlfn.XLOOKUP($D35,Tab_Def_Processes[Name(EN)],Tab_Def_Processes[Initial_Stock?],,0,)</f>
        <v/>
      </c>
      <c r="J35" s="272">
        <f>_xlfn.XLOOKUP($D35,Tab_Def_Processes[Name(EN)],Tab_Def_Processes[DSM?],,0,)</f>
        <v/>
      </c>
      <c r="K35" s="272">
        <f>_xlfn.XLOOKUP($D35,Tab_Def_Processes[Name(EN)],Tab_Def_Processes[FOMP?],,0,)</f>
        <v/>
      </c>
      <c r="L35" s="273" t="n"/>
      <c r="M35" s="272">
        <f>_xlfn.XLOOKUP($L35,Tab_DSM_Category_ID[Category ID],Tab_DSM_Category_ID[DSM Material],,0,)</f>
        <v/>
      </c>
      <c r="N35" s="273" t="n"/>
      <c r="O35" s="33" t="n"/>
      <c r="P35" s="273" t="n"/>
      <c r="Q35" s="273" t="n"/>
      <c r="R35" s="273" t="n"/>
    </row>
    <row r="36">
      <c r="A36" s="280" t="b">
        <v>0</v>
      </c>
      <c r="B36" s="272">
        <f>ROW()-1</f>
        <v/>
      </c>
      <c r="C36" s="272">
        <f>_xlfn.XLOOKUP($D36,Tab_Def_Processes[Name(EN)],Tab_Def_Processes[Process_ID],,0,)</f>
        <v/>
      </c>
      <c r="D36" s="273" t="inlineStr">
        <is>
          <t>N.A.</t>
        </is>
      </c>
      <c r="E36" s="272">
        <f>_xlfn.XLOOKUP($D36,Tab_Def_Processes[Name(EN)],Tab_Def_Processes[Process_Type],,0,)</f>
        <v/>
      </c>
      <c r="F36" s="272">
        <f>_xlfn.XLOOKUP($D36,Tab_Def_Processes[Name(EN)],Tab_Def_Processes[TC?],,0,)</f>
        <v/>
      </c>
      <c r="G36" s="272">
        <f>_xlfn.XLOOKUP($D36,Tab_Def_Processes[Name(EN)],Tab_Def_Processes[Dyn_TC?],,0,)</f>
        <v/>
      </c>
      <c r="H36" s="272">
        <f>_xlfn.XLOOKUP($D36,Tab_Def_Processes[Name(EN)],Tab_Def_Processes[Stock?],,0,)</f>
        <v/>
      </c>
      <c r="I36" s="272">
        <f>_xlfn.XLOOKUP($D36,Tab_Def_Processes[Name(EN)],Tab_Def_Processes[Initial_Stock?],,0,)</f>
        <v/>
      </c>
      <c r="J36" s="272">
        <f>_xlfn.XLOOKUP($D36,Tab_Def_Processes[Name(EN)],Tab_Def_Processes[DSM?],,0,)</f>
        <v/>
      </c>
      <c r="K36" s="272">
        <f>_xlfn.XLOOKUP($D36,Tab_Def_Processes[Name(EN)],Tab_Def_Processes[FOMP?],,0,)</f>
        <v/>
      </c>
      <c r="L36" s="273" t="n"/>
      <c r="M36" s="272">
        <f>_xlfn.XLOOKUP($L36,Tab_DSM_Category_ID[Category ID],Tab_DSM_Category_ID[DSM Material],,0,)</f>
        <v/>
      </c>
      <c r="N36" s="273" t="n"/>
      <c r="O36" s="33" t="n"/>
      <c r="P36" s="273" t="n"/>
      <c r="Q36" s="273" t="n"/>
      <c r="R36" s="273" t="n"/>
    </row>
    <row r="37">
      <c r="A37" s="280" t="b">
        <v>0</v>
      </c>
      <c r="B37" s="272">
        <f>ROW()-1</f>
        <v/>
      </c>
      <c r="C37" s="272">
        <f>_xlfn.XLOOKUP($D37,Tab_Def_Processes[Name(EN)],Tab_Def_Processes[Process_ID],,0,)</f>
        <v/>
      </c>
      <c r="D37" s="273" t="inlineStr">
        <is>
          <t>N.A.</t>
        </is>
      </c>
      <c r="E37" s="272">
        <f>_xlfn.XLOOKUP($D37,Tab_Def_Processes[Name(EN)],Tab_Def_Processes[Process_Type],,0,)</f>
        <v/>
      </c>
      <c r="F37" s="272">
        <f>_xlfn.XLOOKUP($D37,Tab_Def_Processes[Name(EN)],Tab_Def_Processes[TC?],,0,)</f>
        <v/>
      </c>
      <c r="G37" s="272">
        <f>_xlfn.XLOOKUP($D37,Tab_Def_Processes[Name(EN)],Tab_Def_Processes[Dyn_TC?],,0,)</f>
        <v/>
      </c>
      <c r="H37" s="272">
        <f>_xlfn.XLOOKUP($D37,Tab_Def_Processes[Name(EN)],Tab_Def_Processes[Stock?],,0,)</f>
        <v/>
      </c>
      <c r="I37" s="272">
        <f>_xlfn.XLOOKUP($D37,Tab_Def_Processes[Name(EN)],Tab_Def_Processes[Initial_Stock?],,0,)</f>
        <v/>
      </c>
      <c r="J37" s="272">
        <f>_xlfn.XLOOKUP($D37,Tab_Def_Processes[Name(EN)],Tab_Def_Processes[DSM?],,0,)</f>
        <v/>
      </c>
      <c r="K37" s="272">
        <f>_xlfn.XLOOKUP($D37,Tab_Def_Processes[Name(EN)],Tab_Def_Processes[FOMP?],,0,)</f>
        <v/>
      </c>
      <c r="L37" s="273" t="n"/>
      <c r="M37" s="272">
        <f>_xlfn.XLOOKUP($L37,Tab_DSM_Category_ID[Category ID],Tab_DSM_Category_ID[DSM Material],,0,)</f>
        <v/>
      </c>
      <c r="N37" s="273" t="n"/>
      <c r="O37" s="33" t="n"/>
      <c r="P37" s="273" t="n"/>
      <c r="Q37" s="273" t="n"/>
      <c r="R37" s="273" t="n"/>
    </row>
    <row r="38">
      <c r="A38" s="280" t="b">
        <v>0</v>
      </c>
      <c r="B38" s="272">
        <f>ROW()-1</f>
        <v/>
      </c>
      <c r="C38" s="272">
        <f>_xlfn.XLOOKUP($D38,Tab_Def_Processes[Name(EN)],Tab_Def_Processes[Process_ID],,0,)</f>
        <v/>
      </c>
      <c r="D38" s="273" t="inlineStr">
        <is>
          <t>N.A.</t>
        </is>
      </c>
      <c r="E38" s="272">
        <f>_xlfn.XLOOKUP($D38,Tab_Def_Processes[Name(EN)],Tab_Def_Processes[Process_Type],,0,)</f>
        <v/>
      </c>
      <c r="F38" s="272">
        <f>_xlfn.XLOOKUP($D38,Tab_Def_Processes[Name(EN)],Tab_Def_Processes[TC?],,0,)</f>
        <v/>
      </c>
      <c r="G38" s="272">
        <f>_xlfn.XLOOKUP($D38,Tab_Def_Processes[Name(EN)],Tab_Def_Processes[Dyn_TC?],,0,)</f>
        <v/>
      </c>
      <c r="H38" s="272">
        <f>_xlfn.XLOOKUP($D38,Tab_Def_Processes[Name(EN)],Tab_Def_Processes[Stock?],,0,)</f>
        <v/>
      </c>
      <c r="I38" s="272">
        <f>_xlfn.XLOOKUP($D38,Tab_Def_Processes[Name(EN)],Tab_Def_Processes[Initial_Stock?],,0,)</f>
        <v/>
      </c>
      <c r="J38" s="272">
        <f>_xlfn.XLOOKUP($D38,Tab_Def_Processes[Name(EN)],Tab_Def_Processes[DSM?],,0,)</f>
        <v/>
      </c>
      <c r="K38" s="272">
        <f>_xlfn.XLOOKUP($D38,Tab_Def_Processes[Name(EN)],Tab_Def_Processes[FOMP?],,0,)</f>
        <v/>
      </c>
      <c r="L38" s="273" t="n"/>
      <c r="M38" s="272">
        <f>_xlfn.XLOOKUP($L38,Tab_DSM_Category_ID[Category ID],Tab_DSM_Category_ID[DSM Material],,0,)</f>
        <v/>
      </c>
      <c r="N38" s="273" t="n"/>
      <c r="O38" s="33" t="n"/>
      <c r="P38" s="273" t="n"/>
      <c r="Q38" s="273" t="n"/>
      <c r="R38" s="273" t="n"/>
    </row>
    <row r="39">
      <c r="A39" s="280" t="b">
        <v>0</v>
      </c>
      <c r="B39" s="272">
        <f>ROW()-1</f>
        <v/>
      </c>
      <c r="C39" s="272">
        <f>_xlfn.XLOOKUP($D39,Tab_Def_Processes[Name(EN)],Tab_Def_Processes[Process_ID],,0,)</f>
        <v/>
      </c>
      <c r="D39" s="273" t="inlineStr">
        <is>
          <t>N.A.</t>
        </is>
      </c>
      <c r="E39" s="272">
        <f>_xlfn.XLOOKUP($D39,Tab_Def_Processes[Name(EN)],Tab_Def_Processes[Process_Type],,0,)</f>
        <v/>
      </c>
      <c r="F39" s="272">
        <f>_xlfn.XLOOKUP($D39,Tab_Def_Processes[Name(EN)],Tab_Def_Processes[TC?],,0,)</f>
        <v/>
      </c>
      <c r="G39" s="272">
        <f>_xlfn.XLOOKUP($D39,Tab_Def_Processes[Name(EN)],Tab_Def_Processes[Dyn_TC?],,0,)</f>
        <v/>
      </c>
      <c r="H39" s="272">
        <f>_xlfn.XLOOKUP($D39,Tab_Def_Processes[Name(EN)],Tab_Def_Processes[Stock?],,0,)</f>
        <v/>
      </c>
      <c r="I39" s="272">
        <f>_xlfn.XLOOKUP($D39,Tab_Def_Processes[Name(EN)],Tab_Def_Processes[Initial_Stock?],,0,)</f>
        <v/>
      </c>
      <c r="J39" s="272">
        <f>_xlfn.XLOOKUP($D39,Tab_Def_Processes[Name(EN)],Tab_Def_Processes[DSM?],,0,)</f>
        <v/>
      </c>
      <c r="K39" s="272">
        <f>_xlfn.XLOOKUP($D39,Tab_Def_Processes[Name(EN)],Tab_Def_Processes[FOMP?],,0,)</f>
        <v/>
      </c>
      <c r="L39" s="273" t="n"/>
      <c r="M39" s="272">
        <f>_xlfn.XLOOKUP($L39,Tab_DSM_Category_ID[Category ID],Tab_DSM_Category_ID[DSM Material],,0,)</f>
        <v/>
      </c>
      <c r="N39" s="273" t="n"/>
      <c r="O39" s="33" t="n"/>
      <c r="P39" s="273" t="n"/>
      <c r="Q39" s="273" t="n"/>
      <c r="R39" s="273" t="n"/>
    </row>
    <row r="40">
      <c r="A40" s="280" t="b">
        <v>0</v>
      </c>
      <c r="B40" s="272">
        <f>ROW()-1</f>
        <v/>
      </c>
      <c r="C40" s="272">
        <f>_xlfn.XLOOKUP($D40,Tab_Def_Processes[Name(EN)],Tab_Def_Processes[Process_ID],,0,)</f>
        <v/>
      </c>
      <c r="D40" s="273" t="inlineStr">
        <is>
          <t>N.A.</t>
        </is>
      </c>
      <c r="E40" s="272">
        <f>_xlfn.XLOOKUP($D40,Tab_Def_Processes[Name(EN)],Tab_Def_Processes[Process_Type],,0,)</f>
        <v/>
      </c>
      <c r="F40" s="272">
        <f>_xlfn.XLOOKUP($D40,Tab_Def_Processes[Name(EN)],Tab_Def_Processes[TC?],,0,)</f>
        <v/>
      </c>
      <c r="G40" s="272">
        <f>_xlfn.XLOOKUP($D40,Tab_Def_Processes[Name(EN)],Tab_Def_Processes[Dyn_TC?],,0,)</f>
        <v/>
      </c>
      <c r="H40" s="272">
        <f>_xlfn.XLOOKUP($D40,Tab_Def_Processes[Name(EN)],Tab_Def_Processes[Stock?],,0,)</f>
        <v/>
      </c>
      <c r="I40" s="272">
        <f>_xlfn.XLOOKUP($D40,Tab_Def_Processes[Name(EN)],Tab_Def_Processes[Initial_Stock?],,0,)</f>
        <v/>
      </c>
      <c r="J40" s="272">
        <f>_xlfn.XLOOKUP($D40,Tab_Def_Processes[Name(EN)],Tab_Def_Processes[DSM?],,0,)</f>
        <v/>
      </c>
      <c r="K40" s="272">
        <f>_xlfn.XLOOKUP($D40,Tab_Def_Processes[Name(EN)],Tab_Def_Processes[FOMP?],,0,)</f>
        <v/>
      </c>
      <c r="L40" s="273" t="n"/>
      <c r="M40" s="272">
        <f>_xlfn.XLOOKUP($L40,Tab_DSM_Category_ID[Category ID],Tab_DSM_Category_ID[DSM Material],,0,)</f>
        <v/>
      </c>
      <c r="N40" s="273" t="n"/>
      <c r="O40" s="33" t="n"/>
      <c r="P40" s="273" t="n"/>
      <c r="Q40" s="273" t="n"/>
      <c r="R40" s="273" t="n"/>
    </row>
    <row r="41">
      <c r="A41" s="280" t="b">
        <v>0</v>
      </c>
      <c r="B41" s="272">
        <f>ROW()-1</f>
        <v/>
      </c>
      <c r="C41" s="272">
        <f>_xlfn.XLOOKUP($D41,Tab_Def_Processes[Name(EN)],Tab_Def_Processes[Process_ID],,0,)</f>
        <v/>
      </c>
      <c r="D41" s="273" t="inlineStr">
        <is>
          <t>N.A.</t>
        </is>
      </c>
      <c r="E41" s="272">
        <f>_xlfn.XLOOKUP($D41,Tab_Def_Processes[Name(EN)],Tab_Def_Processes[Process_Type],,0,)</f>
        <v/>
      </c>
      <c r="F41" s="272">
        <f>_xlfn.XLOOKUP($D41,Tab_Def_Processes[Name(EN)],Tab_Def_Processes[TC?],,0,)</f>
        <v/>
      </c>
      <c r="G41" s="272">
        <f>_xlfn.XLOOKUP($D41,Tab_Def_Processes[Name(EN)],Tab_Def_Processes[Dyn_TC?],,0,)</f>
        <v/>
      </c>
      <c r="H41" s="272">
        <f>_xlfn.XLOOKUP($D41,Tab_Def_Processes[Name(EN)],Tab_Def_Processes[Stock?],,0,)</f>
        <v/>
      </c>
      <c r="I41" s="272">
        <f>_xlfn.XLOOKUP($D41,Tab_Def_Processes[Name(EN)],Tab_Def_Processes[Initial_Stock?],,0,)</f>
        <v/>
      </c>
      <c r="J41" s="272">
        <f>_xlfn.XLOOKUP($D41,Tab_Def_Processes[Name(EN)],Tab_Def_Processes[DSM?],,0,)</f>
        <v/>
      </c>
      <c r="K41" s="272">
        <f>_xlfn.XLOOKUP($D41,Tab_Def_Processes[Name(EN)],Tab_Def_Processes[FOMP?],,0,)</f>
        <v/>
      </c>
      <c r="L41" s="273" t="n"/>
      <c r="M41" s="272">
        <f>_xlfn.XLOOKUP($L41,Tab_DSM_Category_ID[Category ID],Tab_DSM_Category_ID[DSM Material],,0,)</f>
        <v/>
      </c>
      <c r="N41" s="273" t="n"/>
      <c r="O41" s="33" t="n"/>
      <c r="P41" s="273" t="n"/>
      <c r="Q41" s="273" t="n"/>
      <c r="R41" s="273" t="n"/>
    </row>
    <row r="42">
      <c r="A42" s="280" t="b">
        <v>0</v>
      </c>
      <c r="B42" s="272">
        <f>ROW()-1</f>
        <v/>
      </c>
      <c r="C42" s="272">
        <f>_xlfn.XLOOKUP($D42,Tab_Def_Processes[Name(EN)],Tab_Def_Processes[Process_ID],,0,)</f>
        <v/>
      </c>
      <c r="D42" s="273" t="inlineStr">
        <is>
          <t>N.A.</t>
        </is>
      </c>
      <c r="E42" s="272">
        <f>_xlfn.XLOOKUP($D42,Tab_Def_Processes[Name(EN)],Tab_Def_Processes[Process_Type],,0,)</f>
        <v/>
      </c>
      <c r="F42" s="272">
        <f>_xlfn.XLOOKUP($D42,Tab_Def_Processes[Name(EN)],Tab_Def_Processes[TC?],,0,)</f>
        <v/>
      </c>
      <c r="G42" s="272">
        <f>_xlfn.XLOOKUP($D42,Tab_Def_Processes[Name(EN)],Tab_Def_Processes[Dyn_TC?],,0,)</f>
        <v/>
      </c>
      <c r="H42" s="272">
        <f>_xlfn.XLOOKUP($D42,Tab_Def_Processes[Name(EN)],Tab_Def_Processes[Stock?],,0,)</f>
        <v/>
      </c>
      <c r="I42" s="272">
        <f>_xlfn.XLOOKUP($D42,Tab_Def_Processes[Name(EN)],Tab_Def_Processes[Initial_Stock?],,0,)</f>
        <v/>
      </c>
      <c r="J42" s="272">
        <f>_xlfn.XLOOKUP($D42,Tab_Def_Processes[Name(EN)],Tab_Def_Processes[DSM?],,0,)</f>
        <v/>
      </c>
      <c r="K42" s="272">
        <f>_xlfn.XLOOKUP($D42,Tab_Def_Processes[Name(EN)],Tab_Def_Processes[FOMP?],,0,)</f>
        <v/>
      </c>
      <c r="L42" s="273" t="n"/>
      <c r="M42" s="272">
        <f>_xlfn.XLOOKUP($L42,Tab_DSM_Category_ID[Category ID],Tab_DSM_Category_ID[DSM Material],,0,)</f>
        <v/>
      </c>
      <c r="N42" s="273" t="n"/>
      <c r="O42" s="33" t="n"/>
      <c r="P42" s="273" t="n"/>
      <c r="Q42" s="273" t="n"/>
      <c r="R42" s="273" t="n"/>
    </row>
    <row r="43">
      <c r="A43" s="280" t="b">
        <v>0</v>
      </c>
      <c r="B43" s="272">
        <f>ROW()-1</f>
        <v/>
      </c>
      <c r="C43" s="272">
        <f>_xlfn.XLOOKUP($D43,Tab_Def_Processes[Name(EN)],Tab_Def_Processes[Process_ID],,0,)</f>
        <v/>
      </c>
      <c r="D43" s="273" t="inlineStr">
        <is>
          <t>N.A.</t>
        </is>
      </c>
      <c r="E43" s="272">
        <f>_xlfn.XLOOKUP($D43,Tab_Def_Processes[Name(EN)],Tab_Def_Processes[Process_Type],,0,)</f>
        <v/>
      </c>
      <c r="F43" s="272">
        <f>_xlfn.XLOOKUP($D43,Tab_Def_Processes[Name(EN)],Tab_Def_Processes[TC?],,0,)</f>
        <v/>
      </c>
      <c r="G43" s="272">
        <f>_xlfn.XLOOKUP($D43,Tab_Def_Processes[Name(EN)],Tab_Def_Processes[Dyn_TC?],,0,)</f>
        <v/>
      </c>
      <c r="H43" s="272">
        <f>_xlfn.XLOOKUP($D43,Tab_Def_Processes[Name(EN)],Tab_Def_Processes[Stock?],,0,)</f>
        <v/>
      </c>
      <c r="I43" s="272">
        <f>_xlfn.XLOOKUP($D43,Tab_Def_Processes[Name(EN)],Tab_Def_Processes[Initial_Stock?],,0,)</f>
        <v/>
      </c>
      <c r="J43" s="272">
        <f>_xlfn.XLOOKUP($D43,Tab_Def_Processes[Name(EN)],Tab_Def_Processes[DSM?],,0,)</f>
        <v/>
      </c>
      <c r="K43" s="272">
        <f>_xlfn.XLOOKUP($D43,Tab_Def_Processes[Name(EN)],Tab_Def_Processes[FOMP?],,0,)</f>
        <v/>
      </c>
      <c r="L43" s="273" t="n"/>
      <c r="M43" s="272">
        <f>_xlfn.XLOOKUP($L43,Tab_DSM_Category_ID[Category ID],Tab_DSM_Category_ID[DSM Material],,0,)</f>
        <v/>
      </c>
      <c r="N43" s="273" t="n"/>
      <c r="O43" s="33" t="n"/>
      <c r="P43" s="273" t="n"/>
      <c r="Q43" s="273" t="n"/>
      <c r="R43" s="273" t="n"/>
    </row>
    <row r="44">
      <c r="A44" s="280" t="b">
        <v>0</v>
      </c>
      <c r="B44" s="272">
        <f>ROW()-1</f>
        <v/>
      </c>
      <c r="C44" s="272">
        <f>_xlfn.XLOOKUP($D44,Tab_Def_Processes[Name(EN)],Tab_Def_Processes[Process_ID],,0,)</f>
        <v/>
      </c>
      <c r="D44" s="273" t="inlineStr">
        <is>
          <t>N.A.</t>
        </is>
      </c>
      <c r="E44" s="272">
        <f>_xlfn.XLOOKUP($D44,Tab_Def_Processes[Name(EN)],Tab_Def_Processes[Process_Type],,0,)</f>
        <v/>
      </c>
      <c r="F44" s="272">
        <f>_xlfn.XLOOKUP($D44,Tab_Def_Processes[Name(EN)],Tab_Def_Processes[TC?],,0,)</f>
        <v/>
      </c>
      <c r="G44" s="272">
        <f>_xlfn.XLOOKUP($D44,Tab_Def_Processes[Name(EN)],Tab_Def_Processes[Dyn_TC?],,0,)</f>
        <v/>
      </c>
      <c r="H44" s="272">
        <f>_xlfn.XLOOKUP($D44,Tab_Def_Processes[Name(EN)],Tab_Def_Processes[Stock?],,0,)</f>
        <v/>
      </c>
      <c r="I44" s="272">
        <f>_xlfn.XLOOKUP($D44,Tab_Def_Processes[Name(EN)],Tab_Def_Processes[Initial_Stock?],,0,)</f>
        <v/>
      </c>
      <c r="J44" s="272">
        <f>_xlfn.XLOOKUP($D44,Tab_Def_Processes[Name(EN)],Tab_Def_Processes[DSM?],,0,)</f>
        <v/>
      </c>
      <c r="K44" s="272">
        <f>_xlfn.XLOOKUP($D44,Tab_Def_Processes[Name(EN)],Tab_Def_Processes[FOMP?],,0,)</f>
        <v/>
      </c>
      <c r="L44" s="273" t="n"/>
      <c r="M44" s="272">
        <f>_xlfn.XLOOKUP($L44,Tab_DSM_Category_ID[Category ID],Tab_DSM_Category_ID[DSM Material],,0,)</f>
        <v/>
      </c>
      <c r="N44" s="273" t="n"/>
      <c r="O44" s="33" t="n"/>
      <c r="P44" s="273" t="n"/>
      <c r="Q44" s="273" t="n"/>
      <c r="R44" s="273" t="n"/>
    </row>
    <row r="45">
      <c r="A45" s="280" t="b">
        <v>0</v>
      </c>
      <c r="B45" s="272">
        <f>ROW()-1</f>
        <v/>
      </c>
      <c r="C45" s="272">
        <f>_xlfn.XLOOKUP($D45,Tab_Def_Processes[Name(EN)],Tab_Def_Processes[Process_ID],,0,)</f>
        <v/>
      </c>
      <c r="D45" s="273" t="inlineStr">
        <is>
          <t>N.A.</t>
        </is>
      </c>
      <c r="E45" s="272">
        <f>_xlfn.XLOOKUP($D45,Tab_Def_Processes[Name(EN)],Tab_Def_Processes[Process_Type],,0,)</f>
        <v/>
      </c>
      <c r="F45" s="272">
        <f>_xlfn.XLOOKUP($D45,Tab_Def_Processes[Name(EN)],Tab_Def_Processes[TC?],,0,)</f>
        <v/>
      </c>
      <c r="G45" s="272">
        <f>_xlfn.XLOOKUP($D45,Tab_Def_Processes[Name(EN)],Tab_Def_Processes[Dyn_TC?],,0,)</f>
        <v/>
      </c>
      <c r="H45" s="272">
        <f>_xlfn.XLOOKUP($D45,Tab_Def_Processes[Name(EN)],Tab_Def_Processes[Stock?],,0,)</f>
        <v/>
      </c>
      <c r="I45" s="272">
        <f>_xlfn.XLOOKUP($D45,Tab_Def_Processes[Name(EN)],Tab_Def_Processes[Initial_Stock?],,0,)</f>
        <v/>
      </c>
      <c r="J45" s="272">
        <f>_xlfn.XLOOKUP($D45,Tab_Def_Processes[Name(EN)],Tab_Def_Processes[DSM?],,0,)</f>
        <v/>
      </c>
      <c r="K45" s="272">
        <f>_xlfn.XLOOKUP($D45,Tab_Def_Processes[Name(EN)],Tab_Def_Processes[FOMP?],,0,)</f>
        <v/>
      </c>
      <c r="L45" s="273" t="n"/>
      <c r="M45" s="272">
        <f>_xlfn.XLOOKUP($L45,Tab_DSM_Category_ID[Category ID],Tab_DSM_Category_ID[DSM Material],,0,)</f>
        <v/>
      </c>
      <c r="N45" s="273" t="n"/>
      <c r="O45" s="33" t="n"/>
      <c r="P45" s="273" t="n"/>
      <c r="Q45" s="273" t="n"/>
      <c r="R45" s="273" t="n"/>
    </row>
    <row r="46">
      <c r="A46" s="280" t="b">
        <v>0</v>
      </c>
      <c r="B46" s="272">
        <f>ROW()-1</f>
        <v/>
      </c>
      <c r="C46" s="272">
        <f>_xlfn.XLOOKUP($D46,Tab_Def_Processes[Name(EN)],Tab_Def_Processes[Process_ID],,0,)</f>
        <v/>
      </c>
      <c r="D46" s="273" t="inlineStr">
        <is>
          <t>N.A.</t>
        </is>
      </c>
      <c r="E46" s="272">
        <f>_xlfn.XLOOKUP($D46,Tab_Def_Processes[Name(EN)],Tab_Def_Processes[Process_Type],,0,)</f>
        <v/>
      </c>
      <c r="F46" s="272">
        <f>_xlfn.XLOOKUP($D46,Tab_Def_Processes[Name(EN)],Tab_Def_Processes[TC?],,0,)</f>
        <v/>
      </c>
      <c r="G46" s="272">
        <f>_xlfn.XLOOKUP($D46,Tab_Def_Processes[Name(EN)],Tab_Def_Processes[Dyn_TC?],,0,)</f>
        <v/>
      </c>
      <c r="H46" s="272">
        <f>_xlfn.XLOOKUP($D46,Tab_Def_Processes[Name(EN)],Tab_Def_Processes[Stock?],,0,)</f>
        <v/>
      </c>
      <c r="I46" s="272">
        <f>_xlfn.XLOOKUP($D46,Tab_Def_Processes[Name(EN)],Tab_Def_Processes[Initial_Stock?],,0,)</f>
        <v/>
      </c>
      <c r="J46" s="272">
        <f>_xlfn.XLOOKUP($D46,Tab_Def_Processes[Name(EN)],Tab_Def_Processes[DSM?],,0,)</f>
        <v/>
      </c>
      <c r="K46" s="272">
        <f>_xlfn.XLOOKUP($D46,Tab_Def_Processes[Name(EN)],Tab_Def_Processes[FOMP?],,0,)</f>
        <v/>
      </c>
      <c r="L46" s="273" t="n"/>
      <c r="M46" s="272">
        <f>_xlfn.XLOOKUP($L46,Tab_DSM_Category_ID[Category ID],Tab_DSM_Category_ID[DSM Material],,0,)</f>
        <v/>
      </c>
      <c r="N46" s="273" t="n"/>
      <c r="O46" s="33" t="n"/>
      <c r="P46" s="273" t="n"/>
      <c r="Q46" s="273" t="n"/>
      <c r="R46" s="273" t="n"/>
    </row>
    <row r="47">
      <c r="A47" s="280" t="b">
        <v>0</v>
      </c>
      <c r="B47" s="272">
        <f>ROW()-1</f>
        <v/>
      </c>
      <c r="C47" s="272">
        <f>_xlfn.XLOOKUP($D47,Tab_Def_Processes[Name(EN)],Tab_Def_Processes[Process_ID],,0,)</f>
        <v/>
      </c>
      <c r="D47" s="273" t="inlineStr">
        <is>
          <t>N.A.</t>
        </is>
      </c>
      <c r="E47" s="272">
        <f>_xlfn.XLOOKUP($D47,Tab_Def_Processes[Name(EN)],Tab_Def_Processes[Process_Type],,0,)</f>
        <v/>
      </c>
      <c r="F47" s="272">
        <f>_xlfn.XLOOKUP($D47,Tab_Def_Processes[Name(EN)],Tab_Def_Processes[TC?],,0,)</f>
        <v/>
      </c>
      <c r="G47" s="272">
        <f>_xlfn.XLOOKUP($D47,Tab_Def_Processes[Name(EN)],Tab_Def_Processes[Dyn_TC?],,0,)</f>
        <v/>
      </c>
      <c r="H47" s="272">
        <f>_xlfn.XLOOKUP($D47,Tab_Def_Processes[Name(EN)],Tab_Def_Processes[Stock?],,0,)</f>
        <v/>
      </c>
      <c r="I47" s="272">
        <f>_xlfn.XLOOKUP($D47,Tab_Def_Processes[Name(EN)],Tab_Def_Processes[Initial_Stock?],,0,)</f>
        <v/>
      </c>
      <c r="J47" s="272">
        <f>_xlfn.XLOOKUP($D47,Tab_Def_Processes[Name(EN)],Tab_Def_Processes[DSM?],,0,)</f>
        <v/>
      </c>
      <c r="K47" s="272">
        <f>_xlfn.XLOOKUP($D47,Tab_Def_Processes[Name(EN)],Tab_Def_Processes[FOMP?],,0,)</f>
        <v/>
      </c>
      <c r="L47" s="273" t="n"/>
      <c r="M47" s="272">
        <f>_xlfn.XLOOKUP($L47,Tab_DSM_Category_ID[Category ID],Tab_DSM_Category_ID[DSM Material],,0,)</f>
        <v/>
      </c>
      <c r="N47" s="273" t="n"/>
      <c r="O47" s="33" t="n"/>
      <c r="P47" s="273" t="n"/>
      <c r="Q47" s="273" t="n"/>
      <c r="R47" s="273" t="n"/>
    </row>
    <row r="48">
      <c r="A48" s="280" t="b">
        <v>0</v>
      </c>
      <c r="B48" s="272">
        <f>ROW()-1</f>
        <v/>
      </c>
      <c r="C48" s="272">
        <f>_xlfn.XLOOKUP($D48,Tab_Def_Processes[Name(EN)],Tab_Def_Processes[Process_ID],,0,)</f>
        <v/>
      </c>
      <c r="D48" s="273" t="inlineStr">
        <is>
          <t>N.A.</t>
        </is>
      </c>
      <c r="E48" s="272">
        <f>_xlfn.XLOOKUP($D48,Tab_Def_Processes[Name(EN)],Tab_Def_Processes[Process_Type],,0,)</f>
        <v/>
      </c>
      <c r="F48" s="272">
        <f>_xlfn.XLOOKUP($D48,Tab_Def_Processes[Name(EN)],Tab_Def_Processes[TC?],,0,)</f>
        <v/>
      </c>
      <c r="G48" s="272">
        <f>_xlfn.XLOOKUP($D48,Tab_Def_Processes[Name(EN)],Tab_Def_Processes[Dyn_TC?],,0,)</f>
        <v/>
      </c>
      <c r="H48" s="272">
        <f>_xlfn.XLOOKUP($D48,Tab_Def_Processes[Name(EN)],Tab_Def_Processes[Stock?],,0,)</f>
        <v/>
      </c>
      <c r="I48" s="272">
        <f>_xlfn.XLOOKUP($D48,Tab_Def_Processes[Name(EN)],Tab_Def_Processes[Initial_Stock?],,0,)</f>
        <v/>
      </c>
      <c r="J48" s="272">
        <f>_xlfn.XLOOKUP($D48,Tab_Def_Processes[Name(EN)],Tab_Def_Processes[DSM?],,0,)</f>
        <v/>
      </c>
      <c r="K48" s="272">
        <f>_xlfn.XLOOKUP($D48,Tab_Def_Processes[Name(EN)],Tab_Def_Processes[FOMP?],,0,)</f>
        <v/>
      </c>
      <c r="L48" s="273" t="n"/>
      <c r="M48" s="272">
        <f>_xlfn.XLOOKUP($L48,Tab_DSM_Category_ID[Category ID],Tab_DSM_Category_ID[DSM Material],,0,)</f>
        <v/>
      </c>
      <c r="N48" s="273" t="n"/>
      <c r="O48" s="33" t="n"/>
      <c r="P48" s="273" t="n"/>
      <c r="Q48" s="273" t="n"/>
      <c r="R48" s="273" t="n"/>
    </row>
    <row r="49">
      <c r="A49" s="280" t="b">
        <v>0</v>
      </c>
      <c r="B49" s="272">
        <f>ROW()-1</f>
        <v/>
      </c>
      <c r="C49" s="272">
        <f>_xlfn.XLOOKUP($D49,Tab_Def_Processes[Name(EN)],Tab_Def_Processes[Process_ID],,0,)</f>
        <v/>
      </c>
      <c r="D49" s="273" t="inlineStr">
        <is>
          <t>N.A.</t>
        </is>
      </c>
      <c r="E49" s="272">
        <f>_xlfn.XLOOKUP($D49,Tab_Def_Processes[Name(EN)],Tab_Def_Processes[Process_Type],,0,)</f>
        <v/>
      </c>
      <c r="F49" s="272">
        <f>_xlfn.XLOOKUP($D49,Tab_Def_Processes[Name(EN)],Tab_Def_Processes[TC?],,0,)</f>
        <v/>
      </c>
      <c r="G49" s="272">
        <f>_xlfn.XLOOKUP($D49,Tab_Def_Processes[Name(EN)],Tab_Def_Processes[Dyn_TC?],,0,)</f>
        <v/>
      </c>
      <c r="H49" s="272">
        <f>_xlfn.XLOOKUP($D49,Tab_Def_Processes[Name(EN)],Tab_Def_Processes[Stock?],,0,)</f>
        <v/>
      </c>
      <c r="I49" s="272">
        <f>_xlfn.XLOOKUP($D49,Tab_Def_Processes[Name(EN)],Tab_Def_Processes[Initial_Stock?],,0,)</f>
        <v/>
      </c>
      <c r="J49" s="272">
        <f>_xlfn.XLOOKUP($D49,Tab_Def_Processes[Name(EN)],Tab_Def_Processes[DSM?],,0,)</f>
        <v/>
      </c>
      <c r="K49" s="272">
        <f>_xlfn.XLOOKUP($D49,Tab_Def_Processes[Name(EN)],Tab_Def_Processes[FOMP?],,0,)</f>
        <v/>
      </c>
      <c r="L49" s="273" t="n"/>
      <c r="M49" s="272">
        <f>_xlfn.XLOOKUP($L49,Tab_DSM_Category_ID[Category ID],Tab_DSM_Category_ID[DSM Material],,0,)</f>
        <v/>
      </c>
      <c r="N49" s="273" t="n"/>
      <c r="O49" s="33" t="n"/>
      <c r="P49" s="273" t="n"/>
      <c r="Q49" s="273" t="n"/>
      <c r="R49" s="273" t="n"/>
    </row>
    <row r="50">
      <c r="A50" s="280" t="b">
        <v>0</v>
      </c>
      <c r="B50" s="272">
        <f>ROW()-1</f>
        <v/>
      </c>
      <c r="C50" s="272">
        <f>_xlfn.XLOOKUP($D50,Tab_Def_Processes[Name(EN)],Tab_Def_Processes[Process_ID],,0,)</f>
        <v/>
      </c>
      <c r="D50" s="273" t="inlineStr">
        <is>
          <t>N.A.</t>
        </is>
      </c>
      <c r="E50" s="272">
        <f>_xlfn.XLOOKUP($D50,Tab_Def_Processes[Name(EN)],Tab_Def_Processes[Process_Type],,0,)</f>
        <v/>
      </c>
      <c r="F50" s="272">
        <f>_xlfn.XLOOKUP($D50,Tab_Def_Processes[Name(EN)],Tab_Def_Processes[TC?],,0,)</f>
        <v/>
      </c>
      <c r="G50" s="272">
        <f>_xlfn.XLOOKUP($D50,Tab_Def_Processes[Name(EN)],Tab_Def_Processes[Dyn_TC?],,0,)</f>
        <v/>
      </c>
      <c r="H50" s="272">
        <f>_xlfn.XLOOKUP($D50,Tab_Def_Processes[Name(EN)],Tab_Def_Processes[Stock?],,0,)</f>
        <v/>
      </c>
      <c r="I50" s="272">
        <f>_xlfn.XLOOKUP($D50,Tab_Def_Processes[Name(EN)],Tab_Def_Processes[Initial_Stock?],,0,)</f>
        <v/>
      </c>
      <c r="J50" s="272">
        <f>_xlfn.XLOOKUP($D50,Tab_Def_Processes[Name(EN)],Tab_Def_Processes[DSM?],,0,)</f>
        <v/>
      </c>
      <c r="K50" s="272">
        <f>_xlfn.XLOOKUP($D50,Tab_Def_Processes[Name(EN)],Tab_Def_Processes[FOMP?],,0,)</f>
        <v/>
      </c>
      <c r="L50" s="273" t="n"/>
      <c r="M50" s="272">
        <f>_xlfn.XLOOKUP($L50,Tab_DSM_Category_ID[Category ID],Tab_DSM_Category_ID[DSM Material],,0,)</f>
        <v/>
      </c>
      <c r="N50" s="273" t="n"/>
      <c r="O50" s="33" t="n"/>
      <c r="P50" s="273" t="n"/>
      <c r="Q50" s="273" t="n"/>
      <c r="R50" s="273" t="n"/>
    </row>
    <row r="51">
      <c r="A51" s="280" t="b">
        <v>0</v>
      </c>
      <c r="B51" s="185">
        <f>ROW()-1</f>
        <v/>
      </c>
      <c r="C51" s="185">
        <f>_xlfn.XLOOKUP($D51,Tab_Def_Processes[Name(EN)],Tab_Def_Processes[Process_ID],,0,)</f>
        <v/>
      </c>
      <c r="D51" s="186" t="inlineStr">
        <is>
          <t>N.A.</t>
        </is>
      </c>
      <c r="E51" s="185">
        <f>_xlfn.XLOOKUP($D51,Tab_Def_Processes[Name(EN)],Tab_Def_Processes[Process_Type],,0,)</f>
        <v/>
      </c>
      <c r="F51" s="185">
        <f>_xlfn.XLOOKUP($D51,Tab_Def_Processes[Name(EN)],Tab_Def_Processes[TC?],,0,)</f>
        <v/>
      </c>
      <c r="G51" s="185">
        <f>_xlfn.XLOOKUP($D51,Tab_Def_Processes[Name(EN)],Tab_Def_Processes[Dyn_TC?],,0,)</f>
        <v/>
      </c>
      <c r="H51" s="185">
        <f>_xlfn.XLOOKUP($D51,Tab_Def_Processes[Name(EN)],Tab_Def_Processes[Stock?],,0,)</f>
        <v/>
      </c>
      <c r="I51" s="185">
        <f>_xlfn.XLOOKUP($D51,Tab_Def_Processes[Name(EN)],Tab_Def_Processes[Initial_Stock?],,0,)</f>
        <v/>
      </c>
      <c r="J51" s="272">
        <f>_xlfn.XLOOKUP($D51,Tab_Def_Processes[Name(EN)],Tab_Def_Processes[DSM?],,0,)</f>
        <v/>
      </c>
      <c r="K51" s="272">
        <f>_xlfn.XLOOKUP($D51,Tab_Def_Processes[Name(EN)],Tab_Def_Processes[FOMP?],,0,)</f>
        <v/>
      </c>
      <c r="L51" s="273" t="n"/>
      <c r="M51" s="272">
        <f>_xlfn.XLOOKUP($L51,Tab_DSM_Category_ID[Category ID],Tab_DSM_Category_ID[DSM Material],,0,)</f>
        <v/>
      </c>
      <c r="N51" s="273" t="n"/>
      <c r="O51" s="33" t="n"/>
      <c r="P51" s="273" t="n"/>
      <c r="Q51" s="273" t="n"/>
      <c r="R51" s="273" t="n"/>
    </row>
  </sheetData>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tabColor theme="5" tint="0.7999816888943144"/>
    <outlinePr summaryBelow="1" summaryRight="1"/>
    <pageSetUpPr/>
  </sheetPr>
  <dimension ref="A1:Q41"/>
  <sheetViews>
    <sheetView zoomScaleNormal="100" workbookViewId="0">
      <selection activeCell="Q13" sqref="A1:Q13"/>
    </sheetView>
  </sheetViews>
  <sheetFormatPr baseColWidth="8" defaultRowHeight="15"/>
  <cols>
    <col width="11.7109375" customWidth="1" min="1" max="1"/>
    <col width="6.140625" customWidth="1" min="2" max="2"/>
    <col width="12.85546875" customWidth="1" min="3" max="3"/>
    <col width="41.140625" customWidth="1" min="4" max="4"/>
    <col width="13" customWidth="1" min="5" max="9"/>
    <col width="8.85546875" customWidth="1" min="10" max="10"/>
    <col width="10" customWidth="1" min="11" max="11"/>
    <col width="24.28515625" customWidth="1" min="12" max="15"/>
    <col width="33.85546875" customWidth="1" min="16" max="16"/>
    <col width="19.42578125" customWidth="1" min="17" max="17"/>
  </cols>
  <sheetData>
    <row r="1">
      <c r="A1" s="295" t="inlineStr">
        <is>
          <t>Complete?</t>
        </is>
      </c>
      <c r="B1" s="295" t="inlineStr">
        <is>
          <t>ID</t>
        </is>
      </c>
      <c r="C1" s="295" t="inlineStr">
        <is>
          <t>Process_ID</t>
        </is>
      </c>
      <c r="D1" s="295" t="inlineStr">
        <is>
          <t>Name(EN)</t>
        </is>
      </c>
      <c r="E1" s="295" t="inlineStr">
        <is>
          <t>Process_Type</t>
        </is>
      </c>
      <c r="F1" s="295" t="inlineStr">
        <is>
          <t>TC?</t>
        </is>
      </c>
      <c r="G1" s="295" t="inlineStr">
        <is>
          <t>Dyn_TC?</t>
        </is>
      </c>
      <c r="H1" s="295" t="inlineStr">
        <is>
          <t>Stock?</t>
        </is>
      </c>
      <c r="I1" s="295" t="inlineStr">
        <is>
          <t>Initial_Stock?</t>
        </is>
      </c>
      <c r="J1" s="295" t="inlineStr">
        <is>
          <t>DSM?</t>
        </is>
      </c>
      <c r="K1" s="295" t="inlineStr">
        <is>
          <t>FOMP?</t>
        </is>
      </c>
      <c r="L1" s="295" t="inlineStr">
        <is>
          <t>Nr. Outflows</t>
        </is>
      </c>
      <c r="M1" s="295" t="inlineStr">
        <is>
          <t>Nr._Decay_Pools</t>
        </is>
      </c>
      <c r="N1" s="295" t="inlineStr">
        <is>
          <t>Pool</t>
        </is>
      </c>
      <c r="O1" s="295" t="inlineStr">
        <is>
          <t>Pool_ID</t>
        </is>
      </c>
      <c r="P1" s="295" t="inlineStr">
        <is>
          <t>Parameter_Name</t>
        </is>
      </c>
      <c r="Q1" s="295" t="inlineStr">
        <is>
          <t>Value</t>
        </is>
      </c>
    </row>
    <row r="2">
      <c r="A2" s="280" t="b">
        <v>1</v>
      </c>
      <c r="B2" s="272">
        <f>ROW()-1</f>
        <v/>
      </c>
      <c r="C2" s="272">
        <f>_xlfn.XLOOKUP($D2,Tab_Def_Processes[Name(EN)],Tab_Def_Processes[Process_ID],,0,)</f>
        <v/>
      </c>
      <c r="D2" s="273" t="inlineStr">
        <is>
          <t>Lithosphere (DI)</t>
        </is>
      </c>
      <c r="E2" s="272">
        <f>_xlfn.XLOOKUP($D2,Tab_Def_Processes[Name(EN)],Tab_Def_Processes[Process_Type],,0,)</f>
        <v/>
      </c>
      <c r="F2" s="272">
        <f>_xlfn.XLOOKUP($D2,Tab_Def_Processes[Name(EN)],Tab_Def_Processes[TC?],,0,)</f>
        <v/>
      </c>
      <c r="G2" s="272">
        <f>_xlfn.XLOOKUP($D2,Tab_Def_Processes[Name(EN)],Tab_Def_Processes[Dyn_TC?],,0,)</f>
        <v/>
      </c>
      <c r="H2" s="272">
        <f>_xlfn.XLOOKUP($D2,Tab_Def_Processes[Name(EN)],Tab_Def_Processes[Stock?],,0,)</f>
        <v/>
      </c>
      <c r="I2" s="272">
        <f>_xlfn.XLOOKUP($D2,Tab_Def_Processes[Name(EN)],Tab_Def_Processes[Initial_Stock?],,0,)</f>
        <v/>
      </c>
      <c r="J2" s="272">
        <f>_xlfn.XLOOKUP($D2,Tab_Def_Processes[Name(EN)],Tab_Def_Processes[DSM?],,0,)</f>
        <v/>
      </c>
      <c r="K2" s="272">
        <f>_xlfn.XLOOKUP($D2,Tab_Def_Processes[Name(EN)],Tab_Def_Processes[FOMP?],,0,)</f>
        <v/>
      </c>
      <c r="L2" s="272">
        <f>_xlfn.XLOOKUP(Tab_FOMP[[#This Row],[Name(EN)]],Tab_Def_Processes[Name(EN)],Tab_Def_Processes[Nr. Outflows],,0,)</f>
        <v/>
      </c>
      <c r="M2" s="273" t="n">
        <v>2</v>
      </c>
      <c r="N2" s="273" t="n">
        <v>1</v>
      </c>
      <c r="O2" s="272">
        <f>_xlfn.XLOOKUP($N2,CL_3.1_FOMP_Parameters[Category ID],CL_3.1_FOMP_Parameters[Pool_ID],,0,)</f>
        <v/>
      </c>
      <c r="P2" s="273" t="inlineStr">
        <is>
          <t>Inflow_fraction_f (Labile pool)</t>
        </is>
      </c>
      <c r="Q2" s="273" t="n">
        <v>0.7</v>
      </c>
    </row>
    <row r="3">
      <c r="A3" s="280" t="b">
        <v>1</v>
      </c>
      <c r="B3" s="272">
        <f>ROW()-1</f>
        <v/>
      </c>
      <c r="C3" s="272">
        <f>_xlfn.XLOOKUP($D3,Tab_Def_Processes[Name(EN)],Tab_Def_Processes[Process_ID],,0,)</f>
        <v/>
      </c>
      <c r="D3" s="273" t="inlineStr">
        <is>
          <t>Lithosphere (DI)</t>
        </is>
      </c>
      <c r="E3" s="272">
        <f>_xlfn.XLOOKUP($D3,Tab_Def_Processes[Name(EN)],Tab_Def_Processes[Process_Type],,0,)</f>
        <v/>
      </c>
      <c r="F3" s="272">
        <f>_xlfn.XLOOKUP($D3,Tab_Def_Processes[Name(EN)],Tab_Def_Processes[TC?],,0,)</f>
        <v/>
      </c>
      <c r="G3" s="272">
        <f>_xlfn.XLOOKUP($D3,Tab_Def_Processes[Name(EN)],Tab_Def_Processes[Dyn_TC?],,0,)</f>
        <v/>
      </c>
      <c r="H3" s="272">
        <f>_xlfn.XLOOKUP($D3,Tab_Def_Processes[Name(EN)],Tab_Def_Processes[Stock?],,0,)</f>
        <v/>
      </c>
      <c r="I3" s="272">
        <f>_xlfn.XLOOKUP($D3,Tab_Def_Processes[Name(EN)],Tab_Def_Processes[Initial_Stock?],,0,)</f>
        <v/>
      </c>
      <c r="J3" s="272">
        <f>_xlfn.XLOOKUP($D3,Tab_Def_Processes[Name(EN)],Tab_Def_Processes[DSM?],,0,)</f>
        <v/>
      </c>
      <c r="K3" s="272">
        <f>_xlfn.XLOOKUP($D3,Tab_Def_Processes[Name(EN)],Tab_Def_Processes[FOMP?],,0,)</f>
        <v/>
      </c>
      <c r="L3" s="272">
        <f>_xlfn.XLOOKUP(Tab_FOMP[[#This Row],[Name(EN)]],Tab_Def_Processes[Name(EN)],Tab_Def_Processes[Nr. Outflows],,0,)</f>
        <v/>
      </c>
      <c r="M3" s="273" t="n">
        <v>2</v>
      </c>
      <c r="N3" s="273" t="n">
        <v>1</v>
      </c>
      <c r="O3" s="272">
        <f>_xlfn.XLOOKUP($N3,CL_3.1_FOMP_Parameters[Category ID],CL_3.1_FOMP_Parameters[Pool_ID],,0,)</f>
        <v/>
      </c>
      <c r="P3" s="273" t="inlineStr">
        <is>
          <t>decay_k1 (Labile pool)</t>
        </is>
      </c>
      <c r="Q3" s="273" t="n">
        <v>0.5</v>
      </c>
    </row>
    <row r="4">
      <c r="A4" s="280" t="b">
        <v>1</v>
      </c>
      <c r="B4" s="272">
        <f>ROW()-1</f>
        <v/>
      </c>
      <c r="C4" s="272">
        <f>_xlfn.XLOOKUP($D4,Tab_Def_Processes[Name(EN)],Tab_Def_Processes[Process_ID],,0,)</f>
        <v/>
      </c>
      <c r="D4" s="273" t="inlineStr">
        <is>
          <t>Lithosphere (DI)</t>
        </is>
      </c>
      <c r="E4" s="272">
        <f>_xlfn.XLOOKUP($D4,Tab_Def_Processes[Name(EN)],Tab_Def_Processes[Process_Type],,0,)</f>
        <v/>
      </c>
      <c r="F4" s="272">
        <f>_xlfn.XLOOKUP($D4,Tab_Def_Processes[Name(EN)],Tab_Def_Processes[TC?],,0,)</f>
        <v/>
      </c>
      <c r="G4" s="272">
        <f>_xlfn.XLOOKUP($D4,Tab_Def_Processes[Name(EN)],Tab_Def_Processes[Dyn_TC?],,0,)</f>
        <v/>
      </c>
      <c r="H4" s="272">
        <f>_xlfn.XLOOKUP($D4,Tab_Def_Processes[Name(EN)],Tab_Def_Processes[Stock?],,0,)</f>
        <v/>
      </c>
      <c r="I4" s="272">
        <f>_xlfn.XLOOKUP($D4,Tab_Def_Processes[Name(EN)],Tab_Def_Processes[Initial_Stock?],,0,)</f>
        <v/>
      </c>
      <c r="J4" s="272">
        <f>_xlfn.XLOOKUP($D4,Tab_Def_Processes[Name(EN)],Tab_Def_Processes[DSM?],,0,)</f>
        <v/>
      </c>
      <c r="K4" s="272">
        <f>_xlfn.XLOOKUP($D4,Tab_Def_Processes[Name(EN)],Tab_Def_Processes[FOMP?],,0,)</f>
        <v/>
      </c>
      <c r="L4" s="272">
        <f>_xlfn.XLOOKUP(Tab_FOMP[[#This Row],[Name(EN)]],Tab_Def_Processes[Name(EN)],Tab_Def_Processes[Nr. Outflows],,0,)</f>
        <v/>
      </c>
      <c r="M4" s="273" t="n">
        <v>2</v>
      </c>
      <c r="N4" s="273" t="n">
        <v>2</v>
      </c>
      <c r="O4" s="272">
        <f>_xlfn.XLOOKUP($N4,CL_3.1_FOMP_Parameters[Category ID],CL_3.1_FOMP_Parameters[Pool_ID],,0,)</f>
        <v/>
      </c>
      <c r="P4" s="273" t="inlineStr">
        <is>
          <t>Inflow_fraction_f (Recalcitrant pool)</t>
        </is>
      </c>
      <c r="Q4" s="273" t="n">
        <v>0.3</v>
      </c>
    </row>
    <row r="5">
      <c r="A5" s="280" t="b">
        <v>1</v>
      </c>
      <c r="B5" s="272">
        <f>ROW()-1</f>
        <v/>
      </c>
      <c r="C5" s="272">
        <f>_xlfn.XLOOKUP($D5,Tab_Def_Processes[Name(EN)],Tab_Def_Processes[Process_ID],,0,)</f>
        <v/>
      </c>
      <c r="D5" s="273" t="inlineStr">
        <is>
          <t>Lithosphere (DI)</t>
        </is>
      </c>
      <c r="E5" s="272">
        <f>_xlfn.XLOOKUP($D5,Tab_Def_Processes[Name(EN)],Tab_Def_Processes[Process_Type],,0,)</f>
        <v/>
      </c>
      <c r="F5" s="272">
        <f>_xlfn.XLOOKUP($D5,Tab_Def_Processes[Name(EN)],Tab_Def_Processes[TC?],,0,)</f>
        <v/>
      </c>
      <c r="G5" s="272">
        <f>_xlfn.XLOOKUP($D5,Tab_Def_Processes[Name(EN)],Tab_Def_Processes[Dyn_TC?],,0,)</f>
        <v/>
      </c>
      <c r="H5" s="272">
        <f>_xlfn.XLOOKUP($D5,Tab_Def_Processes[Name(EN)],Tab_Def_Processes[Stock?],,0,)</f>
        <v/>
      </c>
      <c r="I5" s="272">
        <f>_xlfn.XLOOKUP($D5,Tab_Def_Processes[Name(EN)],Tab_Def_Processes[Initial_Stock?],,0,)</f>
        <v/>
      </c>
      <c r="J5" s="272">
        <f>_xlfn.XLOOKUP($D5,Tab_Def_Processes[Name(EN)],Tab_Def_Processes[DSM?],,0,)</f>
        <v/>
      </c>
      <c r="K5" s="272">
        <f>_xlfn.XLOOKUP($D5,Tab_Def_Processes[Name(EN)],Tab_Def_Processes[FOMP?],,0,)</f>
        <v/>
      </c>
      <c r="L5" s="272">
        <f>_xlfn.XLOOKUP(Tab_FOMP[[#This Row],[Name(EN)]],Tab_Def_Processes[Name(EN)],Tab_Def_Processes[Nr. Outflows],,0,)</f>
        <v/>
      </c>
      <c r="M5" s="273" t="n">
        <v>2</v>
      </c>
      <c r="N5" s="273" t="n">
        <v>2</v>
      </c>
      <c r="O5" s="272">
        <f>_xlfn.XLOOKUP($N5,CL_3.1_FOMP_Parameters[Category ID],CL_3.1_FOMP_Parameters[Pool_ID],,0,)</f>
        <v/>
      </c>
      <c r="P5" s="273" t="inlineStr">
        <is>
          <t>decay_k2 (Recalcitrant pool)</t>
        </is>
      </c>
      <c r="Q5" s="273" t="n">
        <v>0.025</v>
      </c>
    </row>
    <row r="6">
      <c r="A6" s="280" t="b">
        <v>1</v>
      </c>
      <c r="B6" s="272">
        <f>ROW()-1</f>
        <v/>
      </c>
      <c r="C6" s="272">
        <f>_xlfn.XLOOKUP($D6,Tab_Def_Processes[Name(EN)],Tab_Def_Processes[Process_ID],,0,)</f>
        <v/>
      </c>
      <c r="D6" s="273" t="inlineStr">
        <is>
          <t>Lithosphere (DI)</t>
        </is>
      </c>
      <c r="E6" s="272">
        <f>_xlfn.XLOOKUP($D6,Tab_Def_Processes[Name(EN)],Tab_Def_Processes[Process_Type],,0,)</f>
        <v/>
      </c>
      <c r="F6" s="272">
        <f>_xlfn.XLOOKUP($D6,Tab_Def_Processes[Name(EN)],Tab_Def_Processes[TC?],,0,)</f>
        <v/>
      </c>
      <c r="G6" s="272">
        <f>_xlfn.XLOOKUP($D6,Tab_Def_Processes[Name(EN)],Tab_Def_Processes[Dyn_TC?],,0,)</f>
        <v/>
      </c>
      <c r="H6" s="272">
        <f>_xlfn.XLOOKUP($D6,Tab_Def_Processes[Name(EN)],Tab_Def_Processes[Stock?],,0,)</f>
        <v/>
      </c>
      <c r="I6" s="272">
        <f>_xlfn.XLOOKUP($D6,Tab_Def_Processes[Name(EN)],Tab_Def_Processes[Initial_Stock?],,0,)</f>
        <v/>
      </c>
      <c r="J6" s="272">
        <f>_xlfn.XLOOKUP($D6,Tab_Def_Processes[Name(EN)],Tab_Def_Processes[DSM?],,0,)</f>
        <v/>
      </c>
      <c r="K6" s="272">
        <f>_xlfn.XLOOKUP($D6,Tab_Def_Processes[Name(EN)],Tab_Def_Processes[FOMP?],,0,)</f>
        <v/>
      </c>
      <c r="L6" s="272">
        <f>_xlfn.XLOOKUP(Tab_FOMP[[#This Row],[Name(EN)]],Tab_Def_Processes[Name(EN)],Tab_Def_Processes[Nr. Outflows],,0,)</f>
        <v/>
      </c>
      <c r="M6" s="273" t="n">
        <v>2</v>
      </c>
      <c r="N6" s="273" t="inlineStr">
        <is>
          <t>Outflow_1</t>
        </is>
      </c>
      <c r="O6" s="272">
        <f>_xlfn.XLOOKUP($N6,CL_3.1_FOMP_Parameters[Category ID],CL_3.1_FOMP_Parameters[Pool_ID],,0,)</f>
        <v/>
      </c>
      <c r="P6" s="273" t="inlineStr">
        <is>
          <t>output_carbon_id</t>
        </is>
      </c>
      <c r="Q6" s="273" t="inlineStr">
        <is>
          <t>F_08_00</t>
        </is>
      </c>
    </row>
    <row r="7">
      <c r="A7" s="280" t="b">
        <v>1</v>
      </c>
      <c r="B7" s="272">
        <f>ROW()-1</f>
        <v/>
      </c>
      <c r="C7" s="272">
        <f>_xlfn.XLOOKUP($D7,Tab_Def_Processes[Name(EN)],Tab_Def_Processes[Process_ID],,0,)</f>
        <v/>
      </c>
      <c r="D7" s="273" t="inlineStr">
        <is>
          <t>Lithosphere (DI)</t>
        </is>
      </c>
      <c r="E7" s="272">
        <f>_xlfn.XLOOKUP($D7,Tab_Def_Processes[Name(EN)],Tab_Def_Processes[Process_Type],,0,)</f>
        <v/>
      </c>
      <c r="F7" s="272">
        <f>_xlfn.XLOOKUP($D7,Tab_Def_Processes[Name(EN)],Tab_Def_Processes[TC?],,0,)</f>
        <v/>
      </c>
      <c r="G7" s="272">
        <f>_xlfn.XLOOKUP($D7,Tab_Def_Processes[Name(EN)],Tab_Def_Processes[Dyn_TC?],,0,)</f>
        <v/>
      </c>
      <c r="H7" s="272">
        <f>_xlfn.XLOOKUP($D7,Tab_Def_Processes[Name(EN)],Tab_Def_Processes[Stock?],,0,)</f>
        <v/>
      </c>
      <c r="I7" s="272">
        <f>_xlfn.XLOOKUP($D7,Tab_Def_Processes[Name(EN)],Tab_Def_Processes[Initial_Stock?],,0,)</f>
        <v/>
      </c>
      <c r="J7" s="272">
        <f>_xlfn.XLOOKUP($D7,Tab_Def_Processes[Name(EN)],Tab_Def_Processes[DSM?],,0,)</f>
        <v/>
      </c>
      <c r="K7" s="272">
        <f>_xlfn.XLOOKUP($D7,Tab_Def_Processes[Name(EN)],Tab_Def_Processes[FOMP?],,0,)</f>
        <v/>
      </c>
      <c r="L7" s="272">
        <f>_xlfn.XLOOKUP(Tab_FOMP[[#This Row],[Name(EN)]],Tab_Def_Processes[Name(EN)],Tab_Def_Processes[Nr. Outflows],,0,)</f>
        <v/>
      </c>
      <c r="M7" s="273" t="n">
        <v>2</v>
      </c>
      <c r="N7" s="273" t="inlineStr">
        <is>
          <t>Outflow_2</t>
        </is>
      </c>
      <c r="O7" s="272">
        <f>_xlfn.XLOOKUP($N7,CL_3.1_FOMP_Parameters[Category ID],CL_3.1_FOMP_Parameters[Pool_ID],,0,)</f>
        <v/>
      </c>
      <c r="P7" s="273" t="inlineStr">
        <is>
          <t>output_environmental_id</t>
        </is>
      </c>
      <c r="Q7" s="273" t="inlineStr">
        <is>
          <t>F_08_01</t>
        </is>
      </c>
    </row>
    <row r="8">
      <c r="A8" s="280" t="b">
        <v>1</v>
      </c>
      <c r="B8" s="272">
        <f>ROW()-1</f>
        <v/>
      </c>
      <c r="C8" s="272">
        <f>_xlfn.XLOOKUP($D8,Tab_Def_Processes[Name(EN)],Tab_Def_Processes[Process_ID],,0,)</f>
        <v/>
      </c>
      <c r="D8" s="273" t="inlineStr">
        <is>
          <t>Lithosphere (C&amp;I)</t>
        </is>
      </c>
      <c r="E8" s="272">
        <f>_xlfn.XLOOKUP($D8,Tab_Def_Processes[Name(EN)],Tab_Def_Processes[Process_Type],,0,)</f>
        <v/>
      </c>
      <c r="F8" s="272">
        <f>_xlfn.XLOOKUP($D8,Tab_Def_Processes[Name(EN)],Tab_Def_Processes[TC?],,0,)</f>
        <v/>
      </c>
      <c r="G8" s="272">
        <f>_xlfn.XLOOKUP($D8,Tab_Def_Processes[Name(EN)],Tab_Def_Processes[Dyn_TC?],,0,)</f>
        <v/>
      </c>
      <c r="H8" s="272">
        <f>_xlfn.XLOOKUP($D8,Tab_Def_Processes[Name(EN)],Tab_Def_Processes[Stock?],,0,)</f>
        <v/>
      </c>
      <c r="I8" s="272">
        <f>_xlfn.XLOOKUP($D8,Tab_Def_Processes[Name(EN)],Tab_Def_Processes[Initial_Stock?],,0,)</f>
        <v/>
      </c>
      <c r="J8" s="272">
        <f>_xlfn.XLOOKUP($D8,Tab_Def_Processes[Name(EN)],Tab_Def_Processes[DSM?],,0,)</f>
        <v/>
      </c>
      <c r="K8" s="272">
        <f>_xlfn.XLOOKUP($D8,Tab_Def_Processes[Name(EN)],Tab_Def_Processes[FOMP?],,0,)</f>
        <v/>
      </c>
      <c r="L8" s="272">
        <f>_xlfn.XLOOKUP(Tab_FOMP[[#This Row],[Name(EN)]],Tab_Def_Processes[Name(EN)],Tab_Def_Processes[Nr. Outflows],,0,)</f>
        <v/>
      </c>
      <c r="M8" s="273" t="n">
        <v>2</v>
      </c>
      <c r="N8" s="273" t="n">
        <v>1</v>
      </c>
      <c r="O8" s="272">
        <f>_xlfn.XLOOKUP($N8,CL_3.1_FOMP_Parameters[Category ID],CL_3.1_FOMP_Parameters[Pool_ID],,0,)</f>
        <v/>
      </c>
      <c r="P8" s="273" t="inlineStr">
        <is>
          <t>Inflow_fraction_f (Labile pool)</t>
        </is>
      </c>
      <c r="Q8" s="273" t="n">
        <v>0.2</v>
      </c>
    </row>
    <row r="9">
      <c r="A9" s="280" t="b">
        <v>1</v>
      </c>
      <c r="B9" s="272">
        <f>ROW()-1</f>
        <v/>
      </c>
      <c r="C9" s="272">
        <f>_xlfn.XLOOKUP($D9,Tab_Def_Processes[Name(EN)],Tab_Def_Processes[Process_ID],,0,)</f>
        <v/>
      </c>
      <c r="D9" s="273" t="inlineStr">
        <is>
          <t>Lithosphere (C&amp;I)</t>
        </is>
      </c>
      <c r="E9" s="272">
        <f>_xlfn.XLOOKUP($D9,Tab_Def_Processes[Name(EN)],Tab_Def_Processes[Process_Type],,0,)</f>
        <v/>
      </c>
      <c r="F9" s="272">
        <f>_xlfn.XLOOKUP($D9,Tab_Def_Processes[Name(EN)],Tab_Def_Processes[TC?],,0,)</f>
        <v/>
      </c>
      <c r="G9" s="272">
        <f>_xlfn.XLOOKUP($D9,Tab_Def_Processes[Name(EN)],Tab_Def_Processes[Dyn_TC?],,0,)</f>
        <v/>
      </c>
      <c r="H9" s="272">
        <f>_xlfn.XLOOKUP($D9,Tab_Def_Processes[Name(EN)],Tab_Def_Processes[Stock?],,0,)</f>
        <v/>
      </c>
      <c r="I9" s="272">
        <f>_xlfn.XLOOKUP($D9,Tab_Def_Processes[Name(EN)],Tab_Def_Processes[Initial_Stock?],,0,)</f>
        <v/>
      </c>
      <c r="J9" s="272">
        <f>_xlfn.XLOOKUP($D9,Tab_Def_Processes[Name(EN)],Tab_Def_Processes[DSM?],,0,)</f>
        <v/>
      </c>
      <c r="K9" s="272">
        <f>_xlfn.XLOOKUP($D9,Tab_Def_Processes[Name(EN)],Tab_Def_Processes[FOMP?],,0,)</f>
        <v/>
      </c>
      <c r="L9" s="272">
        <f>_xlfn.XLOOKUP(Tab_FOMP[[#This Row],[Name(EN)]],Tab_Def_Processes[Name(EN)],Tab_Def_Processes[Nr. Outflows],,0,)</f>
        <v/>
      </c>
      <c r="M9" s="273" t="n">
        <v>2</v>
      </c>
      <c r="N9" s="273" t="n">
        <v>1</v>
      </c>
      <c r="O9" s="272">
        <f>_xlfn.XLOOKUP($N9,CL_3.1_FOMP_Parameters[Category ID],CL_3.1_FOMP_Parameters[Pool_ID],,0,)</f>
        <v/>
      </c>
      <c r="P9" s="273" t="inlineStr">
        <is>
          <t>decay_k1 (Labile pool)</t>
        </is>
      </c>
      <c r="Q9" s="273" t="n">
        <v>0.05</v>
      </c>
    </row>
    <row r="10">
      <c r="A10" s="280" t="b">
        <v>1</v>
      </c>
      <c r="B10" s="272">
        <f>ROW()-1</f>
        <v/>
      </c>
      <c r="C10" s="272">
        <f>_xlfn.XLOOKUP($D10,Tab_Def_Processes[Name(EN)],Tab_Def_Processes[Process_ID],,0,)</f>
        <v/>
      </c>
      <c r="D10" s="273" t="inlineStr">
        <is>
          <t>Lithosphere (C&amp;I)</t>
        </is>
      </c>
      <c r="E10" s="272">
        <f>_xlfn.XLOOKUP($D10,Tab_Def_Processes[Name(EN)],Tab_Def_Processes[Process_Type],,0,)</f>
        <v/>
      </c>
      <c r="F10" s="272">
        <f>_xlfn.XLOOKUP($D10,Tab_Def_Processes[Name(EN)],Tab_Def_Processes[TC?],,0,)</f>
        <v/>
      </c>
      <c r="G10" s="272">
        <f>_xlfn.XLOOKUP($D10,Tab_Def_Processes[Name(EN)],Tab_Def_Processes[Dyn_TC?],,0,)</f>
        <v/>
      </c>
      <c r="H10" s="272">
        <f>_xlfn.XLOOKUP($D10,Tab_Def_Processes[Name(EN)],Tab_Def_Processes[Stock?],,0,)</f>
        <v/>
      </c>
      <c r="I10" s="272">
        <f>_xlfn.XLOOKUP($D10,Tab_Def_Processes[Name(EN)],Tab_Def_Processes[Initial_Stock?],,0,)</f>
        <v/>
      </c>
      <c r="J10" s="272">
        <f>_xlfn.XLOOKUP($D10,Tab_Def_Processes[Name(EN)],Tab_Def_Processes[DSM?],,0,)</f>
        <v/>
      </c>
      <c r="K10" s="272">
        <f>_xlfn.XLOOKUP($D10,Tab_Def_Processes[Name(EN)],Tab_Def_Processes[FOMP?],,0,)</f>
        <v/>
      </c>
      <c r="L10" s="272">
        <f>_xlfn.XLOOKUP(Tab_FOMP[[#This Row],[Name(EN)]],Tab_Def_Processes[Name(EN)],Tab_Def_Processes[Nr. Outflows],,0,)</f>
        <v/>
      </c>
      <c r="M10" s="273" t="n">
        <v>2</v>
      </c>
      <c r="N10" s="273" t="n">
        <v>2</v>
      </c>
      <c r="O10" s="272">
        <f>_xlfn.XLOOKUP($N10,CL_3.1_FOMP_Parameters[Category ID],CL_3.1_FOMP_Parameters[Pool_ID],,0,)</f>
        <v/>
      </c>
      <c r="P10" s="273" t="inlineStr">
        <is>
          <t>Inflow_fraction_f (Recalcitrant pool)</t>
        </is>
      </c>
      <c r="Q10" s="273" t="n">
        <v>0.8</v>
      </c>
    </row>
    <row r="11">
      <c r="A11" s="280" t="b">
        <v>1</v>
      </c>
      <c r="B11" s="272">
        <f>ROW()-1</f>
        <v/>
      </c>
      <c r="C11" s="272">
        <f>_xlfn.XLOOKUP($D11,Tab_Def_Processes[Name(EN)],Tab_Def_Processes[Process_ID],,0,)</f>
        <v/>
      </c>
      <c r="D11" s="273" t="inlineStr">
        <is>
          <t>Lithosphere (C&amp;I)</t>
        </is>
      </c>
      <c r="E11" s="272">
        <f>_xlfn.XLOOKUP($D11,Tab_Def_Processes[Name(EN)],Tab_Def_Processes[Process_Type],,0,)</f>
        <v/>
      </c>
      <c r="F11" s="272">
        <f>_xlfn.XLOOKUP($D11,Tab_Def_Processes[Name(EN)],Tab_Def_Processes[TC?],,0,)</f>
        <v/>
      </c>
      <c r="G11" s="272">
        <f>_xlfn.XLOOKUP($D11,Tab_Def_Processes[Name(EN)],Tab_Def_Processes[Dyn_TC?],,0,)</f>
        <v/>
      </c>
      <c r="H11" s="272">
        <f>_xlfn.XLOOKUP($D11,Tab_Def_Processes[Name(EN)],Tab_Def_Processes[Stock?],,0,)</f>
        <v/>
      </c>
      <c r="I11" s="272">
        <f>_xlfn.XLOOKUP($D11,Tab_Def_Processes[Name(EN)],Tab_Def_Processes[Initial_Stock?],,0,)</f>
        <v/>
      </c>
      <c r="J11" s="272">
        <f>_xlfn.XLOOKUP($D11,Tab_Def_Processes[Name(EN)],Tab_Def_Processes[DSM?],,0,)</f>
        <v/>
      </c>
      <c r="K11" s="272">
        <f>_xlfn.XLOOKUP($D11,Tab_Def_Processes[Name(EN)],Tab_Def_Processes[FOMP?],,0,)</f>
        <v/>
      </c>
      <c r="L11" s="272">
        <f>_xlfn.XLOOKUP(Tab_FOMP[[#This Row],[Name(EN)]],Tab_Def_Processes[Name(EN)],Tab_Def_Processes[Nr. Outflows],,0,)</f>
        <v/>
      </c>
      <c r="M11" s="273" t="n">
        <v>2</v>
      </c>
      <c r="N11" s="273" t="n">
        <v>2</v>
      </c>
      <c r="O11" s="272">
        <f>_xlfn.XLOOKUP($N11,CL_3.1_FOMP_Parameters[Category ID],CL_3.1_FOMP_Parameters[Pool_ID],,0,)</f>
        <v/>
      </c>
      <c r="P11" s="273" t="inlineStr">
        <is>
          <t>decay_k2 (Recalcitrant pool)</t>
        </is>
      </c>
      <c r="Q11" s="273" t="n">
        <v>0.0025</v>
      </c>
    </row>
    <row r="12">
      <c r="A12" s="280" t="b">
        <v>1</v>
      </c>
      <c r="B12" s="272">
        <f>ROW()-1</f>
        <v/>
      </c>
      <c r="C12" s="272">
        <f>_xlfn.XLOOKUP($D12,Tab_Def_Processes[Name(EN)],Tab_Def_Processes[Process_ID],,0,)</f>
        <v/>
      </c>
      <c r="D12" s="273" t="inlineStr">
        <is>
          <t>Lithosphere (C&amp;I)</t>
        </is>
      </c>
      <c r="E12" s="272">
        <f>_xlfn.XLOOKUP($D12,Tab_Def_Processes[Name(EN)],Tab_Def_Processes[Process_Type],,0,)</f>
        <v/>
      </c>
      <c r="F12" s="272">
        <f>_xlfn.XLOOKUP($D12,Tab_Def_Processes[Name(EN)],Tab_Def_Processes[TC?],,0,)</f>
        <v/>
      </c>
      <c r="G12" s="272">
        <f>_xlfn.XLOOKUP($D12,Tab_Def_Processes[Name(EN)],Tab_Def_Processes[Dyn_TC?],,0,)</f>
        <v/>
      </c>
      <c r="H12" s="272">
        <f>_xlfn.XLOOKUP($D12,Tab_Def_Processes[Name(EN)],Tab_Def_Processes[Stock?],,0,)</f>
        <v/>
      </c>
      <c r="I12" s="272">
        <f>_xlfn.XLOOKUP($D12,Tab_Def_Processes[Name(EN)],Tab_Def_Processes[Initial_Stock?],,0,)</f>
        <v/>
      </c>
      <c r="J12" s="272">
        <f>_xlfn.XLOOKUP($D12,Tab_Def_Processes[Name(EN)],Tab_Def_Processes[DSM?],,0,)</f>
        <v/>
      </c>
      <c r="K12" s="272">
        <f>_xlfn.XLOOKUP($D12,Tab_Def_Processes[Name(EN)],Tab_Def_Processes[FOMP?],,0,)</f>
        <v/>
      </c>
      <c r="L12" s="272">
        <f>_xlfn.XLOOKUP(Tab_FOMP[[#This Row],[Name(EN)]],Tab_Def_Processes[Name(EN)],Tab_Def_Processes[Nr. Outflows],,0,)</f>
        <v/>
      </c>
      <c r="M12" s="273" t="n">
        <v>2</v>
      </c>
      <c r="N12" s="273" t="inlineStr">
        <is>
          <t>Outflow_1</t>
        </is>
      </c>
      <c r="O12" s="272">
        <f>_xlfn.XLOOKUP($N12,CL_3.1_FOMP_Parameters[Category ID],CL_3.1_FOMP_Parameters[Pool_ID],,0,)</f>
        <v/>
      </c>
      <c r="P12" s="273" t="inlineStr">
        <is>
          <t>output_carbon_id</t>
        </is>
      </c>
      <c r="Q12" s="273" t="inlineStr">
        <is>
          <t>F_10_00</t>
        </is>
      </c>
    </row>
    <row r="13">
      <c r="A13" s="280" t="b">
        <v>1</v>
      </c>
      <c r="B13" s="272">
        <f>ROW()-1</f>
        <v/>
      </c>
      <c r="C13" s="272">
        <f>_xlfn.XLOOKUP($D13,Tab_Def_Processes[Name(EN)],Tab_Def_Processes[Process_ID],,0,)</f>
        <v/>
      </c>
      <c r="D13" s="273" t="inlineStr">
        <is>
          <t>Lithosphere (C&amp;I)</t>
        </is>
      </c>
      <c r="E13" s="272">
        <f>_xlfn.XLOOKUP($D13,Tab_Def_Processes[Name(EN)],Tab_Def_Processes[Process_Type],,0,)</f>
        <v/>
      </c>
      <c r="F13" s="272">
        <f>_xlfn.XLOOKUP($D13,Tab_Def_Processes[Name(EN)],Tab_Def_Processes[TC?],,0,)</f>
        <v/>
      </c>
      <c r="G13" s="272">
        <f>_xlfn.XLOOKUP($D13,Tab_Def_Processes[Name(EN)],Tab_Def_Processes[Dyn_TC?],,0,)</f>
        <v/>
      </c>
      <c r="H13" s="272">
        <f>_xlfn.XLOOKUP($D13,Tab_Def_Processes[Name(EN)],Tab_Def_Processes[Stock?],,0,)</f>
        <v/>
      </c>
      <c r="I13" s="272">
        <f>_xlfn.XLOOKUP($D13,Tab_Def_Processes[Name(EN)],Tab_Def_Processes[Initial_Stock?],,0,)</f>
        <v/>
      </c>
      <c r="J13" s="272">
        <f>_xlfn.XLOOKUP($D13,Tab_Def_Processes[Name(EN)],Tab_Def_Processes[DSM?],,0,)</f>
        <v/>
      </c>
      <c r="K13" s="272">
        <f>_xlfn.XLOOKUP($D13,Tab_Def_Processes[Name(EN)],Tab_Def_Processes[FOMP?],,0,)</f>
        <v/>
      </c>
      <c r="L13" s="272">
        <f>_xlfn.XLOOKUP(Tab_FOMP[[#This Row],[Name(EN)]],Tab_Def_Processes[Name(EN)],Tab_Def_Processes[Nr. Outflows],,0,)</f>
        <v/>
      </c>
      <c r="M13" s="273" t="n">
        <v>2</v>
      </c>
      <c r="N13" s="273" t="inlineStr">
        <is>
          <t>Outflow_2</t>
        </is>
      </c>
      <c r="O13" s="272">
        <f>_xlfn.XLOOKUP($N13,CL_3.1_FOMP_Parameters[Category ID],CL_3.1_FOMP_Parameters[Pool_ID],,0,)</f>
        <v/>
      </c>
      <c r="P13" s="273" t="inlineStr">
        <is>
          <t>output_environmental_id</t>
        </is>
      </c>
      <c r="Q13" s="273" t="inlineStr">
        <is>
          <t>F_10_01</t>
        </is>
      </c>
    </row>
    <row r="14">
      <c r="A14" s="280" t="b">
        <v>0</v>
      </c>
      <c r="B14" s="272">
        <f>ROW()-1</f>
        <v/>
      </c>
      <c r="C14" s="272">
        <f>_xlfn.XLOOKUP($D14,Tab_Def_Processes[Name(EN)],Tab_Def_Processes[Process_ID],,0,)</f>
        <v/>
      </c>
      <c r="D14" s="273" t="inlineStr">
        <is>
          <t>N.A.</t>
        </is>
      </c>
      <c r="E14" s="272">
        <f>_xlfn.XLOOKUP($D14,Tab_Def_Processes[Name(EN)],Tab_Def_Processes[Process_Type],,0,)</f>
        <v/>
      </c>
      <c r="F14" s="272">
        <f>_xlfn.XLOOKUP($D14,Tab_Def_Processes[Name(EN)],Tab_Def_Processes[TC?],,0,)</f>
        <v/>
      </c>
      <c r="G14" s="272">
        <f>_xlfn.XLOOKUP($D14,Tab_Def_Processes[Name(EN)],Tab_Def_Processes[Dyn_TC?],,0,)</f>
        <v/>
      </c>
      <c r="H14" s="272">
        <f>_xlfn.XLOOKUP($D14,Tab_Def_Processes[Name(EN)],Tab_Def_Processes[Stock?],,0,)</f>
        <v/>
      </c>
      <c r="I14" s="272">
        <f>_xlfn.XLOOKUP($D14,Tab_Def_Processes[Name(EN)],Tab_Def_Processes[Initial_Stock?],,0,)</f>
        <v/>
      </c>
      <c r="J14" s="272">
        <f>_xlfn.XLOOKUP($D14,Tab_Def_Processes[Name(EN)],Tab_Def_Processes[DSM?],,0,)</f>
        <v/>
      </c>
      <c r="K14" s="272">
        <f>_xlfn.XLOOKUP($D14,Tab_Def_Processes[Name(EN)],Tab_Def_Processes[FOMP?],,0,)</f>
        <v/>
      </c>
      <c r="L14" s="272">
        <f>_xlfn.XLOOKUP(Tab_FOMP[[#This Row],[Name(EN)]],Tab_Def_Processes[Name(EN)],Tab_Def_Processes[Nr. Outflows],,0,)</f>
        <v/>
      </c>
      <c r="M14" s="273" t="n"/>
      <c r="N14" s="273" t="n"/>
      <c r="O14" s="272">
        <f>_xlfn.XLOOKUP($N14,CL_3.1_FOMP_Parameters[Category ID],CL_3.1_FOMP_Parameters[Pool_ID],,0,)</f>
        <v/>
      </c>
      <c r="P14" s="273" t="n"/>
      <c r="Q14" s="273" t="n"/>
    </row>
    <row r="15">
      <c r="A15" s="280" t="b">
        <v>0</v>
      </c>
      <c r="B15" s="272">
        <f>ROW()-1</f>
        <v/>
      </c>
      <c r="C15" s="272">
        <f>_xlfn.XLOOKUP($D15,Tab_Def_Processes[Name(EN)],Tab_Def_Processes[Process_ID],,0,)</f>
        <v/>
      </c>
      <c r="D15" s="273" t="inlineStr">
        <is>
          <t>N.A.</t>
        </is>
      </c>
      <c r="E15" s="272">
        <f>_xlfn.XLOOKUP($D15,Tab_Def_Processes[Name(EN)],Tab_Def_Processes[Process_Type],,0,)</f>
        <v/>
      </c>
      <c r="F15" s="272">
        <f>_xlfn.XLOOKUP($D15,Tab_Def_Processes[Name(EN)],Tab_Def_Processes[TC?],,0,)</f>
        <v/>
      </c>
      <c r="G15" s="272">
        <f>_xlfn.XLOOKUP($D15,Tab_Def_Processes[Name(EN)],Tab_Def_Processes[Dyn_TC?],,0,)</f>
        <v/>
      </c>
      <c r="H15" s="272">
        <f>_xlfn.XLOOKUP($D15,Tab_Def_Processes[Name(EN)],Tab_Def_Processes[Stock?],,0,)</f>
        <v/>
      </c>
      <c r="I15" s="272">
        <f>_xlfn.XLOOKUP($D15,Tab_Def_Processes[Name(EN)],Tab_Def_Processes[Initial_Stock?],,0,)</f>
        <v/>
      </c>
      <c r="J15" s="272">
        <f>_xlfn.XLOOKUP($D15,Tab_Def_Processes[Name(EN)],Tab_Def_Processes[DSM?],,0,)</f>
        <v/>
      </c>
      <c r="K15" s="272">
        <f>_xlfn.XLOOKUP($D15,Tab_Def_Processes[Name(EN)],Tab_Def_Processes[FOMP?],,0,)</f>
        <v/>
      </c>
      <c r="L15" s="272">
        <f>_xlfn.XLOOKUP(Tab_FOMP[[#This Row],[Name(EN)]],Tab_Def_Processes[Name(EN)],Tab_Def_Processes[Nr. Outflows],,0,)</f>
        <v/>
      </c>
      <c r="M15" s="273" t="n"/>
      <c r="N15" s="273" t="n"/>
      <c r="O15" s="272">
        <f>_xlfn.XLOOKUP($N15,CL_3.1_FOMP_Parameters[Category ID],CL_3.1_FOMP_Parameters[Pool_ID],,0,)</f>
        <v/>
      </c>
      <c r="P15" s="273" t="n"/>
      <c r="Q15" s="273" t="n"/>
    </row>
    <row r="16">
      <c r="A16" s="280" t="b">
        <v>0</v>
      </c>
      <c r="B16" s="272">
        <f>ROW()-1</f>
        <v/>
      </c>
      <c r="C16" s="272">
        <f>_xlfn.XLOOKUP($D16,Tab_Def_Processes[Name(EN)],Tab_Def_Processes[Process_ID],,0,)</f>
        <v/>
      </c>
      <c r="D16" s="273" t="inlineStr">
        <is>
          <t>N.A.</t>
        </is>
      </c>
      <c r="E16" s="272">
        <f>_xlfn.XLOOKUP($D16,Tab_Def_Processes[Name(EN)],Tab_Def_Processes[Process_Type],,0,)</f>
        <v/>
      </c>
      <c r="F16" s="272">
        <f>_xlfn.XLOOKUP($D16,Tab_Def_Processes[Name(EN)],Tab_Def_Processes[TC?],,0,)</f>
        <v/>
      </c>
      <c r="G16" s="272">
        <f>_xlfn.XLOOKUP($D16,Tab_Def_Processes[Name(EN)],Tab_Def_Processes[Dyn_TC?],,0,)</f>
        <v/>
      </c>
      <c r="H16" s="272">
        <f>_xlfn.XLOOKUP($D16,Tab_Def_Processes[Name(EN)],Tab_Def_Processes[Stock?],,0,)</f>
        <v/>
      </c>
      <c r="I16" s="272">
        <f>_xlfn.XLOOKUP($D16,Tab_Def_Processes[Name(EN)],Tab_Def_Processes[Initial_Stock?],,0,)</f>
        <v/>
      </c>
      <c r="J16" s="272">
        <f>_xlfn.XLOOKUP($D16,Tab_Def_Processes[Name(EN)],Tab_Def_Processes[DSM?],,0,)</f>
        <v/>
      </c>
      <c r="K16" s="272">
        <f>_xlfn.XLOOKUP($D16,Tab_Def_Processes[Name(EN)],Tab_Def_Processes[FOMP?],,0,)</f>
        <v/>
      </c>
      <c r="L16" s="272">
        <f>_xlfn.XLOOKUP(Tab_FOMP[[#This Row],[Name(EN)]],Tab_Def_Processes[Name(EN)],Tab_Def_Processes[Nr. Outflows],,0,)</f>
        <v/>
      </c>
      <c r="M16" s="273" t="n"/>
      <c r="N16" s="273" t="n"/>
      <c r="O16" s="272">
        <f>_xlfn.XLOOKUP($N16,CL_3.1_FOMP_Parameters[Category ID],CL_3.1_FOMP_Parameters[Pool_ID],,0,)</f>
        <v/>
      </c>
      <c r="P16" s="273" t="n"/>
      <c r="Q16" s="273" t="n"/>
    </row>
    <row r="17">
      <c r="A17" s="280" t="b">
        <v>0</v>
      </c>
      <c r="B17" s="272">
        <f>ROW()-1</f>
        <v/>
      </c>
      <c r="C17" s="272">
        <f>_xlfn.XLOOKUP($D17,Tab_Def_Processes[Name(EN)],Tab_Def_Processes[Process_ID],,0,)</f>
        <v/>
      </c>
      <c r="D17" s="273" t="inlineStr">
        <is>
          <t>N.A.</t>
        </is>
      </c>
      <c r="E17" s="272">
        <f>_xlfn.XLOOKUP($D17,Tab_Def_Processes[Name(EN)],Tab_Def_Processes[Process_Type],,0,)</f>
        <v/>
      </c>
      <c r="F17" s="272">
        <f>_xlfn.XLOOKUP($D17,Tab_Def_Processes[Name(EN)],Tab_Def_Processes[TC?],,0,)</f>
        <v/>
      </c>
      <c r="G17" s="272">
        <f>_xlfn.XLOOKUP($D17,Tab_Def_Processes[Name(EN)],Tab_Def_Processes[Dyn_TC?],,0,)</f>
        <v/>
      </c>
      <c r="H17" s="272">
        <f>_xlfn.XLOOKUP($D17,Tab_Def_Processes[Name(EN)],Tab_Def_Processes[Stock?],,0,)</f>
        <v/>
      </c>
      <c r="I17" s="272">
        <f>_xlfn.XLOOKUP($D17,Tab_Def_Processes[Name(EN)],Tab_Def_Processes[Initial_Stock?],,0,)</f>
        <v/>
      </c>
      <c r="J17" s="272">
        <f>_xlfn.XLOOKUP($D17,Tab_Def_Processes[Name(EN)],Tab_Def_Processes[DSM?],,0,)</f>
        <v/>
      </c>
      <c r="K17" s="272">
        <f>_xlfn.XLOOKUP($D17,Tab_Def_Processes[Name(EN)],Tab_Def_Processes[FOMP?],,0,)</f>
        <v/>
      </c>
      <c r="L17" s="272">
        <f>_xlfn.XLOOKUP(Tab_FOMP[[#This Row],[Name(EN)]],Tab_Def_Processes[Name(EN)],Tab_Def_Processes[Nr. Outflows],,0,)</f>
        <v/>
      </c>
      <c r="M17" s="273" t="n"/>
      <c r="N17" s="273" t="n"/>
      <c r="O17" s="272">
        <f>_xlfn.XLOOKUP($N17,CL_3.1_FOMP_Parameters[Category ID],CL_3.1_FOMP_Parameters[Pool_ID],,0,)</f>
        <v/>
      </c>
      <c r="P17" s="273" t="n"/>
      <c r="Q17" s="273" t="n"/>
    </row>
    <row r="18">
      <c r="A18" s="280" t="b">
        <v>0</v>
      </c>
      <c r="B18" s="272">
        <f>ROW()-1</f>
        <v/>
      </c>
      <c r="C18" s="272">
        <f>_xlfn.XLOOKUP($D18,Tab_Def_Processes[Name(EN)],Tab_Def_Processes[Process_ID],,0,)</f>
        <v/>
      </c>
      <c r="D18" s="273" t="inlineStr">
        <is>
          <t>N.A.</t>
        </is>
      </c>
      <c r="E18" s="272">
        <f>_xlfn.XLOOKUP($D18,Tab_Def_Processes[Name(EN)],Tab_Def_Processes[Process_Type],,0,)</f>
        <v/>
      </c>
      <c r="F18" s="272">
        <f>_xlfn.XLOOKUP($D18,Tab_Def_Processes[Name(EN)],Tab_Def_Processes[TC?],,0,)</f>
        <v/>
      </c>
      <c r="G18" s="272">
        <f>_xlfn.XLOOKUP($D18,Tab_Def_Processes[Name(EN)],Tab_Def_Processes[Dyn_TC?],,0,)</f>
        <v/>
      </c>
      <c r="H18" s="272">
        <f>_xlfn.XLOOKUP($D18,Tab_Def_Processes[Name(EN)],Tab_Def_Processes[Stock?],,0,)</f>
        <v/>
      </c>
      <c r="I18" s="272">
        <f>_xlfn.XLOOKUP($D18,Tab_Def_Processes[Name(EN)],Tab_Def_Processes[Initial_Stock?],,0,)</f>
        <v/>
      </c>
      <c r="J18" s="272">
        <f>_xlfn.XLOOKUP($D18,Tab_Def_Processes[Name(EN)],Tab_Def_Processes[DSM?],,0,)</f>
        <v/>
      </c>
      <c r="K18" s="272">
        <f>_xlfn.XLOOKUP($D18,Tab_Def_Processes[Name(EN)],Tab_Def_Processes[FOMP?],,0,)</f>
        <v/>
      </c>
      <c r="L18" s="272">
        <f>_xlfn.XLOOKUP(Tab_FOMP[[#This Row],[Name(EN)]],Tab_Def_Processes[Name(EN)],Tab_Def_Processes[Nr. Outflows],,0,)</f>
        <v/>
      </c>
      <c r="M18" s="273" t="n"/>
      <c r="N18" s="273" t="n"/>
      <c r="O18" s="272">
        <f>_xlfn.XLOOKUP($N18,CL_3.1_FOMP_Parameters[Category ID],CL_3.1_FOMP_Parameters[Pool_ID],,0,)</f>
        <v/>
      </c>
      <c r="P18" s="273" t="n"/>
      <c r="Q18" s="273" t="n"/>
    </row>
    <row r="19">
      <c r="A19" s="280" t="b">
        <v>0</v>
      </c>
      <c r="B19" s="272">
        <f>ROW()-1</f>
        <v/>
      </c>
      <c r="C19" s="272">
        <f>_xlfn.XLOOKUP($D19,Tab_Def_Processes[Name(EN)],Tab_Def_Processes[Process_ID],,0,)</f>
        <v/>
      </c>
      <c r="D19" s="273" t="inlineStr">
        <is>
          <t>N.A.</t>
        </is>
      </c>
      <c r="E19" s="272">
        <f>_xlfn.XLOOKUP($D19,Tab_Def_Processes[Name(EN)],Tab_Def_Processes[Process_Type],,0,)</f>
        <v/>
      </c>
      <c r="F19" s="272">
        <f>_xlfn.XLOOKUP($D19,Tab_Def_Processes[Name(EN)],Tab_Def_Processes[TC?],,0,)</f>
        <v/>
      </c>
      <c r="G19" s="272">
        <f>_xlfn.XLOOKUP($D19,Tab_Def_Processes[Name(EN)],Tab_Def_Processes[Dyn_TC?],,0,)</f>
        <v/>
      </c>
      <c r="H19" s="272">
        <f>_xlfn.XLOOKUP($D19,Tab_Def_Processes[Name(EN)],Tab_Def_Processes[Stock?],,0,)</f>
        <v/>
      </c>
      <c r="I19" s="272">
        <f>_xlfn.XLOOKUP($D19,Tab_Def_Processes[Name(EN)],Tab_Def_Processes[Initial_Stock?],,0,)</f>
        <v/>
      </c>
      <c r="J19" s="272">
        <f>_xlfn.XLOOKUP($D19,Tab_Def_Processes[Name(EN)],Tab_Def_Processes[DSM?],,0,)</f>
        <v/>
      </c>
      <c r="K19" s="272">
        <f>_xlfn.XLOOKUP($D19,Tab_Def_Processes[Name(EN)],Tab_Def_Processes[FOMP?],,0,)</f>
        <v/>
      </c>
      <c r="L19" s="272">
        <f>_xlfn.XLOOKUP(Tab_FOMP[[#This Row],[Name(EN)]],Tab_Def_Processes[Name(EN)],Tab_Def_Processes[Nr. Outflows],,0,)</f>
        <v/>
      </c>
      <c r="M19" s="273" t="n"/>
      <c r="N19" s="273" t="n"/>
      <c r="O19" s="272">
        <f>_xlfn.XLOOKUP($N19,CL_3.1_FOMP_Parameters[Category ID],CL_3.1_FOMP_Parameters[Pool_ID],,0,)</f>
        <v/>
      </c>
      <c r="P19" s="273" t="n"/>
      <c r="Q19" s="273" t="n"/>
    </row>
    <row r="20">
      <c r="A20" s="280" t="b">
        <v>0</v>
      </c>
      <c r="B20" s="272">
        <f>ROW()-1</f>
        <v/>
      </c>
      <c r="C20" s="272">
        <f>_xlfn.XLOOKUP($D20,Tab_Def_Processes[Name(EN)],Tab_Def_Processes[Process_ID],,0,)</f>
        <v/>
      </c>
      <c r="D20" s="273" t="inlineStr">
        <is>
          <t>N.A.</t>
        </is>
      </c>
      <c r="E20" s="272">
        <f>_xlfn.XLOOKUP($D20,Tab_Def_Processes[Name(EN)],Tab_Def_Processes[Process_Type],,0,)</f>
        <v/>
      </c>
      <c r="F20" s="272">
        <f>_xlfn.XLOOKUP($D20,Tab_Def_Processes[Name(EN)],Tab_Def_Processes[TC?],,0,)</f>
        <v/>
      </c>
      <c r="G20" s="272">
        <f>_xlfn.XLOOKUP($D20,Tab_Def_Processes[Name(EN)],Tab_Def_Processes[Dyn_TC?],,0,)</f>
        <v/>
      </c>
      <c r="H20" s="272">
        <f>_xlfn.XLOOKUP($D20,Tab_Def_Processes[Name(EN)],Tab_Def_Processes[Stock?],,0,)</f>
        <v/>
      </c>
      <c r="I20" s="272">
        <f>_xlfn.XLOOKUP($D20,Tab_Def_Processes[Name(EN)],Tab_Def_Processes[Initial_Stock?],,0,)</f>
        <v/>
      </c>
      <c r="J20" s="272">
        <f>_xlfn.XLOOKUP($D20,Tab_Def_Processes[Name(EN)],Tab_Def_Processes[DSM?],,0,)</f>
        <v/>
      </c>
      <c r="K20" s="272">
        <f>_xlfn.XLOOKUP($D20,Tab_Def_Processes[Name(EN)],Tab_Def_Processes[FOMP?],,0,)</f>
        <v/>
      </c>
      <c r="L20" s="272">
        <f>_xlfn.XLOOKUP(Tab_FOMP[[#This Row],[Name(EN)]],Tab_Def_Processes[Name(EN)],Tab_Def_Processes[Nr. Outflows],,0,)</f>
        <v/>
      </c>
      <c r="M20" s="273" t="n"/>
      <c r="N20" s="273" t="n"/>
      <c r="O20" s="272">
        <f>_xlfn.XLOOKUP($N20,CL_3.1_FOMP_Parameters[Category ID],CL_3.1_FOMP_Parameters[Pool_ID],,0,)</f>
        <v/>
      </c>
      <c r="P20" s="273" t="n"/>
      <c r="Q20" s="273" t="n"/>
    </row>
    <row r="21">
      <c r="A21" s="280" t="b">
        <v>0</v>
      </c>
      <c r="B21" s="272">
        <f>ROW()-1</f>
        <v/>
      </c>
      <c r="C21" s="272">
        <f>_xlfn.XLOOKUP($D21,Tab_Def_Processes[Name(EN)],Tab_Def_Processes[Process_ID],,0,)</f>
        <v/>
      </c>
      <c r="D21" s="273" t="inlineStr">
        <is>
          <t>N.A.</t>
        </is>
      </c>
      <c r="E21" s="272">
        <f>_xlfn.XLOOKUP($D21,Tab_Def_Processes[Name(EN)],Tab_Def_Processes[Process_Type],,0,)</f>
        <v/>
      </c>
      <c r="F21" s="272">
        <f>_xlfn.XLOOKUP($D21,Tab_Def_Processes[Name(EN)],Tab_Def_Processes[TC?],,0,)</f>
        <v/>
      </c>
      <c r="G21" s="272">
        <f>_xlfn.XLOOKUP($D21,Tab_Def_Processes[Name(EN)],Tab_Def_Processes[Dyn_TC?],,0,)</f>
        <v/>
      </c>
      <c r="H21" s="272">
        <f>_xlfn.XLOOKUP($D21,Tab_Def_Processes[Name(EN)],Tab_Def_Processes[Stock?],,0,)</f>
        <v/>
      </c>
      <c r="I21" s="272">
        <f>_xlfn.XLOOKUP($D21,Tab_Def_Processes[Name(EN)],Tab_Def_Processes[Initial_Stock?],,0,)</f>
        <v/>
      </c>
      <c r="J21" s="272">
        <f>_xlfn.XLOOKUP($D21,Tab_Def_Processes[Name(EN)],Tab_Def_Processes[DSM?],,0,)</f>
        <v/>
      </c>
      <c r="K21" s="272">
        <f>_xlfn.XLOOKUP($D21,Tab_Def_Processes[Name(EN)],Tab_Def_Processes[FOMP?],,0,)</f>
        <v/>
      </c>
      <c r="L21" s="272">
        <f>_xlfn.XLOOKUP(Tab_FOMP[[#This Row],[Name(EN)]],Tab_Def_Processes[Name(EN)],Tab_Def_Processes[Nr. Outflows],,0,)</f>
        <v/>
      </c>
      <c r="M21" s="273" t="n"/>
      <c r="N21" s="273" t="n"/>
      <c r="O21" s="272">
        <f>_xlfn.XLOOKUP($N21,CL_3.1_FOMP_Parameters[Category ID],CL_3.1_FOMP_Parameters[Pool_ID],,0,)</f>
        <v/>
      </c>
      <c r="P21" s="273" t="n"/>
      <c r="Q21" s="273" t="n"/>
    </row>
    <row r="22">
      <c r="A22" s="280" t="b">
        <v>0</v>
      </c>
      <c r="B22" s="272">
        <f>ROW()-1</f>
        <v/>
      </c>
      <c r="C22" s="272">
        <f>_xlfn.XLOOKUP($D22,Tab_Def_Processes[Name(EN)],Tab_Def_Processes[Process_ID],,0,)</f>
        <v/>
      </c>
      <c r="D22" s="273" t="inlineStr">
        <is>
          <t>N.A.</t>
        </is>
      </c>
      <c r="E22" s="272">
        <f>_xlfn.XLOOKUP($D22,Tab_Def_Processes[Name(EN)],Tab_Def_Processes[Process_Type],,0,)</f>
        <v/>
      </c>
      <c r="F22" s="272">
        <f>_xlfn.XLOOKUP($D22,Tab_Def_Processes[Name(EN)],Tab_Def_Processes[TC?],,0,)</f>
        <v/>
      </c>
      <c r="G22" s="272">
        <f>_xlfn.XLOOKUP($D22,Tab_Def_Processes[Name(EN)],Tab_Def_Processes[Dyn_TC?],,0,)</f>
        <v/>
      </c>
      <c r="H22" s="272">
        <f>_xlfn.XLOOKUP($D22,Tab_Def_Processes[Name(EN)],Tab_Def_Processes[Stock?],,0,)</f>
        <v/>
      </c>
      <c r="I22" s="272">
        <f>_xlfn.XLOOKUP($D22,Tab_Def_Processes[Name(EN)],Tab_Def_Processes[Initial_Stock?],,0,)</f>
        <v/>
      </c>
      <c r="J22" s="272">
        <f>_xlfn.XLOOKUP($D22,Tab_Def_Processes[Name(EN)],Tab_Def_Processes[DSM?],,0,)</f>
        <v/>
      </c>
      <c r="K22" s="272">
        <f>_xlfn.XLOOKUP($D22,Tab_Def_Processes[Name(EN)],Tab_Def_Processes[FOMP?],,0,)</f>
        <v/>
      </c>
      <c r="L22" s="272">
        <f>_xlfn.XLOOKUP(Tab_FOMP[[#This Row],[Name(EN)]],Tab_Def_Processes[Name(EN)],Tab_Def_Processes[Nr. Outflows],,0,)</f>
        <v/>
      </c>
      <c r="M22" s="273" t="n"/>
      <c r="N22" s="273" t="n"/>
      <c r="O22" s="272">
        <f>_xlfn.XLOOKUP($N22,CL_3.1_FOMP_Parameters[Category ID],CL_3.1_FOMP_Parameters[Pool_ID],,0,)</f>
        <v/>
      </c>
      <c r="P22" s="273" t="n"/>
      <c r="Q22" s="273" t="n"/>
    </row>
    <row r="23">
      <c r="A23" s="280" t="b">
        <v>0</v>
      </c>
      <c r="B23" s="272">
        <f>ROW()-1</f>
        <v/>
      </c>
      <c r="C23" s="272">
        <f>_xlfn.XLOOKUP($D23,Tab_Def_Processes[Name(EN)],Tab_Def_Processes[Process_ID],,0,)</f>
        <v/>
      </c>
      <c r="D23" s="273" t="inlineStr">
        <is>
          <t>N.A.</t>
        </is>
      </c>
      <c r="E23" s="272">
        <f>_xlfn.XLOOKUP($D23,Tab_Def_Processes[Name(EN)],Tab_Def_Processes[Process_Type],,0,)</f>
        <v/>
      </c>
      <c r="F23" s="272">
        <f>_xlfn.XLOOKUP($D23,Tab_Def_Processes[Name(EN)],Tab_Def_Processes[TC?],,0,)</f>
        <v/>
      </c>
      <c r="G23" s="272">
        <f>_xlfn.XLOOKUP($D23,Tab_Def_Processes[Name(EN)],Tab_Def_Processes[Dyn_TC?],,0,)</f>
        <v/>
      </c>
      <c r="H23" s="272">
        <f>_xlfn.XLOOKUP($D23,Tab_Def_Processes[Name(EN)],Tab_Def_Processes[Stock?],,0,)</f>
        <v/>
      </c>
      <c r="I23" s="272">
        <f>_xlfn.XLOOKUP($D23,Tab_Def_Processes[Name(EN)],Tab_Def_Processes[Initial_Stock?],,0,)</f>
        <v/>
      </c>
      <c r="J23" s="272">
        <f>_xlfn.XLOOKUP($D23,Tab_Def_Processes[Name(EN)],Tab_Def_Processes[DSM?],,0,)</f>
        <v/>
      </c>
      <c r="K23" s="272">
        <f>_xlfn.XLOOKUP($D23,Tab_Def_Processes[Name(EN)],Tab_Def_Processes[FOMP?],,0,)</f>
        <v/>
      </c>
      <c r="L23" s="272">
        <f>_xlfn.XLOOKUP(Tab_FOMP[[#This Row],[Name(EN)]],Tab_Def_Processes[Name(EN)],Tab_Def_Processes[Nr. Outflows],,0,)</f>
        <v/>
      </c>
      <c r="M23" s="273" t="n"/>
      <c r="N23" s="273" t="n"/>
      <c r="O23" s="272">
        <f>_xlfn.XLOOKUP($N23,CL_3.1_FOMP_Parameters[Category ID],CL_3.1_FOMP_Parameters[Pool_ID],,0,)</f>
        <v/>
      </c>
      <c r="P23" s="273" t="n"/>
      <c r="Q23" s="273" t="n"/>
    </row>
    <row r="24">
      <c r="A24" s="280" t="b">
        <v>0</v>
      </c>
      <c r="B24" s="272">
        <f>ROW()-1</f>
        <v/>
      </c>
      <c r="C24" s="272">
        <f>_xlfn.XLOOKUP($D24,Tab_Def_Processes[Name(EN)],Tab_Def_Processes[Process_ID],,0,)</f>
        <v/>
      </c>
      <c r="D24" s="273" t="inlineStr">
        <is>
          <t>N.A.</t>
        </is>
      </c>
      <c r="E24" s="272">
        <f>_xlfn.XLOOKUP($D24,Tab_Def_Processes[Name(EN)],Tab_Def_Processes[Process_Type],,0,)</f>
        <v/>
      </c>
      <c r="F24" s="272">
        <f>_xlfn.XLOOKUP($D24,Tab_Def_Processes[Name(EN)],Tab_Def_Processes[TC?],,0,)</f>
        <v/>
      </c>
      <c r="G24" s="272">
        <f>_xlfn.XLOOKUP($D24,Tab_Def_Processes[Name(EN)],Tab_Def_Processes[Dyn_TC?],,0,)</f>
        <v/>
      </c>
      <c r="H24" s="272">
        <f>_xlfn.XLOOKUP($D24,Tab_Def_Processes[Name(EN)],Tab_Def_Processes[Stock?],,0,)</f>
        <v/>
      </c>
      <c r="I24" s="272">
        <f>_xlfn.XLOOKUP($D24,Tab_Def_Processes[Name(EN)],Tab_Def_Processes[Initial_Stock?],,0,)</f>
        <v/>
      </c>
      <c r="J24" s="272">
        <f>_xlfn.XLOOKUP($D24,Tab_Def_Processes[Name(EN)],Tab_Def_Processes[DSM?],,0,)</f>
        <v/>
      </c>
      <c r="K24" s="272">
        <f>_xlfn.XLOOKUP($D24,Tab_Def_Processes[Name(EN)],Tab_Def_Processes[FOMP?],,0,)</f>
        <v/>
      </c>
      <c r="L24" s="272">
        <f>_xlfn.XLOOKUP(Tab_FOMP[[#This Row],[Name(EN)]],Tab_Def_Processes[Name(EN)],Tab_Def_Processes[Nr. Outflows],,0,)</f>
        <v/>
      </c>
      <c r="M24" s="273" t="n"/>
      <c r="N24" s="273" t="n"/>
      <c r="O24" s="272">
        <f>_xlfn.XLOOKUP($N24,CL_3.1_FOMP_Parameters[Category ID],CL_3.1_FOMP_Parameters[Pool_ID],,0,)</f>
        <v/>
      </c>
      <c r="P24" s="273" t="n"/>
      <c r="Q24" s="273" t="n"/>
    </row>
    <row r="25">
      <c r="A25" s="280" t="b">
        <v>0</v>
      </c>
      <c r="B25" s="272">
        <f>ROW()-1</f>
        <v/>
      </c>
      <c r="C25" s="272">
        <f>_xlfn.XLOOKUP($D25,Tab_Def_Processes[Name(EN)],Tab_Def_Processes[Process_ID],,0,)</f>
        <v/>
      </c>
      <c r="D25" s="273" t="inlineStr">
        <is>
          <t>N.A.</t>
        </is>
      </c>
      <c r="E25" s="272">
        <f>_xlfn.XLOOKUP($D25,Tab_Def_Processes[Name(EN)],Tab_Def_Processes[Process_Type],,0,)</f>
        <v/>
      </c>
      <c r="F25" s="272">
        <f>_xlfn.XLOOKUP($D25,Tab_Def_Processes[Name(EN)],Tab_Def_Processes[TC?],,0,)</f>
        <v/>
      </c>
      <c r="G25" s="272">
        <f>_xlfn.XLOOKUP($D25,Tab_Def_Processes[Name(EN)],Tab_Def_Processes[Dyn_TC?],,0,)</f>
        <v/>
      </c>
      <c r="H25" s="272">
        <f>_xlfn.XLOOKUP($D25,Tab_Def_Processes[Name(EN)],Tab_Def_Processes[Stock?],,0,)</f>
        <v/>
      </c>
      <c r="I25" s="272">
        <f>_xlfn.XLOOKUP($D25,Tab_Def_Processes[Name(EN)],Tab_Def_Processes[Initial_Stock?],,0,)</f>
        <v/>
      </c>
      <c r="J25" s="272">
        <f>_xlfn.XLOOKUP($D25,Tab_Def_Processes[Name(EN)],Tab_Def_Processes[DSM?],,0,)</f>
        <v/>
      </c>
      <c r="K25" s="272">
        <f>_xlfn.XLOOKUP($D25,Tab_Def_Processes[Name(EN)],Tab_Def_Processes[FOMP?],,0,)</f>
        <v/>
      </c>
      <c r="L25" s="272">
        <f>_xlfn.XLOOKUP(Tab_FOMP[[#This Row],[Name(EN)]],Tab_Def_Processes[Name(EN)],Tab_Def_Processes[Nr. Outflows],,0,)</f>
        <v/>
      </c>
      <c r="M25" s="273" t="n"/>
      <c r="N25" s="273" t="n"/>
      <c r="O25" s="272">
        <f>_xlfn.XLOOKUP($N25,CL_3.1_FOMP_Parameters[Category ID],CL_3.1_FOMP_Parameters[Pool_ID],,0,)</f>
        <v/>
      </c>
      <c r="P25" s="273" t="n"/>
      <c r="Q25" s="273" t="n"/>
    </row>
    <row r="26">
      <c r="A26" s="280" t="b">
        <v>0</v>
      </c>
      <c r="B26" s="272">
        <f>ROW()-1</f>
        <v/>
      </c>
      <c r="C26" s="272">
        <f>_xlfn.XLOOKUP($D26,Tab_Def_Processes[Name(EN)],Tab_Def_Processes[Process_ID],,0,)</f>
        <v/>
      </c>
      <c r="D26" s="273" t="inlineStr">
        <is>
          <t>N.A.</t>
        </is>
      </c>
      <c r="E26" s="272">
        <f>_xlfn.XLOOKUP($D26,Tab_Def_Processes[Name(EN)],Tab_Def_Processes[Process_Type],,0,)</f>
        <v/>
      </c>
      <c r="F26" s="272">
        <f>_xlfn.XLOOKUP($D26,Tab_Def_Processes[Name(EN)],Tab_Def_Processes[TC?],,0,)</f>
        <v/>
      </c>
      <c r="G26" s="272">
        <f>_xlfn.XLOOKUP($D26,Tab_Def_Processes[Name(EN)],Tab_Def_Processes[Dyn_TC?],,0,)</f>
        <v/>
      </c>
      <c r="H26" s="272">
        <f>_xlfn.XLOOKUP($D26,Tab_Def_Processes[Name(EN)],Tab_Def_Processes[Stock?],,0,)</f>
        <v/>
      </c>
      <c r="I26" s="272">
        <f>_xlfn.XLOOKUP($D26,Tab_Def_Processes[Name(EN)],Tab_Def_Processes[Initial_Stock?],,0,)</f>
        <v/>
      </c>
      <c r="J26" s="272">
        <f>_xlfn.XLOOKUP($D26,Tab_Def_Processes[Name(EN)],Tab_Def_Processes[DSM?],,0,)</f>
        <v/>
      </c>
      <c r="K26" s="272">
        <f>_xlfn.XLOOKUP($D26,Tab_Def_Processes[Name(EN)],Tab_Def_Processes[FOMP?],,0,)</f>
        <v/>
      </c>
      <c r="L26" s="272">
        <f>_xlfn.XLOOKUP(Tab_FOMP[[#This Row],[Name(EN)]],Tab_Def_Processes[Name(EN)],Tab_Def_Processes[Nr. Outflows],,0,)</f>
        <v/>
      </c>
      <c r="M26" s="273" t="n"/>
      <c r="N26" s="273" t="n"/>
      <c r="O26" s="272">
        <f>_xlfn.XLOOKUP($N26,CL_3.1_FOMP_Parameters[Category ID],CL_3.1_FOMP_Parameters[Pool_ID],,0,)</f>
        <v/>
      </c>
      <c r="P26" s="273" t="n"/>
      <c r="Q26" s="273" t="n"/>
    </row>
    <row r="27">
      <c r="A27" s="280" t="b">
        <v>0</v>
      </c>
      <c r="B27" s="272">
        <f>ROW()-1</f>
        <v/>
      </c>
      <c r="C27" s="272">
        <f>_xlfn.XLOOKUP($D27,Tab_Def_Processes[Name(EN)],Tab_Def_Processes[Process_ID],,0,)</f>
        <v/>
      </c>
      <c r="D27" s="273" t="inlineStr">
        <is>
          <t>N.A.</t>
        </is>
      </c>
      <c r="E27" s="272">
        <f>_xlfn.XLOOKUP($D27,Tab_Def_Processes[Name(EN)],Tab_Def_Processes[Process_Type],,0,)</f>
        <v/>
      </c>
      <c r="F27" s="272">
        <f>_xlfn.XLOOKUP($D27,Tab_Def_Processes[Name(EN)],Tab_Def_Processes[TC?],,0,)</f>
        <v/>
      </c>
      <c r="G27" s="272">
        <f>_xlfn.XLOOKUP($D27,Tab_Def_Processes[Name(EN)],Tab_Def_Processes[Dyn_TC?],,0,)</f>
        <v/>
      </c>
      <c r="H27" s="272">
        <f>_xlfn.XLOOKUP($D27,Tab_Def_Processes[Name(EN)],Tab_Def_Processes[Stock?],,0,)</f>
        <v/>
      </c>
      <c r="I27" s="272">
        <f>_xlfn.XLOOKUP($D27,Tab_Def_Processes[Name(EN)],Tab_Def_Processes[Initial_Stock?],,0,)</f>
        <v/>
      </c>
      <c r="J27" s="272">
        <f>_xlfn.XLOOKUP($D27,Tab_Def_Processes[Name(EN)],Tab_Def_Processes[DSM?],,0,)</f>
        <v/>
      </c>
      <c r="K27" s="272">
        <f>_xlfn.XLOOKUP($D27,Tab_Def_Processes[Name(EN)],Tab_Def_Processes[FOMP?],,0,)</f>
        <v/>
      </c>
      <c r="L27" s="272">
        <f>_xlfn.XLOOKUP(Tab_FOMP[[#This Row],[Name(EN)]],Tab_Def_Processes[Name(EN)],Tab_Def_Processes[Nr. Outflows],,0,)</f>
        <v/>
      </c>
      <c r="M27" s="273" t="n"/>
      <c r="N27" s="273" t="n"/>
      <c r="O27" s="272">
        <f>_xlfn.XLOOKUP($N27,CL_3.1_FOMP_Parameters[Category ID],CL_3.1_FOMP_Parameters[Pool_ID],,0,)</f>
        <v/>
      </c>
      <c r="P27" s="273" t="n"/>
      <c r="Q27" s="273" t="n"/>
    </row>
    <row r="28">
      <c r="A28" s="280" t="b">
        <v>0</v>
      </c>
      <c r="B28" s="272">
        <f>ROW()-1</f>
        <v/>
      </c>
      <c r="C28" s="272">
        <f>_xlfn.XLOOKUP($D28,Tab_Def_Processes[Name(EN)],Tab_Def_Processes[Process_ID],,0,)</f>
        <v/>
      </c>
      <c r="D28" s="273" t="inlineStr">
        <is>
          <t>N.A.</t>
        </is>
      </c>
      <c r="E28" s="272">
        <f>_xlfn.XLOOKUP($D28,Tab_Def_Processes[Name(EN)],Tab_Def_Processes[Process_Type],,0,)</f>
        <v/>
      </c>
      <c r="F28" s="272">
        <f>_xlfn.XLOOKUP($D28,Tab_Def_Processes[Name(EN)],Tab_Def_Processes[TC?],,0,)</f>
        <v/>
      </c>
      <c r="G28" s="272">
        <f>_xlfn.XLOOKUP($D28,Tab_Def_Processes[Name(EN)],Tab_Def_Processes[Dyn_TC?],,0,)</f>
        <v/>
      </c>
      <c r="H28" s="272">
        <f>_xlfn.XLOOKUP($D28,Tab_Def_Processes[Name(EN)],Tab_Def_Processes[Stock?],,0,)</f>
        <v/>
      </c>
      <c r="I28" s="272">
        <f>_xlfn.XLOOKUP($D28,Tab_Def_Processes[Name(EN)],Tab_Def_Processes[Initial_Stock?],,0,)</f>
        <v/>
      </c>
      <c r="J28" s="272">
        <f>_xlfn.XLOOKUP($D28,Tab_Def_Processes[Name(EN)],Tab_Def_Processes[DSM?],,0,)</f>
        <v/>
      </c>
      <c r="K28" s="272">
        <f>_xlfn.XLOOKUP($D28,Tab_Def_Processes[Name(EN)],Tab_Def_Processes[FOMP?],,0,)</f>
        <v/>
      </c>
      <c r="L28" s="272">
        <f>_xlfn.XLOOKUP(Tab_FOMP[[#This Row],[Name(EN)]],Tab_Def_Processes[Name(EN)],Tab_Def_Processes[Nr. Outflows],,0,)</f>
        <v/>
      </c>
      <c r="M28" s="273" t="n"/>
      <c r="N28" s="273" t="n"/>
      <c r="O28" s="272">
        <f>_xlfn.XLOOKUP($N28,CL_3.1_FOMP_Parameters[Category ID],CL_3.1_FOMP_Parameters[Pool_ID],,0,)</f>
        <v/>
      </c>
      <c r="P28" s="273" t="n"/>
      <c r="Q28" s="273" t="n"/>
    </row>
    <row r="29">
      <c r="A29" s="280" t="b">
        <v>0</v>
      </c>
      <c r="B29" s="272">
        <f>ROW()-1</f>
        <v/>
      </c>
      <c r="C29" s="272">
        <f>_xlfn.XLOOKUP($D29,Tab_Def_Processes[Name(EN)],Tab_Def_Processes[Process_ID],,0,)</f>
        <v/>
      </c>
      <c r="D29" s="273" t="inlineStr">
        <is>
          <t>N.A.</t>
        </is>
      </c>
      <c r="E29" s="272">
        <f>_xlfn.XLOOKUP($D29,Tab_Def_Processes[Name(EN)],Tab_Def_Processes[Process_Type],,0,)</f>
        <v/>
      </c>
      <c r="F29" s="272">
        <f>_xlfn.XLOOKUP($D29,Tab_Def_Processes[Name(EN)],Tab_Def_Processes[TC?],,0,)</f>
        <v/>
      </c>
      <c r="G29" s="272">
        <f>_xlfn.XLOOKUP($D29,Tab_Def_Processes[Name(EN)],Tab_Def_Processes[Dyn_TC?],,0,)</f>
        <v/>
      </c>
      <c r="H29" s="272">
        <f>_xlfn.XLOOKUP($D29,Tab_Def_Processes[Name(EN)],Tab_Def_Processes[Stock?],,0,)</f>
        <v/>
      </c>
      <c r="I29" s="272">
        <f>_xlfn.XLOOKUP($D29,Tab_Def_Processes[Name(EN)],Tab_Def_Processes[Initial_Stock?],,0,)</f>
        <v/>
      </c>
      <c r="J29" s="272">
        <f>_xlfn.XLOOKUP($D29,Tab_Def_Processes[Name(EN)],Tab_Def_Processes[DSM?],,0,)</f>
        <v/>
      </c>
      <c r="K29" s="272">
        <f>_xlfn.XLOOKUP($D29,Tab_Def_Processes[Name(EN)],Tab_Def_Processes[FOMP?],,0,)</f>
        <v/>
      </c>
      <c r="L29" s="272">
        <f>_xlfn.XLOOKUP(Tab_FOMP[[#This Row],[Name(EN)]],Tab_Def_Processes[Name(EN)],Tab_Def_Processes[Nr. Outflows],,0,)</f>
        <v/>
      </c>
      <c r="M29" s="273" t="n"/>
      <c r="N29" s="273" t="n"/>
      <c r="O29" s="272">
        <f>_xlfn.XLOOKUP($N29,CL_3.1_FOMP_Parameters[Category ID],CL_3.1_FOMP_Parameters[Pool_ID],,0,)</f>
        <v/>
      </c>
      <c r="P29" s="273" t="n"/>
      <c r="Q29" s="273" t="n"/>
    </row>
    <row r="30">
      <c r="A30" s="280" t="b">
        <v>0</v>
      </c>
      <c r="B30" s="272">
        <f>ROW()-1</f>
        <v/>
      </c>
      <c r="C30" s="272">
        <f>_xlfn.XLOOKUP($D30,Tab_Def_Processes[Name(EN)],Tab_Def_Processes[Process_ID],,0,)</f>
        <v/>
      </c>
      <c r="D30" s="273" t="inlineStr">
        <is>
          <t>N.A.</t>
        </is>
      </c>
      <c r="E30" s="272">
        <f>_xlfn.XLOOKUP($D30,Tab_Def_Processes[Name(EN)],Tab_Def_Processes[Process_Type],,0,)</f>
        <v/>
      </c>
      <c r="F30" s="272">
        <f>_xlfn.XLOOKUP($D30,Tab_Def_Processes[Name(EN)],Tab_Def_Processes[TC?],,0,)</f>
        <v/>
      </c>
      <c r="G30" s="272">
        <f>_xlfn.XLOOKUP($D30,Tab_Def_Processes[Name(EN)],Tab_Def_Processes[Dyn_TC?],,0,)</f>
        <v/>
      </c>
      <c r="H30" s="272">
        <f>_xlfn.XLOOKUP($D30,Tab_Def_Processes[Name(EN)],Tab_Def_Processes[Stock?],,0,)</f>
        <v/>
      </c>
      <c r="I30" s="272">
        <f>_xlfn.XLOOKUP($D30,Tab_Def_Processes[Name(EN)],Tab_Def_Processes[Initial_Stock?],,0,)</f>
        <v/>
      </c>
      <c r="J30" s="272">
        <f>_xlfn.XLOOKUP($D30,Tab_Def_Processes[Name(EN)],Tab_Def_Processes[DSM?],,0,)</f>
        <v/>
      </c>
      <c r="K30" s="272">
        <f>_xlfn.XLOOKUP($D30,Tab_Def_Processes[Name(EN)],Tab_Def_Processes[FOMP?],,0,)</f>
        <v/>
      </c>
      <c r="L30" s="272">
        <f>_xlfn.XLOOKUP(Tab_FOMP[[#This Row],[Name(EN)]],Tab_Def_Processes[Name(EN)],Tab_Def_Processes[Nr. Outflows],,0,)</f>
        <v/>
      </c>
      <c r="M30" s="273" t="n"/>
      <c r="N30" s="273" t="n"/>
      <c r="O30" s="272">
        <f>_xlfn.XLOOKUP($N30,CL_3.1_FOMP_Parameters[Category ID],CL_3.1_FOMP_Parameters[Pool_ID],,0,)</f>
        <v/>
      </c>
      <c r="P30" s="273" t="n"/>
      <c r="Q30" s="273" t="n"/>
    </row>
    <row r="31">
      <c r="A31" s="280" t="b">
        <v>0</v>
      </c>
      <c r="B31" s="272">
        <f>ROW()-1</f>
        <v/>
      </c>
      <c r="C31" s="272">
        <f>_xlfn.XLOOKUP($D31,Tab_Def_Processes[Name(EN)],Tab_Def_Processes[Process_ID],,0,)</f>
        <v/>
      </c>
      <c r="D31" s="273" t="inlineStr">
        <is>
          <t>N.A.</t>
        </is>
      </c>
      <c r="E31" s="272">
        <f>_xlfn.XLOOKUP($D31,Tab_Def_Processes[Name(EN)],Tab_Def_Processes[Process_Type],,0,)</f>
        <v/>
      </c>
      <c r="F31" s="272">
        <f>_xlfn.XLOOKUP($D31,Tab_Def_Processes[Name(EN)],Tab_Def_Processes[TC?],,0,)</f>
        <v/>
      </c>
      <c r="G31" s="272">
        <f>_xlfn.XLOOKUP($D31,Tab_Def_Processes[Name(EN)],Tab_Def_Processes[Dyn_TC?],,0,)</f>
        <v/>
      </c>
      <c r="H31" s="272">
        <f>_xlfn.XLOOKUP($D31,Tab_Def_Processes[Name(EN)],Tab_Def_Processes[Stock?],,0,)</f>
        <v/>
      </c>
      <c r="I31" s="272">
        <f>_xlfn.XLOOKUP($D31,Tab_Def_Processes[Name(EN)],Tab_Def_Processes[Initial_Stock?],,0,)</f>
        <v/>
      </c>
      <c r="J31" s="272">
        <f>_xlfn.XLOOKUP($D31,Tab_Def_Processes[Name(EN)],Tab_Def_Processes[DSM?],,0,)</f>
        <v/>
      </c>
      <c r="K31" s="272">
        <f>_xlfn.XLOOKUP($D31,Tab_Def_Processes[Name(EN)],Tab_Def_Processes[FOMP?],,0,)</f>
        <v/>
      </c>
      <c r="L31" s="272">
        <f>_xlfn.XLOOKUP(Tab_FOMP[[#This Row],[Name(EN)]],Tab_Def_Processes[Name(EN)],Tab_Def_Processes[Nr. Outflows],,0,)</f>
        <v/>
      </c>
      <c r="M31" s="273" t="n"/>
      <c r="N31" s="273" t="n"/>
      <c r="O31" s="272">
        <f>_xlfn.XLOOKUP($N31,CL_3.1_FOMP_Parameters[Category ID],CL_3.1_FOMP_Parameters[Pool_ID],,0,)</f>
        <v/>
      </c>
      <c r="P31" s="273" t="n"/>
      <c r="Q31" s="273" t="n"/>
    </row>
    <row r="32">
      <c r="A32" s="280" t="b">
        <v>0</v>
      </c>
      <c r="B32" s="272">
        <f>ROW()-1</f>
        <v/>
      </c>
      <c r="C32" s="272">
        <f>_xlfn.XLOOKUP($D32,Tab_Def_Processes[Name(EN)],Tab_Def_Processes[Process_ID],,0,)</f>
        <v/>
      </c>
      <c r="D32" s="273" t="inlineStr">
        <is>
          <t>N.A.</t>
        </is>
      </c>
      <c r="E32" s="272">
        <f>_xlfn.XLOOKUP($D32,Tab_Def_Processes[Name(EN)],Tab_Def_Processes[Process_Type],,0,)</f>
        <v/>
      </c>
      <c r="F32" s="272">
        <f>_xlfn.XLOOKUP($D32,Tab_Def_Processes[Name(EN)],Tab_Def_Processes[TC?],,0,)</f>
        <v/>
      </c>
      <c r="G32" s="272">
        <f>_xlfn.XLOOKUP($D32,Tab_Def_Processes[Name(EN)],Tab_Def_Processes[Dyn_TC?],,0,)</f>
        <v/>
      </c>
      <c r="H32" s="272">
        <f>_xlfn.XLOOKUP($D32,Tab_Def_Processes[Name(EN)],Tab_Def_Processes[Stock?],,0,)</f>
        <v/>
      </c>
      <c r="I32" s="272">
        <f>_xlfn.XLOOKUP($D32,Tab_Def_Processes[Name(EN)],Tab_Def_Processes[Initial_Stock?],,0,)</f>
        <v/>
      </c>
      <c r="J32" s="272">
        <f>_xlfn.XLOOKUP($D32,Tab_Def_Processes[Name(EN)],Tab_Def_Processes[DSM?],,0,)</f>
        <v/>
      </c>
      <c r="K32" s="272">
        <f>_xlfn.XLOOKUP($D32,Tab_Def_Processes[Name(EN)],Tab_Def_Processes[FOMP?],,0,)</f>
        <v/>
      </c>
      <c r="L32" s="272">
        <f>_xlfn.XLOOKUP(Tab_FOMP[[#This Row],[Name(EN)]],Tab_Def_Processes[Name(EN)],Tab_Def_Processes[Nr. Outflows],,0,)</f>
        <v/>
      </c>
      <c r="M32" s="273" t="n"/>
      <c r="N32" s="273" t="n"/>
      <c r="O32" s="272">
        <f>_xlfn.XLOOKUP($N32,CL_3.1_FOMP_Parameters[Category ID],CL_3.1_FOMP_Parameters[Pool_ID],,0,)</f>
        <v/>
      </c>
      <c r="P32" s="273" t="n"/>
      <c r="Q32" s="273" t="n"/>
    </row>
    <row r="33">
      <c r="A33" s="280" t="b">
        <v>0</v>
      </c>
      <c r="B33" s="272">
        <f>ROW()-1</f>
        <v/>
      </c>
      <c r="C33" s="272">
        <f>_xlfn.XLOOKUP($D33,Tab_Def_Processes[Name(EN)],Tab_Def_Processes[Process_ID],,0,)</f>
        <v/>
      </c>
      <c r="D33" s="273" t="inlineStr">
        <is>
          <t>N.A.</t>
        </is>
      </c>
      <c r="E33" s="272">
        <f>_xlfn.XLOOKUP($D33,Tab_Def_Processes[Name(EN)],Tab_Def_Processes[Process_Type],,0,)</f>
        <v/>
      </c>
      <c r="F33" s="272">
        <f>_xlfn.XLOOKUP($D33,Tab_Def_Processes[Name(EN)],Tab_Def_Processes[TC?],,0,)</f>
        <v/>
      </c>
      <c r="G33" s="272">
        <f>_xlfn.XLOOKUP($D33,Tab_Def_Processes[Name(EN)],Tab_Def_Processes[Dyn_TC?],,0,)</f>
        <v/>
      </c>
      <c r="H33" s="272">
        <f>_xlfn.XLOOKUP($D33,Tab_Def_Processes[Name(EN)],Tab_Def_Processes[Stock?],,0,)</f>
        <v/>
      </c>
      <c r="I33" s="272">
        <f>_xlfn.XLOOKUP($D33,Tab_Def_Processes[Name(EN)],Tab_Def_Processes[Initial_Stock?],,0,)</f>
        <v/>
      </c>
      <c r="J33" s="272">
        <f>_xlfn.XLOOKUP($D33,Tab_Def_Processes[Name(EN)],Tab_Def_Processes[DSM?],,0,)</f>
        <v/>
      </c>
      <c r="K33" s="272">
        <f>_xlfn.XLOOKUP($D33,Tab_Def_Processes[Name(EN)],Tab_Def_Processes[FOMP?],,0,)</f>
        <v/>
      </c>
      <c r="L33" s="272">
        <f>_xlfn.XLOOKUP(Tab_FOMP[[#This Row],[Name(EN)]],Tab_Def_Processes[Name(EN)],Tab_Def_Processes[Nr. Outflows],,0,)</f>
        <v/>
      </c>
      <c r="M33" s="273" t="n"/>
      <c r="N33" s="273" t="n"/>
      <c r="O33" s="272">
        <f>_xlfn.XLOOKUP($N33,CL_3.1_FOMP_Parameters[Category ID],CL_3.1_FOMP_Parameters[Pool_ID],,0,)</f>
        <v/>
      </c>
      <c r="P33" s="273" t="n"/>
      <c r="Q33" s="273" t="n"/>
    </row>
    <row r="34">
      <c r="A34" s="280" t="b">
        <v>0</v>
      </c>
      <c r="B34" s="272">
        <f>ROW()-1</f>
        <v/>
      </c>
      <c r="C34" s="272">
        <f>_xlfn.XLOOKUP($D34,Tab_Def_Processes[Name(EN)],Tab_Def_Processes[Process_ID],,0,)</f>
        <v/>
      </c>
      <c r="D34" s="273" t="inlineStr">
        <is>
          <t>N.A.</t>
        </is>
      </c>
      <c r="E34" s="272">
        <f>_xlfn.XLOOKUP($D34,Tab_Def_Processes[Name(EN)],Tab_Def_Processes[Process_Type],,0,)</f>
        <v/>
      </c>
      <c r="F34" s="272">
        <f>_xlfn.XLOOKUP($D34,Tab_Def_Processes[Name(EN)],Tab_Def_Processes[TC?],,0,)</f>
        <v/>
      </c>
      <c r="G34" s="272">
        <f>_xlfn.XLOOKUP($D34,Tab_Def_Processes[Name(EN)],Tab_Def_Processes[Dyn_TC?],,0,)</f>
        <v/>
      </c>
      <c r="H34" s="272">
        <f>_xlfn.XLOOKUP($D34,Tab_Def_Processes[Name(EN)],Tab_Def_Processes[Stock?],,0,)</f>
        <v/>
      </c>
      <c r="I34" s="272">
        <f>_xlfn.XLOOKUP($D34,Tab_Def_Processes[Name(EN)],Tab_Def_Processes[Initial_Stock?],,0,)</f>
        <v/>
      </c>
      <c r="J34" s="272">
        <f>_xlfn.XLOOKUP($D34,Tab_Def_Processes[Name(EN)],Tab_Def_Processes[DSM?],,0,)</f>
        <v/>
      </c>
      <c r="K34" s="272">
        <f>_xlfn.XLOOKUP($D34,Tab_Def_Processes[Name(EN)],Tab_Def_Processes[FOMP?],,0,)</f>
        <v/>
      </c>
      <c r="L34" s="272">
        <f>_xlfn.XLOOKUP(Tab_FOMP[[#This Row],[Name(EN)]],Tab_Def_Processes[Name(EN)],Tab_Def_Processes[Nr. Outflows],,0,)</f>
        <v/>
      </c>
      <c r="M34" s="273" t="n"/>
      <c r="N34" s="273" t="n"/>
      <c r="O34" s="272">
        <f>_xlfn.XLOOKUP($N34,CL_3.1_FOMP_Parameters[Category ID],CL_3.1_FOMP_Parameters[Pool_ID],,0,)</f>
        <v/>
      </c>
      <c r="P34" s="273" t="n"/>
      <c r="Q34" s="273" t="n"/>
    </row>
    <row r="35">
      <c r="A35" s="280" t="b">
        <v>0</v>
      </c>
      <c r="B35" s="272">
        <f>ROW()-1</f>
        <v/>
      </c>
      <c r="C35" s="272">
        <f>_xlfn.XLOOKUP($D35,Tab_Def_Processes[Name(EN)],Tab_Def_Processes[Process_ID],,0,)</f>
        <v/>
      </c>
      <c r="D35" s="273" t="inlineStr">
        <is>
          <t>N.A.</t>
        </is>
      </c>
      <c r="E35" s="272">
        <f>_xlfn.XLOOKUP($D35,Tab_Def_Processes[Name(EN)],Tab_Def_Processes[Process_Type],,0,)</f>
        <v/>
      </c>
      <c r="F35" s="272">
        <f>_xlfn.XLOOKUP($D35,Tab_Def_Processes[Name(EN)],Tab_Def_Processes[TC?],,0,)</f>
        <v/>
      </c>
      <c r="G35" s="272">
        <f>_xlfn.XLOOKUP($D35,Tab_Def_Processes[Name(EN)],Tab_Def_Processes[Dyn_TC?],,0,)</f>
        <v/>
      </c>
      <c r="H35" s="272">
        <f>_xlfn.XLOOKUP($D35,Tab_Def_Processes[Name(EN)],Tab_Def_Processes[Stock?],,0,)</f>
        <v/>
      </c>
      <c r="I35" s="272">
        <f>_xlfn.XLOOKUP($D35,Tab_Def_Processes[Name(EN)],Tab_Def_Processes[Initial_Stock?],,0,)</f>
        <v/>
      </c>
      <c r="J35" s="272">
        <f>_xlfn.XLOOKUP($D35,Tab_Def_Processes[Name(EN)],Tab_Def_Processes[DSM?],,0,)</f>
        <v/>
      </c>
      <c r="K35" s="272">
        <f>_xlfn.XLOOKUP($D35,Tab_Def_Processes[Name(EN)],Tab_Def_Processes[FOMP?],,0,)</f>
        <v/>
      </c>
      <c r="L35" s="272">
        <f>_xlfn.XLOOKUP(Tab_FOMP[[#This Row],[Name(EN)]],Tab_Def_Processes[Name(EN)],Tab_Def_Processes[Nr. Outflows],,0,)</f>
        <v/>
      </c>
      <c r="M35" s="273" t="n"/>
      <c r="N35" s="273" t="n"/>
      <c r="O35" s="272">
        <f>_xlfn.XLOOKUP($N35,CL_3.1_FOMP_Parameters[Category ID],CL_3.1_FOMP_Parameters[Pool_ID],,0,)</f>
        <v/>
      </c>
      <c r="P35" s="273" t="n"/>
      <c r="Q35" s="273" t="n"/>
    </row>
    <row r="36">
      <c r="A36" s="280" t="b">
        <v>0</v>
      </c>
      <c r="B36" s="272">
        <f>ROW()-1</f>
        <v/>
      </c>
      <c r="C36" s="272">
        <f>_xlfn.XLOOKUP($D36,Tab_Def_Processes[Name(EN)],Tab_Def_Processes[Process_ID],,0,)</f>
        <v/>
      </c>
      <c r="D36" s="273" t="inlineStr">
        <is>
          <t>N.A.</t>
        </is>
      </c>
      <c r="E36" s="272">
        <f>_xlfn.XLOOKUP($D36,Tab_Def_Processes[Name(EN)],Tab_Def_Processes[Process_Type],,0,)</f>
        <v/>
      </c>
      <c r="F36" s="272">
        <f>_xlfn.XLOOKUP($D36,Tab_Def_Processes[Name(EN)],Tab_Def_Processes[TC?],,0,)</f>
        <v/>
      </c>
      <c r="G36" s="272">
        <f>_xlfn.XLOOKUP($D36,Tab_Def_Processes[Name(EN)],Tab_Def_Processes[Dyn_TC?],,0,)</f>
        <v/>
      </c>
      <c r="H36" s="272">
        <f>_xlfn.XLOOKUP($D36,Tab_Def_Processes[Name(EN)],Tab_Def_Processes[Stock?],,0,)</f>
        <v/>
      </c>
      <c r="I36" s="272">
        <f>_xlfn.XLOOKUP($D36,Tab_Def_Processes[Name(EN)],Tab_Def_Processes[Initial_Stock?],,0,)</f>
        <v/>
      </c>
      <c r="J36" s="272">
        <f>_xlfn.XLOOKUP($D36,Tab_Def_Processes[Name(EN)],Tab_Def_Processes[DSM?],,0,)</f>
        <v/>
      </c>
      <c r="K36" s="272">
        <f>_xlfn.XLOOKUP($D36,Tab_Def_Processes[Name(EN)],Tab_Def_Processes[FOMP?],,0,)</f>
        <v/>
      </c>
      <c r="L36" s="272">
        <f>_xlfn.XLOOKUP(Tab_FOMP[[#This Row],[Name(EN)]],Tab_Def_Processes[Name(EN)],Tab_Def_Processes[Nr. Outflows],,0,)</f>
        <v/>
      </c>
      <c r="M36" s="273" t="n"/>
      <c r="N36" s="273" t="n"/>
      <c r="O36" s="272">
        <f>_xlfn.XLOOKUP($N36,CL_3.1_FOMP_Parameters[Category ID],CL_3.1_FOMP_Parameters[Pool_ID],,0,)</f>
        <v/>
      </c>
      <c r="P36" s="273" t="n"/>
      <c r="Q36" s="273" t="n"/>
    </row>
    <row r="37">
      <c r="A37" s="280" t="b">
        <v>0</v>
      </c>
      <c r="B37" s="272">
        <f>ROW()-1</f>
        <v/>
      </c>
      <c r="C37" s="272">
        <f>_xlfn.XLOOKUP($D37,Tab_Def_Processes[Name(EN)],Tab_Def_Processes[Process_ID],,0,)</f>
        <v/>
      </c>
      <c r="D37" s="273" t="inlineStr">
        <is>
          <t>N.A.</t>
        </is>
      </c>
      <c r="E37" s="272">
        <f>_xlfn.XLOOKUP($D37,Tab_Def_Processes[Name(EN)],Tab_Def_Processes[Process_Type],,0,)</f>
        <v/>
      </c>
      <c r="F37" s="272">
        <f>_xlfn.XLOOKUP($D37,Tab_Def_Processes[Name(EN)],Tab_Def_Processes[TC?],,0,)</f>
        <v/>
      </c>
      <c r="G37" s="272">
        <f>_xlfn.XLOOKUP($D37,Tab_Def_Processes[Name(EN)],Tab_Def_Processes[Dyn_TC?],,0,)</f>
        <v/>
      </c>
      <c r="H37" s="272">
        <f>_xlfn.XLOOKUP($D37,Tab_Def_Processes[Name(EN)],Tab_Def_Processes[Stock?],,0,)</f>
        <v/>
      </c>
      <c r="I37" s="272">
        <f>_xlfn.XLOOKUP($D37,Tab_Def_Processes[Name(EN)],Tab_Def_Processes[Initial_Stock?],,0,)</f>
        <v/>
      </c>
      <c r="J37" s="272">
        <f>_xlfn.XLOOKUP($D37,Tab_Def_Processes[Name(EN)],Tab_Def_Processes[DSM?],,0,)</f>
        <v/>
      </c>
      <c r="K37" s="272">
        <f>_xlfn.XLOOKUP($D37,Tab_Def_Processes[Name(EN)],Tab_Def_Processes[FOMP?],,0,)</f>
        <v/>
      </c>
      <c r="L37" s="272">
        <f>_xlfn.XLOOKUP(Tab_FOMP[[#This Row],[Name(EN)]],Tab_Def_Processes[Name(EN)],Tab_Def_Processes[Nr. Outflows],,0,)</f>
        <v/>
      </c>
      <c r="M37" s="273" t="n"/>
      <c r="N37" s="273" t="n"/>
      <c r="O37" s="272">
        <f>_xlfn.XLOOKUP($N37,CL_3.1_FOMP_Parameters[Category ID],CL_3.1_FOMP_Parameters[Pool_ID],,0,)</f>
        <v/>
      </c>
      <c r="P37" s="273" t="n"/>
      <c r="Q37" s="273" t="n"/>
    </row>
    <row r="38">
      <c r="A38" s="280" t="b">
        <v>0</v>
      </c>
      <c r="B38" s="272">
        <f>ROW()-1</f>
        <v/>
      </c>
      <c r="C38" s="272">
        <f>_xlfn.XLOOKUP($D38,Tab_Def_Processes[Name(EN)],Tab_Def_Processes[Process_ID],,0,)</f>
        <v/>
      </c>
      <c r="D38" s="273" t="inlineStr">
        <is>
          <t>N.A.</t>
        </is>
      </c>
      <c r="E38" s="272">
        <f>_xlfn.XLOOKUP($D38,Tab_Def_Processes[Name(EN)],Tab_Def_Processes[Process_Type],,0,)</f>
        <v/>
      </c>
      <c r="F38" s="272">
        <f>_xlfn.XLOOKUP($D38,Tab_Def_Processes[Name(EN)],Tab_Def_Processes[TC?],,0,)</f>
        <v/>
      </c>
      <c r="G38" s="272">
        <f>_xlfn.XLOOKUP($D38,Tab_Def_Processes[Name(EN)],Tab_Def_Processes[Dyn_TC?],,0,)</f>
        <v/>
      </c>
      <c r="H38" s="272">
        <f>_xlfn.XLOOKUP($D38,Tab_Def_Processes[Name(EN)],Tab_Def_Processes[Stock?],,0,)</f>
        <v/>
      </c>
      <c r="I38" s="272">
        <f>_xlfn.XLOOKUP($D38,Tab_Def_Processes[Name(EN)],Tab_Def_Processes[Initial_Stock?],,0,)</f>
        <v/>
      </c>
      <c r="J38" s="272">
        <f>_xlfn.XLOOKUP($D38,Tab_Def_Processes[Name(EN)],Tab_Def_Processes[DSM?],,0,)</f>
        <v/>
      </c>
      <c r="K38" s="272">
        <f>_xlfn.XLOOKUP($D38,Tab_Def_Processes[Name(EN)],Tab_Def_Processes[FOMP?],,0,)</f>
        <v/>
      </c>
      <c r="L38" s="272">
        <f>_xlfn.XLOOKUP(Tab_FOMP[[#This Row],[Name(EN)]],Tab_Def_Processes[Name(EN)],Tab_Def_Processes[Nr. Outflows],,0,)</f>
        <v/>
      </c>
      <c r="M38" s="273" t="n"/>
      <c r="N38" s="273" t="n"/>
      <c r="O38" s="272">
        <f>_xlfn.XLOOKUP($N38,CL_3.1_FOMP_Parameters[Category ID],CL_3.1_FOMP_Parameters[Pool_ID],,0,)</f>
        <v/>
      </c>
      <c r="P38" s="273" t="n"/>
      <c r="Q38" s="273" t="n"/>
    </row>
    <row r="39">
      <c r="A39" s="280" t="b">
        <v>0</v>
      </c>
      <c r="B39" s="272">
        <f>ROW()-1</f>
        <v/>
      </c>
      <c r="C39" s="272">
        <f>_xlfn.XLOOKUP($D39,Tab_Def_Processes[Name(EN)],Tab_Def_Processes[Process_ID],,0,)</f>
        <v/>
      </c>
      <c r="D39" s="273" t="inlineStr">
        <is>
          <t>N.A.</t>
        </is>
      </c>
      <c r="E39" s="272">
        <f>_xlfn.XLOOKUP($D39,Tab_Def_Processes[Name(EN)],Tab_Def_Processes[Process_Type],,0,)</f>
        <v/>
      </c>
      <c r="F39" s="272">
        <f>_xlfn.XLOOKUP($D39,Tab_Def_Processes[Name(EN)],Tab_Def_Processes[TC?],,0,)</f>
        <v/>
      </c>
      <c r="G39" s="272">
        <f>_xlfn.XLOOKUP($D39,Tab_Def_Processes[Name(EN)],Tab_Def_Processes[Dyn_TC?],,0,)</f>
        <v/>
      </c>
      <c r="H39" s="272">
        <f>_xlfn.XLOOKUP($D39,Tab_Def_Processes[Name(EN)],Tab_Def_Processes[Stock?],,0,)</f>
        <v/>
      </c>
      <c r="I39" s="272">
        <f>_xlfn.XLOOKUP($D39,Tab_Def_Processes[Name(EN)],Tab_Def_Processes[Initial_Stock?],,0,)</f>
        <v/>
      </c>
      <c r="J39" s="272">
        <f>_xlfn.XLOOKUP($D39,Tab_Def_Processes[Name(EN)],Tab_Def_Processes[DSM?],,0,)</f>
        <v/>
      </c>
      <c r="K39" s="272">
        <f>_xlfn.XLOOKUP($D39,Tab_Def_Processes[Name(EN)],Tab_Def_Processes[FOMP?],,0,)</f>
        <v/>
      </c>
      <c r="L39" s="272">
        <f>_xlfn.XLOOKUP(Tab_FOMP[[#This Row],[Name(EN)]],Tab_Def_Processes[Name(EN)],Tab_Def_Processes[Nr. Outflows],,0,)</f>
        <v/>
      </c>
      <c r="M39" s="273" t="n"/>
      <c r="N39" s="273" t="n"/>
      <c r="O39" s="272">
        <f>_xlfn.XLOOKUP($N39,CL_3.1_FOMP_Parameters[Category ID],CL_3.1_FOMP_Parameters[Pool_ID],,0,)</f>
        <v/>
      </c>
      <c r="P39" s="273" t="n"/>
      <c r="Q39" s="273" t="n"/>
    </row>
    <row r="40">
      <c r="A40" s="280" t="b">
        <v>0</v>
      </c>
      <c r="B40" s="272">
        <f>ROW()-1</f>
        <v/>
      </c>
      <c r="C40" s="272">
        <f>_xlfn.XLOOKUP($D40,Tab_Def_Processes[Name(EN)],Tab_Def_Processes[Process_ID],,0,)</f>
        <v/>
      </c>
      <c r="D40" s="273" t="inlineStr">
        <is>
          <t>N.A.</t>
        </is>
      </c>
      <c r="E40" s="272">
        <f>_xlfn.XLOOKUP($D40,Tab_Def_Processes[Name(EN)],Tab_Def_Processes[Process_Type],,0,)</f>
        <v/>
      </c>
      <c r="F40" s="272">
        <f>_xlfn.XLOOKUP($D40,Tab_Def_Processes[Name(EN)],Tab_Def_Processes[TC?],,0,)</f>
        <v/>
      </c>
      <c r="G40" s="272">
        <f>_xlfn.XLOOKUP($D40,Tab_Def_Processes[Name(EN)],Tab_Def_Processes[Dyn_TC?],,0,)</f>
        <v/>
      </c>
      <c r="H40" s="272">
        <f>_xlfn.XLOOKUP($D40,Tab_Def_Processes[Name(EN)],Tab_Def_Processes[Stock?],,0,)</f>
        <v/>
      </c>
      <c r="I40" s="272">
        <f>_xlfn.XLOOKUP($D40,Tab_Def_Processes[Name(EN)],Tab_Def_Processes[Initial_Stock?],,0,)</f>
        <v/>
      </c>
      <c r="J40" s="272">
        <f>_xlfn.XLOOKUP($D40,Tab_Def_Processes[Name(EN)],Tab_Def_Processes[DSM?],,0,)</f>
        <v/>
      </c>
      <c r="K40" s="272">
        <f>_xlfn.XLOOKUP($D40,Tab_Def_Processes[Name(EN)],Tab_Def_Processes[FOMP?],,0,)</f>
        <v/>
      </c>
      <c r="L40" s="272">
        <f>_xlfn.XLOOKUP(Tab_FOMP[[#This Row],[Name(EN)]],Tab_Def_Processes[Name(EN)],Tab_Def_Processes[Nr. Outflows],,0,)</f>
        <v/>
      </c>
      <c r="M40" s="273" t="n"/>
      <c r="N40" s="273" t="n"/>
      <c r="O40" s="272">
        <f>_xlfn.XLOOKUP($N40,CL_3.1_FOMP_Parameters[Category ID],CL_3.1_FOMP_Parameters[Pool_ID],,0,)</f>
        <v/>
      </c>
      <c r="P40" s="273" t="n"/>
      <c r="Q40" s="273" t="n"/>
    </row>
    <row r="41">
      <c r="A41" s="280" t="b">
        <v>0</v>
      </c>
      <c r="B41" s="185">
        <f>ROW()-1</f>
        <v/>
      </c>
      <c r="C41" s="185">
        <f>_xlfn.XLOOKUP($D41,Tab_Def_Processes[Name(EN)],Tab_Def_Processes[Process_ID],,0,)</f>
        <v/>
      </c>
      <c r="D41" s="186" t="inlineStr">
        <is>
          <t>N.A.</t>
        </is>
      </c>
      <c r="E41" s="185">
        <f>_xlfn.XLOOKUP($D41,Tab_Def_Processes[Name(EN)],Tab_Def_Processes[Process_Type],,0,)</f>
        <v/>
      </c>
      <c r="F41" s="185">
        <f>_xlfn.XLOOKUP($D41,Tab_Def_Processes[Name(EN)],Tab_Def_Processes[TC?],,0,)</f>
        <v/>
      </c>
      <c r="G41" s="185">
        <f>_xlfn.XLOOKUP($D41,Tab_Def_Processes[Name(EN)],Tab_Def_Processes[Dyn_TC?],,0,)</f>
        <v/>
      </c>
      <c r="H41" s="185">
        <f>_xlfn.XLOOKUP($D41,Tab_Def_Processes[Name(EN)],Tab_Def_Processes[Stock?],,0,)</f>
        <v/>
      </c>
      <c r="I41" s="185">
        <f>_xlfn.XLOOKUP($D41,Tab_Def_Processes[Name(EN)],Tab_Def_Processes[Initial_Stock?],,0,)</f>
        <v/>
      </c>
      <c r="J41" s="272">
        <f>_xlfn.XLOOKUP($D41,Tab_Def_Processes[Name(EN)],Tab_Def_Processes[DSM?],,0,)</f>
        <v/>
      </c>
      <c r="K41" s="272">
        <f>_xlfn.XLOOKUP($D41,Tab_Def_Processes[Name(EN)],Tab_Def_Processes[FOMP?],,0,)</f>
        <v/>
      </c>
      <c r="L41" s="272">
        <f>_xlfn.XLOOKUP(Tab_FOMP[[#This Row],[Name(EN)]],Tab_Def_Processes[Name(EN)],Tab_Def_Processes[Nr. Outflows],,0,)</f>
        <v/>
      </c>
      <c r="M41" s="273" t="n"/>
      <c r="N41" s="273" t="n"/>
      <c r="O41" s="272">
        <f>_xlfn.XLOOKUP($N41,CL_3.1_FOMP_Parameters[Category ID],CL_3.1_FOMP_Parameters[Pool_ID],,0,)</f>
        <v/>
      </c>
      <c r="P41" s="273" t="n"/>
      <c r="Q41" s="273" t="n"/>
    </row>
  </sheetData>
  <dataValidations count="1">
    <dataValidation sqref="L1" showDropDown="0" showInputMessage="1" showErrorMessage="1" allowBlank="1" type="whole">
      <formula1>0</formula1>
      <formula2>1000</formula2>
    </dataValidation>
  </dataValidations>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J13"/>
  <sheetViews>
    <sheetView workbookViewId="0">
      <selection activeCell="D32" sqref="D32"/>
    </sheetView>
  </sheetViews>
  <sheetFormatPr baseColWidth="8" defaultRowHeight="15"/>
  <cols>
    <col width="6.28515625" customWidth="1" min="1" max="1"/>
    <col width="25" customWidth="1" min="2" max="3"/>
    <col width="25.28515625" customWidth="1" min="4" max="4"/>
    <col width="17.28515625" customWidth="1" min="5" max="5"/>
    <col width="9.140625" customWidth="1" min="10" max="10"/>
  </cols>
  <sheetData>
    <row r="1">
      <c r="A1" s="295" t="inlineStr">
        <is>
          <t>ID</t>
        </is>
      </c>
      <c r="B1" s="295" t="inlineStr">
        <is>
          <t>Parameter</t>
        </is>
      </c>
      <c r="C1" s="295" t="inlineStr">
        <is>
          <t>Parameter_Selection</t>
        </is>
      </c>
      <c r="D1" s="295" t="inlineStr">
        <is>
          <t>Parameter_Name</t>
        </is>
      </c>
      <c r="E1" s="295" t="inlineStr">
        <is>
          <t>Distribution</t>
        </is>
      </c>
      <c r="F1" s="295" t="inlineStr">
        <is>
          <t>Mean</t>
        </is>
      </c>
      <c r="G1" s="295" t="inlineStr">
        <is>
          <t>StdDev</t>
        </is>
      </c>
      <c r="H1" s="295" t="inlineStr">
        <is>
          <t>Min</t>
        </is>
      </c>
      <c r="I1" s="295" t="inlineStr">
        <is>
          <t>Max</t>
        </is>
      </c>
      <c r="J1" s="295" t="inlineStr">
        <is>
          <t>Mode</t>
        </is>
      </c>
    </row>
    <row r="2">
      <c r="A2" s="272">
        <f>ROW()-1</f>
        <v/>
      </c>
      <c r="B2" s="189" t="inlineStr">
        <is>
          <t>List_Transfer_Coefficients</t>
        </is>
      </c>
      <c r="C2" s="189" t="inlineStr">
        <is>
          <t>Standard TCs</t>
        </is>
      </c>
      <c r="D2" s="189" t="inlineStr">
        <is>
          <t>TC_03_04</t>
        </is>
      </c>
      <c r="E2" s="189" t="inlineStr">
        <is>
          <t>uniform</t>
        </is>
      </c>
      <c r="F2" s="273" t="n"/>
      <c r="G2" s="273" t="n"/>
      <c r="H2" s="273" t="n">
        <v>0.3</v>
      </c>
      <c r="I2" s="273" t="n">
        <v>0.6</v>
      </c>
      <c r="J2" s="273" t="n"/>
    </row>
    <row r="3">
      <c r="A3" s="272">
        <f>ROW()-1</f>
        <v/>
      </c>
      <c r="B3" s="189" t="inlineStr">
        <is>
          <t>List_Transfer_Coefficients</t>
        </is>
      </c>
      <c r="C3" s="189" t="inlineStr">
        <is>
          <t>Standard TCs</t>
        </is>
      </c>
      <c r="D3" s="189" t="inlineStr">
        <is>
          <t>TC_03_05</t>
        </is>
      </c>
      <c r="E3" s="189" t="inlineStr">
        <is>
          <t>Normal</t>
        </is>
      </c>
      <c r="F3" s="273" t="n">
        <v>0.4</v>
      </c>
      <c r="G3" s="273" t="n">
        <v>0.1</v>
      </c>
      <c r="H3" s="273" t="n"/>
      <c r="I3" s="273" t="n"/>
      <c r="J3" s="273" t="n"/>
    </row>
    <row r="4">
      <c r="A4" s="272">
        <f>ROW()-1</f>
        <v/>
      </c>
      <c r="B4" s="189" t="n"/>
      <c r="C4" s="189" t="n"/>
      <c r="D4" s="189" t="n"/>
      <c r="E4" s="189" t="n"/>
      <c r="F4" s="273" t="n"/>
      <c r="G4" s="273" t="n"/>
      <c r="H4" s="273" t="n"/>
      <c r="I4" s="273" t="n"/>
      <c r="J4" s="273" t="n"/>
    </row>
    <row r="5">
      <c r="A5" s="272">
        <f>ROW()-1</f>
        <v/>
      </c>
      <c r="B5" s="189" t="n"/>
      <c r="C5" s="189" t="n"/>
      <c r="D5" s="189" t="n"/>
      <c r="E5" s="189" t="n"/>
      <c r="F5" s="273" t="n"/>
      <c r="G5" s="273" t="n"/>
      <c r="H5" s="273" t="n"/>
      <c r="I5" s="273" t="n"/>
      <c r="J5" s="273" t="n"/>
    </row>
    <row r="6">
      <c r="A6" s="272">
        <f>ROW()-1</f>
        <v/>
      </c>
      <c r="B6" s="189" t="n"/>
      <c r="C6" s="189" t="n"/>
      <c r="D6" s="189" t="n"/>
      <c r="E6" s="189" t="n"/>
      <c r="F6" s="273" t="n"/>
      <c r="G6" s="273" t="n"/>
      <c r="H6" s="273" t="n"/>
      <c r="I6" s="273" t="n"/>
      <c r="J6" s="273" t="n"/>
    </row>
    <row r="7">
      <c r="A7" s="272">
        <f>ROW()-1</f>
        <v/>
      </c>
      <c r="B7" s="189" t="n"/>
      <c r="C7" s="189" t="n"/>
      <c r="D7" s="189" t="n"/>
      <c r="E7" s="189" t="n"/>
      <c r="F7" s="273" t="n"/>
      <c r="G7" s="273" t="n"/>
      <c r="H7" s="273" t="n"/>
      <c r="I7" s="273" t="n"/>
      <c r="J7" s="273" t="n"/>
    </row>
    <row r="8">
      <c r="A8" s="272">
        <f>ROW()-1</f>
        <v/>
      </c>
      <c r="B8" s="189" t="n"/>
      <c r="C8" s="189" t="n"/>
      <c r="D8" s="189" t="n"/>
      <c r="E8" s="189" t="n"/>
      <c r="F8" s="273" t="n"/>
      <c r="G8" s="273" t="n"/>
      <c r="H8" s="273" t="n"/>
      <c r="I8" s="273" t="n"/>
      <c r="J8" s="273" t="n"/>
    </row>
    <row r="9">
      <c r="A9" s="272">
        <f>ROW()-1</f>
        <v/>
      </c>
      <c r="B9" s="189" t="n"/>
      <c r="C9" s="189" t="n"/>
      <c r="D9" s="189" t="n"/>
      <c r="E9" s="189" t="n"/>
      <c r="F9" s="273" t="n"/>
      <c r="G9" s="273" t="n"/>
      <c r="H9" s="273" t="n"/>
      <c r="I9" s="273" t="n"/>
      <c r="J9" s="273" t="n"/>
    </row>
    <row r="10">
      <c r="A10" s="272">
        <f>ROW()-1</f>
        <v/>
      </c>
      <c r="B10" s="189" t="n"/>
      <c r="C10" s="189" t="n"/>
      <c r="D10" s="189" t="n"/>
      <c r="E10" s="189" t="n"/>
      <c r="F10" s="273" t="n"/>
      <c r="G10" s="273" t="n"/>
      <c r="H10" s="273" t="n"/>
      <c r="I10" s="273" t="n"/>
      <c r="J10" s="273" t="n"/>
    </row>
    <row r="11">
      <c r="A11" s="272">
        <f>ROW()-1</f>
        <v/>
      </c>
      <c r="B11" s="189" t="n"/>
      <c r="C11" s="189" t="n"/>
      <c r="D11" s="189" t="n"/>
      <c r="E11" s="189" t="n"/>
      <c r="F11" s="273" t="n"/>
      <c r="G11" s="273" t="n"/>
      <c r="H11" s="273" t="n"/>
      <c r="I11" s="273" t="n"/>
      <c r="J11" s="273" t="n"/>
    </row>
    <row r="12">
      <c r="A12" s="272">
        <f>ROW()-1</f>
        <v/>
      </c>
      <c r="B12" s="189" t="n"/>
      <c r="C12" s="189" t="n"/>
      <c r="D12" s="189" t="n"/>
      <c r="E12" s="189" t="n"/>
      <c r="F12" s="273" t="n"/>
      <c r="G12" s="273" t="n"/>
      <c r="H12" s="273" t="n"/>
      <c r="I12" s="273" t="n"/>
      <c r="J12" s="273" t="n"/>
    </row>
    <row r="13">
      <c r="A13" s="272">
        <f>ROW()-1</f>
        <v/>
      </c>
      <c r="B13" s="189" t="n"/>
      <c r="C13" s="189" t="n"/>
      <c r="D13" s="189" t="n"/>
      <c r="E13" s="189" t="n"/>
      <c r="F13" s="273" t="n"/>
      <c r="G13" s="273" t="n"/>
      <c r="H13" s="273" t="n"/>
      <c r="I13" s="273" t="n"/>
      <c r="J13" s="273" t="n"/>
    </row>
  </sheetData>
  <dataValidations count="2">
    <dataValidation sqref="B2:B13" showDropDown="0" showInputMessage="1" showErrorMessage="1" allowBlank="1" type="list">
      <formula1>List_Uncertainty_Parameters</formula1>
    </dataValidation>
    <dataValidation sqref="C2:C13" showDropDown="0" showInputMessage="1" showErrorMessage="1" allowBlank="1" type="list">
      <formula1>INDIRECT(B2)</formula1>
    </dataValidation>
  </dataValidations>
  <pageMargins left="0.7" right="0.7" top="0.75" bottom="0.75" header="0.3" footer="0.3"/>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H10"/>
  <sheetViews>
    <sheetView zoomScaleNormal="100" workbookViewId="0">
      <selection activeCell="H23" sqref="H23"/>
    </sheetView>
  </sheetViews>
  <sheetFormatPr baseColWidth="8" defaultRowHeight="15"/>
  <cols>
    <col width="6.28515625" customWidth="1" min="1" max="1"/>
    <col width="20.5703125" customWidth="1" min="2" max="2"/>
    <col width="25" customWidth="1" min="3" max="4"/>
    <col width="25.28515625" customWidth="1" min="5" max="6"/>
    <col width="15.5703125" customWidth="1" min="7" max="7"/>
    <col width="23.28515625" customWidth="1" min="8" max="8"/>
  </cols>
  <sheetData>
    <row r="1">
      <c r="A1" s="295" t="inlineStr">
        <is>
          <t>ID</t>
        </is>
      </c>
      <c r="B1" s="295" t="inlineStr">
        <is>
          <t>Scenario_Name</t>
        </is>
      </c>
      <c r="C1" s="295" t="inlineStr">
        <is>
          <t>Parameter</t>
        </is>
      </c>
      <c r="D1" s="295" t="inlineStr">
        <is>
          <t>Parameter_Selection</t>
        </is>
      </c>
      <c r="E1" s="295" t="inlineStr">
        <is>
          <t>Parameter_Name</t>
        </is>
      </c>
      <c r="F1" s="295" t="inlineStr">
        <is>
          <t>Operation</t>
        </is>
      </c>
      <c r="G1" s="295" t="inlineStr">
        <is>
          <t>New_Value</t>
        </is>
      </c>
      <c r="H1" s="295" t="inlineStr">
        <is>
          <t>Comment</t>
        </is>
      </c>
    </row>
    <row r="2">
      <c r="A2" s="272">
        <f>ROW()-1</f>
        <v/>
      </c>
      <c r="B2" s="189" t="inlineStr">
        <is>
          <t>High_Recycling</t>
        </is>
      </c>
      <c r="C2" s="189" t="inlineStr">
        <is>
          <t>Transfer Coefficients (TCs)</t>
        </is>
      </c>
      <c r="D2" s="189" t="inlineStr">
        <is>
          <t>Standard TCs</t>
        </is>
      </c>
      <c r="E2" s="189" t="inlineStr">
        <is>
          <t>TC_03_04</t>
        </is>
      </c>
      <c r="F2" s="189" t="inlineStr">
        <is>
          <t>replace</t>
        </is>
      </c>
      <c r="G2" s="273" t="n">
        <v>0.999</v>
      </c>
      <c r="H2" s="280" t="n"/>
    </row>
    <row r="3">
      <c r="A3" s="272">
        <f>ROW()-1</f>
        <v/>
      </c>
      <c r="B3" s="189" t="inlineStr">
        <is>
          <t>High_Recycling</t>
        </is>
      </c>
      <c r="C3" s="189" t="inlineStr">
        <is>
          <t>Transfer Coefficients (TCs)</t>
        </is>
      </c>
      <c r="D3" s="189" t="inlineStr">
        <is>
          <t>Standard TCs</t>
        </is>
      </c>
      <c r="E3" s="189" t="inlineStr">
        <is>
          <t>TC_03_05</t>
        </is>
      </c>
      <c r="F3" s="189" t="inlineStr">
        <is>
          <t>replace</t>
        </is>
      </c>
      <c r="G3" s="273" t="n">
        <v>0.001</v>
      </c>
      <c r="H3" s="280" t="n"/>
    </row>
    <row r="4">
      <c r="A4" s="272">
        <f>ROW()-1</f>
        <v/>
      </c>
      <c r="B4" s="189" t="inlineStr">
        <is>
          <t>High_Recycling</t>
        </is>
      </c>
      <c r="C4" s="189" t="inlineStr">
        <is>
          <t>List_Flow_Parameters</t>
        </is>
      </c>
      <c r="D4" s="189" t="n"/>
      <c r="E4" s="189" t="inlineStr">
        <is>
          <t>F_00_02</t>
        </is>
      </c>
      <c r="F4" s="189" t="inlineStr">
        <is>
          <t>multiply</t>
        </is>
      </c>
      <c r="G4" s="273" t="n">
        <v>1.2</v>
      </c>
      <c r="H4" s="280" t="n"/>
    </row>
    <row r="5">
      <c r="A5" s="272">
        <f>ROW()-1</f>
        <v/>
      </c>
      <c r="B5" s="189" t="inlineStr">
        <is>
          <t>High_Recycling</t>
        </is>
      </c>
      <c r="C5" s="189" t="inlineStr">
        <is>
          <t>List_Flow_Parameters</t>
        </is>
      </c>
      <c r="D5" s="189" t="n"/>
      <c r="E5" s="189" t="inlineStr">
        <is>
          <t>F_01_02</t>
        </is>
      </c>
      <c r="F5" s="189" t="inlineStr">
        <is>
          <t>multiply</t>
        </is>
      </c>
      <c r="G5" s="273" t="n">
        <v>1.2</v>
      </c>
      <c r="H5" s="280" t="n"/>
    </row>
    <row r="6">
      <c r="A6" s="272">
        <f>ROW()-1</f>
        <v/>
      </c>
      <c r="B6" s="189" t="inlineStr">
        <is>
          <t>No_incineration</t>
        </is>
      </c>
      <c r="C6" s="189" t="inlineStr">
        <is>
          <t>Transfer Coefficients (TCs)</t>
        </is>
      </c>
      <c r="D6" s="189" t="inlineStr">
        <is>
          <t>Standard TCs</t>
        </is>
      </c>
      <c r="E6" s="189" t="inlineStr">
        <is>
          <t>TC_03_04</t>
        </is>
      </c>
      <c r="F6" s="189" t="inlineStr">
        <is>
          <t>replace</t>
        </is>
      </c>
      <c r="G6" s="273" t="n">
        <v>0.001</v>
      </c>
      <c r="H6" s="280" t="n"/>
    </row>
    <row r="7">
      <c r="A7" s="272">
        <f>ROW()-1</f>
        <v/>
      </c>
      <c r="B7" s="189" t="inlineStr">
        <is>
          <t>No_incineration</t>
        </is>
      </c>
      <c r="C7" s="189" t="inlineStr">
        <is>
          <t>Transfer Coefficients (TCs)</t>
        </is>
      </c>
      <c r="D7" s="189" t="inlineStr">
        <is>
          <t>Standard TCs</t>
        </is>
      </c>
      <c r="E7" s="189" t="inlineStr">
        <is>
          <t>TC_03_05</t>
        </is>
      </c>
      <c r="F7" s="189" t="inlineStr">
        <is>
          <t>replace</t>
        </is>
      </c>
      <c r="G7" s="273" t="n">
        <v>0.999</v>
      </c>
      <c r="H7" s="280" t="n"/>
    </row>
    <row r="8">
      <c r="A8" s="272">
        <f>ROW()-1</f>
        <v/>
      </c>
      <c r="B8" s="189" t="inlineStr">
        <is>
          <t>No_incineration</t>
        </is>
      </c>
      <c r="C8" s="189" t="inlineStr">
        <is>
          <t>List_Flow_Parameters</t>
        </is>
      </c>
      <c r="D8" s="189" t="n"/>
      <c r="E8" s="189" t="inlineStr">
        <is>
          <t>F_00_02</t>
        </is>
      </c>
      <c r="F8" s="189" t="inlineStr">
        <is>
          <t>multiply</t>
        </is>
      </c>
      <c r="G8" s="273" t="n">
        <v>1.9</v>
      </c>
      <c r="H8" s="280" t="n"/>
    </row>
    <row r="9">
      <c r="A9" s="272">
        <f>ROW()-1</f>
        <v/>
      </c>
      <c r="B9" s="189" t="inlineStr">
        <is>
          <t>No_incineration</t>
        </is>
      </c>
      <c r="C9" s="189" t="inlineStr">
        <is>
          <t>List_Flow_Parameters</t>
        </is>
      </c>
      <c r="D9" s="189" t="n"/>
      <c r="E9" s="189" t="inlineStr">
        <is>
          <t>F_01_02</t>
        </is>
      </c>
      <c r="F9" s="189" t="inlineStr">
        <is>
          <t>multiply</t>
        </is>
      </c>
      <c r="G9" s="273" t="n">
        <v>1.9</v>
      </c>
      <c r="H9" s="280" t="n"/>
    </row>
    <row r="10">
      <c r="A10" s="272">
        <f>ROW()-1</f>
        <v/>
      </c>
      <c r="B10" s="189" t="n"/>
      <c r="C10" s="189" t="n"/>
      <c r="D10" s="189" t="n"/>
      <c r="E10" s="189" t="n"/>
      <c r="F10" s="189" t="n"/>
      <c r="G10" s="273" t="n"/>
      <c r="H10" s="280" t="n"/>
    </row>
  </sheetData>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L59"/>
  <sheetViews>
    <sheetView workbookViewId="0">
      <selection activeCell="H2" sqref="H2"/>
    </sheetView>
  </sheetViews>
  <sheetFormatPr baseColWidth="8" defaultRowHeight="15"/>
  <cols>
    <col width="12.85546875" customWidth="1" min="1" max="1"/>
    <col width="12.7109375" customWidth="1" min="3" max="3"/>
    <col width="34.7109375" customWidth="1" min="4" max="6"/>
    <col width="13.7109375" customWidth="1" min="7" max="7"/>
    <col width="12.5703125" customWidth="1" min="8" max="9"/>
    <col width="12.42578125" customWidth="1" min="10" max="10"/>
    <col width="14.28515625" customWidth="1" min="11" max="11"/>
    <col width="13.28515625" customWidth="1" min="12" max="12"/>
  </cols>
  <sheetData>
    <row r="1">
      <c r="A1" s="285" t="inlineStr">
        <is>
          <t>Complete?</t>
        </is>
      </c>
      <c r="B1" s="285" t="inlineStr">
        <is>
          <t>ID</t>
        </is>
      </c>
      <c r="C1" s="285" t="inlineStr">
        <is>
          <t>Process_ID</t>
        </is>
      </c>
      <c r="D1" s="285" t="inlineStr">
        <is>
          <t>Name(EN)</t>
        </is>
      </c>
      <c r="E1" s="291" t="inlineStr">
        <is>
          <t>Color_Category</t>
        </is>
      </c>
      <c r="F1" s="291" t="inlineStr">
        <is>
          <t>Node_Color</t>
        </is>
      </c>
      <c r="G1" s="291" t="inlineStr">
        <is>
          <t>Node_Color_#</t>
        </is>
      </c>
      <c r="H1" s="291" t="inlineStr">
        <is>
          <t>Node_Size</t>
        </is>
      </c>
      <c r="I1" s="291" t="inlineStr">
        <is>
          <t>X_Position</t>
        </is>
      </c>
      <c r="J1" t="inlineStr">
        <is>
          <t>Y_Position</t>
        </is>
      </c>
      <c r="K1" t="inlineStr">
        <is>
          <t>Layout_Type</t>
        </is>
      </c>
      <c r="L1" t="inlineStr">
        <is>
          <t>Description</t>
        </is>
      </c>
    </row>
    <row r="2">
      <c r="A2" s="292" t="b">
        <v>0</v>
      </c>
      <c r="B2" s="272">
        <f>ROW()-1</f>
        <v/>
      </c>
      <c r="C2" s="286">
        <f>_xlfn.XLOOKUP($D2,Tab_Def_Processes[Name(EN)],Tab_Def_Processes[ID],,0,)</f>
        <v/>
      </c>
      <c r="D2" s="287">
        <f>Tab_Def_Processes[[#This Row],[Name(EN)]]</f>
        <v/>
      </c>
      <c r="E2" s="294" t="inlineStr">
        <is>
          <t>Biomass &amp; Natural</t>
        </is>
      </c>
      <c r="F2" s="294" t="inlineStr">
        <is>
          <t>Olive Green</t>
        </is>
      </c>
      <c r="G2" s="272">
        <f>_xlfn.XLOOKUP($F2,Table32[Color_Name],Table32[Hex_Code],,0,)</f>
        <v/>
      </c>
      <c r="H2" t="inlineStr">
        <is>
          <t>Large</t>
        </is>
      </c>
      <c r="K2" t="inlineStr">
        <is>
          <t>Auto</t>
        </is>
      </c>
    </row>
    <row r="3">
      <c r="A3" s="292" t="b">
        <v>0</v>
      </c>
      <c r="B3" s="272">
        <f>ROW()-1</f>
        <v/>
      </c>
      <c r="C3" s="286">
        <f>_xlfn.XLOOKUP($D3,Tab_Def_Processes[Name(EN)],Tab_Def_Processes[ID],,0,)</f>
        <v/>
      </c>
      <c r="D3" s="287">
        <f>Tab_Def_Processes[[#This Row],[Name(EN)]]</f>
        <v/>
      </c>
      <c r="E3" s="294" t="inlineStr">
        <is>
          <t>Biomass &amp; Natural</t>
        </is>
      </c>
      <c r="F3" s="294" t="inlineStr">
        <is>
          <t>Olive Green</t>
        </is>
      </c>
      <c r="G3" s="272">
        <f>_xlfn.XLOOKUP($F3,Table32[Color_Name],Table32[Hex_Code],,0,)</f>
        <v/>
      </c>
      <c r="H3" t="inlineStr">
        <is>
          <t>Small</t>
        </is>
      </c>
      <c r="K3" t="inlineStr">
        <is>
          <t>Auto</t>
        </is>
      </c>
    </row>
    <row r="4">
      <c r="A4" s="292" t="b">
        <v>0</v>
      </c>
      <c r="B4" s="272">
        <f>ROW()-1</f>
        <v/>
      </c>
      <c r="C4" s="286">
        <f>_xlfn.XLOOKUP($D4,Tab_Def_Processes[Name(EN)],Tab_Def_Processes[ID],,0,)</f>
        <v/>
      </c>
      <c r="D4" s="287">
        <f>Tab_Def_Processes[[#This Row],[Name(EN)]]</f>
        <v/>
      </c>
      <c r="E4" s="294" t="inlineStr">
        <is>
          <t>Biomass &amp; Natural</t>
        </is>
      </c>
      <c r="F4" s="294" t="inlineStr">
        <is>
          <t>Olive Green</t>
        </is>
      </c>
      <c r="G4" s="272">
        <f>_xlfn.XLOOKUP($F4,Table32[Color_Name],Table32[Hex_Code],,0,)</f>
        <v/>
      </c>
      <c r="H4" t="inlineStr">
        <is>
          <t>Medium</t>
        </is>
      </c>
      <c r="K4" t="inlineStr">
        <is>
          <t>Auto</t>
        </is>
      </c>
    </row>
    <row r="5">
      <c r="A5" s="292" t="b">
        <v>0</v>
      </c>
      <c r="B5" s="272">
        <f>ROW()-1</f>
        <v/>
      </c>
      <c r="C5" s="286">
        <f>_xlfn.XLOOKUP($D5,Tab_Def_Processes[Name(EN)],Tab_Def_Processes[ID],,0,)</f>
        <v/>
      </c>
      <c r="D5" s="287">
        <f>Tab_Def_Processes[[#This Row],[Name(EN)]]</f>
        <v/>
      </c>
      <c r="E5" s="294" t="inlineStr">
        <is>
          <t>Biomass &amp; Natural</t>
        </is>
      </c>
      <c r="F5" s="294" t="inlineStr">
        <is>
          <t>Olive Green</t>
        </is>
      </c>
      <c r="G5" s="272">
        <f>_xlfn.XLOOKUP($F5,Table32[Color_Name],Table32[Hex_Code],,0,)</f>
        <v/>
      </c>
      <c r="H5" t="inlineStr">
        <is>
          <t>Large</t>
        </is>
      </c>
      <c r="K5" t="inlineStr">
        <is>
          <t>Auto</t>
        </is>
      </c>
    </row>
    <row r="6">
      <c r="A6" s="292" t="b">
        <v>0</v>
      </c>
      <c r="B6" s="272">
        <f>ROW()-1</f>
        <v/>
      </c>
      <c r="C6" s="286">
        <f>_xlfn.XLOOKUP($D6,Tab_Def_Processes[Name(EN)],Tab_Def_Processes[ID],,0,)</f>
        <v/>
      </c>
      <c r="D6" s="287">
        <f>Tab_Def_Processes[[#This Row],[Name(EN)]]</f>
        <v/>
      </c>
      <c r="E6" s="294" t="inlineStr">
        <is>
          <t>Biomass &amp; Natural</t>
        </is>
      </c>
      <c r="F6" s="294" t="inlineStr">
        <is>
          <t>Olive Green</t>
        </is>
      </c>
      <c r="G6" s="272">
        <f>_xlfn.XLOOKUP($F6,Table32[Color_Name],Table32[Hex_Code],,0,)</f>
        <v/>
      </c>
      <c r="H6" t="inlineStr">
        <is>
          <t>Large</t>
        </is>
      </c>
      <c r="K6" t="inlineStr">
        <is>
          <t>Auto</t>
        </is>
      </c>
    </row>
    <row r="7">
      <c r="A7" s="292" t="b">
        <v>0</v>
      </c>
      <c r="B7" s="272">
        <f>ROW()-1</f>
        <v/>
      </c>
      <c r="C7" s="286">
        <f>_xlfn.XLOOKUP($D7,Tab_Def_Processes[Name(EN)],Tab_Def_Processes[ID],,0,)</f>
        <v/>
      </c>
      <c r="D7" s="287">
        <f>Tab_Def_Processes[[#This Row],[Name(EN)]]</f>
        <v/>
      </c>
      <c r="E7" s="294" t="inlineStr">
        <is>
          <t>Biomass &amp; Natural</t>
        </is>
      </c>
      <c r="F7" s="294" t="inlineStr">
        <is>
          <t>Earth Brown</t>
        </is>
      </c>
      <c r="G7" s="272">
        <f>_xlfn.XLOOKUP($F7,Table32[Color_Name],Table32[Hex_Code],,0,)</f>
        <v/>
      </c>
      <c r="H7" t="inlineStr">
        <is>
          <t>Large</t>
        </is>
      </c>
      <c r="K7" t="inlineStr">
        <is>
          <t>Auto</t>
        </is>
      </c>
    </row>
    <row r="8">
      <c r="A8" s="292" t="b">
        <v>0</v>
      </c>
      <c r="B8" s="272">
        <f>ROW()-1</f>
        <v/>
      </c>
      <c r="C8" s="286">
        <f>_xlfn.XLOOKUP($D8,Tab_Def_Processes[Name(EN)],Tab_Def_Processes[ID],,0,)</f>
        <v/>
      </c>
      <c r="D8" s="287">
        <f>Tab_Def_Processes[[#This Row],[Name(EN)]]</f>
        <v/>
      </c>
      <c r="E8" s="294" t="inlineStr">
        <is>
          <t>Biomass &amp; Natural</t>
        </is>
      </c>
      <c r="F8" s="294" t="inlineStr">
        <is>
          <t>Olive Green</t>
        </is>
      </c>
      <c r="G8" s="272">
        <f>_xlfn.XLOOKUP($F8,Table32[Color_Name],Table32[Hex_Code],,0,)</f>
        <v/>
      </c>
      <c r="H8" t="inlineStr">
        <is>
          <t>Large</t>
        </is>
      </c>
      <c r="K8" t="inlineStr">
        <is>
          <t>Auto</t>
        </is>
      </c>
    </row>
    <row r="9">
      <c r="A9" s="292" t="b">
        <v>0</v>
      </c>
      <c r="B9" s="272">
        <f>ROW()-1</f>
        <v/>
      </c>
      <c r="C9" s="286">
        <f>_xlfn.XLOOKUP($D9,Tab_Def_Processes[Name(EN)],Tab_Def_Processes[ID],,0,)</f>
        <v/>
      </c>
      <c r="D9" s="287">
        <f>Tab_Def_Processes[[#This Row],[Name(EN)]]</f>
        <v/>
      </c>
      <c r="E9" s="294" t="inlineStr">
        <is>
          <t>Biomass &amp; Natural</t>
        </is>
      </c>
      <c r="F9" s="294" t="inlineStr">
        <is>
          <t>Deep Blue</t>
        </is>
      </c>
      <c r="G9" s="272">
        <f>_xlfn.XLOOKUP($F9,Table32[Color_Name],Table32[Hex_Code],,0,)</f>
        <v/>
      </c>
      <c r="H9" t="inlineStr">
        <is>
          <t>Large</t>
        </is>
      </c>
      <c r="K9" t="inlineStr">
        <is>
          <t>Auto</t>
        </is>
      </c>
    </row>
    <row r="10">
      <c r="A10" s="292" t="b">
        <v>0</v>
      </c>
      <c r="B10" s="272">
        <f>ROW()-1</f>
        <v/>
      </c>
      <c r="C10" s="286">
        <f>_xlfn.XLOOKUP($D10,Tab_Def_Processes[Name(EN)],Tab_Def_Processes[ID],,0,)</f>
        <v/>
      </c>
      <c r="D10" s="287">
        <f>Tab_Def_Processes[[#This Row],[Name(EN)]]</f>
        <v/>
      </c>
      <c r="E10" s="294" t="inlineStr">
        <is>
          <t>Biomass &amp; Natural</t>
        </is>
      </c>
      <c r="F10" s="294" t="inlineStr">
        <is>
          <t>Olive Green</t>
        </is>
      </c>
      <c r="G10" s="272">
        <f>_xlfn.XLOOKUP($F10,Table32[Color_Name],Table32[Hex_Code],,0,)</f>
        <v/>
      </c>
      <c r="H10" t="inlineStr">
        <is>
          <t>Large</t>
        </is>
      </c>
      <c r="K10" t="inlineStr">
        <is>
          <t>Auto</t>
        </is>
      </c>
    </row>
    <row r="11">
      <c r="A11" s="292" t="b">
        <v>0</v>
      </c>
      <c r="B11" s="272">
        <f>ROW()-1</f>
        <v/>
      </c>
      <c r="C11" s="286">
        <f>_xlfn.XLOOKUP($D11,Tab_Def_Processes[Name(EN)],Tab_Def_Processes[ID],,0,)</f>
        <v/>
      </c>
      <c r="D11" s="287">
        <f>Tab_Def_Processes[[#This Row],[Name(EN)]]</f>
        <v/>
      </c>
      <c r="E11" s="294" t="inlineStr">
        <is>
          <t>Biomass &amp; Natural</t>
        </is>
      </c>
      <c r="F11" s="294" t="inlineStr">
        <is>
          <t>Deep Blue</t>
        </is>
      </c>
      <c r="G11" s="272">
        <f>_xlfn.XLOOKUP($F11,Table32[Color_Name],Table32[Hex_Code],,0,)</f>
        <v/>
      </c>
      <c r="H11" t="inlineStr">
        <is>
          <t>Large</t>
        </is>
      </c>
      <c r="K11" t="inlineStr">
        <is>
          <t>Auto</t>
        </is>
      </c>
    </row>
    <row r="12">
      <c r="A12" s="292" t="b">
        <v>0</v>
      </c>
      <c r="B12" s="272">
        <f>ROW()-1</f>
        <v/>
      </c>
      <c r="C12" s="286">
        <f>_xlfn.XLOOKUP($D12,Tab_Def_Processes[Name(EN)],Tab_Def_Processes[ID],,0,)</f>
        <v/>
      </c>
      <c r="D12" s="287">
        <f>Tab_Def_Processes[[#This Row],[Name(EN)]]</f>
        <v/>
      </c>
      <c r="E12" s="294" t="inlineStr">
        <is>
          <t>Biomass &amp; Natural</t>
        </is>
      </c>
      <c r="F12" s="294" t="inlineStr">
        <is>
          <t>Olive Green</t>
        </is>
      </c>
      <c r="G12" s="272">
        <f>_xlfn.XLOOKUP($F12,Table32[Color_Name],Table32[Hex_Code],,0,)</f>
        <v/>
      </c>
      <c r="H12" t="inlineStr">
        <is>
          <t>Large</t>
        </is>
      </c>
      <c r="K12" t="inlineStr">
        <is>
          <t>Auto</t>
        </is>
      </c>
    </row>
    <row r="13">
      <c r="A13" s="292" t="b">
        <v>0</v>
      </c>
      <c r="B13" s="272">
        <f>ROW()-1</f>
        <v/>
      </c>
      <c r="C13" s="286">
        <f>_xlfn.XLOOKUP($D13,Tab_Def_Processes[Name(EN)],Tab_Def_Processes[ID],,0,)</f>
        <v/>
      </c>
      <c r="D13" s="287">
        <f>Tab_Def_Processes[[#This Row],[Name(EN)]]</f>
        <v/>
      </c>
      <c r="E13" s="294" t="n"/>
      <c r="F13" s="294" t="n"/>
      <c r="G13" s="272">
        <f>_xlfn.XLOOKUP($F13,Table32[Color_Name],Table32[Hex_Code],,0,)</f>
        <v/>
      </c>
    </row>
    <row r="14">
      <c r="A14" s="292" t="b">
        <v>0</v>
      </c>
      <c r="B14" s="272">
        <f>ROW()-1</f>
        <v/>
      </c>
      <c r="C14" s="286">
        <f>_xlfn.XLOOKUP($D14,Tab_Def_Processes[Name(EN)],Tab_Def_Processes[ID],,0,)</f>
        <v/>
      </c>
      <c r="D14" s="287">
        <f>Tab_Def_Processes[[#This Row],[Name(EN)]]</f>
        <v/>
      </c>
      <c r="E14" s="294" t="n"/>
      <c r="F14" s="294" t="n"/>
      <c r="G14" s="272">
        <f>_xlfn.XLOOKUP($F14,Table32[Color_Name],Table32[Hex_Code],,0,)</f>
        <v/>
      </c>
    </row>
    <row r="15">
      <c r="A15" s="292" t="b">
        <v>0</v>
      </c>
      <c r="B15" s="272">
        <f>ROW()-1</f>
        <v/>
      </c>
      <c r="C15" s="286">
        <f>_xlfn.XLOOKUP($D15,Tab_Def_Processes[Name(EN)],Tab_Def_Processes[ID],,0,)</f>
        <v/>
      </c>
      <c r="D15" s="287">
        <f>Tab_Def_Processes[[#This Row],[Name(EN)]]</f>
        <v/>
      </c>
      <c r="E15" s="294" t="n"/>
      <c r="F15" s="294" t="n"/>
      <c r="G15" s="272">
        <f>_xlfn.XLOOKUP($F15,Table32[Color_Name],Table32[Hex_Code],,0,)</f>
        <v/>
      </c>
    </row>
    <row r="16">
      <c r="A16" s="292" t="b">
        <v>0</v>
      </c>
      <c r="B16" s="272">
        <f>ROW()-1</f>
        <v/>
      </c>
      <c r="C16" s="286">
        <f>_xlfn.XLOOKUP($D16,Tab_Def_Processes[Name(EN)],Tab_Def_Processes[ID],,0,)</f>
        <v/>
      </c>
      <c r="D16" s="287">
        <f>Tab_Def_Processes[[#This Row],[Name(EN)]]</f>
        <v/>
      </c>
      <c r="E16" s="294" t="n"/>
      <c r="F16" s="294" t="n"/>
      <c r="G16" s="272">
        <f>_xlfn.XLOOKUP($F16,Table32[Color_Name],Table32[Hex_Code],,0,)</f>
        <v/>
      </c>
    </row>
    <row r="17">
      <c r="A17" s="292" t="b">
        <v>0</v>
      </c>
      <c r="B17" s="272">
        <f>ROW()-1</f>
        <v/>
      </c>
      <c r="C17" s="286">
        <f>_xlfn.XLOOKUP($D17,Tab_Def_Processes[Name(EN)],Tab_Def_Processes[ID],,0,)</f>
        <v/>
      </c>
      <c r="D17" s="287">
        <f>Tab_Def_Processes[[#This Row],[Name(EN)]]</f>
        <v/>
      </c>
      <c r="E17" s="294" t="n"/>
      <c r="F17" s="294" t="n"/>
      <c r="G17" s="272">
        <f>_xlfn.XLOOKUP($F17,Table32[Color_Name],Table32[Hex_Code],,0,)</f>
        <v/>
      </c>
    </row>
    <row r="18">
      <c r="A18" s="292" t="b">
        <v>0</v>
      </c>
      <c r="B18" s="272">
        <f>ROW()-1</f>
        <v/>
      </c>
      <c r="C18" s="286">
        <f>_xlfn.XLOOKUP($D18,Tab_Def_Processes[Name(EN)],Tab_Def_Processes[ID],,0,)</f>
        <v/>
      </c>
      <c r="D18" s="287">
        <f>Tab_Def_Processes[[#This Row],[Name(EN)]]</f>
        <v/>
      </c>
      <c r="E18" s="294" t="n"/>
      <c r="F18" s="294" t="n"/>
      <c r="G18" s="272">
        <f>_xlfn.XLOOKUP($F18,Table32[Color_Name],Table32[Hex_Code],,0,)</f>
        <v/>
      </c>
    </row>
    <row r="19">
      <c r="A19" s="292" t="b">
        <v>0</v>
      </c>
      <c r="B19" s="272">
        <f>ROW()-1</f>
        <v/>
      </c>
      <c r="C19" s="286">
        <f>_xlfn.XLOOKUP($D19,Tab_Def_Processes[Name(EN)],Tab_Def_Processes[ID],,0,)</f>
        <v/>
      </c>
      <c r="D19" s="287">
        <f>Tab_Def_Processes[[#This Row],[Name(EN)]]</f>
        <v/>
      </c>
      <c r="E19" s="294" t="n"/>
      <c r="F19" s="294" t="n"/>
      <c r="G19" s="272">
        <f>_xlfn.XLOOKUP($F19,Table32[Color_Name],Table32[Hex_Code],,0,)</f>
        <v/>
      </c>
    </row>
    <row r="20">
      <c r="A20" s="292" t="b">
        <v>0</v>
      </c>
      <c r="B20" s="272">
        <f>ROW()-1</f>
        <v/>
      </c>
      <c r="C20" s="286">
        <f>_xlfn.XLOOKUP($D20,Tab_Def_Processes[Name(EN)],Tab_Def_Processes[ID],,0,)</f>
        <v/>
      </c>
      <c r="D20" s="287">
        <f>Tab_Def_Processes[[#This Row],[Name(EN)]]</f>
        <v/>
      </c>
      <c r="E20" s="294" t="n"/>
      <c r="F20" s="294" t="n"/>
      <c r="G20" s="272">
        <f>_xlfn.XLOOKUP($F20,Table32[Color_Name],Table32[Hex_Code],,0,)</f>
        <v/>
      </c>
    </row>
    <row r="21">
      <c r="A21" s="292" t="b">
        <v>0</v>
      </c>
      <c r="B21" s="272">
        <f>ROW()-1</f>
        <v/>
      </c>
      <c r="C21" s="286">
        <f>_xlfn.XLOOKUP($D21,Tab_Def_Processes[Name(EN)],Tab_Def_Processes[ID],,0,)</f>
        <v/>
      </c>
      <c r="D21" s="287">
        <f>Tab_Def_Processes[[#This Row],[Name(EN)]]</f>
        <v/>
      </c>
      <c r="E21" s="294" t="n"/>
      <c r="F21" s="294" t="n"/>
      <c r="G21" s="272">
        <f>_xlfn.XLOOKUP($F21,Table32[Color_Name],Table32[Hex_Code],,0,)</f>
        <v/>
      </c>
    </row>
    <row r="22">
      <c r="A22" s="292" t="b">
        <v>0</v>
      </c>
      <c r="B22" s="272">
        <f>ROW()-1</f>
        <v/>
      </c>
      <c r="C22" s="286">
        <f>_xlfn.XLOOKUP($D22,Tab_Def_Processes[Name(EN)],Tab_Def_Processes[ID],,0,)</f>
        <v/>
      </c>
      <c r="D22" s="287">
        <f>Tab_Def_Processes[[#This Row],[Name(EN)]]</f>
        <v/>
      </c>
      <c r="E22" s="294" t="n"/>
      <c r="F22" s="294" t="n"/>
      <c r="G22" s="272">
        <f>_xlfn.XLOOKUP($F22,Table32[Color_Name],Table32[Hex_Code],,0,)</f>
        <v/>
      </c>
    </row>
    <row r="23">
      <c r="A23" s="292" t="b">
        <v>0</v>
      </c>
      <c r="B23" s="272">
        <f>ROW()-1</f>
        <v/>
      </c>
      <c r="C23" s="286">
        <f>_xlfn.XLOOKUP($D23,Tab_Def_Processes[Name(EN)],Tab_Def_Processes[ID],,0,)</f>
        <v/>
      </c>
      <c r="D23" s="287">
        <f>Tab_Def_Processes[[#This Row],[Name(EN)]]</f>
        <v/>
      </c>
      <c r="E23" s="294" t="n"/>
      <c r="F23" s="294" t="n"/>
      <c r="G23" s="272">
        <f>_xlfn.XLOOKUP($F23,Table32[Color_Name],Table32[Hex_Code],,0,)</f>
        <v/>
      </c>
    </row>
    <row r="24">
      <c r="A24" s="292" t="b">
        <v>0</v>
      </c>
      <c r="B24" s="272">
        <f>ROW()-1</f>
        <v/>
      </c>
      <c r="C24" s="286">
        <f>_xlfn.XLOOKUP($D24,Tab_Def_Processes[Name(EN)],Tab_Def_Processes[ID],,0,)</f>
        <v/>
      </c>
      <c r="D24" s="287">
        <f>Tab_Def_Processes[[#This Row],[Name(EN)]]</f>
        <v/>
      </c>
      <c r="E24" s="294" t="n"/>
      <c r="F24" s="294" t="n"/>
      <c r="G24" s="272">
        <f>_xlfn.XLOOKUP($F24,Table32[Color_Name],Table32[Hex_Code],,0,)</f>
        <v/>
      </c>
    </row>
    <row r="25">
      <c r="A25" s="292" t="b">
        <v>0</v>
      </c>
      <c r="B25" s="272">
        <f>ROW()-1</f>
        <v/>
      </c>
      <c r="C25" s="286">
        <f>_xlfn.XLOOKUP($D25,Tab_Def_Processes[Name(EN)],Tab_Def_Processes[ID],,0,)</f>
        <v/>
      </c>
      <c r="D25" s="287">
        <f>Tab_Def_Processes[[#This Row],[Name(EN)]]</f>
        <v/>
      </c>
      <c r="E25" s="294" t="n"/>
      <c r="F25" s="294" t="n"/>
      <c r="G25" s="272">
        <f>_xlfn.XLOOKUP($F25,Table32[Color_Name],Table32[Hex_Code],,0,)</f>
        <v/>
      </c>
    </row>
    <row r="26">
      <c r="A26" s="292" t="b">
        <v>0</v>
      </c>
      <c r="B26" s="272">
        <f>ROW()-1</f>
        <v/>
      </c>
      <c r="C26" s="286">
        <f>_xlfn.XLOOKUP($D26,Tab_Def_Processes[Name(EN)],Tab_Def_Processes[ID],,0,)</f>
        <v/>
      </c>
      <c r="D26" s="287">
        <f>Tab_Def_Processes[[#This Row],[Name(EN)]]</f>
        <v/>
      </c>
      <c r="E26" s="294" t="n"/>
      <c r="F26" s="294" t="n"/>
      <c r="G26" s="272">
        <f>_xlfn.XLOOKUP($F26,Table32[Color_Name],Table32[Hex_Code],,0,)</f>
        <v/>
      </c>
    </row>
    <row r="27">
      <c r="A27" s="292" t="b">
        <v>0</v>
      </c>
      <c r="B27" s="272">
        <f>ROW()-1</f>
        <v/>
      </c>
      <c r="C27" s="286">
        <f>_xlfn.XLOOKUP($D27,Tab_Def_Processes[Name(EN)],Tab_Def_Processes[ID],,0,)</f>
        <v/>
      </c>
      <c r="D27" s="287">
        <f>Tab_Def_Processes[[#This Row],[Name(EN)]]</f>
        <v/>
      </c>
      <c r="E27" s="294" t="n"/>
      <c r="F27" s="294" t="n"/>
      <c r="G27" s="272">
        <f>_xlfn.XLOOKUP($F27,Table32[Color_Name],Table32[Hex_Code],,0,)</f>
        <v/>
      </c>
    </row>
    <row r="28">
      <c r="A28" s="292" t="b">
        <v>0</v>
      </c>
      <c r="B28" s="272">
        <f>ROW()-1</f>
        <v/>
      </c>
      <c r="C28" s="286">
        <f>_xlfn.XLOOKUP($D28,Tab_Def_Processes[Name(EN)],Tab_Def_Processes[ID],,0,)</f>
        <v/>
      </c>
      <c r="D28" s="287">
        <f>Tab_Def_Processes[[#This Row],[Name(EN)]]</f>
        <v/>
      </c>
      <c r="E28" s="294" t="n"/>
      <c r="F28" s="294" t="n"/>
      <c r="G28" s="272">
        <f>_xlfn.XLOOKUP($F28,Table32[Color_Name],Table32[Hex_Code],,0,)</f>
        <v/>
      </c>
    </row>
    <row r="29">
      <c r="A29" s="292" t="b">
        <v>0</v>
      </c>
      <c r="B29" s="272">
        <f>ROW()-1</f>
        <v/>
      </c>
      <c r="C29" s="286">
        <f>_xlfn.XLOOKUP($D29,Tab_Def_Processes[Name(EN)],Tab_Def_Processes[ID],,0,)</f>
        <v/>
      </c>
      <c r="D29" s="287">
        <f>Tab_Def_Processes[[#This Row],[Name(EN)]]</f>
        <v/>
      </c>
      <c r="E29" s="294" t="n"/>
      <c r="F29" s="294" t="n"/>
      <c r="G29" s="272">
        <f>_xlfn.XLOOKUP($F29,Table32[Color_Name],Table32[Hex_Code],,0,)</f>
        <v/>
      </c>
    </row>
    <row r="30">
      <c r="A30" s="292" t="b">
        <v>0</v>
      </c>
      <c r="B30" s="272">
        <f>ROW()-1</f>
        <v/>
      </c>
      <c r="C30" s="286">
        <f>_xlfn.XLOOKUP($D30,Tab_Def_Processes[Name(EN)],Tab_Def_Processes[ID],,0,)</f>
        <v/>
      </c>
      <c r="D30" s="287">
        <f>Tab_Def_Processes[[#This Row],[Name(EN)]]</f>
        <v/>
      </c>
      <c r="E30" s="294" t="n"/>
      <c r="F30" s="294" t="n"/>
      <c r="G30" s="272">
        <f>_xlfn.XLOOKUP($F30,Table32[Color_Name],Table32[Hex_Code],,0,)</f>
        <v/>
      </c>
    </row>
    <row r="31">
      <c r="A31" s="292" t="b">
        <v>0</v>
      </c>
      <c r="B31" s="272">
        <f>ROW()-1</f>
        <v/>
      </c>
      <c r="C31" s="286">
        <f>_xlfn.XLOOKUP($D31,Tab_Def_Processes[Name(EN)],Tab_Def_Processes[ID],,0,)</f>
        <v/>
      </c>
      <c r="D31" s="287">
        <f>Tab_Def_Processes[[#This Row],[Name(EN)]]</f>
        <v/>
      </c>
      <c r="E31" s="294" t="n"/>
      <c r="F31" s="294" t="n"/>
      <c r="G31" s="272">
        <f>_xlfn.XLOOKUP($F31,Table32[Color_Name],Table32[Hex_Code],,0,)</f>
        <v/>
      </c>
    </row>
    <row r="32">
      <c r="A32" s="292" t="b">
        <v>0</v>
      </c>
      <c r="B32" s="272">
        <f>ROW()-1</f>
        <v/>
      </c>
      <c r="C32" s="286">
        <f>_xlfn.XLOOKUP($D32,Tab_Def_Processes[Name(EN)],Tab_Def_Processes[ID],,0,)</f>
        <v/>
      </c>
      <c r="D32" s="287">
        <f>Tab_Def_Processes[[#This Row],[Name(EN)]]</f>
        <v/>
      </c>
      <c r="E32" s="294" t="n"/>
      <c r="F32" s="294" t="n"/>
      <c r="G32" s="272">
        <f>_xlfn.XLOOKUP($F32,Table32[Color_Name],Table32[Hex_Code],,0,)</f>
        <v/>
      </c>
    </row>
    <row r="33">
      <c r="A33" s="292" t="b">
        <v>0</v>
      </c>
      <c r="B33" s="272">
        <f>ROW()-1</f>
        <v/>
      </c>
      <c r="C33" s="286">
        <f>_xlfn.XLOOKUP($D33,Tab_Def_Processes[Name(EN)],Tab_Def_Processes[ID],,0,)</f>
        <v/>
      </c>
      <c r="D33" s="287">
        <f>Tab_Def_Processes[[#This Row],[Name(EN)]]</f>
        <v/>
      </c>
      <c r="E33" s="294" t="n"/>
      <c r="F33" s="294" t="n"/>
      <c r="G33" s="272">
        <f>_xlfn.XLOOKUP($F33,Table32[Color_Name],Table32[Hex_Code],,0,)</f>
        <v/>
      </c>
    </row>
    <row r="34">
      <c r="A34" s="292" t="b">
        <v>0</v>
      </c>
      <c r="B34" s="272">
        <f>ROW()-1</f>
        <v/>
      </c>
      <c r="C34" s="286">
        <f>_xlfn.XLOOKUP($D34,Tab_Def_Processes[Name(EN)],Tab_Def_Processes[ID],,0,)</f>
        <v/>
      </c>
      <c r="D34" s="287">
        <f>Tab_Def_Processes[[#This Row],[Name(EN)]]</f>
        <v/>
      </c>
      <c r="E34" s="294" t="n"/>
      <c r="F34" s="294" t="n"/>
      <c r="G34" s="272">
        <f>_xlfn.XLOOKUP($F34,Table32[Color_Name],Table32[Hex_Code],,0,)</f>
        <v/>
      </c>
    </row>
    <row r="35">
      <c r="A35" s="292" t="b">
        <v>0</v>
      </c>
      <c r="B35" s="272">
        <f>ROW()-1</f>
        <v/>
      </c>
      <c r="C35" s="286">
        <f>_xlfn.XLOOKUP($D35,Tab_Def_Processes[Name(EN)],Tab_Def_Processes[ID],,0,)</f>
        <v/>
      </c>
      <c r="D35" s="287">
        <f>Tab_Def_Processes[[#This Row],[Name(EN)]]</f>
        <v/>
      </c>
      <c r="E35" s="294" t="n"/>
      <c r="F35" s="294" t="n"/>
      <c r="G35" s="272">
        <f>_xlfn.XLOOKUP($F35,Table32[Color_Name],Table32[Hex_Code],,0,)</f>
        <v/>
      </c>
    </row>
    <row r="36">
      <c r="A36" s="292" t="b">
        <v>0</v>
      </c>
      <c r="B36" s="272">
        <f>ROW()-1</f>
        <v/>
      </c>
      <c r="C36" s="286">
        <f>_xlfn.XLOOKUP($D36,Tab_Def_Processes[Name(EN)],Tab_Def_Processes[ID],,0,)</f>
        <v/>
      </c>
      <c r="D36" s="287">
        <f>Tab_Def_Processes[[#This Row],[Name(EN)]]</f>
        <v/>
      </c>
      <c r="E36" s="294" t="n"/>
      <c r="F36" s="294" t="n"/>
      <c r="G36" s="272">
        <f>_xlfn.XLOOKUP($F36,Table32[Color_Name],Table32[Hex_Code],,0,)</f>
        <v/>
      </c>
    </row>
    <row r="37">
      <c r="A37" s="292" t="b">
        <v>0</v>
      </c>
      <c r="B37" s="272">
        <f>ROW()-1</f>
        <v/>
      </c>
      <c r="C37" s="286">
        <f>_xlfn.XLOOKUP($D37,Tab_Def_Processes[Name(EN)],Tab_Def_Processes[ID],,0,)</f>
        <v/>
      </c>
      <c r="D37" s="287">
        <f>Tab_Def_Processes[[#This Row],[Name(EN)]]</f>
        <v/>
      </c>
      <c r="E37" s="294" t="n"/>
      <c r="F37" s="294" t="n"/>
      <c r="G37" s="272">
        <f>_xlfn.XLOOKUP($F37,Table32[Color_Name],Table32[Hex_Code],,0,)</f>
        <v/>
      </c>
    </row>
    <row r="38">
      <c r="A38" s="292" t="b">
        <v>0</v>
      </c>
      <c r="B38" s="272">
        <f>ROW()-1</f>
        <v/>
      </c>
      <c r="C38" s="286">
        <f>_xlfn.XLOOKUP($D38,Tab_Def_Processes[Name(EN)],Tab_Def_Processes[ID],,0,)</f>
        <v/>
      </c>
      <c r="D38" s="287">
        <f>Tab_Def_Processes[[#This Row],[Name(EN)]]</f>
        <v/>
      </c>
      <c r="E38" s="294" t="n"/>
      <c r="F38" s="294" t="n"/>
      <c r="G38" s="272">
        <f>_xlfn.XLOOKUP($F38,Table32[Color_Name],Table32[Hex_Code],,0,)</f>
        <v/>
      </c>
    </row>
    <row r="39">
      <c r="A39" s="292" t="b">
        <v>0</v>
      </c>
      <c r="B39" s="272">
        <f>ROW()-1</f>
        <v/>
      </c>
      <c r="C39" s="286">
        <f>_xlfn.XLOOKUP($D39,Tab_Def_Processes[Name(EN)],Tab_Def_Processes[ID],,0,)</f>
        <v/>
      </c>
      <c r="D39" s="287">
        <f>Tab_Def_Processes[[#This Row],[Name(EN)]]</f>
        <v/>
      </c>
      <c r="E39" s="294" t="n"/>
      <c r="F39" s="294" t="n"/>
      <c r="G39" s="272">
        <f>_xlfn.XLOOKUP($F39,Table32[Color_Name],Table32[Hex_Code],,0,)</f>
        <v/>
      </c>
    </row>
    <row r="40">
      <c r="A40" s="292" t="b">
        <v>0</v>
      </c>
      <c r="B40" s="272">
        <f>ROW()-1</f>
        <v/>
      </c>
      <c r="C40" s="286">
        <f>_xlfn.XLOOKUP($D40,Tab_Def_Processes[Name(EN)],Tab_Def_Processes[ID],,0,)</f>
        <v/>
      </c>
      <c r="D40" s="287">
        <f>Tab_Def_Processes[[#This Row],[Name(EN)]]</f>
        <v/>
      </c>
      <c r="E40" s="294" t="n"/>
      <c r="F40" s="294" t="n"/>
      <c r="G40" s="272">
        <f>_xlfn.XLOOKUP($F40,Table32[Color_Name],Table32[Hex_Code],,0,)</f>
        <v/>
      </c>
    </row>
    <row r="41">
      <c r="A41" s="292" t="b">
        <v>0</v>
      </c>
      <c r="B41" s="272">
        <f>ROW()-1</f>
        <v/>
      </c>
      <c r="C41" s="286">
        <f>_xlfn.XLOOKUP($D41,Tab_Def_Processes[Name(EN)],Tab_Def_Processes[ID],,0,)</f>
        <v/>
      </c>
      <c r="D41" s="287">
        <f>Tab_Def_Processes[[#This Row],[Name(EN)]]</f>
        <v/>
      </c>
      <c r="E41" s="294" t="n"/>
      <c r="F41" s="294" t="n"/>
      <c r="G41" s="272">
        <f>_xlfn.XLOOKUP($F41,Table32[Color_Name],Table32[Hex_Code],,0,)</f>
        <v/>
      </c>
    </row>
    <row r="42">
      <c r="A42" s="292" t="b">
        <v>0</v>
      </c>
      <c r="B42" s="272">
        <f>ROW()-1</f>
        <v/>
      </c>
      <c r="C42" s="286">
        <f>_xlfn.XLOOKUP($D42,Tab_Def_Processes[Name(EN)],Tab_Def_Processes[ID],,0,)</f>
        <v/>
      </c>
      <c r="D42" s="287">
        <f>Tab_Def_Processes[[#This Row],[Name(EN)]]</f>
        <v/>
      </c>
      <c r="E42" s="294" t="n"/>
      <c r="F42" s="294" t="n"/>
      <c r="G42" s="272">
        <f>_xlfn.XLOOKUP($F42,Table32[Color_Name],Table32[Hex_Code],,0,)</f>
        <v/>
      </c>
    </row>
    <row r="43">
      <c r="A43" s="292" t="b">
        <v>0</v>
      </c>
      <c r="B43" s="272">
        <f>ROW()-1</f>
        <v/>
      </c>
      <c r="C43" s="286">
        <f>_xlfn.XLOOKUP($D43,Tab_Def_Processes[Name(EN)],Tab_Def_Processes[ID],,0,)</f>
        <v/>
      </c>
      <c r="D43" s="287">
        <f>Tab_Def_Processes[[#This Row],[Name(EN)]]</f>
        <v/>
      </c>
      <c r="E43" s="294" t="n"/>
      <c r="F43" s="294" t="n"/>
      <c r="G43" s="272">
        <f>_xlfn.XLOOKUP($F43,Table32[Color_Name],Table32[Hex_Code],,0,)</f>
        <v/>
      </c>
    </row>
    <row r="44">
      <c r="A44" s="292" t="b">
        <v>0</v>
      </c>
      <c r="B44" s="272">
        <f>ROW()-1</f>
        <v/>
      </c>
      <c r="C44" s="286">
        <f>_xlfn.XLOOKUP($D44,Tab_Def_Processes[Name(EN)],Tab_Def_Processes[ID],,0,)</f>
        <v/>
      </c>
      <c r="D44" s="287">
        <f>Tab_Def_Processes[[#This Row],[Name(EN)]]</f>
        <v/>
      </c>
      <c r="E44" s="294" t="n"/>
      <c r="F44" s="294" t="n"/>
      <c r="G44" s="272">
        <f>_xlfn.XLOOKUP($F44,Table32[Color_Name],Table32[Hex_Code],,0,)</f>
        <v/>
      </c>
    </row>
    <row r="45">
      <c r="A45" s="292" t="b">
        <v>0</v>
      </c>
      <c r="B45" s="272">
        <f>ROW()-1</f>
        <v/>
      </c>
      <c r="C45" s="286">
        <f>_xlfn.XLOOKUP($D45,Tab_Def_Processes[Name(EN)],Tab_Def_Processes[ID],,0,)</f>
        <v/>
      </c>
      <c r="D45" s="287">
        <f>Tab_Def_Processes[[#This Row],[Name(EN)]]</f>
        <v/>
      </c>
      <c r="E45" s="294" t="n"/>
      <c r="F45" s="294" t="n"/>
      <c r="G45" s="272">
        <f>_xlfn.XLOOKUP($F45,Table32[Color_Name],Table32[Hex_Code],,0,)</f>
        <v/>
      </c>
    </row>
    <row r="46">
      <c r="A46" s="292" t="b">
        <v>0</v>
      </c>
      <c r="B46" s="272">
        <f>ROW()-1</f>
        <v/>
      </c>
      <c r="C46" s="286">
        <f>_xlfn.XLOOKUP($D46,Tab_Def_Processes[Name(EN)],Tab_Def_Processes[ID],,0,)</f>
        <v/>
      </c>
      <c r="D46" s="287">
        <f>Tab_Def_Processes[[#This Row],[Name(EN)]]</f>
        <v/>
      </c>
      <c r="E46" s="294" t="n"/>
      <c r="F46" s="294" t="n"/>
      <c r="G46" s="272">
        <f>_xlfn.XLOOKUP($F46,Table32[Color_Name],Table32[Hex_Code],,0,)</f>
        <v/>
      </c>
    </row>
    <row r="47">
      <c r="A47" s="292" t="b">
        <v>0</v>
      </c>
      <c r="B47" s="272">
        <f>ROW()-1</f>
        <v/>
      </c>
      <c r="C47" s="286">
        <f>_xlfn.XLOOKUP($D47,Tab_Def_Processes[Name(EN)],Tab_Def_Processes[ID],,0,)</f>
        <v/>
      </c>
      <c r="D47" s="287">
        <f>Tab_Def_Processes[[#This Row],[Name(EN)]]</f>
        <v/>
      </c>
      <c r="E47" s="294" t="n"/>
      <c r="F47" s="294" t="n"/>
      <c r="G47" s="272">
        <f>_xlfn.XLOOKUP($F47,Table32[Color_Name],Table32[Hex_Code],,0,)</f>
        <v/>
      </c>
    </row>
    <row r="48">
      <c r="A48" s="292" t="b">
        <v>0</v>
      </c>
      <c r="B48" s="272">
        <f>ROW()-1</f>
        <v/>
      </c>
      <c r="C48" s="286">
        <f>_xlfn.XLOOKUP($D48,Tab_Def_Processes[Name(EN)],Tab_Def_Processes[ID],,0,)</f>
        <v/>
      </c>
      <c r="D48" s="287" t="n"/>
      <c r="E48" s="294" t="n"/>
      <c r="F48" s="294" t="n"/>
      <c r="G48" s="272">
        <f>_xlfn.XLOOKUP($F48,Table32[Color_Name],Table32[Hex_Code],,0,)</f>
        <v/>
      </c>
    </row>
    <row r="49">
      <c r="A49" s="292" t="b">
        <v>0</v>
      </c>
      <c r="B49" s="272">
        <f>ROW()-1</f>
        <v/>
      </c>
      <c r="C49" s="286">
        <f>_xlfn.XLOOKUP($D49,Tab_Def_Processes[Name(EN)],Tab_Def_Processes[ID],,0,)</f>
        <v/>
      </c>
      <c r="D49" s="287" t="n"/>
      <c r="E49" s="294" t="n"/>
      <c r="F49" s="294" t="n"/>
      <c r="G49" s="272">
        <f>_xlfn.XLOOKUP($F49,Table32[Color_Name],Table32[Hex_Code],,0,)</f>
        <v/>
      </c>
    </row>
    <row r="50">
      <c r="A50" s="292" t="b">
        <v>0</v>
      </c>
      <c r="B50" s="272">
        <f>ROW()-1</f>
        <v/>
      </c>
      <c r="C50" s="286">
        <f>_xlfn.XLOOKUP($D50,Tab_Def_Processes[Name(EN)],Tab_Def_Processes[ID],,0,)</f>
        <v/>
      </c>
      <c r="D50" s="287" t="n"/>
      <c r="E50" s="294" t="n"/>
      <c r="F50" s="294" t="n"/>
      <c r="G50" s="272">
        <f>_xlfn.XLOOKUP($F50,Table32[Color_Name],Table32[Hex_Code],,0,)</f>
        <v/>
      </c>
    </row>
    <row r="51">
      <c r="A51" s="292" t="b">
        <v>0</v>
      </c>
      <c r="B51" s="272">
        <f>ROW()-1</f>
        <v/>
      </c>
      <c r="C51" s="286">
        <f>_xlfn.XLOOKUP($D51,Tab_Def_Processes[Name(EN)],Tab_Def_Processes[ID],,0,)</f>
        <v/>
      </c>
      <c r="D51" s="287" t="n"/>
      <c r="E51" s="294" t="n"/>
      <c r="F51" s="294" t="n"/>
      <c r="G51" s="272">
        <f>_xlfn.XLOOKUP($F51,Table32[Color_Name],Table32[Hex_Code],,0,)</f>
        <v/>
      </c>
    </row>
    <row r="52">
      <c r="A52" s="292" t="b">
        <v>0</v>
      </c>
      <c r="B52" s="272">
        <f>ROW()-1</f>
        <v/>
      </c>
      <c r="C52" s="286">
        <f>_xlfn.XLOOKUP($D52,Tab_Def_Processes[Name(EN)],Tab_Def_Processes[ID],,0,)</f>
        <v/>
      </c>
      <c r="D52" s="287" t="n"/>
      <c r="E52" s="294" t="n"/>
      <c r="F52" s="294" t="n"/>
      <c r="G52" s="272">
        <f>_xlfn.XLOOKUP($F52,Table32[Color_Name],Table32[Hex_Code],,0,)</f>
        <v/>
      </c>
    </row>
    <row r="53">
      <c r="A53" s="292" t="b">
        <v>0</v>
      </c>
      <c r="B53" s="272">
        <f>ROW()-1</f>
        <v/>
      </c>
      <c r="C53" s="286">
        <f>_xlfn.XLOOKUP($D53,Tab_Def_Processes[Name(EN)],Tab_Def_Processes[ID],,0,)</f>
        <v/>
      </c>
      <c r="D53" s="287" t="n"/>
      <c r="E53" s="294" t="n"/>
      <c r="F53" s="294" t="n"/>
      <c r="G53" s="272">
        <f>_xlfn.XLOOKUP($F53,Table32[Color_Name],Table32[Hex_Code],,0,)</f>
        <v/>
      </c>
    </row>
    <row r="54">
      <c r="A54" s="292" t="b">
        <v>0</v>
      </c>
      <c r="B54" s="272">
        <f>ROW()-1</f>
        <v/>
      </c>
      <c r="C54" s="286">
        <f>_xlfn.XLOOKUP($D54,Tab_Def_Processes[Name(EN)],Tab_Def_Processes[ID],,0,)</f>
        <v/>
      </c>
      <c r="D54" s="287" t="n"/>
      <c r="E54" s="294" t="n"/>
      <c r="F54" s="294" t="n"/>
      <c r="G54" s="272">
        <f>_xlfn.XLOOKUP($F54,Table32[Color_Name],Table32[Hex_Code],,0,)</f>
        <v/>
      </c>
    </row>
    <row r="55">
      <c r="A55" s="292" t="b">
        <v>0</v>
      </c>
      <c r="B55" s="272">
        <f>ROW()-1</f>
        <v/>
      </c>
      <c r="C55" s="286">
        <f>_xlfn.XLOOKUP($D55,Tab_Def_Processes[Name(EN)],Tab_Def_Processes[ID],,0,)</f>
        <v/>
      </c>
      <c r="D55" s="287" t="n"/>
      <c r="E55" s="294" t="n"/>
      <c r="F55" s="294" t="n"/>
      <c r="G55" s="272">
        <f>_xlfn.XLOOKUP($F55,Table32[Color_Name],Table32[Hex_Code],,0,)</f>
        <v/>
      </c>
    </row>
    <row r="56">
      <c r="A56" s="292" t="b">
        <v>0</v>
      </c>
      <c r="B56" s="272">
        <f>ROW()-1</f>
        <v/>
      </c>
      <c r="C56" s="286">
        <f>_xlfn.XLOOKUP($D56,Tab_Def_Processes[Name(EN)],Tab_Def_Processes[ID],,0,)</f>
        <v/>
      </c>
      <c r="D56" s="287" t="n"/>
      <c r="E56" s="294" t="n"/>
      <c r="F56" s="294" t="n"/>
      <c r="G56" s="272">
        <f>_xlfn.XLOOKUP($F56,Table32[Color_Name],Table32[Hex_Code],,0,)</f>
        <v/>
      </c>
    </row>
    <row r="57">
      <c r="A57" s="292" t="b">
        <v>0</v>
      </c>
      <c r="B57" s="272">
        <f>ROW()-1</f>
        <v/>
      </c>
      <c r="C57" s="286">
        <f>_xlfn.XLOOKUP($D57,Tab_Def_Processes[Name(EN)],Tab_Def_Processes[ID],,0,)</f>
        <v/>
      </c>
      <c r="D57" s="287" t="n"/>
      <c r="E57" s="294" t="n"/>
      <c r="F57" s="294" t="n"/>
      <c r="G57" s="272">
        <f>_xlfn.XLOOKUP($F57,Table32[Color_Name],Table32[Hex_Code],,0,)</f>
        <v/>
      </c>
    </row>
    <row r="58">
      <c r="A58" s="292" t="b">
        <v>0</v>
      </c>
      <c r="B58" s="272">
        <f>ROW()-1</f>
        <v/>
      </c>
      <c r="C58" s="286">
        <f>_xlfn.XLOOKUP($D58,Tab_Def_Processes[Name(EN)],Tab_Def_Processes[ID],,0,)</f>
        <v/>
      </c>
      <c r="D58" s="287" t="n"/>
      <c r="E58" s="294" t="n"/>
      <c r="F58" s="294" t="n"/>
      <c r="G58" s="272">
        <f>_xlfn.XLOOKUP($F58,Table32[Color_Name],Table32[Hex_Code],,0,)</f>
        <v/>
      </c>
    </row>
    <row r="59" ht="15.75" customHeight="1" thickBot="1">
      <c r="A59" s="293" t="b">
        <v>0</v>
      </c>
      <c r="B59" s="288">
        <f>ROW()-1</f>
        <v/>
      </c>
      <c r="C59" s="289">
        <f>_xlfn.XLOOKUP($D59,Tab_Def_Processes[Name(EN)],Tab_Def_Processes[ID],,0,)</f>
        <v/>
      </c>
      <c r="D59" s="290" t="n"/>
      <c r="E59" s="294" t="n"/>
      <c r="F59" s="294" t="n"/>
      <c r="G59" s="272">
        <f>_xlfn.XLOOKUP($F59,Table32[Color_Name],Table32[Hex_Code],,0,)</f>
        <v/>
      </c>
    </row>
  </sheetData>
  <dataValidations count="2">
    <dataValidation sqref="I2:I59" showDropDown="0" showInputMessage="1" showErrorMessage="1" allowBlank="1" type="decimal">
      <formula1>0.001</formula1>
      <formula2>1</formula2>
    </dataValidation>
    <dataValidation sqref="J2:J59" showDropDown="0" showInputMessage="1" showErrorMessage="1" allowBlank="1" type="decimal">
      <formula1>0.01</formula1>
      <formula2>1</formula2>
    </dataValidation>
  </dataValidations>
  <pageMargins left="0.7" right="0.7" top="0.75" bottom="0.75" header="0.3" footer="0.3"/>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M51"/>
  <sheetViews>
    <sheetView workbookViewId="0">
      <selection activeCell="Q25" sqref="Q25"/>
    </sheetView>
  </sheetViews>
  <sheetFormatPr baseColWidth="8" defaultRowHeight="15"/>
  <cols>
    <col width="10.28515625" customWidth="1" min="2" max="2"/>
    <col width="31.5703125" customWidth="1" min="3" max="3"/>
    <col width="18.85546875" customWidth="1" min="4" max="5"/>
    <col width="18.28515625" customWidth="1" min="6" max="6"/>
    <col width="24" customWidth="1" min="7" max="7"/>
    <col width="12.85546875" customWidth="1" min="8" max="8"/>
    <col width="13.28515625" customWidth="1" min="9" max="9"/>
  </cols>
  <sheetData>
    <row r="1">
      <c r="A1" s="295" t="inlineStr">
        <is>
          <t>ID</t>
        </is>
      </c>
      <c r="B1" s="295" t="inlineStr">
        <is>
          <t>Flow_ID</t>
        </is>
      </c>
      <c r="C1" s="295" t="inlineStr">
        <is>
          <t>Name(EN)</t>
        </is>
      </c>
      <c r="D1" s="297" t="inlineStr">
        <is>
          <t>Flow_Color</t>
        </is>
      </c>
      <c r="E1" s="297" t="inlineStr">
        <is>
          <t>Flow_Color_#</t>
        </is>
      </c>
      <c r="F1" s="297" t="inlineStr">
        <is>
          <t>Flow_Opacity</t>
        </is>
      </c>
      <c r="G1" s="297" t="inlineStr">
        <is>
          <t>Flow_Width_Multiplier</t>
        </is>
      </c>
      <c r="H1" s="297" t="inlineStr">
        <is>
          <t>Flow_Style</t>
        </is>
      </c>
      <c r="I1" s="297" t="inlineStr">
        <is>
          <t>Description</t>
        </is>
      </c>
    </row>
    <row r="2">
      <c r="A2" s="296">
        <f>ROW()-1</f>
        <v/>
      </c>
      <c r="B2" s="272">
        <f>_xlfn.XLOOKUP(C2,Tab_Def_Flows[Name(EN)],Tab_Def_Flows[Flow_ID],,0,)</f>
        <v/>
      </c>
      <c r="C2" s="272">
        <f>Tab_Def_Flows[[#This Row],[Name(EN)]]</f>
        <v/>
      </c>
      <c r="D2" s="189" t="inlineStr">
        <is>
          <t>Olive Green</t>
        </is>
      </c>
      <c r="E2" s="272">
        <f>_xlfn.XLOOKUP($D2,Table32[Color_Name],Table32[Hex_Code],,0,)</f>
        <v/>
      </c>
      <c r="F2" s="189" t="n">
        <v>1</v>
      </c>
      <c r="G2" s="189" t="n">
        <v>1</v>
      </c>
      <c r="H2" s="189" t="inlineStr">
        <is>
          <t>Dashed</t>
        </is>
      </c>
      <c r="I2" s="280" t="n"/>
      <c r="M2" t="inlineStr">
        <is>
          <t># Instructions:</t>
        </is>
      </c>
    </row>
    <row r="3">
      <c r="A3" s="296">
        <f>ROW()-1</f>
        <v/>
      </c>
      <c r="B3" s="272">
        <f>_xlfn.XLOOKUP(C3,Tab_Def_Flows[Name(EN)],Tab_Def_Flows[Flow_ID],,0,)</f>
        <v/>
      </c>
      <c r="C3" s="272">
        <f>Tab_Def_Flows[[#This Row],[Name(EN)]]</f>
        <v/>
      </c>
      <c r="D3" s="189" t="inlineStr">
        <is>
          <t>Earth Brown</t>
        </is>
      </c>
      <c r="E3" s="272">
        <f>_xlfn.XLOOKUP($D3,Table32[Color_Name],Table32[Hex_Code],,0,)</f>
        <v/>
      </c>
      <c r="F3" s="189" t="n">
        <v>1</v>
      </c>
      <c r="G3" s="189" t="n">
        <v>1</v>
      </c>
      <c r="H3" s="189" t="inlineStr">
        <is>
          <t>solid</t>
        </is>
      </c>
      <c r="I3" s="280" t="n"/>
      <c r="M3" t="inlineStr">
        <is>
          <t># Flow_Color: Hex color codes</t>
        </is>
      </c>
    </row>
    <row r="4">
      <c r="A4" s="296">
        <f>ROW()-1</f>
        <v/>
      </c>
      <c r="B4" s="272">
        <f>_xlfn.XLOOKUP(C4,Tab_Def_Flows[Name(EN)],Tab_Def_Flows[Flow_ID],,0,)</f>
        <v/>
      </c>
      <c r="C4" s="272">
        <f>Tab_Def_Flows[[#This Row],[Name(EN)]]</f>
        <v/>
      </c>
      <c r="D4" s="189" t="inlineStr">
        <is>
          <t>Earth Brown</t>
        </is>
      </c>
      <c r="E4" s="272">
        <f>_xlfn.XLOOKUP($D4,Table32[Color_Name],Table32[Hex_Code],,0,)</f>
        <v/>
      </c>
      <c r="F4" s="189" t="n">
        <v>1</v>
      </c>
      <c r="G4" s="189" t="n">
        <v>1</v>
      </c>
      <c r="H4" s="189" t="inlineStr">
        <is>
          <t>Dotted</t>
        </is>
      </c>
      <c r="I4" s="280" t="n"/>
      <c r="M4" t="inlineStr">
        <is>
          <t># Flow_Opacity: 0.0 to 1.0 (transparent to opaque)</t>
        </is>
      </c>
    </row>
    <row r="5">
      <c r="A5" s="296">
        <f>ROW()-1</f>
        <v/>
      </c>
      <c r="B5" s="272">
        <f>_xlfn.XLOOKUP(C5,Tab_Def_Flows[Name(EN)],Tab_Def_Flows[Flow_ID],,0,)</f>
        <v/>
      </c>
      <c r="C5" s="272">
        <f>Tab_Def_Flows[[#This Row],[Name(EN)]]</f>
        <v/>
      </c>
      <c r="D5" s="189" t="inlineStr">
        <is>
          <t>Aqua Blue</t>
        </is>
      </c>
      <c r="E5" s="272">
        <f>_xlfn.XLOOKUP($D5,Table32[Color_Name],Table32[Hex_Code],,0,)</f>
        <v/>
      </c>
      <c r="F5" s="189" t="n">
        <v>1</v>
      </c>
      <c r="G5" s="189" t="n">
        <v>1</v>
      </c>
      <c r="H5" s="189" t="inlineStr">
        <is>
          <t>Dotted</t>
        </is>
      </c>
      <c r="I5" s="280" t="n"/>
      <c r="M5" t="inlineStr">
        <is>
          <t># Flow_Width_Multiplier: 0.1 to 3.0 (relative to flow value)</t>
        </is>
      </c>
    </row>
    <row r="6">
      <c r="A6" s="296">
        <f>ROW()-1</f>
        <v/>
      </c>
      <c r="B6" s="272">
        <f>_xlfn.XLOOKUP(C6,Tab_Def_Flows[Name(EN)],Tab_Def_Flows[Flow_ID],,0,)</f>
        <v/>
      </c>
      <c r="C6" s="272">
        <f>Tab_Def_Flows[[#This Row],[Name(EN)]]</f>
        <v/>
      </c>
      <c r="D6" s="189" t="inlineStr">
        <is>
          <t>Aqua Blue</t>
        </is>
      </c>
      <c r="E6" s="272">
        <f>_xlfn.XLOOKUP($D6,Table32[Color_Name],Table32[Hex_Code],,0,)</f>
        <v/>
      </c>
      <c r="F6" s="189" t="n">
        <v>1</v>
      </c>
      <c r="G6" s="189" t="n">
        <v>1</v>
      </c>
      <c r="H6" s="189" t="inlineStr">
        <is>
          <t>Dotted</t>
        </is>
      </c>
      <c r="I6" s="280" t="n"/>
      <c r="M6" t="inlineStr">
        <is>
          <t># Flow_Style: Solid, Dashed, Dotted</t>
        </is>
      </c>
    </row>
    <row r="7">
      <c r="A7" s="296">
        <f>ROW()-1</f>
        <v/>
      </c>
      <c r="B7" s="272">
        <f>_xlfn.XLOOKUP(C7,Tab_Def_Flows[Name(EN)],Tab_Def_Flows[Flow_ID],,0,)</f>
        <v/>
      </c>
      <c r="C7" s="272">
        <f>Tab_Def_Flows[[#This Row],[Name(EN)]]</f>
        <v/>
      </c>
      <c r="D7" s="189" t="inlineStr">
        <is>
          <t>Light Blue</t>
        </is>
      </c>
      <c r="E7" s="272">
        <f>_xlfn.XLOOKUP($D7,Table32[Color_Name],Table32[Hex_Code],,0,)</f>
        <v/>
      </c>
      <c r="F7" s="189" t="n">
        <v>1</v>
      </c>
      <c r="G7" s="189" t="n">
        <v>1</v>
      </c>
      <c r="H7" s="189" t="inlineStr">
        <is>
          <t>Dotted</t>
        </is>
      </c>
      <c r="I7" s="280" t="n"/>
    </row>
    <row r="8">
      <c r="A8" s="296">
        <f>ROW()-1</f>
        <v/>
      </c>
      <c r="B8" s="272">
        <f>_xlfn.XLOOKUP(C8,Tab_Def_Flows[Name(EN)],Tab_Def_Flows[Flow_ID],,0,)</f>
        <v/>
      </c>
      <c r="C8" s="272">
        <f>Tab_Def_Flows[[#This Row],[Name(EN)]]</f>
        <v/>
      </c>
      <c r="D8" s="189" t="inlineStr">
        <is>
          <t>Light Blue</t>
        </is>
      </c>
      <c r="E8" s="272">
        <f>_xlfn.XLOOKUP($D8,Table32[Color_Name],Table32[Hex_Code],,0,)</f>
        <v/>
      </c>
      <c r="F8" s="189" t="n">
        <v>1</v>
      </c>
      <c r="G8" s="189" t="n">
        <v>1</v>
      </c>
      <c r="H8" s="189" t="inlineStr">
        <is>
          <t>Dotted</t>
        </is>
      </c>
      <c r="I8" s="280" t="n"/>
    </row>
    <row r="9">
      <c r="A9" s="296">
        <f>ROW()-1</f>
        <v/>
      </c>
      <c r="B9" s="272">
        <f>_xlfn.XLOOKUP(C9,Tab_Def_Flows[Name(EN)],Tab_Def_Flows[Flow_ID],,0,)</f>
        <v/>
      </c>
      <c r="C9" s="272">
        <f>Tab_Def_Flows[[#This Row],[Name(EN)]]</f>
        <v/>
      </c>
      <c r="D9" s="189" t="inlineStr">
        <is>
          <t>Light Blue</t>
        </is>
      </c>
      <c r="E9" s="272">
        <f>_xlfn.XLOOKUP($D9,Table32[Color_Name],Table32[Hex_Code],,0,)</f>
        <v/>
      </c>
      <c r="F9" s="189" t="n">
        <v>1</v>
      </c>
      <c r="G9" s="189" t="n">
        <v>1</v>
      </c>
      <c r="H9" s="189" t="inlineStr">
        <is>
          <t>Dotted</t>
        </is>
      </c>
      <c r="I9" s="280" t="n"/>
    </row>
    <row r="10">
      <c r="A10" s="296">
        <f>ROW()-1</f>
        <v/>
      </c>
      <c r="B10" s="272">
        <f>_xlfn.XLOOKUP(C10,Tab_Def_Flows[Name(EN)],Tab_Def_Flows[Flow_ID],,0,)</f>
        <v/>
      </c>
      <c r="C10" s="272">
        <f>Tab_Def_Flows[[#This Row],[Name(EN)]]</f>
        <v/>
      </c>
      <c r="D10" s="189" t="inlineStr">
        <is>
          <t>Light Blue</t>
        </is>
      </c>
      <c r="E10" s="272">
        <f>_xlfn.XLOOKUP($D10,Table32[Color_Name],Table32[Hex_Code],,0,)</f>
        <v/>
      </c>
      <c r="F10" s="189" t="n">
        <v>1</v>
      </c>
      <c r="G10" s="189" t="n">
        <v>1</v>
      </c>
      <c r="H10" s="189" t="inlineStr">
        <is>
          <t>Dotted</t>
        </is>
      </c>
      <c r="I10" s="280" t="n"/>
    </row>
    <row r="11">
      <c r="A11" s="296">
        <f>ROW()-1</f>
        <v/>
      </c>
      <c r="B11" s="272">
        <f>_xlfn.XLOOKUP(C11,Tab_Def_Flows[Name(EN)],Tab_Def_Flows[Flow_ID],,0,)</f>
        <v/>
      </c>
      <c r="C11" s="272">
        <f>Tab_Def_Flows[[#This Row],[Name(EN)]]</f>
        <v/>
      </c>
      <c r="D11" s="189" t="inlineStr">
        <is>
          <t>Light Blue</t>
        </is>
      </c>
      <c r="E11" s="272">
        <f>_xlfn.XLOOKUP($D11,Table32[Color_Name],Table32[Hex_Code],,0,)</f>
        <v/>
      </c>
      <c r="F11" s="189" t="n">
        <v>1</v>
      </c>
      <c r="G11" s="189" t="n">
        <v>1</v>
      </c>
      <c r="H11" s="189" t="inlineStr">
        <is>
          <t>Dotted</t>
        </is>
      </c>
      <c r="I11" s="280" t="n"/>
    </row>
    <row r="12">
      <c r="A12" s="296">
        <f>ROW()-1</f>
        <v/>
      </c>
      <c r="B12" s="272">
        <f>_xlfn.XLOOKUP(C12,Tab_Def_Flows[Name(EN)],Tab_Def_Flows[Flow_ID],,0,)</f>
        <v/>
      </c>
      <c r="C12" s="272">
        <f>Tab_Def_Flows[[#This Row],[Name(EN)]]</f>
        <v/>
      </c>
      <c r="D12" s="189" t="inlineStr">
        <is>
          <t>Light Blue</t>
        </is>
      </c>
      <c r="E12" s="272">
        <f>_xlfn.XLOOKUP($D12,Table32[Color_Name],Table32[Hex_Code],,0,)</f>
        <v/>
      </c>
      <c r="F12" s="189" t="n">
        <v>1</v>
      </c>
      <c r="G12" s="189" t="n">
        <v>1</v>
      </c>
      <c r="H12" s="189" t="inlineStr">
        <is>
          <t>Dotted</t>
        </is>
      </c>
      <c r="I12" s="280" t="n"/>
    </row>
    <row r="13">
      <c r="A13" s="296">
        <f>ROW()-1</f>
        <v/>
      </c>
      <c r="B13" s="272">
        <f>_xlfn.XLOOKUP(C13,Tab_Def_Flows[Name(EN)],Tab_Def_Flows[Flow_ID],,0,)</f>
        <v/>
      </c>
      <c r="C13" s="272">
        <f>Tab_Def_Flows[[#This Row],[Name(EN)]]</f>
        <v/>
      </c>
      <c r="D13" s="189" t="inlineStr">
        <is>
          <t>Light Blue</t>
        </is>
      </c>
      <c r="E13" s="272">
        <f>_xlfn.XLOOKUP($D13,Table32[Color_Name],Table32[Hex_Code],,0,)</f>
        <v/>
      </c>
      <c r="F13" s="189" t="n">
        <v>1</v>
      </c>
      <c r="G13" s="189" t="n">
        <v>1</v>
      </c>
      <c r="H13" s="189" t="inlineStr">
        <is>
          <t>Dotted</t>
        </is>
      </c>
      <c r="I13" s="280" t="n"/>
    </row>
    <row r="14">
      <c r="A14" s="296">
        <f>ROW()-1</f>
        <v/>
      </c>
      <c r="B14" s="272">
        <f>_xlfn.XLOOKUP(C14,Tab_Def_Flows[Name(EN)],Tab_Def_Flows[Flow_ID],,0,)</f>
        <v/>
      </c>
      <c r="C14" s="272">
        <f>Tab_Def_Flows[[#This Row],[Name(EN)]]</f>
        <v/>
      </c>
      <c r="D14" s="189" t="inlineStr">
        <is>
          <t>Light Blue</t>
        </is>
      </c>
      <c r="E14" s="272">
        <f>_xlfn.XLOOKUP($D14,Table32[Color_Name],Table32[Hex_Code],,0,)</f>
        <v/>
      </c>
      <c r="F14" s="189" t="n">
        <v>1</v>
      </c>
      <c r="G14" s="189" t="n">
        <v>1</v>
      </c>
      <c r="H14" s="189" t="inlineStr">
        <is>
          <t>Dotted</t>
        </is>
      </c>
      <c r="I14" s="280" t="n"/>
    </row>
    <row r="15">
      <c r="A15" s="296">
        <f>ROW()-1</f>
        <v/>
      </c>
      <c r="B15" s="272">
        <f>_xlfn.XLOOKUP(C15,Tab_Def_Flows[Name(EN)],Tab_Def_Flows[Flow_ID],,0,)</f>
        <v/>
      </c>
      <c r="C15" s="272">
        <f>Tab_Def_Flows[[#This Row],[Name(EN)]]</f>
        <v/>
      </c>
      <c r="D15" s="189" t="inlineStr">
        <is>
          <t>Light Blue</t>
        </is>
      </c>
      <c r="E15" s="272">
        <f>_xlfn.XLOOKUP($D15,Table32[Color_Name],Table32[Hex_Code],,0,)</f>
        <v/>
      </c>
      <c r="F15" s="189" t="n">
        <v>1</v>
      </c>
      <c r="G15" s="189" t="n">
        <v>1</v>
      </c>
      <c r="H15" s="189" t="inlineStr">
        <is>
          <t>Dotted</t>
        </is>
      </c>
      <c r="I15" s="280" t="n"/>
    </row>
    <row r="16">
      <c r="A16" s="296">
        <f>ROW()-1</f>
        <v/>
      </c>
      <c r="B16" s="272">
        <f>_xlfn.XLOOKUP(C16,Tab_Def_Flows[Name(EN)],Tab_Def_Flows[Flow_ID],,0,)</f>
        <v/>
      </c>
      <c r="C16" s="272">
        <f>Tab_Def_Flows[[#This Row],[Name(EN)]]</f>
        <v/>
      </c>
      <c r="D16" s="189" t="inlineStr">
        <is>
          <t>Light Blue</t>
        </is>
      </c>
      <c r="E16" s="272">
        <f>_xlfn.XLOOKUP($D16,Table32[Color_Name],Table32[Hex_Code],,0,)</f>
        <v/>
      </c>
      <c r="F16" s="189" t="n">
        <v>1</v>
      </c>
      <c r="G16" s="189" t="n">
        <v>1</v>
      </c>
      <c r="H16" s="189" t="inlineStr">
        <is>
          <t>Dotted</t>
        </is>
      </c>
      <c r="I16" s="280" t="n"/>
    </row>
    <row r="17">
      <c r="A17" s="296">
        <f>ROW()-1</f>
        <v/>
      </c>
      <c r="B17" s="272">
        <f>_xlfn.XLOOKUP(C17,Tab_Def_Flows[Name(EN)],Tab_Def_Flows[Flow_ID],,0,)</f>
        <v/>
      </c>
      <c r="C17" s="272">
        <f>Tab_Def_Flows[[#This Row],[Name(EN)]]</f>
        <v/>
      </c>
      <c r="D17" s="189" t="inlineStr">
        <is>
          <t>Light Blue</t>
        </is>
      </c>
      <c r="E17" s="272">
        <f>_xlfn.XLOOKUP($D17,Table32[Color_Name],Table32[Hex_Code],,0,)</f>
        <v/>
      </c>
      <c r="F17" s="189" t="n">
        <v>1</v>
      </c>
      <c r="G17" s="189" t="n">
        <v>1</v>
      </c>
      <c r="H17" s="189" t="inlineStr">
        <is>
          <t>Dotted</t>
        </is>
      </c>
      <c r="I17" s="280" t="n"/>
    </row>
    <row r="18">
      <c r="A18" s="296">
        <f>ROW()-1</f>
        <v/>
      </c>
      <c r="B18" s="272">
        <f>_xlfn.XLOOKUP(C18,Tab_Def_Flows[Name(EN)],Tab_Def_Flows[Flow_ID],,0,)</f>
        <v/>
      </c>
      <c r="C18" s="272">
        <f>Tab_Def_Flows[[#This Row],[Name(EN)]]</f>
        <v/>
      </c>
      <c r="D18" s="189" t="inlineStr">
        <is>
          <t>Light Blue</t>
        </is>
      </c>
      <c r="E18" s="272">
        <f>_xlfn.XLOOKUP($D18,Table32[Color_Name],Table32[Hex_Code],,0,)</f>
        <v/>
      </c>
      <c r="F18" s="189" t="n">
        <v>1</v>
      </c>
      <c r="G18" s="189" t="n">
        <v>1</v>
      </c>
      <c r="H18" s="189" t="inlineStr">
        <is>
          <t>Dotted</t>
        </is>
      </c>
      <c r="I18" s="280" t="n"/>
    </row>
    <row r="19">
      <c r="A19" s="296">
        <f>ROW()-1</f>
        <v/>
      </c>
      <c r="B19" s="272">
        <f>_xlfn.XLOOKUP(C19,Tab_Def_Flows[Name(EN)],Tab_Def_Flows[Flow_ID],,0,)</f>
        <v/>
      </c>
      <c r="C19" s="272">
        <f>Tab_Def_Flows[[#This Row],[Name(EN)]]</f>
        <v/>
      </c>
      <c r="D19" s="189" t="inlineStr">
        <is>
          <t>Light Blue</t>
        </is>
      </c>
      <c r="E19" s="272">
        <f>_xlfn.XLOOKUP($D19,Table32[Color_Name],Table32[Hex_Code],,0,)</f>
        <v/>
      </c>
      <c r="F19" s="189" t="n">
        <v>1</v>
      </c>
      <c r="G19" s="189" t="n">
        <v>1</v>
      </c>
      <c r="H19" s="189" t="inlineStr">
        <is>
          <t>Dotted</t>
        </is>
      </c>
      <c r="I19" s="280" t="n"/>
    </row>
    <row r="20">
      <c r="A20" s="296">
        <f>ROW()-1</f>
        <v/>
      </c>
      <c r="B20" s="272">
        <f>_xlfn.XLOOKUP(C20,Tab_Def_Flows[Name(EN)],Tab_Def_Flows[Flow_ID],,0,)</f>
        <v/>
      </c>
      <c r="C20" s="272">
        <f>Tab_Def_Flows[[#This Row],[Name(EN)]]</f>
        <v/>
      </c>
      <c r="D20" s="189" t="inlineStr">
        <is>
          <t>Light Blue</t>
        </is>
      </c>
      <c r="E20" s="272">
        <f>_xlfn.XLOOKUP($D20,Table32[Color_Name],Table32[Hex_Code],,0,)</f>
        <v/>
      </c>
      <c r="F20" s="189" t="n">
        <v>1</v>
      </c>
      <c r="G20" s="189" t="n">
        <v>1</v>
      </c>
      <c r="H20" s="189" t="inlineStr">
        <is>
          <t>Dotted</t>
        </is>
      </c>
      <c r="I20" s="280" t="n"/>
    </row>
    <row r="21">
      <c r="A21" s="296">
        <f>ROW()-1</f>
        <v/>
      </c>
      <c r="B21" s="272">
        <f>_xlfn.XLOOKUP(C21,Tab_Def_Flows[Name(EN)],Tab_Def_Flows[Flow_ID],,0,)</f>
        <v/>
      </c>
      <c r="C21" s="272">
        <f>Tab_Def_Flows[[#This Row],[Name(EN)]]</f>
        <v/>
      </c>
      <c r="D21" s="189" t="inlineStr">
        <is>
          <t>Light Blue</t>
        </is>
      </c>
      <c r="E21" s="272">
        <f>_xlfn.XLOOKUP($D21,Table32[Color_Name],Table32[Hex_Code],,0,)</f>
        <v/>
      </c>
      <c r="F21" s="189" t="n">
        <v>1</v>
      </c>
      <c r="G21" s="189" t="n">
        <v>1</v>
      </c>
      <c r="H21" s="189" t="inlineStr">
        <is>
          <t>Dotted</t>
        </is>
      </c>
      <c r="I21" s="280" t="n"/>
    </row>
    <row r="22">
      <c r="A22" s="296">
        <f>ROW()-1</f>
        <v/>
      </c>
      <c r="B22" s="272">
        <f>_xlfn.XLOOKUP(C22,Tab_Def_Flows[Name(EN)],Tab_Def_Flows[Flow_ID],,0,)</f>
        <v/>
      </c>
      <c r="C22" s="272">
        <f>Tab_Def_Flows[[#This Row],[Name(EN)]]</f>
        <v/>
      </c>
      <c r="D22" s="189" t="n"/>
      <c r="E22" s="272">
        <f>_xlfn.XLOOKUP($D22,Table32[Color_Name],Table32[Hex_Code],,0,)</f>
        <v/>
      </c>
      <c r="F22" s="189" t="n"/>
      <c r="G22" s="189" t="n"/>
      <c r="H22" s="189" t="n"/>
      <c r="I22" s="280" t="n"/>
    </row>
    <row r="23">
      <c r="A23" s="296">
        <f>ROW()-1</f>
        <v/>
      </c>
      <c r="B23" s="272">
        <f>_xlfn.XLOOKUP(C23,Tab_Def_Flows[Name(EN)],Tab_Def_Flows[Flow_ID],,0,)</f>
        <v/>
      </c>
      <c r="C23" s="272">
        <f>Tab_Def_Flows[[#This Row],[Name(EN)]]</f>
        <v/>
      </c>
      <c r="D23" s="189" t="n"/>
      <c r="E23" s="272">
        <f>_xlfn.XLOOKUP($D23,Table32[Color_Name],Table32[Hex_Code],,0,)</f>
        <v/>
      </c>
      <c r="F23" s="189" t="n"/>
      <c r="G23" s="189" t="n"/>
      <c r="H23" s="189" t="n"/>
      <c r="I23" s="280" t="n"/>
    </row>
    <row r="24">
      <c r="A24" s="296">
        <f>ROW()-1</f>
        <v/>
      </c>
      <c r="B24" s="272">
        <f>_xlfn.XLOOKUP(C24,Tab_Def_Flows[Name(EN)],Tab_Def_Flows[Flow_ID],,0,)</f>
        <v/>
      </c>
      <c r="C24" s="272">
        <f>Tab_Def_Flows[[#This Row],[Name(EN)]]</f>
        <v/>
      </c>
      <c r="D24" s="189" t="n"/>
      <c r="E24" s="272">
        <f>_xlfn.XLOOKUP($D24,Table32[Color_Name],Table32[Hex_Code],,0,)</f>
        <v/>
      </c>
      <c r="F24" s="189" t="n"/>
      <c r="G24" s="189" t="n"/>
      <c r="H24" s="189" t="n"/>
      <c r="I24" s="280" t="n"/>
    </row>
    <row r="25">
      <c r="A25" s="296">
        <f>ROW()-1</f>
        <v/>
      </c>
      <c r="B25" s="272">
        <f>_xlfn.XLOOKUP(C25,Tab_Def_Flows[Name(EN)],Tab_Def_Flows[Flow_ID],,0,)</f>
        <v/>
      </c>
      <c r="C25" s="272">
        <f>Tab_Def_Flows[[#This Row],[Name(EN)]]</f>
        <v/>
      </c>
      <c r="D25" s="189" t="n"/>
      <c r="E25" s="272">
        <f>_xlfn.XLOOKUP($D25,Table32[Color_Name],Table32[Hex_Code],,0,)</f>
        <v/>
      </c>
      <c r="F25" s="189" t="n"/>
      <c r="G25" s="189" t="n"/>
      <c r="H25" s="189" t="n"/>
      <c r="I25" s="280" t="n"/>
    </row>
    <row r="26">
      <c r="A26" s="296">
        <f>ROW()-1</f>
        <v/>
      </c>
      <c r="B26" s="272">
        <f>_xlfn.XLOOKUP(C26,Tab_Def_Flows[Name(EN)],Tab_Def_Flows[Flow_ID],,0,)</f>
        <v/>
      </c>
      <c r="C26" s="272">
        <f>Tab_Def_Flows[[#This Row],[Name(EN)]]</f>
        <v/>
      </c>
      <c r="D26" s="189" t="n"/>
      <c r="E26" s="272">
        <f>_xlfn.XLOOKUP($D26,Table32[Color_Name],Table32[Hex_Code],,0,)</f>
        <v/>
      </c>
      <c r="F26" s="189" t="n"/>
      <c r="G26" s="189" t="n"/>
      <c r="H26" s="189" t="n"/>
      <c r="I26" s="280" t="n"/>
    </row>
    <row r="27">
      <c r="A27" s="296">
        <f>ROW()-1</f>
        <v/>
      </c>
      <c r="B27" s="272">
        <f>_xlfn.XLOOKUP(C27,Tab_Def_Flows[Name(EN)],Tab_Def_Flows[Flow_ID],,0,)</f>
        <v/>
      </c>
      <c r="C27" s="272">
        <f>Tab_Def_Flows[[#This Row],[Name(EN)]]</f>
        <v/>
      </c>
      <c r="D27" s="189" t="n"/>
      <c r="E27" s="272">
        <f>_xlfn.XLOOKUP($D27,Table32[Color_Name],Table32[Hex_Code],,0,)</f>
        <v/>
      </c>
      <c r="F27" s="189" t="n"/>
      <c r="G27" s="189" t="n"/>
      <c r="H27" s="189" t="n"/>
      <c r="I27" s="280" t="n"/>
    </row>
    <row r="28">
      <c r="A28" s="296">
        <f>ROW()-1</f>
        <v/>
      </c>
      <c r="B28" s="272">
        <f>_xlfn.XLOOKUP(C28,Tab_Def_Flows[Name(EN)],Tab_Def_Flows[Flow_ID],,0,)</f>
        <v/>
      </c>
      <c r="C28" s="272">
        <f>Tab_Def_Flows[[#This Row],[Name(EN)]]</f>
        <v/>
      </c>
      <c r="D28" s="189" t="n"/>
      <c r="E28" s="272">
        <f>_xlfn.XLOOKUP($D28,Table32[Color_Name],Table32[Hex_Code],,0,)</f>
        <v/>
      </c>
      <c r="F28" s="189" t="n"/>
      <c r="G28" s="189" t="n"/>
      <c r="H28" s="189" t="n"/>
      <c r="I28" s="280" t="n"/>
    </row>
    <row r="29">
      <c r="A29" s="296">
        <f>ROW()-1</f>
        <v/>
      </c>
      <c r="B29" s="272">
        <f>_xlfn.XLOOKUP(C29,Tab_Def_Flows[Name(EN)],Tab_Def_Flows[Flow_ID],,0,)</f>
        <v/>
      </c>
      <c r="C29" s="272">
        <f>Tab_Def_Flows[[#This Row],[Name(EN)]]</f>
        <v/>
      </c>
      <c r="D29" s="189" t="n"/>
      <c r="E29" s="272">
        <f>_xlfn.XLOOKUP($D29,Table32[Color_Name],Table32[Hex_Code],,0,)</f>
        <v/>
      </c>
      <c r="F29" s="189" t="n"/>
      <c r="G29" s="189" t="n"/>
      <c r="H29" s="189" t="n"/>
      <c r="I29" s="280" t="n"/>
    </row>
    <row r="30">
      <c r="A30" s="296">
        <f>ROW()-1</f>
        <v/>
      </c>
      <c r="B30" s="272">
        <f>_xlfn.XLOOKUP(C30,Tab_Def_Flows[Name(EN)],Tab_Def_Flows[Flow_ID],,0,)</f>
        <v/>
      </c>
      <c r="C30" s="272">
        <f>Tab_Def_Flows[[#This Row],[Name(EN)]]</f>
        <v/>
      </c>
      <c r="D30" s="189" t="n"/>
      <c r="E30" s="272">
        <f>_xlfn.XLOOKUP($D30,Table32[Color_Name],Table32[Hex_Code],,0,)</f>
        <v/>
      </c>
      <c r="F30" s="189" t="n"/>
      <c r="G30" s="189" t="n"/>
      <c r="H30" s="189" t="n"/>
      <c r="I30" s="280" t="n"/>
    </row>
    <row r="31">
      <c r="A31" s="296">
        <f>ROW()-1</f>
        <v/>
      </c>
      <c r="B31" s="272">
        <f>_xlfn.XLOOKUP(C31,Tab_Def_Flows[Name(EN)],Tab_Def_Flows[Flow_ID],,0,)</f>
        <v/>
      </c>
      <c r="C31" s="272">
        <f>Tab_Def_Flows[[#This Row],[Name(EN)]]</f>
        <v/>
      </c>
      <c r="D31" s="189" t="n"/>
      <c r="E31" s="272">
        <f>_xlfn.XLOOKUP($D31,Table32[Color_Name],Table32[Hex_Code],,0,)</f>
        <v/>
      </c>
      <c r="F31" s="189" t="n"/>
      <c r="G31" s="189" t="n"/>
      <c r="H31" s="189" t="n"/>
      <c r="I31" s="280" t="n"/>
    </row>
    <row r="32">
      <c r="A32" s="296">
        <f>ROW()-1</f>
        <v/>
      </c>
      <c r="B32" s="272">
        <f>_xlfn.XLOOKUP(C32,Tab_Def_Flows[Name(EN)],Tab_Def_Flows[Flow_ID],,0,)</f>
        <v/>
      </c>
      <c r="C32" s="272">
        <f>Tab_Def_Flows[[#This Row],[Name(EN)]]</f>
        <v/>
      </c>
      <c r="D32" s="189" t="n"/>
      <c r="E32" s="272">
        <f>_xlfn.XLOOKUP($D32,Table32[Color_Name],Table32[Hex_Code],,0,)</f>
        <v/>
      </c>
      <c r="F32" s="189" t="n"/>
      <c r="G32" s="189" t="n"/>
      <c r="H32" s="189" t="n"/>
      <c r="I32" s="280" t="n"/>
    </row>
    <row r="33">
      <c r="A33" s="296">
        <f>ROW()-1</f>
        <v/>
      </c>
      <c r="B33" s="272">
        <f>_xlfn.XLOOKUP(C33,Tab_Def_Flows[Name(EN)],Tab_Def_Flows[Flow_ID],,0,)</f>
        <v/>
      </c>
      <c r="C33" s="272">
        <f>Tab_Def_Flows[[#This Row],[Name(EN)]]</f>
        <v/>
      </c>
      <c r="D33" s="189" t="n"/>
      <c r="E33" s="272">
        <f>_xlfn.XLOOKUP($D33,Table32[Color_Name],Table32[Hex_Code],,0,)</f>
        <v/>
      </c>
      <c r="F33" s="189" t="n"/>
      <c r="G33" s="189" t="n"/>
      <c r="H33" s="189" t="n"/>
      <c r="I33" s="280" t="n"/>
    </row>
    <row r="34">
      <c r="A34" s="296">
        <f>ROW()-1</f>
        <v/>
      </c>
      <c r="B34" s="272">
        <f>_xlfn.XLOOKUP(C34,Tab_Def_Flows[Name(EN)],Tab_Def_Flows[Flow_ID],,0,)</f>
        <v/>
      </c>
      <c r="C34" s="272">
        <f>Tab_Def_Flows[[#This Row],[Name(EN)]]</f>
        <v/>
      </c>
      <c r="D34" s="189" t="n"/>
      <c r="E34" s="272">
        <f>_xlfn.XLOOKUP($D34,Table32[Color_Name],Table32[Hex_Code],,0,)</f>
        <v/>
      </c>
      <c r="F34" s="189" t="n"/>
      <c r="G34" s="189" t="n"/>
      <c r="H34" s="189" t="n"/>
      <c r="I34" s="280" t="n"/>
    </row>
    <row r="35">
      <c r="A35" s="296">
        <f>ROW()-1</f>
        <v/>
      </c>
      <c r="B35" s="272">
        <f>_xlfn.XLOOKUP(C35,Tab_Def_Flows[Name(EN)],Tab_Def_Flows[Flow_ID],,0,)</f>
        <v/>
      </c>
      <c r="C35" s="272">
        <f>Tab_Def_Flows[[#This Row],[Name(EN)]]</f>
        <v/>
      </c>
      <c r="D35" s="189" t="n"/>
      <c r="E35" s="272">
        <f>_xlfn.XLOOKUP($D35,Table32[Color_Name],Table32[Hex_Code],,0,)</f>
        <v/>
      </c>
      <c r="F35" s="189" t="n"/>
      <c r="G35" s="189" t="n"/>
      <c r="H35" s="189" t="n"/>
      <c r="I35" s="280" t="n"/>
    </row>
    <row r="36">
      <c r="A36" s="296">
        <f>ROW()-1</f>
        <v/>
      </c>
      <c r="B36" s="272">
        <f>_xlfn.XLOOKUP(C36,Tab_Def_Flows[Name(EN)],Tab_Def_Flows[Flow_ID],,0,)</f>
        <v/>
      </c>
      <c r="C36" s="272">
        <f>Tab_Def_Flows[[#This Row],[Name(EN)]]</f>
        <v/>
      </c>
      <c r="D36" s="189" t="n"/>
      <c r="E36" s="272">
        <f>_xlfn.XLOOKUP($D36,Table32[Color_Name],Table32[Hex_Code],,0,)</f>
        <v/>
      </c>
      <c r="F36" s="189" t="n"/>
      <c r="G36" s="189" t="n"/>
      <c r="H36" s="189" t="n"/>
      <c r="I36" s="280" t="n"/>
    </row>
    <row r="37">
      <c r="A37" s="296">
        <f>ROW()-1</f>
        <v/>
      </c>
      <c r="B37" s="272">
        <f>_xlfn.XLOOKUP(C37,Tab_Def_Flows[Name(EN)],Tab_Def_Flows[Flow_ID],,0,)</f>
        <v/>
      </c>
      <c r="C37" s="272">
        <f>Tab_Def_Flows[[#This Row],[Name(EN)]]</f>
        <v/>
      </c>
      <c r="D37" s="189" t="n"/>
      <c r="E37" s="272">
        <f>_xlfn.XLOOKUP($D37,Table32[Color_Name],Table32[Hex_Code],,0,)</f>
        <v/>
      </c>
      <c r="F37" s="189" t="n"/>
      <c r="G37" s="189" t="n"/>
      <c r="H37" s="189" t="n"/>
      <c r="I37" s="280" t="n"/>
    </row>
    <row r="38">
      <c r="A38" s="296">
        <f>ROW()-1</f>
        <v/>
      </c>
      <c r="B38" s="272">
        <f>_xlfn.XLOOKUP(C38,Tab_Def_Flows[Name(EN)],Tab_Def_Flows[Flow_ID],,0,)</f>
        <v/>
      </c>
      <c r="C38" s="272">
        <f>Tab_Def_Flows[[#This Row],[Name(EN)]]</f>
        <v/>
      </c>
      <c r="D38" s="189" t="n"/>
      <c r="E38" s="272">
        <f>_xlfn.XLOOKUP($D38,Table32[Color_Name],Table32[Hex_Code],,0,)</f>
        <v/>
      </c>
      <c r="F38" s="189" t="n"/>
      <c r="G38" s="189" t="n"/>
      <c r="H38" s="189" t="n"/>
      <c r="I38" s="280" t="n"/>
    </row>
    <row r="39">
      <c r="A39" s="296">
        <f>ROW()-1</f>
        <v/>
      </c>
      <c r="B39" s="272">
        <f>_xlfn.XLOOKUP(C39,Tab_Def_Flows[Name(EN)],Tab_Def_Flows[Flow_ID],,0,)</f>
        <v/>
      </c>
      <c r="C39" s="272">
        <f>Tab_Def_Flows[[#This Row],[Name(EN)]]</f>
        <v/>
      </c>
      <c r="D39" s="189" t="n"/>
      <c r="E39" s="272">
        <f>_xlfn.XLOOKUP($D39,Table32[Color_Name],Table32[Hex_Code],,0,)</f>
        <v/>
      </c>
      <c r="F39" s="189" t="n"/>
      <c r="G39" s="189" t="n"/>
      <c r="H39" s="189" t="n"/>
      <c r="I39" s="280" t="n"/>
    </row>
    <row r="40">
      <c r="A40" s="296">
        <f>ROW()-1</f>
        <v/>
      </c>
      <c r="B40" s="272">
        <f>_xlfn.XLOOKUP(C40,Tab_Def_Flows[Name(EN)],Tab_Def_Flows[Flow_ID],,0,)</f>
        <v/>
      </c>
      <c r="C40" s="272">
        <f>Tab_Def_Flows[[#This Row],[Name(EN)]]</f>
        <v/>
      </c>
      <c r="D40" s="189" t="n"/>
      <c r="E40" s="272">
        <f>_xlfn.XLOOKUP($D40,Table32[Color_Name],Table32[Hex_Code],,0,)</f>
        <v/>
      </c>
      <c r="F40" s="189" t="n"/>
      <c r="G40" s="189" t="n"/>
      <c r="H40" s="189" t="n"/>
      <c r="I40" s="280" t="n"/>
    </row>
    <row r="41">
      <c r="A41" s="296">
        <f>ROW()-1</f>
        <v/>
      </c>
      <c r="B41" s="272">
        <f>_xlfn.XLOOKUP(C41,Tab_Def_Flows[Name(EN)],Tab_Def_Flows[Flow_ID],,0,)</f>
        <v/>
      </c>
      <c r="C41" s="272">
        <f>Tab_Def_Flows[[#This Row],[Name(EN)]]</f>
        <v/>
      </c>
      <c r="D41" s="189" t="n"/>
      <c r="E41" s="272">
        <f>_xlfn.XLOOKUP($D41,Table32[Color_Name],Table32[Hex_Code],,0,)</f>
        <v/>
      </c>
      <c r="F41" s="189" t="n"/>
      <c r="G41" s="189" t="n"/>
      <c r="H41" s="189" t="n"/>
      <c r="I41" s="280" t="n"/>
    </row>
    <row r="42">
      <c r="A42" s="296">
        <f>ROW()-1</f>
        <v/>
      </c>
      <c r="B42" s="272">
        <f>_xlfn.XLOOKUP(C42,Tab_Def_Flows[Name(EN)],Tab_Def_Flows[Flow_ID],,0,)</f>
        <v/>
      </c>
      <c r="C42" s="272">
        <f>Tab_Def_Flows[[#This Row],[Name(EN)]]</f>
        <v/>
      </c>
      <c r="D42" s="189" t="n"/>
      <c r="E42" s="272">
        <f>_xlfn.XLOOKUP($D42,Table32[Color_Name],Table32[Hex_Code],,0,)</f>
        <v/>
      </c>
      <c r="F42" s="189" t="n"/>
      <c r="G42" s="189" t="n"/>
      <c r="H42" s="189" t="n"/>
      <c r="I42" s="280" t="n"/>
    </row>
    <row r="43">
      <c r="A43" s="296">
        <f>ROW()-1</f>
        <v/>
      </c>
      <c r="B43" s="272">
        <f>_xlfn.XLOOKUP(C43,Tab_Def_Flows[Name(EN)],Tab_Def_Flows[Flow_ID],,0,)</f>
        <v/>
      </c>
      <c r="C43" s="272">
        <f>Tab_Def_Flows[[#This Row],[Name(EN)]]</f>
        <v/>
      </c>
      <c r="D43" s="189" t="n"/>
      <c r="E43" s="272">
        <f>_xlfn.XLOOKUP($D43,Table32[Color_Name],Table32[Hex_Code],,0,)</f>
        <v/>
      </c>
      <c r="F43" s="189" t="n"/>
      <c r="G43" s="189" t="n"/>
      <c r="H43" s="189" t="n"/>
      <c r="I43" s="280" t="n"/>
    </row>
    <row r="44">
      <c r="A44" s="296">
        <f>ROW()-1</f>
        <v/>
      </c>
      <c r="B44" s="272">
        <f>_xlfn.XLOOKUP(C44,Tab_Def_Flows[Name(EN)],Tab_Def_Flows[Flow_ID],,0,)</f>
        <v/>
      </c>
      <c r="C44" s="272">
        <f>Tab_Def_Flows[[#This Row],[Name(EN)]]</f>
        <v/>
      </c>
      <c r="D44" s="189" t="n"/>
      <c r="E44" s="272">
        <f>_xlfn.XLOOKUP($D44,Table32[Color_Name],Table32[Hex_Code],,0,)</f>
        <v/>
      </c>
      <c r="F44" s="189" t="n"/>
      <c r="G44" s="189" t="n"/>
      <c r="H44" s="189" t="n"/>
      <c r="I44" s="280" t="n"/>
    </row>
    <row r="45">
      <c r="A45" s="296">
        <f>ROW()-1</f>
        <v/>
      </c>
      <c r="B45" s="272">
        <f>_xlfn.XLOOKUP(C45,Tab_Def_Flows[Name(EN)],Tab_Def_Flows[Flow_ID],,0,)</f>
        <v/>
      </c>
      <c r="C45" s="272">
        <f>Tab_Def_Flows[[#This Row],[Name(EN)]]</f>
        <v/>
      </c>
      <c r="D45" s="189" t="n"/>
      <c r="E45" s="272">
        <f>_xlfn.XLOOKUP($D45,Table32[Color_Name],Table32[Hex_Code],,0,)</f>
        <v/>
      </c>
      <c r="F45" s="189" t="n"/>
      <c r="G45" s="189" t="n"/>
      <c r="H45" s="189" t="n"/>
      <c r="I45" s="280" t="n"/>
    </row>
    <row r="46">
      <c r="A46" s="296">
        <f>ROW()-1</f>
        <v/>
      </c>
      <c r="B46" s="272">
        <f>_xlfn.XLOOKUP(C46,Tab_Def_Flows[Name(EN)],Tab_Def_Flows[Flow_ID],,0,)</f>
        <v/>
      </c>
      <c r="C46" s="272">
        <f>Tab_Def_Flows[[#This Row],[Name(EN)]]</f>
        <v/>
      </c>
      <c r="D46" s="189" t="n"/>
      <c r="E46" s="272">
        <f>_xlfn.XLOOKUP($D46,Table32[Color_Name],Table32[Hex_Code],,0,)</f>
        <v/>
      </c>
      <c r="F46" s="189" t="n"/>
      <c r="G46" s="189" t="n"/>
      <c r="H46" s="189" t="n"/>
      <c r="I46" s="280" t="n"/>
    </row>
    <row r="47">
      <c r="A47" s="296">
        <f>ROW()-1</f>
        <v/>
      </c>
      <c r="B47" s="272">
        <f>_xlfn.XLOOKUP(C47,Tab_Def_Flows[Name(EN)],Tab_Def_Flows[Flow_ID],,0,)</f>
        <v/>
      </c>
      <c r="C47" s="272">
        <f>Tab_Def_Flows[[#This Row],[Name(EN)]]</f>
        <v/>
      </c>
      <c r="D47" s="189" t="n"/>
      <c r="E47" s="272">
        <f>_xlfn.XLOOKUP($D47,Table32[Color_Name],Table32[Hex_Code],,0,)</f>
        <v/>
      </c>
      <c r="F47" s="189" t="n"/>
      <c r="G47" s="189" t="n"/>
      <c r="H47" s="189" t="n"/>
      <c r="I47" s="280" t="n"/>
    </row>
    <row r="48">
      <c r="A48" s="296">
        <f>ROW()-1</f>
        <v/>
      </c>
      <c r="B48" s="272">
        <f>_xlfn.XLOOKUP(C48,Tab_Def_Flows[Name(EN)],Tab_Def_Flows[Flow_ID],,0,)</f>
        <v/>
      </c>
      <c r="C48" s="272">
        <f>Tab_Def_Flows[[#This Row],[Name(EN)]]</f>
        <v/>
      </c>
      <c r="D48" s="189" t="n"/>
      <c r="E48" s="272">
        <f>_xlfn.XLOOKUP($D48,Table32[Color_Name],Table32[Hex_Code],,0,)</f>
        <v/>
      </c>
      <c r="F48" s="189" t="n"/>
      <c r="G48" s="189" t="n"/>
      <c r="H48" s="189" t="n"/>
      <c r="I48" s="280" t="n"/>
    </row>
    <row r="49">
      <c r="A49" s="296">
        <f>ROW()-1</f>
        <v/>
      </c>
      <c r="B49" s="272">
        <f>_xlfn.XLOOKUP(C49,Tab_Def_Flows[Name(EN)],Tab_Def_Flows[Flow_ID],,0,)</f>
        <v/>
      </c>
      <c r="C49" s="272">
        <f>Tab_Def_Flows[[#This Row],[Name(EN)]]</f>
        <v/>
      </c>
      <c r="D49" s="189" t="n"/>
      <c r="E49" s="272">
        <f>_xlfn.XLOOKUP($D49,Table32[Color_Name],Table32[Hex_Code],,0,)</f>
        <v/>
      </c>
      <c r="F49" s="189" t="n"/>
      <c r="G49" s="189" t="n"/>
      <c r="H49" s="189" t="n"/>
      <c r="I49" s="280" t="n"/>
    </row>
    <row r="50">
      <c r="A50" s="296">
        <f>ROW()-1</f>
        <v/>
      </c>
      <c r="B50" s="272">
        <f>_xlfn.XLOOKUP(C50,Tab_Def_Flows[Name(EN)],Tab_Def_Flows[Flow_ID],,0,)</f>
        <v/>
      </c>
      <c r="C50" s="272">
        <f>Tab_Def_Flows[[#This Row],[Name(EN)]]</f>
        <v/>
      </c>
      <c r="D50" s="189" t="n"/>
      <c r="E50" s="272">
        <f>_xlfn.XLOOKUP($D50,Table32[Color_Name],Table32[Hex_Code],,0,)</f>
        <v/>
      </c>
      <c r="F50" s="189" t="n"/>
      <c r="G50" s="189" t="n"/>
      <c r="H50" s="189" t="n"/>
      <c r="I50" s="280" t="n"/>
    </row>
    <row r="51">
      <c r="A51" s="296">
        <f>ROW()-1</f>
        <v/>
      </c>
      <c r="B51" s="272">
        <f>_xlfn.XLOOKUP(C51,Tab_Def_Flows[Name(EN)],Tab_Def_Flows[Flow_ID],,0,)</f>
        <v/>
      </c>
      <c r="C51" s="272">
        <f>Tab_Def_Flows[[#This Row],[Name(EN)]]</f>
        <v/>
      </c>
      <c r="D51" s="189" t="n"/>
      <c r="E51" s="272">
        <f>_xlfn.XLOOKUP($D51,Table32[Color_Name],Table32[Hex_Code],,0,)</f>
        <v/>
      </c>
      <c r="F51" s="189" t="n"/>
      <c r="G51" s="189" t="n"/>
      <c r="H51" s="189" t="n"/>
      <c r="I51" s="280" t="n"/>
    </row>
  </sheetData>
  <dataValidations count="2">
    <dataValidation sqref="G2:G51" showDropDown="0" showInputMessage="1" showErrorMessage="1" allowBlank="1" type="decimal">
      <formula1>0.1</formula1>
      <formula2>3</formula2>
    </dataValidation>
    <dataValidation sqref="F2:F51" showDropDown="0" showInputMessage="1" showErrorMessage="1" allowBlank="1" type="decimal">
      <formula1>0</formula1>
      <formula2>1</formula2>
    </dataValidation>
  </dataValidations>
  <pageMargins left="0.7" right="0.7" top="0.75" bottom="0.75" header="0.3" footer="0.3"/>
  <tableParts count="1">
    <tablePart xmlns:r="http://schemas.openxmlformats.org/officeDocument/2006/relationships" r:id="rId1"/>
  </tableParts>
</worksheet>
</file>

<file path=xl/worksheets/sheet17.xml><?xml version="1.0" encoding="utf-8"?>
<worksheet xmlns="http://schemas.openxmlformats.org/spreadsheetml/2006/main">
  <sheetPr>
    <outlinePr summaryBelow="1" summaryRight="1"/>
    <pageSetUpPr/>
  </sheetPr>
  <dimension ref="A1:N26"/>
  <sheetViews>
    <sheetView workbookViewId="0">
      <selection activeCell="A1" sqref="A1"/>
    </sheetView>
  </sheetViews>
  <sheetFormatPr baseColWidth="8" defaultRowHeight="15"/>
  <sheetData>
    <row r="1">
      <c r="A1" s="299" t="inlineStr">
        <is>
          <t>Setting</t>
        </is>
      </c>
      <c r="B1" s="299" t="inlineStr">
        <is>
          <t>Value</t>
        </is>
      </c>
      <c r="C1" s="299" t="inlineStr">
        <is>
          <t>Description</t>
        </is>
      </c>
      <c r="D1" s="299" t="inlineStr">
        <is>
          <t>Options</t>
        </is>
      </c>
      <c r="E1" s="299" t="inlineStr">
        <is>
          <t>Unnamed: 4</t>
        </is>
      </c>
      <c r="F1" s="299" t="inlineStr">
        <is>
          <t>Unnamed: 5</t>
        </is>
      </c>
      <c r="G1" s="299" t="inlineStr">
        <is>
          <t>Unnamed: 6</t>
        </is>
      </c>
      <c r="H1" s="299" t="inlineStr">
        <is>
          <t>Unnamed: 7</t>
        </is>
      </c>
      <c r="I1" s="299" t="inlineStr">
        <is>
          <t>Element</t>
        </is>
      </c>
      <c r="J1" s="299" t="inlineStr">
        <is>
          <t>Color</t>
        </is>
      </c>
      <c r="K1" s="299" t="inlineStr">
        <is>
          <t>Opacity</t>
        </is>
      </c>
      <c r="L1" s="299" t="inlineStr">
        <is>
          <t>Description.1</t>
        </is>
      </c>
      <c r="M1" s="299" t="inlineStr">
        <is>
          <t>Category</t>
        </is>
      </c>
      <c r="N1" s="299" t="inlineStr">
        <is>
          <t>Status</t>
        </is>
      </c>
    </row>
    <row r="2">
      <c r="A2" t="inlineStr">
        <is>
          <t>Default_Layout_Type</t>
        </is>
      </c>
      <c r="B2" t="inlineStr">
        <is>
          <t>Circular</t>
        </is>
      </c>
      <c r="C2" t="inlineStr">
        <is>
          <t>Default layout for circular systems</t>
        </is>
      </c>
      <c r="D2" t="inlineStr">
        <is>
          <t>Linear, Circular, Radial, Custom</t>
        </is>
      </c>
      <c r="E2" t="inlineStr"/>
      <c r="F2" t="inlineStr"/>
      <c r="G2" t="inlineStr"/>
      <c r="H2" t="inlineStr"/>
      <c r="I2" t="inlineStr">
        <is>
          <t>material</t>
        </is>
      </c>
      <c r="J2" t="inlineStr">
        <is>
          <t>#1f77b4</t>
        </is>
      </c>
      <c r="K2" t="n">
        <v>0.8</v>
      </c>
      <c r="L2" t="inlineStr">
        <is>
          <t>Material flows</t>
        </is>
      </c>
      <c r="M2" t="inlineStr"/>
      <c r="N2" t="inlineStr"/>
    </row>
    <row r="3">
      <c r="A3" t="inlineStr">
        <is>
          <t>Circular_Center_X</t>
        </is>
      </c>
      <c r="B3" t="inlineStr">
        <is>
          <t>0.5</t>
        </is>
      </c>
      <c r="C3" t="inlineStr">
        <is>
          <t>Center X position for circular layout</t>
        </is>
      </c>
      <c r="D3" t="inlineStr">
        <is>
          <t>0.0 to 1.0</t>
        </is>
      </c>
      <c r="E3" t="inlineStr"/>
      <c r="F3" t="inlineStr"/>
      <c r="G3" t="inlineStr"/>
      <c r="H3" t="inlineStr"/>
      <c r="I3" t="inlineStr">
        <is>
          <t>WC</t>
        </is>
      </c>
      <c r="J3" t="inlineStr">
        <is>
          <t>#ff7f0e</t>
        </is>
      </c>
      <c r="K3" t="n">
        <v>0.8</v>
      </c>
      <c r="L3" t="inlineStr">
        <is>
          <t>Water content</t>
        </is>
      </c>
      <c r="M3" t="inlineStr"/>
      <c r="N3" t="inlineStr"/>
    </row>
    <row r="4">
      <c r="A4" t="inlineStr">
        <is>
          <t>Circular_Center_Y</t>
        </is>
      </c>
      <c r="B4" t="inlineStr">
        <is>
          <t>0.5</t>
        </is>
      </c>
      <c r="C4" t="inlineStr">
        <is>
          <t>Center Y position for circular layout</t>
        </is>
      </c>
      <c r="D4" t="inlineStr">
        <is>
          <t>0.0 to 1.0</t>
        </is>
      </c>
      <c r="E4" t="inlineStr"/>
      <c r="F4" t="inlineStr"/>
      <c r="G4" t="inlineStr"/>
      <c r="H4" t="inlineStr"/>
      <c r="I4" t="inlineStr">
        <is>
          <t>DM</t>
        </is>
      </c>
      <c r="J4" t="inlineStr">
        <is>
          <t>#2ca02c</t>
        </is>
      </c>
      <c r="K4" t="n">
        <v>0.8</v>
      </c>
      <c r="L4" t="inlineStr">
        <is>
          <t>Dry matter</t>
        </is>
      </c>
      <c r="M4" t="inlineStr"/>
      <c r="N4" t="inlineStr"/>
    </row>
    <row r="5">
      <c r="A5" t="inlineStr">
        <is>
          <t>Circular_Radius</t>
        </is>
      </c>
      <c r="B5" t="inlineStr">
        <is>
          <t>0.3</t>
        </is>
      </c>
      <c r="C5" t="inlineStr">
        <is>
          <t>Radius for circular layout</t>
        </is>
      </c>
      <c r="D5" t="inlineStr">
        <is>
          <t>0.1 to 0.5</t>
        </is>
      </c>
      <c r="E5" t="inlineStr"/>
      <c r="F5" t="inlineStr"/>
      <c r="G5" t="inlineStr"/>
      <c r="H5" t="inlineStr"/>
      <c r="I5" t="inlineStr">
        <is>
          <t>CC</t>
        </is>
      </c>
      <c r="J5" t="inlineStr">
        <is>
          <t>#d62728</t>
        </is>
      </c>
      <c r="K5" t="n">
        <v>0.8</v>
      </c>
      <c r="L5" t="inlineStr">
        <is>
          <t>Carbon content</t>
        </is>
      </c>
      <c r="M5" t="inlineStr"/>
      <c r="N5" t="inlineStr"/>
    </row>
    <row r="6">
      <c r="A6" t="inlineStr">
        <is>
          <t>Node_Spacing</t>
        </is>
      </c>
      <c r="B6" t="inlineStr">
        <is>
          <t>0.1</t>
        </is>
      </c>
      <c r="C6" t="inlineStr">
        <is>
          <t>Minimum spacing between nodes</t>
        </is>
      </c>
      <c r="D6" t="inlineStr">
        <is>
          <t>0.05 to 0.2</t>
        </is>
      </c>
      <c r="E6" t="inlineStr"/>
      <c r="F6" t="inlineStr"/>
      <c r="G6" t="inlineStr"/>
      <c r="H6" t="inlineStr"/>
      <c r="I6" t="inlineStr"/>
      <c r="J6" t="inlineStr"/>
      <c r="K6" t="inlineStr"/>
      <c r="L6" t="inlineStr"/>
      <c r="M6" t="inlineStr"/>
      <c r="N6" t="inlineStr"/>
    </row>
    <row r="7">
      <c r="A7" t="inlineStr">
        <is>
          <t>Flow_Curvature</t>
        </is>
      </c>
      <c r="B7" t="inlineStr">
        <is>
          <t>0.5</t>
        </is>
      </c>
      <c r="C7" t="inlineStr">
        <is>
          <t>Curvature of flow lines (0=straight, 1=max curve)</t>
        </is>
      </c>
      <c r="D7" t="inlineStr">
        <is>
          <t>0.0 to 1.0</t>
        </is>
      </c>
      <c r="E7" t="inlineStr"/>
      <c r="F7" t="inlineStr"/>
      <c r="G7" t="inlineStr"/>
      <c r="H7" t="inlineStr"/>
      <c r="I7" t="inlineStr"/>
      <c r="J7" t="inlineStr"/>
      <c r="K7" t="inlineStr"/>
      <c r="L7" t="inlineStr"/>
      <c r="M7" t="inlineStr"/>
      <c r="N7" t="inlineStr"/>
    </row>
    <row r="8">
      <c r="A8" t="inlineStr">
        <is>
          <t>Show_Flow_Labels</t>
        </is>
      </c>
      <c r="B8" t="inlineStr">
        <is>
          <t>True</t>
        </is>
      </c>
      <c r="C8" t="inlineStr">
        <is>
          <t>Show flow values on links</t>
        </is>
      </c>
      <c r="D8" t="inlineStr">
        <is>
          <t>True, False</t>
        </is>
      </c>
      <c r="E8" t="inlineStr"/>
      <c r="F8" t="inlineStr"/>
      <c r="G8" t="inlineStr"/>
      <c r="H8" t="inlineStr"/>
      <c r="I8" t="inlineStr"/>
      <c r="J8" t="inlineStr"/>
      <c r="K8" t="inlineStr"/>
      <c r="L8" t="inlineStr"/>
      <c r="M8" t="inlineStr"/>
      <c r="N8" t="inlineStr"/>
    </row>
    <row r="9">
      <c r="A9" t="inlineStr">
        <is>
          <t>Show_Node_Labels</t>
        </is>
      </c>
      <c r="B9" t="inlineStr">
        <is>
          <t>True</t>
        </is>
      </c>
      <c r="C9" t="inlineStr">
        <is>
          <t>Show process names on nodes</t>
        </is>
      </c>
      <c r="D9" t="inlineStr">
        <is>
          <t>True, False</t>
        </is>
      </c>
      <c r="E9" t="inlineStr"/>
      <c r="F9" t="inlineStr"/>
      <c r="G9" t="inlineStr"/>
      <c r="H9" t="inlineStr"/>
      <c r="I9" t="inlineStr"/>
      <c r="J9" t="inlineStr"/>
      <c r="K9" t="inlineStr"/>
      <c r="L9" t="inlineStr"/>
      <c r="M9" t="inlineStr"/>
      <c r="N9" t="inlineStr"/>
    </row>
    <row r="10">
      <c r="A10" t="inlineStr">
        <is>
          <t>Background_Color</t>
        </is>
      </c>
      <c r="B10" t="inlineStr">
        <is>
          <t>#FFFFFF</t>
        </is>
      </c>
      <c r="C10" t="inlineStr">
        <is>
          <t>Background color</t>
        </is>
      </c>
      <c r="D10" t="inlineStr">
        <is>
          <t>Hex color code</t>
        </is>
      </c>
      <c r="E10" t="inlineStr"/>
      <c r="F10" t="inlineStr"/>
      <c r="G10" t="inlineStr"/>
      <c r="H10" t="inlineStr"/>
      <c r="I10" t="inlineStr"/>
      <c r="J10" t="inlineStr"/>
      <c r="K10" t="inlineStr"/>
      <c r="L10" t="inlineStr"/>
      <c r="M10" t="inlineStr"/>
      <c r="N10" t="inlineStr"/>
    </row>
    <row r="11">
      <c r="A11" t="inlineStr">
        <is>
          <t>Grid_Color</t>
        </is>
      </c>
      <c r="B11" t="inlineStr">
        <is>
          <t>#E0E0E0</t>
        </is>
      </c>
      <c r="C11" t="inlineStr">
        <is>
          <t>Grid color</t>
        </is>
      </c>
      <c r="D11" t="inlineStr">
        <is>
          <t>Hex color code</t>
        </is>
      </c>
      <c r="E11" t="inlineStr"/>
      <c r="F11" t="inlineStr"/>
      <c r="G11" t="inlineStr"/>
      <c r="H11" t="inlineStr"/>
      <c r="I11" t="inlineStr"/>
      <c r="J11" t="inlineStr"/>
      <c r="K11" t="inlineStr"/>
      <c r="L11" t="inlineStr"/>
      <c r="M11" t="inlineStr"/>
      <c r="N11" t="inlineStr"/>
    </row>
    <row r="12">
      <c r="A12" t="inlineStr">
        <is>
          <t>Enable_Animation</t>
        </is>
      </c>
      <c r="B12" t="inlineStr">
        <is>
          <t>True</t>
        </is>
      </c>
      <c r="C12" t="inlineStr">
        <is>
          <t>Enable flow animations</t>
        </is>
      </c>
      <c r="D12" t="inlineStr">
        <is>
          <t>True, False</t>
        </is>
      </c>
      <c r="E12" t="inlineStr"/>
      <c r="F12" t="inlineStr"/>
      <c r="G12" t="inlineStr"/>
      <c r="H12" t="inlineStr"/>
      <c r="I12" t="inlineStr"/>
      <c r="J12" t="inlineStr"/>
      <c r="K12" t="inlineStr"/>
      <c r="L12" t="inlineStr"/>
      <c r="M12" t="inlineStr"/>
      <c r="N12" t="inlineStr"/>
    </row>
    <row r="13">
      <c r="A13" t="inlineStr">
        <is>
          <t>Animation_Duration</t>
        </is>
      </c>
      <c r="B13" t="inlineStr">
        <is>
          <t>1000</t>
        </is>
      </c>
      <c r="C13" t="inlineStr">
        <is>
          <t>Animation duration in ms</t>
        </is>
      </c>
      <c r="D13" t="inlineStr">
        <is>
          <t>500 to 3000</t>
        </is>
      </c>
      <c r="E13" t="inlineStr"/>
      <c r="F13" t="inlineStr"/>
      <c r="G13" t="inlineStr"/>
      <c r="H13" t="inlineStr"/>
      <c r="I13" t="inlineStr"/>
      <c r="J13" t="inlineStr"/>
      <c r="K13" t="inlineStr"/>
      <c r="L13" t="inlineStr"/>
      <c r="M13" t="inlineStr"/>
      <c r="N13" t="inlineStr"/>
    </row>
    <row r="14">
      <c r="A14" t="inlineStr">
        <is>
          <t>Enable_Zoom</t>
        </is>
      </c>
      <c r="B14" t="inlineStr">
        <is>
          <t>True</t>
        </is>
      </c>
      <c r="C14" t="inlineStr">
        <is>
          <t>Enable zoom and pan</t>
        </is>
      </c>
      <c r="D14" t="inlineStr">
        <is>
          <t>True, False</t>
        </is>
      </c>
      <c r="E14" t="inlineStr"/>
      <c r="F14" t="inlineStr"/>
      <c r="G14" t="inlineStr"/>
      <c r="H14" t="inlineStr"/>
      <c r="I14" t="inlineStr"/>
      <c r="J14" t="inlineStr">
        <is>
          <t># Advanced Features:</t>
        </is>
      </c>
      <c r="K14" t="inlineStr"/>
      <c r="L14" t="inlineStr"/>
      <c r="M14" t="inlineStr"/>
      <c r="N14" t="inlineStr"/>
    </row>
    <row r="15">
      <c r="A15" t="inlineStr">
        <is>
          <t>Enable_Selection</t>
        </is>
      </c>
      <c r="B15" t="inlineStr">
        <is>
          <t>True</t>
        </is>
      </c>
      <c r="C15" t="inlineStr">
        <is>
          <t>Enable node/flow selection</t>
        </is>
      </c>
      <c r="D15" t="inlineStr">
        <is>
          <t>True, False</t>
        </is>
      </c>
      <c r="E15" t="inlineStr"/>
      <c r="F15" t="inlineStr"/>
      <c r="G15" t="inlineStr"/>
      <c r="H15" t="inlineStr"/>
      <c r="I15" t="inlineStr"/>
      <c r="J15" t="inlineStr">
        <is>
          <t># - Animation makes flows more dynamic</t>
        </is>
      </c>
      <c r="K15" t="inlineStr"/>
      <c r="L15" t="inlineStr"/>
      <c r="M15" t="inlineStr"/>
      <c r="N15" t="inlineStr"/>
    </row>
    <row r="16">
      <c r="A16" t="inlineStr">
        <is>
          <t>Export_Resolution</t>
        </is>
      </c>
      <c r="B16" t="inlineStr">
        <is>
          <t>High</t>
        </is>
      </c>
      <c r="C16" t="inlineStr">
        <is>
          <t>Export resolution</t>
        </is>
      </c>
      <c r="D16" t="inlineStr">
        <is>
          <t>Low, Medium, High, Ultra</t>
        </is>
      </c>
      <c r="E16" t="inlineStr"/>
      <c r="F16" t="inlineStr"/>
      <c r="G16" t="inlineStr"/>
      <c r="H16" t="inlineStr"/>
      <c r="I16" t="inlineStr"/>
      <c r="J16" t="inlineStr">
        <is>
          <t># - Zoom allows detailed inspection</t>
        </is>
      </c>
      <c r="K16" t="inlineStr"/>
      <c r="L16" t="inlineStr"/>
      <c r="M16" t="inlineStr"/>
      <c r="N16" t="inlineStr"/>
    </row>
    <row r="17">
      <c r="A17" t="inlineStr">
        <is>
          <t>Export_Format</t>
        </is>
      </c>
      <c r="B17" t="inlineStr">
        <is>
          <t>PNG</t>
        </is>
      </c>
      <c r="C17" t="inlineStr">
        <is>
          <t>Export format</t>
        </is>
      </c>
      <c r="D17" t="inlineStr">
        <is>
          <t>PNG, SVG, PDF</t>
        </is>
      </c>
      <c r="E17" t="inlineStr"/>
      <c r="F17" t="inlineStr"/>
      <c r="G17" t="inlineStr"/>
      <c r="H17" t="inlineStr"/>
      <c r="I17" t="inlineStr"/>
      <c r="J17" t="inlineStr">
        <is>
          <t># - Selection enables interactive analysis</t>
        </is>
      </c>
      <c r="K17" t="inlineStr"/>
      <c r="L17" t="inlineStr"/>
      <c r="M17" t="inlineStr"/>
      <c r="N17" t="inlineStr"/>
    </row>
    <row r="18">
      <c r="A18" t="inlineStr">
        <is>
          <t>Interactive_Mode</t>
        </is>
      </c>
      <c r="B18" t="inlineStr">
        <is>
          <t>Full</t>
        </is>
      </c>
      <c r="C18" t="inlineStr">
        <is>
          <t>Interactive features</t>
        </is>
      </c>
      <c r="D18" t="inlineStr">
        <is>
          <t>Basic, Full, Custom</t>
        </is>
      </c>
      <c r="E18" t="inlineStr"/>
      <c r="F18" t="inlineStr"/>
      <c r="G18" t="inlineStr"/>
      <c r="H18" t="inlineStr"/>
      <c r="I18" t="inlineStr"/>
      <c r="J18" t="inlineStr"/>
      <c r="K18" t="inlineStr"/>
      <c r="L18" t="inlineStr"/>
      <c r="M18" t="inlineStr"/>
      <c r="N18" t="inlineStr"/>
    </row>
    <row r="19">
      <c r="A19" t="inlineStr">
        <is>
          <t>Window_Width</t>
        </is>
      </c>
      <c r="B19" t="n">
        <v>1200</v>
      </c>
      <c r="C19" t="inlineStr">
        <is>
          <t>Sankey diagram width in pixels</t>
        </is>
      </c>
      <c r="D19" t="inlineStr"/>
      <c r="E19" t="inlineStr"/>
      <c r="F19" t="inlineStr"/>
      <c r="G19" t="inlineStr"/>
      <c r="H19" t="inlineStr"/>
      <c r="I19" t="inlineStr"/>
      <c r="J19" t="inlineStr"/>
      <c r="K19" t="inlineStr"/>
      <c r="L19" t="inlineStr"/>
      <c r="M19" t="inlineStr">
        <is>
          <t>Window_Sizing</t>
        </is>
      </c>
      <c r="N19" t="inlineStr">
        <is>
          <t>Active</t>
        </is>
      </c>
    </row>
    <row r="20">
      <c r="A20" t="inlineStr">
        <is>
          <t>Window_Height</t>
        </is>
      </c>
      <c r="B20" t="n">
        <v>800</v>
      </c>
      <c r="C20" t="inlineStr">
        <is>
          <t>Sankey diagram height in pixels</t>
        </is>
      </c>
      <c r="D20" t="inlineStr"/>
      <c r="E20" t="inlineStr"/>
      <c r="F20" t="inlineStr"/>
      <c r="G20" t="inlineStr"/>
      <c r="H20" t="inlineStr"/>
      <c r="I20" t="inlineStr"/>
      <c r="J20" t="inlineStr"/>
      <c r="K20" t="inlineStr"/>
      <c r="L20" t="inlineStr"/>
      <c r="M20" t="inlineStr">
        <is>
          <t>Window_Sizing</t>
        </is>
      </c>
      <c r="N20" t="inlineStr">
        <is>
          <t>Active</t>
        </is>
      </c>
    </row>
    <row r="21">
      <c r="A21" t="inlineStr">
        <is>
          <t>Window_Min_Width</t>
        </is>
      </c>
      <c r="B21" t="n">
        <v>800</v>
      </c>
      <c r="C21" t="inlineStr">
        <is>
          <t>Minimum window width in pixels</t>
        </is>
      </c>
      <c r="D21" t="inlineStr"/>
      <c r="E21" t="inlineStr"/>
      <c r="F21" t="inlineStr"/>
      <c r="G21" t="inlineStr"/>
      <c r="H21" t="inlineStr"/>
      <c r="I21" t="inlineStr"/>
      <c r="J21" t="inlineStr"/>
      <c r="K21" t="inlineStr"/>
      <c r="L21" t="inlineStr"/>
      <c r="M21" t="inlineStr">
        <is>
          <t>Window_Sizing</t>
        </is>
      </c>
      <c r="N21" t="inlineStr">
        <is>
          <t>Active</t>
        </is>
      </c>
    </row>
    <row r="22">
      <c r="A22" t="inlineStr">
        <is>
          <t>Window_Min_Height</t>
        </is>
      </c>
      <c r="B22" t="n">
        <v>600</v>
      </c>
      <c r="C22" t="inlineStr">
        <is>
          <t>Minimum window height in pixels</t>
        </is>
      </c>
      <c r="D22" t="inlineStr"/>
      <c r="E22" t="inlineStr"/>
      <c r="F22" t="inlineStr"/>
      <c r="G22" t="inlineStr"/>
      <c r="H22" t="inlineStr"/>
      <c r="I22" t="inlineStr"/>
      <c r="J22" t="inlineStr"/>
      <c r="K22" t="inlineStr"/>
      <c r="L22" t="inlineStr"/>
      <c r="M22" t="inlineStr">
        <is>
          <t>Window_Sizing</t>
        </is>
      </c>
      <c r="N22" t="inlineStr">
        <is>
          <t>Active</t>
        </is>
      </c>
    </row>
    <row r="23">
      <c r="A23" t="inlineStr">
        <is>
          <t>Window_Max_Width</t>
        </is>
      </c>
      <c r="B23" t="n">
        <v>1600</v>
      </c>
      <c r="C23" t="inlineStr">
        <is>
          <t>Maximum window width in pixels</t>
        </is>
      </c>
      <c r="D23" t="inlineStr"/>
      <c r="E23" t="inlineStr"/>
      <c r="F23" t="inlineStr"/>
      <c r="G23" t="inlineStr"/>
      <c r="H23" t="inlineStr"/>
      <c r="I23" t="inlineStr"/>
      <c r="J23" t="inlineStr"/>
      <c r="K23" t="inlineStr"/>
      <c r="L23" t="inlineStr"/>
      <c r="M23" t="inlineStr">
        <is>
          <t>Window_Sizing</t>
        </is>
      </c>
      <c r="N23" t="inlineStr">
        <is>
          <t>Active</t>
        </is>
      </c>
    </row>
    <row r="24">
      <c r="A24" t="inlineStr">
        <is>
          <t>Window_Max_Height</t>
        </is>
      </c>
      <c r="B24" t="n">
        <v>1200</v>
      </c>
      <c r="C24" t="inlineStr">
        <is>
          <t>Maximum window height in pixels</t>
        </is>
      </c>
      <c r="D24" t="inlineStr"/>
      <c r="E24" t="inlineStr"/>
      <c r="F24" t="inlineStr"/>
      <c r="G24" t="inlineStr"/>
      <c r="H24" t="inlineStr"/>
      <c r="I24" t="inlineStr"/>
      <c r="J24" t="inlineStr"/>
      <c r="K24" t="inlineStr"/>
      <c r="L24" t="inlineStr"/>
      <c r="M24" t="inlineStr">
        <is>
          <t>Window_Sizing</t>
        </is>
      </c>
      <c r="N24" t="inlineStr">
        <is>
          <t>Active</t>
        </is>
      </c>
    </row>
    <row r="25">
      <c r="A25" t="inlineStr">
        <is>
          <t>Window_Responsive</t>
        </is>
      </c>
      <c r="B25" t="b">
        <v>1</v>
      </c>
      <c r="C25" t="inlineStr">
        <is>
          <t>Enable responsive window sizing</t>
        </is>
      </c>
      <c r="D25" t="inlineStr"/>
      <c r="E25" t="inlineStr"/>
      <c r="F25" t="inlineStr"/>
      <c r="G25" t="inlineStr"/>
      <c r="H25" t="inlineStr"/>
      <c r="I25" t="inlineStr"/>
      <c r="J25" t="inlineStr"/>
      <c r="K25" t="inlineStr"/>
      <c r="L25" t="inlineStr"/>
      <c r="M25" t="inlineStr">
        <is>
          <t>Window_Sizing</t>
        </is>
      </c>
      <c r="N25" t="inlineStr">
        <is>
          <t>Active</t>
        </is>
      </c>
    </row>
    <row r="26">
      <c r="A26" t="inlineStr">
        <is>
          <t>Window_Auto_Size</t>
        </is>
      </c>
      <c r="B26" t="b">
        <v>1</v>
      </c>
      <c r="C26" t="inlineStr">
        <is>
          <t>Enable automatic sizing based on content</t>
        </is>
      </c>
      <c r="D26" t="inlineStr"/>
      <c r="E26" t="inlineStr"/>
      <c r="F26" t="inlineStr"/>
      <c r="G26" t="inlineStr"/>
      <c r="H26" t="inlineStr"/>
      <c r="I26" t="inlineStr"/>
      <c r="J26" t="inlineStr"/>
      <c r="K26" t="inlineStr"/>
      <c r="L26" t="inlineStr"/>
      <c r="M26" t="inlineStr">
        <is>
          <t>Window_Sizing</t>
        </is>
      </c>
      <c r="N26" t="inlineStr">
        <is>
          <t>Active</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B2:P42"/>
  <sheetViews>
    <sheetView workbookViewId="0">
      <selection activeCell="F12" sqref="F12"/>
    </sheetView>
  </sheetViews>
  <sheetFormatPr baseColWidth="8" defaultRowHeight="15"/>
  <cols>
    <col width="26.140625" customWidth="1" min="2" max="2"/>
    <col width="16.7109375" customWidth="1" min="3" max="5"/>
    <col width="34.28515625" customWidth="1" min="6" max="6"/>
    <col width="11" customWidth="1" min="7" max="10"/>
    <col width="12" customWidth="1" min="11" max="16"/>
  </cols>
  <sheetData>
    <row r="2">
      <c r="B2" t="inlineStr">
        <is>
          <t>Node_Color</t>
        </is>
      </c>
      <c r="C2" t="inlineStr">
        <is>
          <t>Node_Size</t>
        </is>
      </c>
      <c r="D2" t="inlineStr">
        <is>
          <t>Layout_Type</t>
        </is>
      </c>
      <c r="E2" t="inlineStr">
        <is>
          <t>Flow_Style</t>
        </is>
      </c>
      <c r="F2" t="inlineStr">
        <is>
          <t>Column5</t>
        </is>
      </c>
      <c r="G2" t="inlineStr">
        <is>
          <t>Column6</t>
        </is>
      </c>
      <c r="H2" t="inlineStr">
        <is>
          <t>Column7</t>
        </is>
      </c>
      <c r="I2" t="inlineStr">
        <is>
          <t>Column8</t>
        </is>
      </c>
      <c r="J2" t="inlineStr">
        <is>
          <t>Column9</t>
        </is>
      </c>
      <c r="K2" t="inlineStr">
        <is>
          <t>Column10</t>
        </is>
      </c>
      <c r="L2" t="inlineStr">
        <is>
          <t>Column11</t>
        </is>
      </c>
      <c r="M2" t="inlineStr">
        <is>
          <t>Column12</t>
        </is>
      </c>
      <c r="N2" t="inlineStr">
        <is>
          <t>Column13</t>
        </is>
      </c>
      <c r="O2" t="inlineStr">
        <is>
          <t>Column14</t>
        </is>
      </c>
      <c r="P2" t="inlineStr">
        <is>
          <t>Column15</t>
        </is>
      </c>
    </row>
    <row r="3">
      <c r="C3" t="inlineStr">
        <is>
          <t>Small</t>
        </is>
      </c>
      <c r="D3" t="inlineStr">
        <is>
          <t>Fixed</t>
        </is>
      </c>
      <c r="E3" t="inlineStr">
        <is>
          <t>solid</t>
        </is>
      </c>
    </row>
    <row r="4">
      <c r="C4" t="inlineStr">
        <is>
          <t>Medium</t>
        </is>
      </c>
      <c r="D4" t="inlineStr">
        <is>
          <t>Auto</t>
        </is>
      </c>
      <c r="E4" t="inlineStr">
        <is>
          <t>Dashed</t>
        </is>
      </c>
    </row>
    <row r="5">
      <c r="C5" t="inlineStr">
        <is>
          <t>Large</t>
        </is>
      </c>
      <c r="D5" t="inlineStr">
        <is>
          <t>Circular</t>
        </is>
      </c>
      <c r="E5" t="inlineStr">
        <is>
          <t>Dotted</t>
        </is>
      </c>
    </row>
    <row r="6">
      <c r="C6" t="inlineStr">
        <is>
          <t>XLarge</t>
        </is>
      </c>
      <c r="D6" t="inlineStr">
        <is>
          <t>Radial</t>
        </is>
      </c>
    </row>
    <row r="20">
      <c r="B20" t="inlineStr">
        <is>
          <t>Node_Color</t>
        </is>
      </c>
      <c r="C20" t="inlineStr">
        <is>
          <t>Node_Color_#</t>
        </is>
      </c>
    </row>
    <row r="21">
      <c r="B21" s="298" t="inlineStr">
        <is>
          <t>Category</t>
        </is>
      </c>
      <c r="C21" s="298" t="inlineStr">
        <is>
          <t>Color_Name</t>
        </is>
      </c>
      <c r="D21" s="298" t="inlineStr">
        <is>
          <t>Hex_Code</t>
        </is>
      </c>
      <c r="E21" s="298" t="inlineStr">
        <is>
          <t>RGB_Values</t>
        </is>
      </c>
      <c r="F21" s="298" t="inlineStr">
        <is>
          <t>Usage</t>
        </is>
      </c>
    </row>
    <row r="22">
      <c r="B22" t="inlineStr">
        <is>
          <t>Biomass &amp; Natural</t>
        </is>
      </c>
      <c r="C22" t="inlineStr">
        <is>
          <t>Forest Green</t>
        </is>
      </c>
      <c r="D22" t="inlineStr">
        <is>
          <t>#228B22</t>
        </is>
      </c>
      <c r="E22" t="inlineStr">
        <is>
          <t>(34, 139, 34)</t>
        </is>
      </c>
      <c r="F22" t="inlineStr">
        <is>
          <t>Primary biomass, organic matter</t>
        </is>
      </c>
    </row>
    <row r="23">
      <c r="B23" t="inlineStr">
        <is>
          <t>Biomass &amp; Natural</t>
        </is>
      </c>
      <c r="C23" t="inlineStr">
        <is>
          <t>Olive Green</t>
        </is>
      </c>
      <c r="D23" t="inlineStr">
        <is>
          <t>#6B8E23</t>
        </is>
      </c>
      <c r="E23" t="inlineStr">
        <is>
          <t>(107, 142, 35)</t>
        </is>
      </c>
      <c r="F23" t="inlineStr">
        <is>
          <t>Secondary biomass, plant material</t>
        </is>
      </c>
    </row>
    <row r="24">
      <c r="B24" t="inlineStr">
        <is>
          <t>Biomass &amp; Natural</t>
        </is>
      </c>
      <c r="C24" t="inlineStr">
        <is>
          <t>Sage Green</t>
        </is>
      </c>
      <c r="D24" t="inlineStr">
        <is>
          <t>#9CAF88</t>
        </is>
      </c>
      <c r="E24" t="inlineStr">
        <is>
          <t>(156, 175, 136)</t>
        </is>
      </c>
      <c r="F24" t="inlineStr">
        <is>
          <t>Processed biomass, compost</t>
        </is>
      </c>
    </row>
    <row r="25">
      <c r="B25" t="inlineStr">
        <is>
          <t>Biomass &amp; Natural</t>
        </is>
      </c>
      <c r="C25" t="inlineStr">
        <is>
          <t>Earth Brown</t>
        </is>
      </c>
      <c r="D25" t="inlineStr">
        <is>
          <t>#8B4513</t>
        </is>
      </c>
      <c r="E25" t="inlineStr">
        <is>
          <t>(139, 69, 19)</t>
        </is>
      </c>
      <c r="F25" t="inlineStr">
        <is>
          <t>Soil, organic matter</t>
        </is>
      </c>
    </row>
    <row r="26">
      <c r="B26" t="inlineStr">
        <is>
          <t>Biomass &amp; Natural</t>
        </is>
      </c>
      <c r="C26" t="inlineStr">
        <is>
          <t>Wheat Gold</t>
        </is>
      </c>
      <c r="D26" t="inlineStr">
        <is>
          <t>#F5DEB3</t>
        </is>
      </c>
      <c r="E26" t="inlineStr">
        <is>
          <t>(245, 222, 179)</t>
        </is>
      </c>
      <c r="F26" t="inlineStr">
        <is>
          <t>Straw, agricultural waste</t>
        </is>
      </c>
    </row>
    <row r="27">
      <c r="B27" t="inlineStr">
        <is>
          <t>Water &amp; Liquid</t>
        </is>
      </c>
      <c r="C27" t="inlineStr">
        <is>
          <t>Ocean Blue</t>
        </is>
      </c>
      <c r="D27" t="inlineStr">
        <is>
          <t>#0066CC</t>
        </is>
      </c>
      <c r="E27" t="inlineStr">
        <is>
          <t>(0, 102, 204)</t>
        </is>
      </c>
      <c r="F27" t="inlineStr">
        <is>
          <t>Water content, liquid flows</t>
        </is>
      </c>
    </row>
    <row r="28">
      <c r="B28" t="inlineStr">
        <is>
          <t>Water &amp; Liquid</t>
        </is>
      </c>
      <c r="C28" t="inlineStr">
        <is>
          <t>Aqua Blue</t>
        </is>
      </c>
      <c r="D28" t="inlineStr">
        <is>
          <t>#00CED1</t>
        </is>
      </c>
      <c r="E28" t="inlineStr">
        <is>
          <t>(0, 206, 209)</t>
        </is>
      </c>
      <c r="F28" t="inlineStr">
        <is>
          <t>Process water, treatment</t>
        </is>
      </c>
    </row>
    <row r="29">
      <c r="B29" t="inlineStr">
        <is>
          <t>Water &amp; Liquid</t>
        </is>
      </c>
      <c r="C29" t="inlineStr">
        <is>
          <t>Deep Blue</t>
        </is>
      </c>
      <c r="D29" t="inlineStr">
        <is>
          <t>#191970</t>
        </is>
      </c>
      <c r="E29" t="inlineStr">
        <is>
          <t>(25, 25, 112)</t>
        </is>
      </c>
      <c r="F29" t="inlineStr">
        <is>
          <t>Deep water, storage</t>
        </is>
      </c>
    </row>
    <row r="30">
      <c r="B30" t="inlineStr">
        <is>
          <t>Water &amp; Liquid</t>
        </is>
      </c>
      <c r="C30" t="inlineStr">
        <is>
          <t>Light Blue</t>
        </is>
      </c>
      <c r="D30" t="inlineStr">
        <is>
          <t>#87CEEB</t>
        </is>
      </c>
      <c r="E30" t="inlineStr">
        <is>
          <t>(135, 206, 235)</t>
        </is>
      </c>
      <c r="F30" t="inlineStr">
        <is>
          <t>Water vapor, evaporation</t>
        </is>
      </c>
    </row>
    <row r="31">
      <c r="B31" t="inlineStr">
        <is>
          <t>Energy &amp; Processing</t>
        </is>
      </c>
      <c r="C31" t="inlineStr">
        <is>
          <t>Fire Orange</t>
        </is>
      </c>
      <c r="D31" t="inlineStr">
        <is>
          <t>#FF4500</t>
        </is>
      </c>
      <c r="E31" t="inlineStr">
        <is>
          <t>(255, 69, 0)</t>
        </is>
      </c>
      <c r="F31" t="inlineStr">
        <is>
          <t>Energy, heat, combustion</t>
        </is>
      </c>
    </row>
    <row r="32">
      <c r="B32" t="inlineStr">
        <is>
          <t>Energy &amp; Processing</t>
        </is>
      </c>
      <c r="C32" t="inlineStr">
        <is>
          <t>Amber</t>
        </is>
      </c>
      <c r="D32" t="inlineStr">
        <is>
          <t>#FFBF00</t>
        </is>
      </c>
      <c r="E32" t="inlineStr">
        <is>
          <t>(255, 191, 0)</t>
        </is>
      </c>
      <c r="F32" t="inlineStr">
        <is>
          <t>Energy storage, power</t>
        </is>
      </c>
    </row>
    <row r="33">
      <c r="B33" t="inlineStr">
        <is>
          <t>Energy &amp; Processing</t>
        </is>
      </c>
      <c r="C33" t="inlineStr">
        <is>
          <t>Red Orange</t>
        </is>
      </c>
      <c r="D33" t="inlineStr">
        <is>
          <t>#FF6347</t>
        </is>
      </c>
      <c r="E33" t="inlineStr">
        <is>
          <t>(255, 99, 71)</t>
        </is>
      </c>
      <c r="F33" t="inlineStr">
        <is>
          <t>High energy processes</t>
        </is>
      </c>
    </row>
    <row r="34">
      <c r="B34" t="inlineStr">
        <is>
          <t>Energy &amp; Processing</t>
        </is>
      </c>
      <c r="C34" t="inlineStr">
        <is>
          <t>Dark Red</t>
        </is>
      </c>
      <c r="D34" t="inlineStr">
        <is>
          <t>#8B0000</t>
        </is>
      </c>
      <c r="E34" t="inlineStr">
        <is>
          <t>(139, 0, 0)</t>
        </is>
      </c>
      <c r="F34" t="inlineStr">
        <is>
          <t>Waste, losses, emissions</t>
        </is>
      </c>
    </row>
    <row r="35">
      <c r="B35" t="inlineStr">
        <is>
          <t>Recycling &amp; Circular</t>
        </is>
      </c>
      <c r="C35" t="inlineStr">
        <is>
          <t>Teal</t>
        </is>
      </c>
      <c r="D35" t="inlineStr">
        <is>
          <t>#008B8B</t>
        </is>
      </c>
      <c r="E35" t="inlineStr">
        <is>
          <t>(0, 139, 139)</t>
        </is>
      </c>
      <c r="F35" t="inlineStr">
        <is>
          <t>Recycling processes</t>
        </is>
      </c>
    </row>
    <row r="36">
      <c r="B36" t="inlineStr">
        <is>
          <t>Recycling &amp; Circular</t>
        </is>
      </c>
      <c r="C36" t="inlineStr">
        <is>
          <t>Mint Green</t>
        </is>
      </c>
      <c r="D36" t="inlineStr">
        <is>
          <t>#98FB98</t>
        </is>
      </c>
      <c r="E36" t="inlineStr">
        <is>
          <t>(152, 251, 152)</t>
        </is>
      </c>
      <c r="F36" t="inlineStr">
        <is>
          <t>Circular flows, reuse</t>
        </is>
      </c>
    </row>
    <row r="37">
      <c r="B37" t="inlineStr">
        <is>
          <t>Recycling &amp; Circular</t>
        </is>
      </c>
      <c r="C37" t="inlineStr">
        <is>
          <t>Purple</t>
        </is>
      </c>
      <c r="D37" t="inlineStr">
        <is>
          <t>#9370DB</t>
        </is>
      </c>
      <c r="E37" t="inlineStr">
        <is>
          <t>(147, 112, 219)</t>
        </is>
      </c>
      <c r="F37" t="inlineStr">
        <is>
          <t>Circular economy processes</t>
        </is>
      </c>
    </row>
    <row r="38">
      <c r="B38" t="inlineStr">
        <is>
          <t>Recycling &amp; Circular</t>
        </is>
      </c>
      <c r="C38" t="inlineStr">
        <is>
          <t>Indigo</t>
        </is>
      </c>
      <c r="D38" t="inlineStr">
        <is>
          <t>#4B0082</t>
        </is>
      </c>
      <c r="E38" t="inlineStr">
        <is>
          <t>(75, 0, 130)</t>
        </is>
      </c>
      <c r="F38" t="inlineStr">
        <is>
          <t>Advanced recycling</t>
        </is>
      </c>
    </row>
    <row r="39">
      <c r="B39" t="inlineStr">
        <is>
          <t>System &amp; Flow</t>
        </is>
      </c>
      <c r="C39" t="inlineStr">
        <is>
          <t>Steel Blue</t>
        </is>
      </c>
      <c r="D39" t="inlineStr">
        <is>
          <t>#4682B4</t>
        </is>
      </c>
      <c r="E39" t="inlineStr">
        <is>
          <t>(70, 130, 180)</t>
        </is>
      </c>
      <c r="F39" t="inlineStr">
        <is>
          <t>System processes</t>
        </is>
      </c>
    </row>
    <row r="40">
      <c r="B40" t="inlineStr">
        <is>
          <t>System &amp; Flow</t>
        </is>
      </c>
      <c r="C40" t="inlineStr">
        <is>
          <t>Slate Gray</t>
        </is>
      </c>
      <c r="D40" t="inlineStr">
        <is>
          <t>#708090</t>
        </is>
      </c>
      <c r="E40" t="inlineStr">
        <is>
          <t>(112, 128, 144)</t>
        </is>
      </c>
      <c r="F40" t="inlineStr">
        <is>
          <t>Infrastructure, storage</t>
        </is>
      </c>
    </row>
    <row r="41">
      <c r="B41" t="inlineStr">
        <is>
          <t>System &amp; Flow</t>
        </is>
      </c>
      <c r="C41" t="inlineStr">
        <is>
          <t>Dark Gray</t>
        </is>
      </c>
      <c r="D41" t="inlineStr">
        <is>
          <t>#2F4F4F</t>
        </is>
      </c>
      <c r="E41" t="inlineStr">
        <is>
          <t>(47, 79, 79)</t>
        </is>
      </c>
      <c r="F41" t="inlineStr">
        <is>
          <t>System boundaries</t>
        </is>
      </c>
    </row>
    <row r="42">
      <c r="B42" t="inlineStr">
        <is>
          <t>System &amp; Flow</t>
        </is>
      </c>
      <c r="C42" t="inlineStr">
        <is>
          <t>Silver</t>
        </is>
      </c>
      <c r="D42" t="inlineStr">
        <is>
          <t>#C0C0C0</t>
        </is>
      </c>
      <c r="E42" t="inlineStr">
        <is>
          <t>(192, 192, 192)</t>
        </is>
      </c>
      <c r="F42" t="inlineStr">
        <is>
          <t>Neutral processes</t>
        </is>
      </c>
    </row>
  </sheetData>
  <pageMargins left="0.7" right="0.7" top="0.75" bottom="0.75" header="0.3" footer="0.3"/>
  <tableParts count="2">
    <tablePart xmlns:r="http://schemas.openxmlformats.org/officeDocument/2006/relationships" r:id="rId1"/>
    <tablePart xmlns:r="http://schemas.openxmlformats.org/officeDocument/2006/relationships" r:id="rId2"/>
  </tableParts>
</worksheet>
</file>

<file path=xl/worksheets/sheet19.xml><?xml version="1.0" encoding="utf-8"?>
<worksheet xmlns="http://schemas.openxmlformats.org/spreadsheetml/2006/main">
  <sheetPr codeName="Sheet11">
    <tabColor theme="8"/>
    <outlinePr summaryBelow="1" summaryRight="1"/>
    <pageSetUpPr/>
  </sheetPr>
  <dimension ref="A1:A1"/>
  <sheetViews>
    <sheetView workbookViewId="0">
      <selection activeCell="I37" sqref="I37"/>
    </sheetView>
  </sheetViews>
  <sheetFormatPr baseColWidth="8" defaultRowHeight="15"/>
  <sheetData/>
  <pageMargins left="0.7" right="0.7" top="0.75" bottom="0.75" header="0.3" footer="0.3"/>
</worksheet>
</file>

<file path=xl/worksheets/sheet20.xml><?xml version="1.0" encoding="utf-8"?>
<worksheet xmlns="http://schemas.openxmlformats.org/spreadsheetml/2006/main">
  <sheetPr codeName="Sheet12">
    <tabColor theme="8" tint="0.7999816888943144"/>
    <outlinePr summaryBelow="1" summaryRight="1"/>
    <pageSetUpPr/>
  </sheetPr>
  <dimension ref="A1:W72"/>
  <sheetViews>
    <sheetView topLeftCell="A12" zoomScaleNormal="100" zoomScaleSheetLayoutView="145" zoomScalePageLayoutView="115" workbookViewId="0">
      <selection activeCell="Q27" sqref="Q27"/>
    </sheetView>
  </sheetViews>
  <sheetFormatPr baseColWidth="8" defaultColWidth="11.42578125" defaultRowHeight="15"/>
  <cols>
    <col width="16" customWidth="1" min="1" max="1"/>
    <col width="12.5703125" customWidth="1" style="1" min="2" max="2"/>
    <col width="9.85546875" customWidth="1" style="1" min="3" max="6"/>
    <col width="16" customWidth="1" style="1" min="7" max="7"/>
    <col width="9.85546875" customWidth="1" style="1" min="8" max="13"/>
  </cols>
  <sheetData>
    <row r="1" ht="48" customHeight="1" thickBot="1">
      <c r="A1" s="152" t="inlineStr">
        <is>
          <t>Process Titel:</t>
        </is>
      </c>
      <c r="B1" s="256">
        <f>'2_1_Definition_Processes'!D2</f>
        <v/>
      </c>
      <c r="C1" s="300" t="n"/>
      <c r="D1" s="300" t="n"/>
      <c r="E1" s="300" t="n"/>
      <c r="F1" s="300" t="n"/>
      <c r="G1" s="300" t="n"/>
      <c r="H1" s="300" t="n"/>
      <c r="I1" s="152" t="inlineStr">
        <is>
          <t>Process Number:</t>
        </is>
      </c>
      <c r="J1" s="257" t="inlineStr">
        <is>
          <t>02</t>
        </is>
      </c>
      <c r="K1" s="301" t="n"/>
      <c r="L1" s="301" t="n"/>
      <c r="M1" s="301" t="n"/>
    </row>
    <row r="2" ht="16.5" customHeight="1" thickBot="1">
      <c r="A2" s="302" t="inlineStr">
        <is>
          <t>Process Description and Assumptions</t>
        </is>
      </c>
      <c r="B2" s="303" t="n"/>
      <c r="C2" s="303" t="n"/>
      <c r="D2" s="303" t="n"/>
      <c r="E2" s="303" t="n"/>
      <c r="F2" s="303" t="n"/>
      <c r="G2" s="303" t="n"/>
      <c r="H2" s="303" t="n"/>
      <c r="I2" s="303" t="n"/>
      <c r="J2" s="303" t="n"/>
      <c r="K2" s="303" t="n"/>
      <c r="L2" s="303" t="n"/>
      <c r="M2" s="304" t="n"/>
    </row>
    <row r="3" ht="126.75" customHeight="1" thickBot="1">
      <c r="A3" s="305" t="n"/>
      <c r="B3" s="303" t="n"/>
      <c r="C3" s="303" t="n"/>
      <c r="D3" s="303" t="n"/>
      <c r="E3" s="303" t="n"/>
      <c r="F3" s="303" t="n"/>
      <c r="G3" s="303" t="n"/>
      <c r="H3" s="303" t="n"/>
      <c r="I3" s="303" t="n"/>
      <c r="J3" s="303" t="n"/>
      <c r="K3" s="303" t="n"/>
      <c r="L3" s="303" t="n"/>
      <c r="M3" s="304" t="n"/>
    </row>
    <row r="4" ht="31.5" customHeight="1">
      <c r="A4" s="151" t="inlineStr">
        <is>
          <t>Process Input:</t>
        </is>
      </c>
      <c r="B4" s="306" t="n"/>
      <c r="C4" s="307" t="n"/>
      <c r="D4" s="308" t="n"/>
      <c r="E4" s="309" t="inlineStr">
        <is>
          <t>Process Output:</t>
        </is>
      </c>
      <c r="F4" s="310" t="n"/>
      <c r="G4" s="156" t="n"/>
      <c r="H4" s="156" t="n"/>
      <c r="I4" s="150" t="n"/>
      <c r="J4" s="150" t="n"/>
      <c r="K4" s="150" t="n"/>
      <c r="L4" s="150" t="n"/>
      <c r="M4" s="150" t="n"/>
    </row>
    <row r="5" ht="16.5" customHeight="1">
      <c r="A5" s="153" t="inlineStr">
        <is>
          <t>1.</t>
        </is>
      </c>
      <c r="B5" s="251" t="inlineStr">
        <is>
          <t>Atmosphere input</t>
        </is>
      </c>
      <c r="C5" s="300" t="n"/>
      <c r="D5" s="311" t="n"/>
      <c r="E5" s="153" t="inlineStr">
        <is>
          <t>1.</t>
        </is>
      </c>
      <c r="F5" s="253">
        <f>_xlfn.XLOOKUP(J1,Tab_Def_Processes[Process_ID],Tab_Def_Processes[Output_Flow_O_1],"No_flow.",0,1)</f>
        <v/>
      </c>
      <c r="G5" s="300" t="n"/>
      <c r="H5" s="311" t="n"/>
      <c r="I5" s="154" t="n"/>
      <c r="J5" s="149" t="n"/>
      <c r="K5" s="149" t="n"/>
      <c r="L5" s="149" t="n"/>
      <c r="M5" s="146" t="n"/>
    </row>
    <row r="6" ht="16.5" customHeight="1">
      <c r="A6" s="153" t="inlineStr">
        <is>
          <t>2.</t>
        </is>
      </c>
      <c r="B6" s="253" t="inlineStr">
        <is>
          <t>Environment Input</t>
        </is>
      </c>
      <c r="C6" s="300" t="n"/>
      <c r="D6" s="311" t="n"/>
      <c r="E6" s="153" t="inlineStr">
        <is>
          <t>2.</t>
        </is>
      </c>
      <c r="F6" s="253">
        <f>_xlfn.XLOOKUP(J1,Tab_Def_Processes[Process_ID],Tab_Def_Processes[Output_Flow_O_2],"No_flow.",0,1)</f>
        <v/>
      </c>
      <c r="G6" s="300" t="n"/>
      <c r="H6" s="311" t="n"/>
      <c r="I6" s="154" t="n"/>
      <c r="J6" s="149" t="n"/>
      <c r="K6" s="149" t="n"/>
      <c r="L6" s="149" t="n"/>
      <c r="M6" s="146" t="n"/>
    </row>
    <row r="7" ht="16.5" customHeight="1">
      <c r="A7" s="148" t="inlineStr">
        <is>
          <t>3.</t>
        </is>
      </c>
      <c r="B7" s="253">
        <f>_xlfn.XLOOKUP(J1,Tab_Def_Processes[Process_ID],Tab_Def_Processes[Input_Flow_I_3],"No_flow.",0,1)</f>
        <v/>
      </c>
      <c r="C7" s="300" t="n"/>
      <c r="D7" s="311" t="n"/>
      <c r="E7" s="148" t="inlineStr">
        <is>
          <t>3.</t>
        </is>
      </c>
      <c r="F7" s="253">
        <f>_xlfn.XLOOKUP(J1,Tab_Def_Processes[Process_ID],Tab_Def_Processes[Output_Flow_O_3],"No_flow.",0,1)</f>
        <v/>
      </c>
      <c r="G7" s="300" t="n"/>
      <c r="H7" s="311" t="n"/>
      <c r="I7" s="155" t="n"/>
      <c r="J7" s="147" t="n"/>
      <c r="K7" s="147" t="n"/>
      <c r="L7" s="147" t="n"/>
      <c r="M7" s="146" t="n"/>
    </row>
    <row r="8" ht="16.5" customHeight="1">
      <c r="A8" s="148" t="inlineStr">
        <is>
          <t>4.</t>
        </is>
      </c>
      <c r="B8" s="253">
        <f>_xlfn.XLOOKUP(J1,Tab_Def_Processes[Process_ID],Tab_Def_Processes[Input_Flow_I_4],"No_flow.",0,1)</f>
        <v/>
      </c>
      <c r="C8" s="300" t="n"/>
      <c r="D8" s="311" t="n"/>
      <c r="E8" s="148" t="inlineStr">
        <is>
          <t>4.</t>
        </is>
      </c>
      <c r="F8" s="253">
        <f>_xlfn.XLOOKUP(J1,Tab_Def_Processes[Process_ID],Tab_Def_Processes[Output_Flow_O_4],"No_flow.",0,1)</f>
        <v/>
      </c>
      <c r="G8" s="300" t="n"/>
      <c r="H8" s="311" t="n"/>
      <c r="I8" s="155" t="n"/>
      <c r="J8" s="147" t="n"/>
      <c r="K8" s="147" t="n"/>
      <c r="L8" s="147" t="n"/>
      <c r="M8" s="146" t="n"/>
    </row>
    <row r="9" ht="16.5" customHeight="1">
      <c r="A9" s="148" t="inlineStr">
        <is>
          <t>5.</t>
        </is>
      </c>
      <c r="B9" s="253">
        <f>_xlfn.XLOOKUP(J1,Tab_Def_Processes[Process_ID],Tab_Def_Processes[Input_Flow_I_5],"No_flow.",0,1)</f>
        <v/>
      </c>
      <c r="C9" s="300" t="n"/>
      <c r="D9" s="311" t="n"/>
      <c r="E9" s="148" t="inlineStr">
        <is>
          <t>5.</t>
        </is>
      </c>
      <c r="F9" s="253">
        <f>_xlfn.XLOOKUP(J1,Tab_Def_Processes[Process_ID],Tab_Def_Processes[Output_Flow_O_5],"No_flow.",0,1)</f>
        <v/>
      </c>
      <c r="G9" s="300" t="n"/>
      <c r="H9" s="311" t="n"/>
      <c r="I9" s="155" t="n"/>
      <c r="J9" s="147" t="n"/>
      <c r="K9" s="147" t="n"/>
      <c r="L9" s="147" t="n"/>
      <c r="M9" s="146" t="n"/>
    </row>
    <row r="10" ht="16.5" customHeight="1" thickBot="1">
      <c r="A10" s="157" t="inlineStr">
        <is>
          <t>6.</t>
        </is>
      </c>
      <c r="B10" s="255" t="n"/>
      <c r="C10" s="312" t="n"/>
      <c r="D10" s="313" t="n"/>
      <c r="E10" s="157" t="inlineStr">
        <is>
          <t>6.</t>
        </is>
      </c>
      <c r="F10" s="255" t="n"/>
      <c r="G10" s="312" t="n"/>
      <c r="H10" s="313" t="n"/>
      <c r="I10" s="155" t="n"/>
      <c r="J10" s="147" t="n"/>
      <c r="K10" s="147" t="n"/>
      <c r="L10" s="147" t="n"/>
      <c r="M10" s="146" t="n"/>
    </row>
    <row r="11" ht="16.5" customHeight="1" thickBot="1">
      <c r="A11" s="302" t="inlineStr">
        <is>
          <t>Troughput</t>
        </is>
      </c>
      <c r="B11" s="303" t="n"/>
      <c r="C11" s="303" t="n"/>
      <c r="D11" s="303" t="n"/>
      <c r="E11" s="303" t="n"/>
      <c r="F11" s="303" t="n"/>
      <c r="G11" s="303" t="n"/>
      <c r="H11" s="303" t="n"/>
      <c r="I11" s="303" t="n"/>
      <c r="J11" s="303" t="n"/>
      <c r="K11" s="303" t="n"/>
      <c r="L11" s="303" t="n"/>
      <c r="M11" s="304" t="n"/>
    </row>
    <row r="12" ht="33" customHeight="1" thickBot="1">
      <c r="A12" s="247" t="n">
        <v>1000</v>
      </c>
      <c r="B12" s="249" t="inlineStr">
        <is>
          <t>Mg/h</t>
        </is>
      </c>
      <c r="C12" s="143" t="n"/>
      <c r="D12" s="143" t="n"/>
      <c r="E12" s="143" t="n"/>
      <c r="F12" s="143" t="n"/>
      <c r="G12" s="143" t="n"/>
      <c r="H12" s="143" t="n"/>
      <c r="I12" s="143" t="n"/>
      <c r="J12" s="143" t="n"/>
      <c r="K12" s="143" t="n"/>
      <c r="L12" s="143" t="n"/>
      <c r="M12" s="142" t="n"/>
    </row>
    <row r="13" ht="16.5" customHeight="1" thickBot="1">
      <c r="A13" s="314" t="inlineStr">
        <is>
          <t>Process Input</t>
        </is>
      </c>
      <c r="B13" s="303" t="n"/>
      <c r="C13" s="303" t="n"/>
      <c r="D13" s="303" t="n"/>
      <c r="E13" s="303" t="n"/>
      <c r="F13" s="303" t="n"/>
      <c r="G13" s="303" t="n"/>
      <c r="H13" s="303" t="n"/>
      <c r="I13" s="303" t="n"/>
      <c r="J13" s="303" t="n"/>
      <c r="K13" s="303" t="n"/>
      <c r="L13" s="303" t="n"/>
      <c r="M13" s="304" t="n"/>
    </row>
    <row r="14" ht="16.5" customHeight="1" thickBot="1">
      <c r="A14" s="103" t="inlineStr">
        <is>
          <t>Substance</t>
        </is>
      </c>
      <c r="B14" s="315" t="inlineStr">
        <is>
          <t>Fresh mass</t>
        </is>
      </c>
      <c r="D14" s="6" t="n"/>
      <c r="E14" s="316" t="inlineStr">
        <is>
          <t>Dry mass</t>
        </is>
      </c>
      <c r="H14" s="6" t="n"/>
      <c r="I14" s="317" t="inlineStr">
        <is>
          <t>Water content</t>
        </is>
      </c>
      <c r="M14" s="6" t="n"/>
      <c r="P14" s="204" t="n">
        <v>0.2384</v>
      </c>
      <c r="Q14" s="55" t="inlineStr">
        <is>
          <t>Assumption</t>
        </is>
      </c>
      <c r="R14" s="204" t="n">
        <v>0.7616000000000001</v>
      </c>
      <c r="S14" s="55" t="inlineStr">
        <is>
          <t>Assumption</t>
        </is>
      </c>
      <c r="T14" s="204" t="n">
        <v>0</v>
      </c>
      <c r="U14" s="55" t="inlineStr">
        <is>
          <t>Assumption</t>
        </is>
      </c>
      <c r="V14" s="190">
        <f>Tab_Def_Flows[[#This Row],[CC_DM'[%']]]*Tab_Def_Flows[[#This Row],[DM]]</f>
        <v/>
      </c>
    </row>
    <row r="15" ht="63.75" customHeight="1" thickBot="1">
      <c r="A15" s="64" t="n"/>
      <c r="B15" s="77" t="inlineStr">
        <is>
          <t>FM [mass/ time]</t>
        </is>
      </c>
      <c r="C15" s="130" t="inlineStr">
        <is>
          <t>FM [%] (mass balance check)</t>
        </is>
      </c>
      <c r="D15" s="129" t="inlineStr">
        <is>
          <t>Source/ Explaination</t>
        </is>
      </c>
      <c r="E15" s="128" t="inlineStr">
        <is>
          <t>DM_FM [%]</t>
        </is>
      </c>
      <c r="F15" s="76" t="inlineStr">
        <is>
          <t>DM [Mg]</t>
        </is>
      </c>
      <c r="G15" s="76" t="inlineStr">
        <is>
          <t>DM [%] (mass balance check)</t>
        </is>
      </c>
      <c r="H15" s="127" t="inlineStr">
        <is>
          <t>Source/ Explaination</t>
        </is>
      </c>
      <c r="I15" s="126" t="inlineStr">
        <is>
          <t>WC_FM [%]</t>
        </is>
      </c>
      <c r="J15" s="75" t="inlineStr">
        <is>
          <t>WC [Mg]</t>
        </is>
      </c>
      <c r="K15" s="75" t="inlineStr">
        <is>
          <t>WC [%] (mass balance check)</t>
        </is>
      </c>
      <c r="L15" s="75" t="inlineStr">
        <is>
          <t>Source/ Explaination</t>
        </is>
      </c>
      <c r="M15" s="125" t="n"/>
      <c r="P15" s="204" t="n">
        <v>0.14</v>
      </c>
      <c r="Q15" s="55" t="inlineStr">
        <is>
          <t>Assumption</t>
        </is>
      </c>
      <c r="R15" s="204" t="n">
        <v>0.86</v>
      </c>
      <c r="S15" s="55" t="inlineStr">
        <is>
          <t>Assumption</t>
        </is>
      </c>
      <c r="T15" s="204" t="n">
        <v>0.48</v>
      </c>
      <c r="U15" s="55" t="inlineStr">
        <is>
          <t>Assumption</t>
        </is>
      </c>
      <c r="V15" s="190">
        <f>Tab_Def_Flows[[#This Row],[CC_DM'[%']]]*Tab_Def_Flows[[#This Row],[DM]]</f>
        <v/>
      </c>
    </row>
    <row r="16" ht="23.25" customHeight="1">
      <c r="A16" s="97">
        <f>B5</f>
        <v/>
      </c>
      <c r="B16" s="73" t="n">
        <v>297904.57</v>
      </c>
      <c r="C16" s="124">
        <f>B16/$B$22</f>
        <v/>
      </c>
      <c r="D16" s="123" t="inlineStr">
        <is>
          <t>[1]</t>
        </is>
      </c>
      <c r="E16" s="122" t="n">
        <v>0</v>
      </c>
      <c r="F16" s="72">
        <f>E16*B16</f>
        <v/>
      </c>
      <c r="G16" s="121">
        <f>F16/$F$22</f>
        <v/>
      </c>
      <c r="H16" s="120" t="inlineStr">
        <is>
          <t>[1]</t>
        </is>
      </c>
      <c r="I16" s="119">
        <f>1-E16</f>
        <v/>
      </c>
      <c r="J16" s="71">
        <f>I16*B16</f>
        <v/>
      </c>
      <c r="K16" s="139">
        <f>J16/$J$22</f>
        <v/>
      </c>
      <c r="L16" s="116" t="inlineStr">
        <is>
          <t>[1]</t>
        </is>
      </c>
      <c r="M16" s="116" t="n"/>
    </row>
    <row r="17" ht="23.25" customHeight="1">
      <c r="A17" s="97">
        <f>B6</f>
        <v/>
      </c>
      <c r="B17" s="73" t="n">
        <v>423763.48</v>
      </c>
      <c r="C17" s="124">
        <f>B17/$B$22</f>
        <v/>
      </c>
      <c r="D17" s="123" t="inlineStr">
        <is>
          <t>[1]</t>
        </is>
      </c>
      <c r="E17" s="122" t="n">
        <v>0.2384196179434812</v>
      </c>
      <c r="F17" s="72">
        <f>E17*B17</f>
        <v/>
      </c>
      <c r="G17" s="121">
        <f>F17/$F$22</f>
        <v/>
      </c>
      <c r="H17" s="120" t="inlineStr">
        <is>
          <t>[1]</t>
        </is>
      </c>
      <c r="I17" s="119">
        <f>1-E17</f>
        <v/>
      </c>
      <c r="J17" s="71">
        <f>I17*B17</f>
        <v/>
      </c>
      <c r="K17" s="139">
        <f>J17/$J$22</f>
        <v/>
      </c>
      <c r="L17" s="116" t="inlineStr">
        <is>
          <t>[1]</t>
        </is>
      </c>
      <c r="M17" s="116" t="n"/>
    </row>
    <row r="18" ht="23.25" customHeight="1">
      <c r="A18" s="97">
        <f>B7</f>
        <v/>
      </c>
      <c r="B18" s="73" t="n"/>
      <c r="C18" s="124">
        <f>B18/$B$22</f>
        <v/>
      </c>
      <c r="D18" s="123" t="n"/>
      <c r="E18" s="122" t="n"/>
      <c r="F18" s="72">
        <f>E18*B18</f>
        <v/>
      </c>
      <c r="G18" s="121">
        <f>F18/$F$22</f>
        <v/>
      </c>
      <c r="H18" s="120" t="n"/>
      <c r="I18" s="119" t="n"/>
      <c r="J18" s="71">
        <f>I18*B18</f>
        <v/>
      </c>
      <c r="K18" s="139">
        <f>J18/$J$22</f>
        <v/>
      </c>
      <c r="L18" s="117" t="n"/>
      <c r="M18" s="116" t="n"/>
    </row>
    <row r="19" ht="23.25" customHeight="1">
      <c r="A19" s="97">
        <f>B8</f>
        <v/>
      </c>
      <c r="B19" s="73" t="n"/>
      <c r="C19" s="124">
        <f>B19/$B$22</f>
        <v/>
      </c>
      <c r="D19" s="123" t="n"/>
      <c r="E19" s="122" t="n"/>
      <c r="F19" s="72">
        <f>E19*B19</f>
        <v/>
      </c>
      <c r="G19" s="121">
        <f>F19/$F$22</f>
        <v/>
      </c>
      <c r="H19" s="141" t="n"/>
      <c r="I19" s="140" t="n"/>
      <c r="J19" s="71">
        <f>I19*B19</f>
        <v/>
      </c>
      <c r="K19" s="139">
        <f>J19/$J$22</f>
        <v/>
      </c>
      <c r="L19" s="117" t="n"/>
      <c r="M19" s="116" t="n"/>
    </row>
    <row r="20" ht="23.25" customHeight="1">
      <c r="A20" s="97">
        <f>B9</f>
        <v/>
      </c>
      <c r="B20" s="73" t="n"/>
      <c r="C20" s="124">
        <f>B20/$B$22</f>
        <v/>
      </c>
      <c r="D20" s="123" t="n"/>
      <c r="E20" s="122" t="n"/>
      <c r="F20" s="72">
        <f>E20*B20</f>
        <v/>
      </c>
      <c r="G20" s="121">
        <f>F20/$F$22</f>
        <v/>
      </c>
      <c r="H20" s="141" t="n"/>
      <c r="I20" s="140" t="n"/>
      <c r="J20" s="71">
        <f>I20*B20</f>
        <v/>
      </c>
      <c r="K20" s="139">
        <f>J20/$J$22</f>
        <v/>
      </c>
      <c r="L20" s="117" t="n"/>
      <c r="M20" s="116" t="n"/>
    </row>
    <row r="21" ht="23.25" customHeight="1" thickBot="1">
      <c r="A21" s="97">
        <f>B10</f>
        <v/>
      </c>
      <c r="B21" s="73" t="n"/>
      <c r="C21" s="124">
        <f>B21/$B$22</f>
        <v/>
      </c>
      <c r="D21" s="123" t="n"/>
      <c r="E21" s="122" t="n"/>
      <c r="F21" s="72">
        <f>E21*B21</f>
        <v/>
      </c>
      <c r="G21" s="121">
        <f>F21/$F$22</f>
        <v/>
      </c>
      <c r="H21" s="141" t="n"/>
      <c r="I21" s="140" t="n"/>
      <c r="J21" s="71">
        <f>I21*B21</f>
        <v/>
      </c>
      <c r="K21" s="139">
        <f>J21/$J$22</f>
        <v/>
      </c>
      <c r="L21" s="117" t="n"/>
      <c r="M21" s="116" t="n"/>
    </row>
    <row r="22" ht="16.5" customHeight="1" thickBot="1">
      <c r="A22" s="87" t="inlineStr">
        <is>
          <t>Summe</t>
        </is>
      </c>
      <c r="B22" s="115">
        <f>SUM(B16:B19)</f>
        <v/>
      </c>
      <c r="C22" s="138">
        <f>C16+C17+C18</f>
        <v/>
      </c>
      <c r="D22" s="113" t="n"/>
      <c r="E22" s="112">
        <f>F22/B22</f>
        <v/>
      </c>
      <c r="F22" s="111">
        <f>SUM(F16:F19)</f>
        <v/>
      </c>
      <c r="G22" s="137">
        <f>SUM(G16:G19)</f>
        <v/>
      </c>
      <c r="H22" s="109" t="n"/>
      <c r="I22" s="108">
        <f>J22/B22</f>
        <v/>
      </c>
      <c r="J22" s="107">
        <f>J16+J17+J18</f>
        <v/>
      </c>
      <c r="K22" s="136">
        <f>SUM(K16:K19)</f>
        <v/>
      </c>
      <c r="L22" s="105" t="n"/>
      <c r="M22" s="104" t="n"/>
    </row>
    <row r="23" ht="16.5" customHeight="1" thickBot="1">
      <c r="A23" s="167" t="inlineStr">
        <is>
          <t>Substance</t>
        </is>
      </c>
      <c r="B23" s="318" t="inlineStr">
        <is>
          <t>Carbon Content</t>
        </is>
      </c>
      <c r="C23" s="303" t="n"/>
      <c r="D23" s="303" t="n"/>
      <c r="E23" s="303" t="n"/>
      <c r="F23" s="303" t="n"/>
      <c r="G23" s="303" t="n"/>
      <c r="H23" s="304" t="n"/>
      <c r="I23" s="319" t="inlineStr">
        <is>
          <t>Flow Parameter</t>
        </is>
      </c>
      <c r="J23" s="303" t="n"/>
      <c r="K23" s="303" t="n"/>
      <c r="L23" s="303" t="n"/>
      <c r="M23" s="304" t="n"/>
    </row>
    <row r="24" ht="63.75" customHeight="1" thickBot="1">
      <c r="A24" s="7" t="n"/>
      <c r="B24" s="102" t="inlineStr">
        <is>
          <t>TC [%_DM] (Enter Values)</t>
        </is>
      </c>
      <c r="C24" s="101" t="inlineStr">
        <is>
          <t>TC [Mg]</t>
        </is>
      </c>
      <c r="D24" s="101" t="inlineStr">
        <is>
          <t>TC [%] (mass balance check)</t>
        </is>
      </c>
      <c r="E24" s="101" t="inlineStr">
        <is>
          <t>TC Source/ Explaination</t>
        </is>
      </c>
      <c r="F24" s="102" t="inlineStr">
        <is>
          <t>TC_FM [%_FM]</t>
        </is>
      </c>
      <c r="G24" s="101" t="inlineStr">
        <is>
          <t>TC-Flow_FM [mass]</t>
        </is>
      </c>
      <c r="H24" s="166" t="inlineStr">
        <is>
          <t>TC_FM [%] (mass balance check)</t>
        </is>
      </c>
      <c r="I24" s="100" t="inlineStr">
        <is>
          <t>FM [mass]</t>
        </is>
      </c>
      <c r="J24" s="99" t="inlineStr">
        <is>
          <t>Dry mass [mass]</t>
        </is>
      </c>
      <c r="K24" s="99" t="inlineStr">
        <is>
          <t>Water [mass]</t>
        </is>
      </c>
      <c r="L24" s="99" t="inlineStr">
        <is>
          <t>WC+ DM [mass]</t>
        </is>
      </c>
      <c r="M24" s="98" t="inlineStr">
        <is>
          <t>Carbon [mass]</t>
        </is>
      </c>
      <c r="P24" s="204" t="n">
        <v>0.14</v>
      </c>
      <c r="Q24" s="55" t="inlineStr">
        <is>
          <t>Assumption</t>
        </is>
      </c>
      <c r="R24" s="204" t="n">
        <v>0.86</v>
      </c>
      <c r="S24" s="55" t="inlineStr">
        <is>
          <t>Assumption</t>
        </is>
      </c>
      <c r="T24" s="204" t="n">
        <v>0.48</v>
      </c>
      <c r="U24" s="55" t="inlineStr">
        <is>
          <t>Assumption</t>
        </is>
      </c>
      <c r="V24" s="190">
        <f>Tab_Def_Flows[[#This Row],[CC_DM'[%']]]*Tab_Def_Flows[[#This Row],[DM]]</f>
        <v/>
      </c>
      <c r="W24" s="205" t="inlineStr">
        <is>
          <t>Caclualtion</t>
        </is>
      </c>
    </row>
    <row r="25" ht="27" customHeight="1">
      <c r="A25" s="97">
        <f>B5</f>
        <v/>
      </c>
      <c r="B25" s="96" t="n">
        <v>1</v>
      </c>
      <c r="C25" s="94">
        <f>J16*B25</f>
        <v/>
      </c>
      <c r="D25" s="95">
        <f>C25/$C$31</f>
        <v/>
      </c>
      <c r="E25" s="94" t="inlineStr">
        <is>
          <t>[1]</t>
        </is>
      </c>
      <c r="F25" s="93">
        <f>B25*E16</f>
        <v/>
      </c>
      <c r="G25" s="92">
        <f>B25*E16*B16</f>
        <v/>
      </c>
      <c r="H25" s="91">
        <f>G25/$G$31</f>
        <v/>
      </c>
      <c r="I25" s="135">
        <f>$A$12*C16</f>
        <v/>
      </c>
      <c r="J25" s="134">
        <f>I25*E16</f>
        <v/>
      </c>
      <c r="K25" s="134">
        <f>I25*I16</f>
        <v/>
      </c>
      <c r="L25" s="134">
        <f>SUM(J25:K25)</f>
        <v/>
      </c>
      <c r="M25" s="133">
        <f>I25*F25</f>
        <v/>
      </c>
    </row>
    <row r="26" ht="31.5" customHeight="1">
      <c r="A26" s="97">
        <f>B6</f>
        <v/>
      </c>
      <c r="B26" s="96" t="n">
        <v>0</v>
      </c>
      <c r="C26" s="94">
        <f>J17*B26</f>
        <v/>
      </c>
      <c r="D26" s="95">
        <f>C26/$C$31</f>
        <v/>
      </c>
      <c r="E26" s="94" t="inlineStr">
        <is>
          <t>[1]</t>
        </is>
      </c>
      <c r="F26" s="93">
        <f>B26*E17</f>
        <v/>
      </c>
      <c r="G26" s="92">
        <f>B26*E17*B17</f>
        <v/>
      </c>
      <c r="H26" s="91">
        <f>G26/$G$31</f>
        <v/>
      </c>
      <c r="I26" s="135">
        <f>$A$12*C17</f>
        <v/>
      </c>
      <c r="J26" s="134">
        <f>I26*E17</f>
        <v/>
      </c>
      <c r="K26" s="134">
        <f>I26*I17</f>
        <v/>
      </c>
      <c r="L26" s="134">
        <f>SUM(J26:K26)</f>
        <v/>
      </c>
      <c r="M26" s="133">
        <f>I26*F26</f>
        <v/>
      </c>
    </row>
    <row r="27" ht="15.75" customHeight="1">
      <c r="A27" s="97">
        <f>B7</f>
        <v/>
      </c>
      <c r="B27" s="96" t="n">
        <v>0</v>
      </c>
      <c r="C27" s="94">
        <f>F18*B27</f>
        <v/>
      </c>
      <c r="D27" s="95">
        <f>C27/$C$31</f>
        <v/>
      </c>
      <c r="E27" s="94" t="n"/>
      <c r="F27" s="93">
        <f>B27*E18</f>
        <v/>
      </c>
      <c r="G27" s="92">
        <f>B27*E18*B18</f>
        <v/>
      </c>
      <c r="H27" s="91">
        <f>G27/$G$31</f>
        <v/>
      </c>
      <c r="I27" s="135">
        <f>$A$12*C18</f>
        <v/>
      </c>
      <c r="J27" s="134">
        <f>I27*E18</f>
        <v/>
      </c>
      <c r="K27" s="134">
        <f>I27*I18</f>
        <v/>
      </c>
      <c r="L27" s="134">
        <f>SUM(J27:K27)</f>
        <v/>
      </c>
      <c r="M27" s="133">
        <f>I27*F27</f>
        <v/>
      </c>
      <c r="Q27" t="n">
        <v>0.7615803820565188</v>
      </c>
    </row>
    <row r="28" ht="15.75" customHeight="1">
      <c r="A28" s="97">
        <f>B8</f>
        <v/>
      </c>
      <c r="B28" s="96" t="n">
        <v>0</v>
      </c>
      <c r="C28" s="94">
        <f>F19*B28</f>
        <v/>
      </c>
      <c r="D28" s="95">
        <f>C28/$C$31</f>
        <v/>
      </c>
      <c r="E28" s="94" t="n"/>
      <c r="F28" s="93">
        <f>B28*E19</f>
        <v/>
      </c>
      <c r="G28" s="92">
        <f>B28*E19*B19</f>
        <v/>
      </c>
      <c r="H28" s="91">
        <f>G28/$G$31</f>
        <v/>
      </c>
      <c r="I28" s="135">
        <f>$A$12*C19</f>
        <v/>
      </c>
      <c r="J28" s="134">
        <f>I28*E19</f>
        <v/>
      </c>
      <c r="K28" s="134">
        <f>I28*I19</f>
        <v/>
      </c>
      <c r="L28" s="134">
        <f>SUM(J28:K28)</f>
        <v/>
      </c>
      <c r="M28" s="133">
        <f>I28*F28</f>
        <v/>
      </c>
    </row>
    <row r="29" ht="15.75" customHeight="1">
      <c r="A29" s="97">
        <f>B9</f>
        <v/>
      </c>
      <c r="B29" s="96" t="n">
        <v>0</v>
      </c>
      <c r="C29" s="94">
        <f>F20*B29</f>
        <v/>
      </c>
      <c r="D29" s="95">
        <f>C29/$C$31</f>
        <v/>
      </c>
      <c r="E29" s="94" t="n"/>
      <c r="F29" s="93">
        <f>B29*E20</f>
        <v/>
      </c>
      <c r="G29" s="92">
        <f>B29*E20*B20</f>
        <v/>
      </c>
      <c r="H29" s="91">
        <f>G29/$G$31</f>
        <v/>
      </c>
      <c r="I29" s="135">
        <f>$A$12*C20</f>
        <v/>
      </c>
      <c r="J29" s="134">
        <f>I29*E20</f>
        <v/>
      </c>
      <c r="K29" s="134">
        <f>I29*I20</f>
        <v/>
      </c>
      <c r="L29" s="134">
        <f>SUM(J29:K29)</f>
        <v/>
      </c>
      <c r="M29" s="133">
        <f>I29*F29</f>
        <v/>
      </c>
    </row>
    <row r="30" ht="16.5" customHeight="1" thickBot="1">
      <c r="A30" s="97">
        <f>B10</f>
        <v/>
      </c>
      <c r="B30" s="96" t="n">
        <v>0</v>
      </c>
      <c r="C30" s="94">
        <f>F21*B30</f>
        <v/>
      </c>
      <c r="D30" s="95">
        <f>C30/$C$31</f>
        <v/>
      </c>
      <c r="E30" s="94" t="n"/>
      <c r="F30" s="93">
        <f>B30*E21</f>
        <v/>
      </c>
      <c r="G30" s="92">
        <f>B30*E21*B21</f>
        <v/>
      </c>
      <c r="H30" s="91">
        <f>G30/$G$31</f>
        <v/>
      </c>
      <c r="I30" s="135">
        <f>$A$12*C21</f>
        <v/>
      </c>
      <c r="J30" s="134">
        <f>I30*E21</f>
        <v/>
      </c>
      <c r="K30" s="134">
        <f>I30*I21</f>
        <v/>
      </c>
      <c r="L30" s="134">
        <f>SUM(J30:K30)</f>
        <v/>
      </c>
      <c r="M30" s="133">
        <f>I30*F30</f>
        <v/>
      </c>
    </row>
    <row r="31" ht="16.5" customHeight="1" thickBot="1">
      <c r="A31" s="87" t="inlineStr">
        <is>
          <t>Summe</t>
        </is>
      </c>
      <c r="B31" s="86">
        <f>C31/F22</f>
        <v/>
      </c>
      <c r="C31" s="84">
        <f>SUM(C25:C30)</f>
        <v/>
      </c>
      <c r="D31" s="132">
        <f>SUM(D24:D30)</f>
        <v/>
      </c>
      <c r="E31" s="84" t="n"/>
      <c r="F31" s="131">
        <f>G31/B22</f>
        <v/>
      </c>
      <c r="G31" s="82">
        <f>SUM(G25:G30)</f>
        <v/>
      </c>
      <c r="H31" s="81">
        <f>SUM(H25:H30)</f>
        <v/>
      </c>
      <c r="I31" s="80">
        <f>SUM(I25:I30)</f>
        <v/>
      </c>
      <c r="J31" s="79">
        <f>SUM(J25:J30)</f>
        <v/>
      </c>
      <c r="K31" s="79">
        <f>SUM(K25:K30)</f>
        <v/>
      </c>
      <c r="L31" s="79">
        <f>SUM(L25:L30)</f>
        <v/>
      </c>
      <c r="M31" s="78">
        <f>SUM(M25:M30)</f>
        <v/>
      </c>
    </row>
    <row r="32" ht="16.5" customHeight="1" thickBot="1">
      <c r="A32" s="320" t="inlineStr">
        <is>
          <t>Process Output</t>
        </is>
      </c>
      <c r="B32" s="321" t="n"/>
      <c r="C32" s="321" t="n"/>
      <c r="D32" s="321" t="n"/>
      <c r="E32" s="321" t="n"/>
      <c r="F32" s="321" t="n"/>
      <c r="G32" s="321" t="n"/>
      <c r="H32" s="321" t="n"/>
      <c r="I32" s="321" t="n"/>
      <c r="J32" s="321" t="n"/>
      <c r="K32" s="321" t="n"/>
      <c r="L32" s="321" t="n"/>
      <c r="M32" s="322" t="n"/>
    </row>
    <row r="33" ht="16.5" customHeight="1" thickBot="1">
      <c r="A33" s="103" t="inlineStr">
        <is>
          <t>Substance</t>
        </is>
      </c>
      <c r="B33" s="323" t="inlineStr">
        <is>
          <t>Fresh mass</t>
        </is>
      </c>
      <c r="C33" s="324" t="n"/>
      <c r="D33" s="310" t="n"/>
      <c r="E33" s="325" t="inlineStr">
        <is>
          <t>Dry mass</t>
        </is>
      </c>
      <c r="F33" s="324" t="n"/>
      <c r="G33" s="324" t="n"/>
      <c r="H33" s="310" t="n"/>
      <c r="I33" s="326" t="inlineStr">
        <is>
          <t>Water content</t>
        </is>
      </c>
      <c r="J33" s="324" t="n"/>
      <c r="K33" s="324" t="n"/>
      <c r="L33" s="324" t="n"/>
      <c r="M33" s="310" t="n"/>
    </row>
    <row r="34" ht="62.25" customHeight="1" thickBot="1">
      <c r="A34" s="64" t="n"/>
      <c r="B34" s="77" t="inlineStr">
        <is>
          <t>FM [mass/ time]</t>
        </is>
      </c>
      <c r="C34" s="130" t="inlineStr">
        <is>
          <t>FM [%] (mass balance check)</t>
        </is>
      </c>
      <c r="D34" s="129" t="inlineStr">
        <is>
          <t>Source/ Explaination</t>
        </is>
      </c>
      <c r="E34" s="128" t="inlineStr">
        <is>
          <t>DM_FM [%]</t>
        </is>
      </c>
      <c r="F34" s="76" t="inlineStr">
        <is>
          <t>DM [Mg]</t>
        </is>
      </c>
      <c r="G34" s="76" t="inlineStr">
        <is>
          <t>DM [%] (mass balance check)</t>
        </is>
      </c>
      <c r="H34" s="127" t="inlineStr">
        <is>
          <t>Source/ Explaination</t>
        </is>
      </c>
      <c r="I34" s="126" t="inlineStr">
        <is>
          <t>WC_FM [%]</t>
        </is>
      </c>
      <c r="J34" s="75" t="inlineStr">
        <is>
          <t>WC [Mg]</t>
        </is>
      </c>
      <c r="K34" s="75" t="inlineStr">
        <is>
          <t>WC [%] (mass balance check)</t>
        </is>
      </c>
      <c r="L34" s="75" t="inlineStr">
        <is>
          <t>Source/ Explaination</t>
        </is>
      </c>
      <c r="M34" s="125" t="n"/>
    </row>
    <row r="35" ht="15.75" customHeight="1">
      <c r="A35" s="97">
        <f>F5</f>
        <v/>
      </c>
      <c r="B35" s="73">
        <f>B22</f>
        <v/>
      </c>
      <c r="C35" s="124">
        <f>B35/$B$41</f>
        <v/>
      </c>
      <c r="D35" s="123" t="inlineStr">
        <is>
          <t>[1]</t>
        </is>
      </c>
      <c r="E35" s="122" t="n">
        <v>0.14</v>
      </c>
      <c r="F35" s="72">
        <f>E35*B35</f>
        <v/>
      </c>
      <c r="G35" s="121">
        <f>F35/$F$41</f>
        <v/>
      </c>
      <c r="H35" s="120" t="inlineStr">
        <is>
          <t>[1]</t>
        </is>
      </c>
      <c r="I35" s="119">
        <f>1-E35</f>
        <v/>
      </c>
      <c r="J35" s="71">
        <f>I35*B35</f>
        <v/>
      </c>
      <c r="K35" s="118">
        <f>J35/$J$41</f>
        <v/>
      </c>
      <c r="L35" s="117" t="inlineStr">
        <is>
          <t>[1]</t>
        </is>
      </c>
      <c r="M35" s="116" t="n"/>
      <c r="R35">
        <f>C54/B17</f>
        <v/>
      </c>
    </row>
    <row r="36" ht="15.75" customHeight="1">
      <c r="A36" s="97">
        <f>F6</f>
        <v/>
      </c>
      <c r="B36" s="73" t="n">
        <v>0</v>
      </c>
      <c r="C36" s="124">
        <f>B36/$B$41</f>
        <v/>
      </c>
      <c r="D36" s="123" t="inlineStr">
        <is>
          <t>[1]</t>
        </is>
      </c>
      <c r="E36" s="122" t="n">
        <v>0</v>
      </c>
      <c r="F36" s="72">
        <f>E36*B36</f>
        <v/>
      </c>
      <c r="G36" s="121">
        <f>F36/$F$41</f>
        <v/>
      </c>
      <c r="H36" s="120" t="inlineStr">
        <is>
          <t>[1]</t>
        </is>
      </c>
      <c r="I36" s="119">
        <f>1-E36</f>
        <v/>
      </c>
      <c r="J36" s="71">
        <f>I36*B36</f>
        <v/>
      </c>
      <c r="K36" s="118">
        <f>J36/$J$41</f>
        <v/>
      </c>
      <c r="L36" s="117" t="inlineStr">
        <is>
          <t>[1]</t>
        </is>
      </c>
      <c r="M36" s="116" t="n"/>
    </row>
    <row r="37" ht="15.75" customHeight="1">
      <c r="A37" s="97">
        <f>F7</f>
        <v/>
      </c>
      <c r="B37" s="73" t="n">
        <v>0</v>
      </c>
      <c r="C37" s="124">
        <f>B37/$B$41</f>
        <v/>
      </c>
      <c r="D37" s="123" t="n"/>
      <c r="E37" s="122" t="n">
        <v>0</v>
      </c>
      <c r="F37" s="72">
        <f>E37*B37</f>
        <v/>
      </c>
      <c r="G37" s="121">
        <f>F37/$F$41</f>
        <v/>
      </c>
      <c r="H37" s="120" t="n"/>
      <c r="I37" s="119">
        <f>1-E37</f>
        <v/>
      </c>
      <c r="J37" s="71">
        <f>I37*B37</f>
        <v/>
      </c>
      <c r="K37" s="118">
        <f>J37/$J$41</f>
        <v/>
      </c>
      <c r="L37" s="117" t="n"/>
      <c r="M37" s="116" t="n"/>
    </row>
    <row r="38" ht="15.75" customHeight="1">
      <c r="A38" s="97">
        <f>F8</f>
        <v/>
      </c>
      <c r="B38" s="73" t="n"/>
      <c r="C38" s="124">
        <f>B38/$B$41</f>
        <v/>
      </c>
      <c r="D38" s="123" t="n"/>
      <c r="E38" s="122" t="n"/>
      <c r="F38" s="72">
        <f>E38*B38</f>
        <v/>
      </c>
      <c r="G38" s="121">
        <f>F38/$F$41</f>
        <v/>
      </c>
      <c r="H38" s="120" t="n"/>
      <c r="I38" s="119" t="n"/>
      <c r="J38" s="71">
        <f>I38*B38</f>
        <v/>
      </c>
      <c r="K38" s="118">
        <f>J38/$J$41</f>
        <v/>
      </c>
      <c r="L38" s="117" t="n"/>
      <c r="M38" s="116" t="n"/>
    </row>
    <row r="39" ht="15.75" customHeight="1">
      <c r="A39" s="97">
        <f>F9</f>
        <v/>
      </c>
      <c r="B39" s="73" t="n"/>
      <c r="C39" s="124">
        <f>B39/$B$41</f>
        <v/>
      </c>
      <c r="D39" s="123" t="n"/>
      <c r="E39" s="122" t="n"/>
      <c r="F39" s="72">
        <f>E39*B39</f>
        <v/>
      </c>
      <c r="G39" s="121">
        <f>F39/$F$41</f>
        <v/>
      </c>
      <c r="H39" s="120" t="n"/>
      <c r="I39" s="119" t="n"/>
      <c r="J39" s="71">
        <f>I39*B39</f>
        <v/>
      </c>
      <c r="K39" s="118">
        <f>J39/$J$41</f>
        <v/>
      </c>
      <c r="L39" s="117" t="n"/>
      <c r="M39" s="116" t="n"/>
    </row>
    <row r="40" ht="16.5" customHeight="1" thickBot="1">
      <c r="A40" s="97">
        <f>F10</f>
        <v/>
      </c>
      <c r="B40" s="73" t="n"/>
      <c r="C40" s="124">
        <f>B40/$B$41</f>
        <v/>
      </c>
      <c r="D40" s="123" t="n"/>
      <c r="E40" s="122" t="n"/>
      <c r="F40" s="72">
        <f>E40*B40</f>
        <v/>
      </c>
      <c r="G40" s="121">
        <f>F40/$F$41</f>
        <v/>
      </c>
      <c r="H40" s="120" t="n"/>
      <c r="I40" s="119" t="n"/>
      <c r="J40" s="71">
        <f>I40*B40</f>
        <v/>
      </c>
      <c r="K40" s="118">
        <f>J40/$J$22</f>
        <v/>
      </c>
      <c r="L40" s="117" t="n"/>
      <c r="M40" s="116" t="n"/>
    </row>
    <row r="41" ht="16.5" customHeight="1" thickBot="1">
      <c r="A41" s="87" t="inlineStr">
        <is>
          <t>Summe</t>
        </is>
      </c>
      <c r="B41" s="115">
        <f>SUM(B35:B40)</f>
        <v/>
      </c>
      <c r="C41" s="114">
        <f>SUM(C35:C40)</f>
        <v/>
      </c>
      <c r="D41" s="113" t="n"/>
      <c r="E41" s="112">
        <f>F41/B41</f>
        <v/>
      </c>
      <c r="F41" s="111">
        <f>SUM(F35:F40)</f>
        <v/>
      </c>
      <c r="G41" s="110">
        <f>SUM(G35:G40)</f>
        <v/>
      </c>
      <c r="H41" s="109" t="n"/>
      <c r="I41" s="108">
        <f>J41/B41</f>
        <v/>
      </c>
      <c r="J41" s="107">
        <f>SUM(J35:J40)</f>
        <v/>
      </c>
      <c r="K41" s="106">
        <f>SUM(K35:K40)</f>
        <v/>
      </c>
      <c r="L41" s="105" t="n"/>
      <c r="M41" s="104" t="n"/>
    </row>
    <row r="42" ht="16.5" customHeight="1" thickBot="1">
      <c r="A42" s="167" t="inlineStr">
        <is>
          <t>Substance</t>
        </is>
      </c>
      <c r="B42" s="318" t="inlineStr">
        <is>
          <t>Carbon Content</t>
        </is>
      </c>
      <c r="C42" s="303" t="n"/>
      <c r="D42" s="303" t="n"/>
      <c r="E42" s="303" t="n"/>
      <c r="F42" s="303" t="n"/>
      <c r="G42" s="303" t="n"/>
      <c r="H42" s="304" t="n"/>
      <c r="I42" s="319" t="inlineStr">
        <is>
          <t>Flow Parameter</t>
        </is>
      </c>
      <c r="J42" s="303" t="n"/>
      <c r="K42" s="303" t="n"/>
      <c r="L42" s="303" t="n"/>
      <c r="M42" s="304" t="n"/>
    </row>
    <row r="43" ht="63.75" customHeight="1" thickBot="1">
      <c r="A43" s="7" t="n"/>
      <c r="B43" s="102" t="inlineStr">
        <is>
          <t>TC [%_DM] (Enter Values)</t>
        </is>
      </c>
      <c r="C43" s="101" t="inlineStr">
        <is>
          <t>TC [Mg]</t>
        </is>
      </c>
      <c r="D43" s="101" t="inlineStr">
        <is>
          <t>TC [%] (mass balance check)</t>
        </is>
      </c>
      <c r="E43" s="101" t="inlineStr">
        <is>
          <t>TC Source/ Explaination</t>
        </is>
      </c>
      <c r="F43" s="102" t="inlineStr">
        <is>
          <t>TC_FM [%_FM]</t>
        </is>
      </c>
      <c r="G43" s="101" t="inlineStr">
        <is>
          <t>TC-Flow_FM [mass]</t>
        </is>
      </c>
      <c r="H43" s="166" t="inlineStr">
        <is>
          <t>TC_FM [%] (mass balance check)</t>
        </is>
      </c>
      <c r="I43" s="100" t="inlineStr">
        <is>
          <t>FM [mass]</t>
        </is>
      </c>
      <c r="J43" s="99" t="inlineStr">
        <is>
          <t>Dry mass [mass]</t>
        </is>
      </c>
      <c r="K43" s="99" t="inlineStr">
        <is>
          <t>Water [mass]</t>
        </is>
      </c>
      <c r="L43" s="99" t="inlineStr">
        <is>
          <t>WC+ DM [mass]</t>
        </is>
      </c>
      <c r="M43" s="98" t="inlineStr">
        <is>
          <t>Carbon [mass]</t>
        </is>
      </c>
    </row>
    <row r="44" ht="15.75" customHeight="1">
      <c r="A44" s="97">
        <f>A35</f>
        <v/>
      </c>
      <c r="B44" s="96" t="n">
        <v>0.48</v>
      </c>
      <c r="C44" s="94">
        <f>J35*B44</f>
        <v/>
      </c>
      <c r="D44" s="95">
        <f>C44/$C$50</f>
        <v/>
      </c>
      <c r="E44" s="94" t="inlineStr">
        <is>
          <t>[1]</t>
        </is>
      </c>
      <c r="F44" s="93">
        <f>B44*I35</f>
        <v/>
      </c>
      <c r="G44" s="92">
        <f>B44*I35*B35</f>
        <v/>
      </c>
      <c r="H44" s="91">
        <f>G44/$G$50</f>
        <v/>
      </c>
      <c r="I44" s="90">
        <f>$A$12*B58</f>
        <v/>
      </c>
      <c r="J44" s="89">
        <f>I44*E35</f>
        <v/>
      </c>
      <c r="K44" s="89">
        <f>I44*I35</f>
        <v/>
      </c>
      <c r="L44" s="89">
        <f>SUM(J44:K44)</f>
        <v/>
      </c>
      <c r="M44" s="88">
        <f>I44*F44</f>
        <v/>
      </c>
    </row>
    <row r="45" ht="15.75" customHeight="1">
      <c r="A45" s="97">
        <f>A36</f>
        <v/>
      </c>
      <c r="B45" s="96" t="n">
        <v>0</v>
      </c>
      <c r="C45" s="94">
        <f>F36*B45</f>
        <v/>
      </c>
      <c r="D45" s="95">
        <f>C45/$C$50</f>
        <v/>
      </c>
      <c r="E45" s="94" t="inlineStr">
        <is>
          <t>[1]</t>
        </is>
      </c>
      <c r="F45" s="93">
        <f>B45*E36</f>
        <v/>
      </c>
      <c r="G45" s="92">
        <f>B45*E36*B36</f>
        <v/>
      </c>
      <c r="H45" s="91">
        <f>G45/$G$50</f>
        <v/>
      </c>
      <c r="I45" s="90">
        <f>$A$12*B59</f>
        <v/>
      </c>
      <c r="J45" s="89">
        <f>I45*E36</f>
        <v/>
      </c>
      <c r="K45" s="89">
        <f>I45*I36</f>
        <v/>
      </c>
      <c r="L45" s="89">
        <f>SUM(J45:K45)</f>
        <v/>
      </c>
      <c r="M45" s="88">
        <f>I45*F45</f>
        <v/>
      </c>
    </row>
    <row r="46" ht="15.75" customHeight="1">
      <c r="A46" s="97">
        <f>A37</f>
        <v/>
      </c>
      <c r="B46" s="96" t="n">
        <v>0</v>
      </c>
      <c r="C46" s="94">
        <f>F37*B46</f>
        <v/>
      </c>
      <c r="D46" s="95">
        <f>C46/$C$50</f>
        <v/>
      </c>
      <c r="E46" s="94" t="inlineStr">
        <is>
          <t>[1]</t>
        </is>
      </c>
      <c r="F46" s="93">
        <f>B46*E37</f>
        <v/>
      </c>
      <c r="G46" s="92">
        <f>B46*E37*B37</f>
        <v/>
      </c>
      <c r="H46" s="91">
        <f>G46/$G$50</f>
        <v/>
      </c>
      <c r="I46" s="90">
        <f>$A$12*B60</f>
        <v/>
      </c>
      <c r="J46" s="89">
        <f>I46*E37</f>
        <v/>
      </c>
      <c r="K46" s="89">
        <f>I46*I37</f>
        <v/>
      </c>
      <c r="L46" s="89">
        <f>SUM(J46:K46)</f>
        <v/>
      </c>
      <c r="M46" s="88">
        <f>I46*F46</f>
        <v/>
      </c>
    </row>
    <row r="47" ht="15.75" customHeight="1">
      <c r="A47" s="97">
        <f>A38</f>
        <v/>
      </c>
      <c r="B47" s="96" t="n"/>
      <c r="C47" s="94">
        <f>F38*B47</f>
        <v/>
      </c>
      <c r="D47" s="95">
        <f>C47/$C$50</f>
        <v/>
      </c>
      <c r="E47" s="94" t="n"/>
      <c r="F47" s="93">
        <f>B47*E38</f>
        <v/>
      </c>
      <c r="G47" s="92">
        <f>B47*E38*B38</f>
        <v/>
      </c>
      <c r="H47" s="91">
        <f>G47/$G$50</f>
        <v/>
      </c>
      <c r="I47" s="90">
        <f>$A$12*B61</f>
        <v/>
      </c>
      <c r="J47" s="89">
        <f>I47*E38</f>
        <v/>
      </c>
      <c r="K47" s="89">
        <f>I47*I38</f>
        <v/>
      </c>
      <c r="L47" s="89">
        <f>SUM(J47:K47)</f>
        <v/>
      </c>
      <c r="M47" s="88">
        <f>I47*F47</f>
        <v/>
      </c>
    </row>
    <row r="48" ht="15.75" customHeight="1">
      <c r="A48" s="97">
        <f>A39</f>
        <v/>
      </c>
      <c r="B48" s="96" t="n"/>
      <c r="C48" s="94">
        <f>F39*B48</f>
        <v/>
      </c>
      <c r="D48" s="95">
        <f>C48/$C$50</f>
        <v/>
      </c>
      <c r="E48" s="94" t="n"/>
      <c r="F48" s="93">
        <f>B48*E39</f>
        <v/>
      </c>
      <c r="G48" s="92">
        <f>B48*E39*B39</f>
        <v/>
      </c>
      <c r="H48" s="91">
        <f>G48/$G$50</f>
        <v/>
      </c>
      <c r="I48" s="90">
        <f>$A$12*B62</f>
        <v/>
      </c>
      <c r="J48" s="89">
        <f>I48*E39</f>
        <v/>
      </c>
      <c r="K48" s="89">
        <f>I48*I39</f>
        <v/>
      </c>
      <c r="L48" s="89">
        <f>SUM(J48:K48)</f>
        <v/>
      </c>
      <c r="M48" s="88">
        <f>I48*F48</f>
        <v/>
      </c>
    </row>
    <row r="49" ht="16.5" customHeight="1" thickBot="1">
      <c r="A49" s="97">
        <f>A40</f>
        <v/>
      </c>
      <c r="B49" s="96" t="n"/>
      <c r="C49" s="94">
        <f>F40*B49</f>
        <v/>
      </c>
      <c r="D49" s="95">
        <f>C49/$C$50</f>
        <v/>
      </c>
      <c r="E49" s="94" t="n"/>
      <c r="F49" s="93">
        <f>B49*E40</f>
        <v/>
      </c>
      <c r="G49" s="92">
        <f>B49*E40*B40</f>
        <v/>
      </c>
      <c r="H49" s="91">
        <f>G49/$G$50</f>
        <v/>
      </c>
      <c r="I49" s="90">
        <f>$A$12*B63</f>
        <v/>
      </c>
      <c r="J49" s="89">
        <f>I49*E40</f>
        <v/>
      </c>
      <c r="K49" s="89">
        <f>I49*I40</f>
        <v/>
      </c>
      <c r="L49" s="89">
        <f>SUM(J49:K49)</f>
        <v/>
      </c>
      <c r="M49" s="88">
        <f>I49*F49</f>
        <v/>
      </c>
      <c r="Q49" s="206" t="n"/>
    </row>
    <row r="50" ht="16.5" customHeight="1" thickBot="1">
      <c r="A50" s="87" t="inlineStr">
        <is>
          <t>Summe</t>
        </is>
      </c>
      <c r="B50" s="86">
        <f>C50/F41</f>
        <v/>
      </c>
      <c r="C50" s="84">
        <f>SUM(C44:C49)</f>
        <v/>
      </c>
      <c r="D50" s="85">
        <f>SUM(D44:D49)</f>
        <v/>
      </c>
      <c r="E50" s="84" t="n"/>
      <c r="F50" s="83">
        <f>G50/B41</f>
        <v/>
      </c>
      <c r="G50" s="82">
        <f>SUM(G44:G49)</f>
        <v/>
      </c>
      <c r="H50" s="81">
        <f>SUM(H44:H49)</f>
        <v/>
      </c>
      <c r="I50" s="80">
        <f>SUM(I44:I49)</f>
        <v/>
      </c>
      <c r="J50" s="79">
        <f>SUM(J44:J49)</f>
        <v/>
      </c>
      <c r="K50" s="79">
        <f>SUM(K44:K49)</f>
        <v/>
      </c>
      <c r="L50" s="79">
        <f>SUM(L44:L49)</f>
        <v/>
      </c>
      <c r="M50" s="78">
        <f>SUM(M44:M49)</f>
        <v/>
      </c>
    </row>
    <row r="51" ht="15.75" customHeight="1" thickBot="1">
      <c r="A51" s="327" t="inlineStr">
        <is>
          <t>Input vs Output (Mass balance check)</t>
        </is>
      </c>
      <c r="B51" s="303" t="n"/>
      <c r="C51" s="303" t="n"/>
      <c r="D51" s="303" t="n"/>
      <c r="E51" s="304" t="n"/>
      <c r="F51" s="328" t="inlineStr">
        <is>
          <t>Process - Description</t>
        </is>
      </c>
      <c r="G51" s="324" t="n"/>
      <c r="H51" s="324" t="n"/>
      <c r="I51" s="324" t="n"/>
      <c r="J51" s="324" t="n"/>
      <c r="K51" s="324" t="n"/>
      <c r="L51" s="324" t="n"/>
      <c r="M51" s="310" t="n"/>
    </row>
    <row r="52" ht="16.5" customHeight="1" thickBot="1">
      <c r="A52" s="4" t="inlineStr">
        <is>
          <t>Parameter</t>
        </is>
      </c>
      <c r="B52" s="77" t="inlineStr">
        <is>
          <t>FM []</t>
        </is>
      </c>
      <c r="C52" s="76" t="inlineStr">
        <is>
          <t>DM</t>
        </is>
      </c>
      <c r="D52" s="75" t="inlineStr">
        <is>
          <t>WC</t>
        </is>
      </c>
      <c r="E52" s="74" t="inlineStr">
        <is>
          <t>TC</t>
        </is>
      </c>
      <c r="F52" s="221" t="n"/>
      <c r="M52" s="6" t="n"/>
    </row>
    <row r="53" ht="15.75" customHeight="1">
      <c r="A53" s="5" t="inlineStr">
        <is>
          <t>Input</t>
        </is>
      </c>
      <c r="B53" s="73">
        <f>B22</f>
        <v/>
      </c>
      <c r="C53" s="72">
        <f>F22</f>
        <v/>
      </c>
      <c r="D53" s="71">
        <f>J22</f>
        <v/>
      </c>
      <c r="E53" s="70">
        <f>C31</f>
        <v/>
      </c>
      <c r="M53" s="6" t="n"/>
    </row>
    <row r="54" ht="16.5" customHeight="1" thickBot="1">
      <c r="A54" s="5" t="inlineStr">
        <is>
          <t>Output</t>
        </is>
      </c>
      <c r="B54" s="73">
        <f>B41</f>
        <v/>
      </c>
      <c r="C54" s="72">
        <f>F41</f>
        <v/>
      </c>
      <c r="D54" s="71">
        <f>J41</f>
        <v/>
      </c>
      <c r="E54" s="70">
        <f>C50</f>
        <v/>
      </c>
      <c r="M54" s="6" t="n"/>
    </row>
    <row r="55" ht="15.75" customHeight="1">
      <c r="A55" s="4" t="inlineStr">
        <is>
          <t>DIfference</t>
        </is>
      </c>
      <c r="B55" s="162">
        <f>B53-B54</f>
        <v/>
      </c>
      <c r="C55" s="163">
        <f>C53-C54</f>
        <v/>
      </c>
      <c r="D55" s="164">
        <f>D53-D54</f>
        <v/>
      </c>
      <c r="E55" s="165">
        <f>E53-E54</f>
        <v/>
      </c>
      <c r="M55" s="6" t="n"/>
    </row>
    <row r="56" ht="16.5" customHeight="1" thickBot="1">
      <c r="A56" s="7" t="inlineStr">
        <is>
          <t>Difference</t>
        </is>
      </c>
      <c r="B56" s="69">
        <f>B53/B54</f>
        <v/>
      </c>
      <c r="C56" s="67">
        <f>C53/C54</f>
        <v/>
      </c>
      <c r="D56" s="66">
        <f>D53/D54</f>
        <v/>
      </c>
      <c r="E56" s="65">
        <f>E53/E54</f>
        <v/>
      </c>
      <c r="M56" s="6" t="n"/>
    </row>
    <row r="57" ht="15.75" customHeight="1" thickBot="1">
      <c r="A57" s="327" t="inlineStr">
        <is>
          <t>Transfer coefficients</t>
        </is>
      </c>
      <c r="B57" s="303" t="n"/>
      <c r="C57" s="303" t="n"/>
      <c r="D57" s="303" t="n"/>
      <c r="E57" s="304" t="n"/>
      <c r="M57" s="6" t="n"/>
    </row>
    <row r="58" ht="16.5" customHeight="1" thickBot="1">
      <c r="A58" s="64">
        <f>A44</f>
        <v/>
      </c>
      <c r="B58" s="63">
        <f>(B35*$C$41)/($B$22*$C$22)</f>
        <v/>
      </c>
      <c r="C58" s="62">
        <f>(E35*B35)/($B$22*$E$22)</f>
        <v/>
      </c>
      <c r="D58" s="61">
        <f>(I35*B35)/($B$22*$I$22)</f>
        <v/>
      </c>
      <c r="E58" s="60">
        <f>(F44*B35)/($B$22*$F$31)</f>
        <v/>
      </c>
      <c r="M58" s="6" t="n"/>
    </row>
    <row r="59" ht="16.5" customHeight="1" thickBot="1">
      <c r="A59" s="7">
        <f>A45</f>
        <v/>
      </c>
      <c r="B59" s="68">
        <f>(B36*$C$41)/($B$22*$C$22)</f>
        <v/>
      </c>
      <c r="C59" s="67">
        <f>(E36*B36)/($B$22*$E$22)</f>
        <v/>
      </c>
      <c r="D59" s="66">
        <f>(I36*B36)/($B$22*$I$22)</f>
        <v/>
      </c>
      <c r="E59" s="65">
        <f>(F45*B36)/($B$22*$F$31)</f>
        <v/>
      </c>
      <c r="M59" s="6" t="n"/>
    </row>
    <row r="60" ht="16.5" customHeight="1" thickBot="1">
      <c r="A60" s="7">
        <f>A46</f>
        <v/>
      </c>
      <c r="B60" s="68">
        <f>(B37*$C$41)/($B$22*$C$22)</f>
        <v/>
      </c>
      <c r="C60" s="67">
        <f>(E37*B37)/($B$22*$E$22)</f>
        <v/>
      </c>
      <c r="D60" s="66">
        <f>(I37*B37)/($B$22*$I$22)</f>
        <v/>
      </c>
      <c r="E60" s="65">
        <f>(F46*B37)/($B$22*$F$31)</f>
        <v/>
      </c>
      <c r="M60" s="6" t="n"/>
    </row>
    <row r="61" ht="16.5" customHeight="1" thickBot="1">
      <c r="A61" s="7">
        <f>A47</f>
        <v/>
      </c>
      <c r="B61" s="68">
        <f>(B38*$C$41)/($B$22*$C$22)</f>
        <v/>
      </c>
      <c r="C61" s="67">
        <f>($G$41*F38)/($B$22*$E$22)</f>
        <v/>
      </c>
      <c r="D61" s="66">
        <f>(I38*B38)/($B$22*$I$22)</f>
        <v/>
      </c>
      <c r="E61" s="65">
        <f>(F47*B38)/($B$22*$F$31)</f>
        <v/>
      </c>
      <c r="M61" s="6" t="n"/>
    </row>
    <row r="62" ht="16.5" customHeight="1" thickBot="1">
      <c r="A62" s="7">
        <f>A48</f>
        <v/>
      </c>
      <c r="B62" s="68">
        <f>(B39*$C$41)/($B$22*$C$22)</f>
        <v/>
      </c>
      <c r="C62" s="67">
        <f>(B39*E39)/($B$22*$E$22)</f>
        <v/>
      </c>
      <c r="D62" s="66">
        <f>(I39*B39)/($B$22*$I$22)</f>
        <v/>
      </c>
      <c r="E62" s="65">
        <f>(F48*B39)/($B$22*$F$31)</f>
        <v/>
      </c>
      <c r="M62" s="6" t="n"/>
    </row>
    <row r="63" ht="16.5" customHeight="1" thickBot="1">
      <c r="A63" s="7">
        <f>A49</f>
        <v/>
      </c>
      <c r="B63" s="68">
        <f>(B40*$C$41)/($B$22*$C$22)</f>
        <v/>
      </c>
      <c r="C63" s="67">
        <f>(B40*E40)/($B$22*$E$22)</f>
        <v/>
      </c>
      <c r="D63" s="66">
        <f>(I40*B40)/($B$22*$I$22)</f>
        <v/>
      </c>
      <c r="E63" s="65">
        <f>(F49*B40)/($B$22*$F$31)</f>
        <v/>
      </c>
      <c r="M63" s="6" t="n"/>
    </row>
    <row r="64" ht="16.5" customHeight="1" thickBot="1">
      <c r="A64" s="4" t="inlineStr">
        <is>
          <t>Summe</t>
        </is>
      </c>
      <c r="B64" s="158">
        <f>SUM(B58:B63)</f>
        <v/>
      </c>
      <c r="C64" s="159">
        <f>SUM(C58:C63)</f>
        <v/>
      </c>
      <c r="D64" s="160">
        <f>SUM(D58:D63)</f>
        <v/>
      </c>
      <c r="E64" s="161">
        <f>SUM(E58:E63)</f>
        <v/>
      </c>
      <c r="M64" s="6" t="n"/>
    </row>
    <row r="65" ht="16.5" customHeight="1" thickBot="1">
      <c r="A65" s="314" t="inlineStr">
        <is>
          <t>Sources</t>
        </is>
      </c>
      <c r="B65" s="303" t="n"/>
      <c r="C65" s="303" t="n"/>
      <c r="D65" s="303" t="n"/>
      <c r="E65" s="303" t="n"/>
      <c r="F65" s="303" t="n"/>
      <c r="G65" s="303" t="n"/>
      <c r="H65" s="303" t="n"/>
      <c r="I65" s="303" t="n"/>
      <c r="J65" s="303" t="n"/>
      <c r="K65" s="303" t="n"/>
      <c r="L65" s="303" t="n"/>
      <c r="M65" s="304" t="n"/>
    </row>
    <row r="66">
      <c r="A66" s="5" t="inlineStr">
        <is>
          <t>[1]</t>
        </is>
      </c>
      <c r="B66" s="225" t="inlineStr">
        <is>
          <t>Laboratory Research</t>
        </is>
      </c>
      <c r="C66" s="324" t="n"/>
      <c r="D66" s="324" t="n"/>
      <c r="E66" s="324" t="n"/>
      <c r="F66" s="324" t="n"/>
      <c r="G66" s="5" t="inlineStr">
        <is>
          <t>[8]</t>
        </is>
      </c>
      <c r="M66" s="59" t="n"/>
    </row>
    <row r="67" ht="18.75" customHeight="1">
      <c r="A67" s="5" t="inlineStr">
        <is>
          <t>[2]</t>
        </is>
      </c>
      <c r="B67" s="208" t="inlineStr">
        <is>
          <t>Assumption</t>
        </is>
      </c>
      <c r="G67" s="5" t="inlineStr">
        <is>
          <t>[9]</t>
        </is>
      </c>
      <c r="M67" s="59" t="n"/>
    </row>
    <row r="68">
      <c r="A68" s="5" t="inlineStr">
        <is>
          <t>[3]</t>
        </is>
      </c>
      <c r="G68" s="5" t="inlineStr">
        <is>
          <t>[10]</t>
        </is>
      </c>
      <c r="M68" s="59" t="n"/>
    </row>
    <row r="69">
      <c r="A69" s="5" t="inlineStr">
        <is>
          <t>[4]</t>
        </is>
      </c>
      <c r="G69" s="5" t="inlineStr">
        <is>
          <t>[11]</t>
        </is>
      </c>
      <c r="M69" s="59" t="n"/>
    </row>
    <row r="70">
      <c r="A70" s="5" t="inlineStr">
        <is>
          <t>[5]</t>
        </is>
      </c>
      <c r="G70" s="5" t="inlineStr">
        <is>
          <t>[12]</t>
        </is>
      </c>
      <c r="M70" s="59" t="n"/>
    </row>
    <row r="71">
      <c r="A71" s="5" t="inlineStr">
        <is>
          <t>[6]</t>
        </is>
      </c>
      <c r="G71" s="5" t="inlineStr">
        <is>
          <t>[13]</t>
        </is>
      </c>
      <c r="M71" s="59" t="n"/>
    </row>
    <row r="72" ht="15.75" customHeight="1" thickBot="1">
      <c r="A72" s="7" t="inlineStr">
        <is>
          <t>[7]</t>
        </is>
      </c>
      <c r="B72" s="58" t="n"/>
      <c r="C72" s="58" t="n"/>
      <c r="D72" s="58" t="n"/>
      <c r="E72" s="58" t="n"/>
      <c r="F72" s="58" t="n"/>
      <c r="G72" s="7" t="inlineStr">
        <is>
          <t>[14]</t>
        </is>
      </c>
      <c r="H72" s="58" t="n"/>
      <c r="I72" s="58" t="n"/>
      <c r="J72" s="58" t="n"/>
      <c r="K72" s="58" t="n"/>
      <c r="L72" s="58" t="n"/>
      <c r="M72" s="57" t="n"/>
    </row>
  </sheetData>
  <mergeCells count="38">
    <mergeCell ref="B14:D14"/>
    <mergeCell ref="F5:H5"/>
    <mergeCell ref="A32:M32"/>
    <mergeCell ref="B8:D8"/>
    <mergeCell ref="A51:E51"/>
    <mergeCell ref="F8:H8"/>
    <mergeCell ref="B66:F66"/>
    <mergeCell ref="B10:D10"/>
    <mergeCell ref="E4:F4"/>
    <mergeCell ref="A13:M13"/>
    <mergeCell ref="F51:M51"/>
    <mergeCell ref="B9:D9"/>
    <mergeCell ref="B67:F67"/>
    <mergeCell ref="F9:H9"/>
    <mergeCell ref="E33:H33"/>
    <mergeCell ref="F52:M64"/>
    <mergeCell ref="B6:D6"/>
    <mergeCell ref="J1:M1"/>
    <mergeCell ref="A11:M11"/>
    <mergeCell ref="E14:H14"/>
    <mergeCell ref="B33:D33"/>
    <mergeCell ref="B5:D5"/>
    <mergeCell ref="A57:E57"/>
    <mergeCell ref="B4:D4"/>
    <mergeCell ref="I42:M42"/>
    <mergeCell ref="I33:M33"/>
    <mergeCell ref="I14:M14"/>
    <mergeCell ref="B42:H42"/>
    <mergeCell ref="I23:M23"/>
    <mergeCell ref="B7:D7"/>
    <mergeCell ref="A65:M65"/>
    <mergeCell ref="B23:H23"/>
    <mergeCell ref="F10:H10"/>
    <mergeCell ref="F6:H6"/>
    <mergeCell ref="B1:H1"/>
    <mergeCell ref="A3:M3"/>
    <mergeCell ref="F7:H7"/>
    <mergeCell ref="A2:M2"/>
  </mergeCells>
  <pageMargins left="0.7" right="0.7" top="0.787401575" bottom="0.787401575" header="0.3" footer="0.3"/>
  <pageSetup orientation="portrait" scale="67"/>
  <rowBreaks count="1" manualBreakCount="1">
    <brk id="31" min="0" max="16383" man="1"/>
  </rowBreaks>
  <colBreaks count="1" manualBreakCount="1">
    <brk id="13" min="0" max="1048575" man="1"/>
  </colBreaks>
</worksheet>
</file>

<file path=xl/worksheets/sheet21.xml><?xml version="1.0" encoding="utf-8"?>
<worksheet xmlns="http://schemas.openxmlformats.org/spreadsheetml/2006/main">
  <sheetPr codeName="Sheet15">
    <tabColor theme="3"/>
    <outlinePr summaryBelow="1" summaryRight="1"/>
    <pageSetUpPr/>
  </sheetPr>
  <dimension ref="A1:A1"/>
  <sheetViews>
    <sheetView workbookViewId="0">
      <selection activeCell="U55" sqref="U55"/>
    </sheetView>
  </sheetViews>
  <sheetFormatPr baseColWidth="8" defaultColWidth="10.85546875" defaultRowHeight="15"/>
  <sheetData/>
  <pageMargins left="0.7" right="0.7" top="0.787401575" bottom="0.787401575" header="0.3" footer="0.3"/>
</worksheet>
</file>

<file path=xl/worksheets/sheet22.xml><?xml version="1.0" encoding="utf-8"?>
<worksheet xmlns="http://schemas.openxmlformats.org/spreadsheetml/2006/main">
  <sheetPr>
    <outlinePr summaryBelow="1" summaryRight="1"/>
    <pageSetUpPr/>
  </sheetPr>
  <dimension ref="B2:E16"/>
  <sheetViews>
    <sheetView workbookViewId="0">
      <selection activeCell="B7" sqref="B7:E18"/>
    </sheetView>
  </sheetViews>
  <sheetFormatPr baseColWidth="8" defaultRowHeight="15"/>
  <cols>
    <col width="38.42578125" customWidth="1" min="2" max="2"/>
  </cols>
  <sheetData>
    <row r="2">
      <c r="B2" s="199">
        <f>_xlfn.XLOOKUP($E2,[1]!Tab_Def_Processes[Name(EN)],[1]!Tab_Def_Processes[Output_Flow_O_2],,0,)</f>
        <v/>
      </c>
    </row>
    <row r="7">
      <c r="B7" t="inlineStr">
        <is>
          <t>Rye-Grain</t>
        </is>
      </c>
      <c r="D7" t="n">
        <v>0.474</v>
      </c>
      <c r="E7" s="200" t="n">
        <v>0.474</v>
      </c>
    </row>
    <row r="8">
      <c r="B8" t="inlineStr">
        <is>
          <t>Rye-Straw (mobilisable technical potential)</t>
        </is>
      </c>
      <c r="D8" t="n">
        <v>0.07385039999999994</v>
      </c>
      <c r="E8" s="200" t="n">
        <v>0.07385039999999994</v>
      </c>
    </row>
    <row r="9">
      <c r="B9" t="inlineStr">
        <is>
          <t>Rye-Straw (Not mobilisable RS potential)</t>
        </is>
      </c>
      <c r="D9" t="n">
        <v>0.3892399999999996</v>
      </c>
      <c r="E9" s="200" t="n">
        <v>0.3892399999999996</v>
      </c>
    </row>
    <row r="10">
      <c r="B10" t="inlineStr">
        <is>
          <t>Rye - Straw - Technical potential used</t>
        </is>
      </c>
      <c r="D10" t="n">
        <v>0.06290959999999995</v>
      </c>
      <c r="E10" s="200" t="n">
        <v>0.06290959999999995</v>
      </c>
    </row>
    <row r="11">
      <c r="D11">
        <f>SUM(D7:D10)</f>
        <v/>
      </c>
      <c r="E11" s="34">
        <f>SUM(E7:E10)</f>
        <v/>
      </c>
    </row>
    <row r="13">
      <c r="B13" t="inlineStr">
        <is>
          <t>Rye-Straw (mobilisable technical potential)</t>
        </is>
      </c>
      <c r="D13" t="n">
        <v>0.07385039999999994</v>
      </c>
      <c r="E13" s="200">
        <f>D13/$D$16</f>
        <v/>
      </c>
    </row>
    <row r="14">
      <c r="B14" t="inlineStr">
        <is>
          <t>Rye-Straw (Not mobilisable RS potential)</t>
        </is>
      </c>
      <c r="D14" t="n">
        <v>0.3892399999999996</v>
      </c>
      <c r="E14" s="200">
        <f>D14/$D$16</f>
        <v/>
      </c>
    </row>
    <row r="15">
      <c r="B15" t="inlineStr">
        <is>
          <t>Rye - Straw - Technical potential used</t>
        </is>
      </c>
      <c r="D15" t="n">
        <v>0.06290959999999995</v>
      </c>
      <c r="E15" s="200">
        <f>D15/$D$16</f>
        <v/>
      </c>
    </row>
    <row r="16">
      <c r="D16">
        <f>SUM(D13:D15)</f>
        <v/>
      </c>
    </row>
  </sheetData>
  <pageMargins left="0.7" right="0.7" top="0.75" bottom="0.75" header="0.3" footer="0.3"/>
</worksheet>
</file>

<file path=xl/worksheets/sheet23.xml><?xml version="1.0" encoding="utf-8"?>
<worksheet xmlns="http://schemas.openxmlformats.org/spreadsheetml/2006/main">
  <sheetPr codeName="Sheet18">
    <tabColor rgb="FFFFFF00"/>
    <outlinePr summaryBelow="1" summaryRight="1"/>
    <pageSetUpPr/>
  </sheetPr>
  <dimension ref="A1:A1"/>
  <sheetViews>
    <sheetView workbookViewId="0">
      <selection activeCell="K49" sqref="K49"/>
    </sheetView>
  </sheetViews>
  <sheetFormatPr baseColWidth="8" defaultColWidth="10.85546875" defaultRowHeight="15"/>
  <sheetData>
    <row r="1">
      <c r="A1" t="inlineStr">
        <is>
          <t>C</t>
        </is>
      </c>
    </row>
  </sheetData>
  <pageMargins left="0.7" right="0.7" top="0.787401575" bottom="0.787401575" header="0.3" footer="0.3"/>
</worksheet>
</file>

<file path=xl/worksheets/sheet24.xml><?xml version="1.0" encoding="utf-8"?>
<worksheet xmlns="http://schemas.openxmlformats.org/spreadsheetml/2006/main">
  <sheetPr codeName="Sheet19">
    <tabColor rgb="FFFFFF00"/>
    <outlinePr summaryBelow="1" summaryRight="1"/>
    <pageSetUpPr/>
  </sheetPr>
  <dimension ref="A1:W96"/>
  <sheetViews>
    <sheetView topLeftCell="A4" zoomScaleNormal="100" workbookViewId="0">
      <selection activeCell="F23" sqref="F23"/>
    </sheetView>
  </sheetViews>
  <sheetFormatPr baseColWidth="8" defaultColWidth="10.85546875" defaultRowHeight="15"/>
  <cols>
    <col width="15.28515625" customWidth="1" min="1" max="1"/>
    <col width="37.42578125" customWidth="1" min="2" max="2"/>
    <col width="19.140625" customWidth="1" min="3" max="3"/>
    <col width="13.28515625" customWidth="1" min="4" max="4"/>
    <col width="35.140625" customWidth="1" min="6" max="6"/>
    <col width="37.7109375" customWidth="1" min="7" max="7"/>
    <col width="34.140625" customWidth="1" min="8" max="8"/>
    <col width="18" customWidth="1" min="10" max="10"/>
    <col width="13.7109375" customWidth="1" min="11" max="11"/>
    <col width="33.42578125" customWidth="1" min="12" max="12"/>
    <col width="13.140625" customWidth="1" min="14" max="14"/>
    <col width="21.42578125" customWidth="1" min="18" max="18"/>
  </cols>
  <sheetData>
    <row r="1">
      <c r="A1" s="266" t="inlineStr">
        <is>
          <t>CL_1_ProcessType</t>
        </is>
      </c>
      <c r="E1" s="266" t="inlineStr">
        <is>
          <t>CL_2_ValueSource</t>
        </is>
      </c>
    </row>
    <row r="2">
      <c r="A2" s="22" t="inlineStr">
        <is>
          <t>ID</t>
        </is>
      </c>
      <c r="B2" s="22" t="inlineStr">
        <is>
          <t>Short</t>
        </is>
      </c>
      <c r="C2" s="22" t="inlineStr">
        <is>
          <t>Description</t>
        </is>
      </c>
      <c r="E2" s="22" t="inlineStr">
        <is>
          <t>ID</t>
        </is>
      </c>
      <c r="F2" s="22" t="inlineStr">
        <is>
          <t>Short</t>
        </is>
      </c>
      <c r="G2" s="22" t="inlineStr">
        <is>
          <t>Description</t>
        </is>
      </c>
      <c r="J2" s="267" t="inlineStr">
        <is>
          <t>Carbon_Stock</t>
        </is>
      </c>
      <c r="K2" s="329" t="n"/>
      <c r="L2" s="329" t="n"/>
    </row>
    <row r="3">
      <c r="A3" s="3" t="n">
        <v>1</v>
      </c>
      <c r="B3" s="3" t="inlineStr">
        <is>
          <t>Input</t>
        </is>
      </c>
      <c r="C3" s="3" t="n"/>
      <c r="E3" s="3" t="n">
        <v>1</v>
      </c>
      <c r="F3" s="3" t="inlineStr">
        <is>
          <t>Data_Literature</t>
        </is>
      </c>
      <c r="G3" s="3" t="inlineStr">
        <is>
          <t>The value is based on literature</t>
        </is>
      </c>
      <c r="J3" s="2" t="inlineStr">
        <is>
          <t>ID</t>
        </is>
      </c>
      <c r="K3" s="2" t="inlineStr">
        <is>
          <t>Short</t>
        </is>
      </c>
      <c r="L3" s="2" t="inlineStr">
        <is>
          <t>Description</t>
        </is>
      </c>
    </row>
    <row r="4">
      <c r="A4" s="3" t="n">
        <v>2</v>
      </c>
      <c r="B4" s="3" t="inlineStr">
        <is>
          <t>Output</t>
        </is>
      </c>
      <c r="C4" s="3" t="n"/>
      <c r="E4" s="3" t="n">
        <v>2</v>
      </c>
      <c r="F4" s="3" t="inlineStr">
        <is>
          <t>Data_experiment</t>
        </is>
      </c>
      <c r="G4" s="3" t="inlineStr">
        <is>
          <t>The value is based on experiments</t>
        </is>
      </c>
      <c r="J4" s="3" t="n">
        <v>1</v>
      </c>
      <c r="K4" s="3" t="inlineStr">
        <is>
          <t>Athmosphere</t>
        </is>
      </c>
      <c r="L4" s="3" t="inlineStr">
        <is>
          <t>Athmosphere</t>
        </is>
      </c>
    </row>
    <row r="5">
      <c r="A5" t="n">
        <v>3</v>
      </c>
      <c r="B5" t="inlineStr">
        <is>
          <t>Process</t>
        </is>
      </c>
      <c r="E5" s="3" t="n">
        <v>3</v>
      </c>
      <c r="F5" s="3" t="inlineStr">
        <is>
          <t>Data_assumption</t>
        </is>
      </c>
      <c r="G5" s="3" t="inlineStr">
        <is>
          <t>The value is based on assumptions</t>
        </is>
      </c>
      <c r="J5" t="n">
        <v>2</v>
      </c>
      <c r="K5" t="inlineStr">
        <is>
          <t>Biosphere</t>
        </is>
      </c>
      <c r="L5" t="inlineStr">
        <is>
          <t>Biosphere</t>
        </is>
      </c>
    </row>
    <row r="6">
      <c r="E6" s="3" t="n">
        <v>4</v>
      </c>
      <c r="F6" s="3" t="inlineStr">
        <is>
          <t>Calculation_TC</t>
        </is>
      </c>
      <c r="G6" s="3" t="inlineStr">
        <is>
          <t>The value is based on the calculation with transfer coefficients</t>
        </is>
      </c>
      <c r="J6" s="3" t="n">
        <v>3</v>
      </c>
      <c r="K6" s="3" t="inlineStr">
        <is>
          <t>Lithosphere</t>
        </is>
      </c>
      <c r="L6" s="3" t="inlineStr">
        <is>
          <t>Lithosphere</t>
        </is>
      </c>
    </row>
    <row r="7">
      <c r="J7" t="n">
        <v>4</v>
      </c>
      <c r="K7" t="inlineStr">
        <is>
          <t>Anthroposphere</t>
        </is>
      </c>
      <c r="L7" t="inlineStr">
        <is>
          <t>Anthroposphere</t>
        </is>
      </c>
    </row>
    <row r="8">
      <c r="J8" s="3" t="n">
        <v>5</v>
      </c>
      <c r="K8" s="3" t="inlineStr">
        <is>
          <t>Hydrosphere</t>
        </is>
      </c>
      <c r="L8" s="3" t="inlineStr">
        <is>
          <t>Hydrosphere</t>
        </is>
      </c>
    </row>
    <row r="9">
      <c r="A9" s="266" t="inlineStr">
        <is>
          <t>CL_3_FOMP_Parameters</t>
        </is>
      </c>
      <c r="J9" t="n">
        <v>6</v>
      </c>
    </row>
    <row r="10">
      <c r="A10" t="inlineStr">
        <is>
          <t>ID</t>
        </is>
      </c>
      <c r="B10" t="inlineStr">
        <is>
          <t>Parameter</t>
        </is>
      </c>
      <c r="C10" t="inlineStr">
        <is>
          <t>Description</t>
        </is>
      </c>
      <c r="E10" s="266" t="n"/>
    </row>
    <row r="11">
      <c r="B11" t="inlineStr">
        <is>
          <t>Pool_Name</t>
        </is>
      </c>
      <c r="E11" s="266" t="n"/>
      <c r="F11" s="266" t="n"/>
      <c r="G11" s="266" t="n"/>
    </row>
    <row r="12">
      <c r="B12" t="inlineStr">
        <is>
          <t>Inflow_fraction_f (Labile pool)</t>
        </is>
      </c>
      <c r="E12" s="266" t="n"/>
      <c r="F12" s="266" t="n"/>
      <c r="G12" s="266" t="n"/>
    </row>
    <row r="13">
      <c r="B13" t="inlineStr">
        <is>
          <t>Inflow_fraction_f (Recalcitrant pool)</t>
        </is>
      </c>
      <c r="E13" s="266" t="n"/>
      <c r="F13" s="266" t="n"/>
      <c r="G13" s="266" t="n"/>
    </row>
    <row r="14">
      <c r="B14" t="inlineStr">
        <is>
          <t>decay_k1 (Labile pool)</t>
        </is>
      </c>
      <c r="C14" t="inlineStr">
        <is>
          <t>decay rate constant</t>
        </is>
      </c>
      <c r="E14" s="266" t="n"/>
      <c r="F14" s="266" t="n"/>
      <c r="G14" s="266" t="n"/>
    </row>
    <row r="15">
      <c r="B15" t="inlineStr">
        <is>
          <t>decay_k2 (Recalcitrant pool)</t>
        </is>
      </c>
      <c r="E15" s="266" t="n"/>
      <c r="F15" s="266" t="n"/>
      <c r="G15" s="266" t="n"/>
    </row>
    <row r="16">
      <c r="B16" t="inlineStr">
        <is>
          <t>output_carbon_id</t>
        </is>
      </c>
      <c r="E16" s="266" t="n"/>
      <c r="F16" s="266" t="n"/>
      <c r="G16" s="266" t="n"/>
    </row>
    <row r="17">
      <c r="B17" t="inlineStr">
        <is>
          <t>output_environmental_id</t>
        </is>
      </c>
      <c r="E17" s="266" t="n"/>
      <c r="F17" s="266" t="n"/>
      <c r="G17" s="266" t="n"/>
    </row>
    <row r="18">
      <c r="B18" t="inlineStr">
        <is>
          <t>output_elemental_id</t>
        </is>
      </c>
      <c r="E18" s="266" t="n"/>
      <c r="F18" s="266" t="n"/>
      <c r="G18" s="266" t="n"/>
    </row>
    <row r="19">
      <c r="E19" s="266" t="n"/>
      <c r="F19" s="266" t="n"/>
      <c r="G19" s="266" t="n"/>
    </row>
    <row r="20">
      <c r="A20" s="266" t="inlineStr">
        <is>
          <t>CL_X_FOMP_Category_ID</t>
        </is>
      </c>
    </row>
    <row r="21">
      <c r="A21" t="inlineStr">
        <is>
          <t>Category ID</t>
        </is>
      </c>
      <c r="B21" t="inlineStr">
        <is>
          <t>Pool_ID</t>
        </is>
      </c>
      <c r="C21" t="inlineStr">
        <is>
          <t>Description</t>
        </is>
      </c>
    </row>
    <row r="22">
      <c r="A22" t="n">
        <v>1</v>
      </c>
      <c r="B22" t="inlineStr">
        <is>
          <t>pool_1</t>
        </is>
      </c>
    </row>
    <row r="23">
      <c r="A23" t="n">
        <v>2</v>
      </c>
      <c r="B23" t="inlineStr">
        <is>
          <t>pool_2</t>
        </is>
      </c>
    </row>
    <row r="24">
      <c r="A24" t="n">
        <v>3</v>
      </c>
      <c r="B24" t="inlineStr">
        <is>
          <t>pool_3</t>
        </is>
      </c>
    </row>
    <row r="25">
      <c r="A25" t="n">
        <v>4</v>
      </c>
      <c r="B25" t="inlineStr">
        <is>
          <t>pool_4</t>
        </is>
      </c>
    </row>
    <row r="26">
      <c r="A26" t="inlineStr">
        <is>
          <t>Outflow_1</t>
        </is>
      </c>
      <c r="B26" t="inlineStr">
        <is>
          <t>Outflow_1</t>
        </is>
      </c>
    </row>
    <row r="27">
      <c r="A27" t="inlineStr">
        <is>
          <t>Outflow_2</t>
        </is>
      </c>
      <c r="B27" t="inlineStr">
        <is>
          <t>Outflow_2</t>
        </is>
      </c>
    </row>
    <row r="28">
      <c r="J28" s="267" t="inlineStr">
        <is>
          <t>Carbon_Stock</t>
        </is>
      </c>
      <c r="K28" s="329" t="n"/>
      <c r="L28" s="329" t="n"/>
    </row>
    <row r="29">
      <c r="J29" s="2" t="inlineStr">
        <is>
          <t>ID</t>
        </is>
      </c>
      <c r="K29" s="2" t="inlineStr">
        <is>
          <t>Short</t>
        </is>
      </c>
      <c r="L29" s="2" t="inlineStr">
        <is>
          <t>Description</t>
        </is>
      </c>
    </row>
    <row r="30">
      <c r="J30" s="3" t="n">
        <v>1</v>
      </c>
      <c r="K30" s="3" t="inlineStr">
        <is>
          <t>Athmosphere</t>
        </is>
      </c>
      <c r="L30" s="3" t="inlineStr">
        <is>
          <t>Athmosphere</t>
        </is>
      </c>
    </row>
    <row r="31">
      <c r="A31" s="266" t="inlineStr">
        <is>
          <t>CL_4_DSM_Lifetime_Types</t>
        </is>
      </c>
      <c r="J31" t="n">
        <v>2</v>
      </c>
      <c r="K31" t="inlineStr">
        <is>
          <t>Biosphere</t>
        </is>
      </c>
      <c r="L31" t="inlineStr">
        <is>
          <t>Biosphere</t>
        </is>
      </c>
    </row>
    <row r="32">
      <c r="A32" t="inlineStr">
        <is>
          <t>ID</t>
        </is>
      </c>
      <c r="B32" t="inlineStr">
        <is>
          <t>Lifetime_Types</t>
        </is>
      </c>
      <c r="C32" t="inlineStr">
        <is>
          <t>Description</t>
        </is>
      </c>
      <c r="J32" s="3" t="n">
        <v>3</v>
      </c>
      <c r="K32" s="3" t="inlineStr">
        <is>
          <t>Lithosphere</t>
        </is>
      </c>
      <c r="L32" s="3" t="inlineStr">
        <is>
          <t>Lithosphere</t>
        </is>
      </c>
    </row>
    <row r="33">
      <c r="A33" t="n">
        <v>1</v>
      </c>
      <c r="B33" t="inlineStr">
        <is>
          <t>Normal</t>
        </is>
      </c>
      <c r="C33" t="inlineStr">
        <is>
          <t>Normal distribution</t>
        </is>
      </c>
      <c r="J33" t="n">
        <v>4</v>
      </c>
      <c r="K33" t="inlineStr">
        <is>
          <t>Anthroposphere</t>
        </is>
      </c>
      <c r="L33" t="inlineStr">
        <is>
          <t>Anthroposphere</t>
        </is>
      </c>
    </row>
    <row r="34">
      <c r="A34" t="n">
        <v>2</v>
      </c>
      <c r="B34" t="inlineStr">
        <is>
          <t>uniform</t>
        </is>
      </c>
      <c r="C34" t="inlineStr">
        <is>
          <t>Uniform distribution</t>
        </is>
      </c>
      <c r="J34" s="3" t="n">
        <v>5</v>
      </c>
      <c r="K34" s="3" t="inlineStr">
        <is>
          <t>Hydrosphere</t>
        </is>
      </c>
      <c r="L34" s="3" t="inlineStr">
        <is>
          <t>Hydrosphere</t>
        </is>
      </c>
    </row>
    <row r="35">
      <c r="A35" t="n">
        <v>3</v>
      </c>
      <c r="B35" t="inlineStr">
        <is>
          <t>triangular</t>
        </is>
      </c>
      <c r="C35" t="inlineStr">
        <is>
          <t>Triangular distribution</t>
        </is>
      </c>
    </row>
    <row r="36">
      <c r="A36" t="n">
        <v>4</v>
      </c>
    </row>
    <row r="38">
      <c r="A38" s="266" t="inlineStr">
        <is>
          <t>CL_5_DSM_Category_ID</t>
        </is>
      </c>
    </row>
    <row r="39">
      <c r="A39" t="inlineStr">
        <is>
          <t>Category ID</t>
        </is>
      </c>
      <c r="B39" t="inlineStr">
        <is>
          <t>DSM Material</t>
        </is>
      </c>
      <c r="C39" t="inlineStr">
        <is>
          <t>Description</t>
        </is>
      </c>
    </row>
    <row r="40">
      <c r="A40" t="n">
        <v>1</v>
      </c>
      <c r="B40" t="inlineStr">
        <is>
          <t>DSM Material 1</t>
        </is>
      </c>
      <c r="F40" s="266" t="inlineStr">
        <is>
          <t>Life_Phase</t>
        </is>
      </c>
    </row>
    <row r="41">
      <c r="A41" t="n">
        <v>2</v>
      </c>
      <c r="B41" t="inlineStr">
        <is>
          <t>DSM Material 2</t>
        </is>
      </c>
      <c r="F41" t="inlineStr">
        <is>
          <t>ID</t>
        </is>
      </c>
      <c r="G41" t="inlineStr">
        <is>
          <t>Short</t>
        </is>
      </c>
      <c r="H41" t="inlineStr">
        <is>
          <t>Description</t>
        </is>
      </c>
    </row>
    <row r="42">
      <c r="A42" t="n">
        <v>3</v>
      </c>
      <c r="B42" t="inlineStr">
        <is>
          <t>DSM Material 3</t>
        </is>
      </c>
      <c r="F42" t="n">
        <v>1</v>
      </c>
      <c r="G42" t="inlineStr">
        <is>
          <t>Raw material production (processing)</t>
        </is>
      </c>
      <c r="H42" t="inlineStr">
        <is>
          <t>Raw material production (processing)</t>
        </is>
      </c>
    </row>
    <row r="43">
      <c r="A43" t="n">
        <v>4</v>
      </c>
      <c r="B43" t="inlineStr">
        <is>
          <t>DSM Material 4</t>
        </is>
      </c>
      <c r="F43" t="n">
        <v>2</v>
      </c>
      <c r="G43" t="inlineStr">
        <is>
          <t>Product manufacturing</t>
        </is>
      </c>
      <c r="H43" t="inlineStr">
        <is>
          <t>Product manufacturing</t>
        </is>
      </c>
    </row>
    <row r="44">
      <c r="A44" t="n">
        <v>5</v>
      </c>
      <c r="B44" t="inlineStr">
        <is>
          <t>DSM Material 5</t>
        </is>
      </c>
      <c r="F44" t="n">
        <v>3</v>
      </c>
      <c r="G44" t="inlineStr">
        <is>
          <t>Use (Re-use)</t>
        </is>
      </c>
      <c r="H44" t="inlineStr">
        <is>
          <t>Use (Re-use)</t>
        </is>
      </c>
    </row>
    <row r="45">
      <c r="A45" t="n">
        <v>6</v>
      </c>
      <c r="B45" t="inlineStr">
        <is>
          <t>DSM Material 6</t>
        </is>
      </c>
      <c r="F45" t="n">
        <v>4</v>
      </c>
      <c r="G45" t="inlineStr">
        <is>
          <t>Recycling/disposal</t>
        </is>
      </c>
      <c r="H45" t="inlineStr">
        <is>
          <t>Recycling/disposal</t>
        </is>
      </c>
    </row>
    <row r="46">
      <c r="A46" t="n">
        <v>7</v>
      </c>
      <c r="B46" t="inlineStr">
        <is>
          <t>DSM Material 7</t>
        </is>
      </c>
      <c r="F46" t="n">
        <v>5</v>
      </c>
    </row>
    <row r="47">
      <c r="A47" t="n">
        <v>8</v>
      </c>
      <c r="F47" t="n">
        <v>6</v>
      </c>
    </row>
    <row r="48">
      <c r="A48" t="n">
        <v>9</v>
      </c>
      <c r="F48" t="n">
        <v>7</v>
      </c>
    </row>
    <row r="49">
      <c r="F49" t="n">
        <v>8</v>
      </c>
    </row>
    <row r="51">
      <c r="A51" s="266" t="inlineStr">
        <is>
          <t>CL_6_logic</t>
        </is>
      </c>
    </row>
    <row r="52">
      <c r="A52" t="inlineStr">
        <is>
          <t>ID</t>
        </is>
      </c>
      <c r="B52" t="inlineStr">
        <is>
          <t>Logisch</t>
        </is>
      </c>
    </row>
    <row r="53">
      <c r="A53" t="n">
        <v>1</v>
      </c>
      <c r="B53" t="inlineStr">
        <is>
          <t>Yes</t>
        </is>
      </c>
    </row>
    <row r="54">
      <c r="A54" t="n">
        <v>2</v>
      </c>
      <c r="B54" t="inlineStr">
        <is>
          <t>No</t>
        </is>
      </c>
    </row>
    <row r="56">
      <c r="A56" t="inlineStr">
        <is>
          <t>Category ID</t>
        </is>
      </c>
      <c r="B56" t="inlineStr">
        <is>
          <t>DSM Material</t>
        </is>
      </c>
      <c r="C56" t="inlineStr">
        <is>
          <t>Description</t>
        </is>
      </c>
    </row>
    <row r="57">
      <c r="A57" t="n">
        <v>1</v>
      </c>
    </row>
    <row r="58">
      <c r="A58" t="n">
        <v>2</v>
      </c>
    </row>
    <row r="59">
      <c r="A59" t="n">
        <v>3</v>
      </c>
    </row>
    <row r="60">
      <c r="A60" t="n">
        <v>4</v>
      </c>
    </row>
    <row r="61">
      <c r="A61" t="n">
        <v>5</v>
      </c>
    </row>
    <row r="62">
      <c r="A62" t="n">
        <v>6</v>
      </c>
    </row>
    <row r="63">
      <c r="A63" t="n">
        <v>7</v>
      </c>
    </row>
    <row r="64">
      <c r="A64" t="n">
        <v>8</v>
      </c>
    </row>
    <row r="65">
      <c r="A65" t="n">
        <v>9</v>
      </c>
    </row>
    <row r="68">
      <c r="A68" t="inlineStr">
        <is>
          <t>Category ID</t>
        </is>
      </c>
      <c r="B68" t="inlineStr">
        <is>
          <t>Uncertainty_Parameters</t>
        </is>
      </c>
      <c r="C68" t="inlineStr">
        <is>
          <t>Description</t>
        </is>
      </c>
      <c r="E68" t="inlineStr">
        <is>
          <t>Category ID</t>
        </is>
      </c>
      <c r="F68" t="inlineStr">
        <is>
          <t>Transfer Coefficients (TCs)</t>
        </is>
      </c>
      <c r="G68" t="inlineStr">
        <is>
          <t>Description</t>
        </is>
      </c>
      <c r="I68" t="inlineStr">
        <is>
          <t>Category ID</t>
        </is>
      </c>
      <c r="J68" t="inlineStr">
        <is>
          <t>DSM Parameters</t>
        </is>
      </c>
      <c r="K68" t="inlineStr">
        <is>
          <t>Description</t>
        </is>
      </c>
      <c r="M68" t="inlineStr">
        <is>
          <t>Category ID</t>
        </is>
      </c>
      <c r="N68" t="inlineStr">
        <is>
          <t>FOMP Parameters</t>
        </is>
      </c>
      <c r="O68" t="inlineStr">
        <is>
          <t>Description</t>
        </is>
      </c>
      <c r="Q68" t="inlineStr">
        <is>
          <t>Category ID</t>
        </is>
      </c>
      <c r="R68" t="inlineStr">
        <is>
          <t>Initial Stock Parameters</t>
        </is>
      </c>
      <c r="S68" t="inlineStr">
        <is>
          <t>Description</t>
        </is>
      </c>
      <c r="U68" t="inlineStr">
        <is>
          <t>Category ID</t>
        </is>
      </c>
      <c r="V68" t="inlineStr">
        <is>
          <t>Flow_Parameters</t>
        </is>
      </c>
      <c r="W68" t="inlineStr">
        <is>
          <t>Description</t>
        </is>
      </c>
    </row>
    <row r="69">
      <c r="A69" t="n">
        <v>1</v>
      </c>
      <c r="B69" t="inlineStr">
        <is>
          <t>List_Transfer_Coefficients</t>
        </is>
      </c>
      <c r="E69" t="n">
        <v>1</v>
      </c>
      <c r="F69" t="inlineStr">
        <is>
          <t>Standard TCs</t>
        </is>
      </c>
      <c r="I69" t="n">
        <v>1</v>
      </c>
      <c r="J69" t="inlineStr">
        <is>
          <t>Lifetimes</t>
        </is>
      </c>
      <c r="M69" t="n">
        <v>1</v>
      </c>
      <c r="N69" t="inlineStr">
        <is>
          <t>Decay Rates</t>
        </is>
      </c>
      <c r="Q69" t="n">
        <v>1</v>
      </c>
      <c r="R69" t="inlineStr">
        <is>
          <t>Consumption Rates</t>
        </is>
      </c>
      <c r="U69" t="n">
        <v>1</v>
      </c>
      <c r="V69" t="inlineStr">
        <is>
          <t>Standard TCs</t>
        </is>
      </c>
    </row>
    <row r="70">
      <c r="A70" t="n">
        <v>2</v>
      </c>
      <c r="B70" t="inlineStr">
        <is>
          <t>List_DSM_Parameters</t>
        </is>
      </c>
      <c r="E70" t="n">
        <v>2</v>
      </c>
      <c r="F70" t="inlineStr">
        <is>
          <t>Dynamic TCs</t>
        </is>
      </c>
      <c r="I70" t="n">
        <v>2</v>
      </c>
      <c r="J70" t="inlineStr">
        <is>
          <t>Inflow Splits</t>
        </is>
      </c>
      <c r="M70" t="n">
        <v>2</v>
      </c>
      <c r="N70" t="inlineStr">
        <is>
          <t>Initial Stocks</t>
        </is>
      </c>
      <c r="Q70" t="n">
        <v>2</v>
      </c>
      <c r="R70" t="inlineStr">
        <is>
          <t>Stock Values</t>
        </is>
      </c>
      <c r="U70" t="n">
        <v>2</v>
      </c>
      <c r="V70" t="inlineStr">
        <is>
          <t>Dynamic TCs</t>
        </is>
      </c>
    </row>
    <row r="71">
      <c r="A71" t="n">
        <v>3</v>
      </c>
      <c r="B71" t="inlineStr">
        <is>
          <t>List_FOMP_Parameters</t>
        </is>
      </c>
      <c r="E71" t="n">
        <v>3</v>
      </c>
      <c r="I71" t="n">
        <v>3</v>
      </c>
      <c r="M71" t="n">
        <v>3</v>
      </c>
      <c r="Q71" t="n">
        <v>3</v>
      </c>
      <c r="R71" t="inlineStr">
        <is>
          <t>Element Content</t>
        </is>
      </c>
      <c r="U71" t="n">
        <v>3</v>
      </c>
      <c r="V71" t="inlineStr">
        <is>
          <t>Lifetimes</t>
        </is>
      </c>
    </row>
    <row r="72">
      <c r="A72" t="n">
        <v>4</v>
      </c>
      <c r="B72" t="inlineStr">
        <is>
          <t>List_Initial_Stock_Parameters</t>
        </is>
      </c>
      <c r="E72" t="n">
        <v>4</v>
      </c>
      <c r="I72" t="n">
        <v>4</v>
      </c>
      <c r="M72" t="n">
        <v>4</v>
      </c>
      <c r="Q72" t="n">
        <v>4</v>
      </c>
      <c r="U72" t="n">
        <v>4</v>
      </c>
      <c r="V72" t="inlineStr">
        <is>
          <t>Inflow Splits</t>
        </is>
      </c>
    </row>
    <row r="73">
      <c r="A73" t="n">
        <v>5</v>
      </c>
      <c r="B73" t="inlineStr">
        <is>
          <t>List_Flow_Parameters</t>
        </is>
      </c>
      <c r="E73" t="n">
        <v>5</v>
      </c>
      <c r="I73" t="n">
        <v>5</v>
      </c>
      <c r="M73" t="n">
        <v>5</v>
      </c>
      <c r="Q73" t="n">
        <v>5</v>
      </c>
      <c r="U73" t="n">
        <v>5</v>
      </c>
      <c r="V73" t="inlineStr">
        <is>
          <t>Decay Rates</t>
        </is>
      </c>
    </row>
    <row r="74">
      <c r="A74" t="n">
        <v>6</v>
      </c>
      <c r="E74" t="n">
        <v>6</v>
      </c>
      <c r="I74" t="n">
        <v>6</v>
      </c>
      <c r="M74" t="n">
        <v>6</v>
      </c>
      <c r="Q74" t="n">
        <v>6</v>
      </c>
      <c r="U74" t="n">
        <v>6</v>
      </c>
      <c r="V74" t="inlineStr">
        <is>
          <t>Initial Stocks</t>
        </is>
      </c>
    </row>
    <row r="75">
      <c r="A75" t="n">
        <v>7</v>
      </c>
      <c r="E75" t="n">
        <v>7</v>
      </c>
      <c r="I75" t="n">
        <v>7</v>
      </c>
      <c r="M75" t="n">
        <v>7</v>
      </c>
      <c r="Q75" t="n">
        <v>7</v>
      </c>
      <c r="U75" t="n">
        <v>7</v>
      </c>
      <c r="V75" t="inlineStr">
        <is>
          <t>Consumption Rates</t>
        </is>
      </c>
    </row>
    <row r="76">
      <c r="A76" t="n">
        <v>8</v>
      </c>
      <c r="E76" t="n">
        <v>8</v>
      </c>
      <c r="I76" t="n">
        <v>8</v>
      </c>
      <c r="M76" t="n">
        <v>8</v>
      </c>
      <c r="Q76" t="n">
        <v>8</v>
      </c>
      <c r="U76" t="n">
        <v>8</v>
      </c>
      <c r="V76" t="inlineStr">
        <is>
          <t>Stock Values</t>
        </is>
      </c>
    </row>
    <row r="77">
      <c r="A77" t="n">
        <v>9</v>
      </c>
      <c r="E77" t="n">
        <v>9</v>
      </c>
      <c r="I77" t="n">
        <v>9</v>
      </c>
      <c r="M77" t="n">
        <v>9</v>
      </c>
      <c r="Q77" t="n">
        <v>9</v>
      </c>
      <c r="U77" t="n">
        <v>9</v>
      </c>
      <c r="V77" t="inlineStr">
        <is>
          <t>Element Content</t>
        </is>
      </c>
    </row>
    <row r="78">
      <c r="A78" t="n">
        <v>10</v>
      </c>
      <c r="E78" t="n">
        <v>10</v>
      </c>
      <c r="I78" t="n">
        <v>10</v>
      </c>
      <c r="M78" t="n">
        <v>10</v>
      </c>
      <c r="Q78" t="n">
        <v>10</v>
      </c>
      <c r="U78" t="n">
        <v>10</v>
      </c>
    </row>
    <row r="79">
      <c r="A79" t="n">
        <v>11</v>
      </c>
      <c r="E79" t="n">
        <v>11</v>
      </c>
      <c r="I79" t="n">
        <v>11</v>
      </c>
      <c r="M79" t="n">
        <v>11</v>
      </c>
      <c r="Q79" t="n">
        <v>11</v>
      </c>
      <c r="U79" t="n">
        <v>11</v>
      </c>
    </row>
    <row r="80">
      <c r="A80" t="n">
        <v>12</v>
      </c>
      <c r="E80" t="n">
        <v>12</v>
      </c>
      <c r="I80" t="n">
        <v>12</v>
      </c>
      <c r="M80" t="n">
        <v>12</v>
      </c>
      <c r="Q80" t="n">
        <v>12</v>
      </c>
      <c r="U80" t="n">
        <v>12</v>
      </c>
    </row>
    <row r="81">
      <c r="A81" t="n">
        <v>13</v>
      </c>
      <c r="E81" t="n">
        <v>13</v>
      </c>
      <c r="I81" t="n">
        <v>13</v>
      </c>
      <c r="M81" t="n">
        <v>13</v>
      </c>
      <c r="Q81" t="n">
        <v>13</v>
      </c>
      <c r="U81" t="n">
        <v>13</v>
      </c>
    </row>
    <row r="82">
      <c r="A82" t="n">
        <v>14</v>
      </c>
      <c r="E82" t="n">
        <v>14</v>
      </c>
      <c r="I82" t="n">
        <v>14</v>
      </c>
      <c r="M82" t="n">
        <v>14</v>
      </c>
      <c r="Q82" t="n">
        <v>14</v>
      </c>
      <c r="U82" t="n">
        <v>14</v>
      </c>
    </row>
    <row r="83">
      <c r="A83" t="n">
        <v>15</v>
      </c>
      <c r="E83" t="n">
        <v>15</v>
      </c>
      <c r="I83" t="n">
        <v>15</v>
      </c>
      <c r="M83" t="n">
        <v>15</v>
      </c>
      <c r="Q83" t="n">
        <v>15</v>
      </c>
      <c r="U83" t="n">
        <v>15</v>
      </c>
    </row>
    <row r="84">
      <c r="A84" t="n">
        <v>16</v>
      </c>
      <c r="E84" t="n">
        <v>16</v>
      </c>
      <c r="I84" t="n">
        <v>16</v>
      </c>
      <c r="M84" t="n">
        <v>16</v>
      </c>
      <c r="Q84" t="n">
        <v>16</v>
      </c>
      <c r="U84" t="n">
        <v>16</v>
      </c>
    </row>
    <row r="88">
      <c r="A88" t="inlineStr">
        <is>
          <t>Category ID</t>
        </is>
      </c>
      <c r="B88" t="inlineStr">
        <is>
          <t>Scenario_Operators</t>
        </is>
      </c>
      <c r="C88" t="inlineStr">
        <is>
          <t>Description</t>
        </is>
      </c>
    </row>
    <row r="89">
      <c r="A89" t="n">
        <v>1</v>
      </c>
      <c r="B89" t="inlineStr">
        <is>
          <t>replace</t>
        </is>
      </c>
      <c r="C89" t="inlineStr">
        <is>
          <t>This is the default. It replaces a single parameter value (like k_labile) with the New_Value.</t>
        </is>
      </c>
    </row>
    <row r="90" ht="135" customHeight="1">
      <c r="A90" t="n">
        <v>2</v>
      </c>
      <c r="B90" t="inlineStr">
        <is>
          <t>multiply</t>
        </is>
      </c>
      <c r="C90" s="1" t="inlineStr">
        <is>
          <t>This is for time-series. It takes the entire series (for an inflow like F_00_01 or a dynamic TC) and multiplies every
  yearly value by the New_Value</t>
        </is>
      </c>
    </row>
    <row r="91" ht="75" customHeight="1">
      <c r="A91" t="n">
        <v>3</v>
      </c>
      <c r="B91" t="inlineStr">
        <is>
          <t>add</t>
        </is>
      </c>
      <c r="C91" s="1" t="inlineStr">
        <is>
          <t>This takes the entire series and adds the New_Value to every yearly value.</t>
        </is>
      </c>
    </row>
    <row r="92">
      <c r="A92" t="n">
        <v>4</v>
      </c>
    </row>
    <row r="93">
      <c r="A93" t="n">
        <v>5</v>
      </c>
    </row>
    <row r="94">
      <c r="A94" t="n">
        <v>6</v>
      </c>
    </row>
    <row r="95">
      <c r="A95" t="n">
        <v>7</v>
      </c>
    </row>
    <row r="96">
      <c r="A96" t="n">
        <v>8</v>
      </c>
    </row>
  </sheetData>
  <mergeCells count="11">
    <mergeCell ref="E10:G10"/>
    <mergeCell ref="J2:L2"/>
    <mergeCell ref="J28:L28"/>
    <mergeCell ref="A1:C1"/>
    <mergeCell ref="A51:B51"/>
    <mergeCell ref="A31:C31"/>
    <mergeCell ref="A9:C9"/>
    <mergeCell ref="F40:H40"/>
    <mergeCell ref="A20:C20"/>
    <mergeCell ref="A38:C38"/>
    <mergeCell ref="E1:G1"/>
  </mergeCells>
  <pageMargins left="0.7" right="0.7" top="0.787401575" bottom="0.787401575" header="0.3" footer="0.3"/>
  <pageSetup orientation="portrait"/>
  <tableParts count="16">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 xmlns:r="http://schemas.openxmlformats.org/officeDocument/2006/relationships" r:id="rId9"/>
    <tablePart xmlns:r="http://schemas.openxmlformats.org/officeDocument/2006/relationships" r:id="rId10"/>
    <tablePart xmlns:r="http://schemas.openxmlformats.org/officeDocument/2006/relationships" r:id="rId11"/>
    <tablePart xmlns:r="http://schemas.openxmlformats.org/officeDocument/2006/relationships" r:id="rId12"/>
    <tablePart xmlns:r="http://schemas.openxmlformats.org/officeDocument/2006/relationships" r:id="rId13"/>
    <tablePart xmlns:r="http://schemas.openxmlformats.org/officeDocument/2006/relationships" r:id="rId14"/>
    <tablePart xmlns:r="http://schemas.openxmlformats.org/officeDocument/2006/relationships" r:id="rId15"/>
    <tablePart xmlns:r="http://schemas.openxmlformats.org/officeDocument/2006/relationships" r:id="rId16"/>
  </tableParts>
</worksheet>
</file>

<file path=xl/worksheets/sheet25.xml><?xml version="1.0" encoding="utf-8"?>
<worksheet xmlns="http://schemas.openxmlformats.org/spreadsheetml/2006/main">
  <sheetPr codeName="Sheet20">
    <tabColor theme="5" tint="-0.499984740745262"/>
    <outlinePr summaryBelow="1" summaryRight="1"/>
    <pageSetUpPr/>
  </sheetPr>
  <dimension ref="A1:A1"/>
  <sheetViews>
    <sheetView workbookViewId="0">
      <selection activeCell="L53" sqref="L53"/>
    </sheetView>
  </sheetViews>
  <sheetFormatPr baseColWidth="8" defaultColWidth="10.85546875" defaultRowHeight="15"/>
  <sheetData>
    <row r="1">
      <c r="A1" t="inlineStr">
        <is>
          <t>Was</t>
        </is>
      </c>
    </row>
  </sheetData>
  <pageMargins left="0.7" right="0.7" top="0.787401575" bottom="0.7874015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Johannes</dc:creator>
  <dcterms:created xmlns:dcterms="http://purl.org/dc/terms/" xmlns:xsi="http://www.w3.org/2001/XMLSchema-instance" xsi:type="dcterms:W3CDTF">2015-06-05T18:19:34Z</dcterms:created>
  <dcterms:modified xmlns:dcterms="http://purl.org/dc/terms/" xmlns:xsi="http://www.w3.org/2001/XMLSchema-instance" xsi:type="dcterms:W3CDTF">2025-09-10T08:47:13Z</dcterms:modified>
  <cp:lastModifiedBy>Johannes Scholz</cp:lastModifiedBy>
</cp:coreProperties>
</file>