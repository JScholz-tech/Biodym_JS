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E0CE5E9D-0D21-4041-9576-99FC7D894C30}" xr6:coauthVersionLast="47" xr6:coauthVersionMax="47" xr10:uidLastSave="{00000000-0000-0000-0000-000000000000}"/>
  <bookViews>
    <workbookView xWindow="-120" yWindow="-120" windowWidth="38640" windowHeight="21120" tabRatio="840" activeTab="3"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3. TC_Data" sheetId="28" r:id="rId15"/>
    <sheet name="PX - Template" sheetId="27" r:id="rId16"/>
    <sheet name="4. Calculation_factors&gt;&gt;&gt;&gt;" sheetId="13" r:id="rId17"/>
    <sheet name="Sheet2" sheetId="43" r:id="rId18"/>
    <sheet name="4. Codelists&gt;&gt;&gt;&gt;" sheetId="3" r:id="rId19"/>
    <sheet name="4_1 Codelists" sheetId="17" r:id="rId20"/>
    <sheet name="5. Wastefiles &gt;&gt;&gt;&gt;" sheetId="14" r:id="rId21"/>
  </sheets>
  <externalReferences>
    <externalReference r:id="rId22"/>
  </externalReference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42" l="1"/>
  <c r="B7" i="39"/>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B2" i="43"/>
  <c r="A10"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<sst xmlns="http://schemas.openxmlformats.org/spreadsheetml/2006/main" count="3482" uniqueCount="615">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</sst>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4"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7">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84">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5" fillId="36" borderId="43" xfId="3" applyBorder="1"/>
    <xf numFmtId="0" fontId="5" fillId="36" borderId="44" xfId="3" applyBorder="1"/>
    <xf numFmtId="0" fontId="5" fillId="6" borderId="44" xfId="4" applyBorder="1">
      <protection locked="0"/>
    </xf>
    <xf numFmtId="0" fontId="5" fillId="36" borderId="12" xfId="3" applyBorder="1"/>
    <xf numFmtId="0" fontId="5" fillId="6" borderId="12"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5" xfId="3" applyBorder="1"/>
    <xf numFmtId="0" fontId="6" fillId="8" borderId="42" xfId="5" applyBorder="1">
      <protection locked="0"/>
    </xf>
    <xf numFmtId="0" fontId="6" fillId="8" borderId="44" xfId="5" applyBorder="1">
      <protection locked="0"/>
    </xf>
    <xf numFmtId="0" fontId="6" fillId="8" borderId="46" xfId="5" applyBorder="1">
      <protection locked="0"/>
    </xf>
    <xf numFmtId="0" fontId="6" fillId="8" borderId="12"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7">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Shared\2024_Carbonflow_B-BB_Research\02_data\05_Python%20files\250428_bioDYM-Paper\bioDYM-CERT-edit-main\studies\rye_straw_cascading_treatment_system\250530_Scenario4_Data_04.xlsx" TargetMode="External"/><Relationship Id="rId1" Type="http://schemas.openxmlformats.org/officeDocument/2006/relationships/externalLinkPath" Target="/Users/Johannes/Nextcloud/Shared/2024_Carbonflow_B-BB_Research/02_data/05_Python%20files/250428_bioDYM-Paper/bioDYM-CERT-edit-main/studies/rye_straw_cascading_treatment_system/250530_Scenario4_Data_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Version_02.05."/>
      <sheetName val="1_Flows&gt;&gt;&gt;&gt;"/>
      <sheetName val="1_1_Definition_Flows"/>
      <sheetName val="1_2_Data_Flows"/>
      <sheetName val="2. Processes&gt;&gt;&gt;&gt;"/>
      <sheetName val="2_1_Definition_Processes"/>
      <sheetName val="2_3_Process_TCs"/>
      <sheetName val="2_4_Process_Stock_"/>
      <sheetName val="3. Calculation_factors&gt;&gt;&gt;&gt;"/>
      <sheetName val="3_1_Calculation_factors (Waste)"/>
      <sheetName val="3_1_Calculation_factors (Wood)"/>
      <sheetName val="4. Codelists&gt;&gt;&gt;&gt;"/>
      <sheetName val="4_1 Codelists"/>
      <sheetName val="5. Wastefiles &gt;&gt;&gt;&gt;"/>
      <sheetName val="2_2_Process_Data"/>
      <sheetName val="Data_Processes"/>
      <sheetName val="1_2_WC_DM_CC_Flows"/>
      <sheetName val="Data_Processes_TCs"/>
      <sheetName val="2_3_Process_TC"/>
      <sheetName val="Tabelle2"/>
      <sheetName val="Tabelle3"/>
      <sheetName val="Data_Processes_Stocks"/>
      <sheetName val="250530_Scenario4_Data_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16" dataCellStyle="04_Comments"/>
    <tableColumn id="1" xr3:uid="{23E8F131-81B2-4705-927A-A42C393BEDCE}" name="ID" dataDxfId="115">
      <calculatedColumnFormula>ROW()-1</calculatedColumnFormula>
    </tableColumn>
    <tableColumn id="2" xr3:uid="{D694ED25-71D4-4BD1-B627-FBE0FAE9FC8B}" name="Flow_ID" dataDxfId="114">
      <calculatedColumnFormula>"F_"&amp;LEFT(I2,2)&amp;"_"&amp;LEFT(K2,2)</calculatedColumnFormula>
    </tableColumn>
    <tableColumn id="3" xr3:uid="{CA1C6FA9-65CA-47E1-94EA-BBB750256C84}" name="Name(EN)" dataDxfId="113"/>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12">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11"/>
    <tableColumn id="22" xr3:uid="{ABA27704-56CF-4C30-88CB-BB6E944F7F08}" name="WC_source" dataDxfId="110"/>
    <tableColumn id="23" xr3:uid="{5CA0D08F-32C9-451C-A223-78F9E163EE87}" name="DM" dataDxfId="109"/>
    <tableColumn id="19" xr3:uid="{B3649430-F3A4-4F10-84D0-61D5F3B7C06D}" name="DM_source"/>
    <tableColumn id="20" xr3:uid="{826B197D-7E74-49DB-8367-DD0E48B963C3}" name="CC_DM[%]" dataDxfId="108"/>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07"/>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06">
      <calculatedColumnFormula>_xlfn.XLOOKUP(C2,Tab_Def_Flows[Name(EN)],Tab_Def_Flows[Process_ID_I],,0,)</calculatedColumnFormula>
    </tableColumn>
    <tableColumn id="34" xr3:uid="{1EF5EFE9-B149-4960-A691-8F1B8725DE37}" name="TC?" dataDxfId="105">
      <calculatedColumnFormula>_xlfn.XLOOKUP(C2,Tab_Def_Flows[Name(EN)],#REF!,,0,)</calculatedColumnFormula>
    </tableColumn>
    <tableColumn id="30" xr3:uid="{F13B49C3-7111-4C57-A913-01AB03549B56}" name="WC?" dataDxfId="104">
      <calculatedColumnFormula>_xlfn.XLOOKUP(C2,Tab_Def_Flows[Name(EN)],Tab_Def_Flows[WC?],,0,)</calculatedColumnFormula>
    </tableColumn>
    <tableColumn id="31" xr3:uid="{24B36152-385D-4D3C-A274-72EA56B6819A}" name="DM?" dataDxfId="103">
      <calculatedColumnFormula>_xlfn.XLOOKUP(C2,Tab_Def_Flows[Name(EN)],Tab_Def_Flows[DM?],,0,)</calculatedColumnFormula>
    </tableColumn>
    <tableColumn id="32" xr3:uid="{A086924B-597B-4B7A-B9B2-8397025FD97B}" name="CC?" dataDxfId="102">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01"/>
    <tableColumn id="10" xr3:uid="{830F5101-5C33-4F82-BC56-E2BC7AF81364}" name="UoM_Source"/>
    <tableColumn id="11" xr3:uid="{4CDA8F79-829B-47EF-ADFC-3E43B62F90A4}" name="Name_Source"/>
    <tableColumn id="26" xr3:uid="{5682EF5B-30C4-46B4-B5FF-A174139B9E8A}" name="AVV" dataDxfId="100">
      <calculatedColumnFormula>INDEX(#REF!,MATCH(Tab_Data_Flows[[#This Row],[Name(EN)]],#REF!,0),12)</calculatedColumnFormula>
    </tableColumn>
    <tableColumn id="27" xr3:uid="{0FD99FBB-FEDB-4B73-A541-FB8A676D64E7}" name="Titel_Source" dataDxfId="99">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8"/>
    <tableColumn id="25" xr3:uid="{94996270-9A62-4B8C-B04B-D56A7F9FDE30}" name="Name_CF" dataDxfId="97">
      <calculatedColumnFormula>#REF!</calculatedColumnFormula>
    </tableColumn>
    <tableColumn id="17" xr3:uid="{E761CF85-B508-4386-AFDF-6ABE121824EE}" name="Flow_Py" dataDxfId="96"/>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95" dataCellStyle="04_Comments"/>
    <tableColumn id="1" xr3:uid="{A63F92FA-2376-4B5A-A2DF-588878E604E1}" name="ID" dataDxfId="94">
      <calculatedColumnFormula>ROW()-1</calculatedColumnFormula>
    </tableColumn>
    <tableColumn id="2" xr3:uid="{6D346BEA-29CA-401C-8ABB-6C62791A731A}" name="Process_ID" dataDxfId="93">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92"/>
    <tableColumn id="14" xr3:uid="{334FD543-CE98-4427-87D5-A79F68872B3C}" name="Input_Flow_I_1" dataDxfId="91"/>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0">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89">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88" headerRowCellStyle="05_Header">
  <autoFilter ref="A1:U59" xr:uid="{7602A998-85E6-499A-B1A3-C584F22BB41F}"/>
  <tableColumns count="21">
    <tableColumn id="33" xr3:uid="{2E104FB0-3B3F-413B-B1B0-969D126AA7B1}" name="Complete?" dataDxfId="87" dataCellStyle="04_Comments"/>
    <tableColumn id="1" xr3:uid="{B9E05773-FB7F-407B-8FB3-BE93F6BB50D9}" name="ID" dataDxfId="86">
      <calculatedColumnFormula>ROW()-1</calculatedColumnFormula>
    </tableColumn>
    <tableColumn id="2" xr3:uid="{4324CFF4-5791-4829-80A7-8BA4CF2CD799}" name="Process_ID" dataDxfId="85">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84">
      <calculatedColumnFormula>_xlfn.XLOOKUP($D2,Tab_Def_Processes[Name(EN)],Tab_Def_Processes[Initial_Stock?],,0,)</calculatedColumnFormula>
    </tableColumn>
    <tableColumn id="12" xr3:uid="{1AEDC949-1281-46C8-9543-F9AB0A724F08}" name="DSM?" dataDxfId="83">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82" headerRowCellStyle="05_Header">
  <autoFilter ref="A1:U63" xr:uid="{7602A998-85E6-499A-B1A3-C584F22BB41F}"/>
  <tableColumns count="21">
    <tableColumn id="24" xr3:uid="{799CF049-9A74-47E4-BCE6-68EB92DFEDD4}" name="Complete?" dataDxfId="81" dataCellStyle="04_Comments"/>
    <tableColumn id="1" xr3:uid="{75AB9428-C675-46D8-B904-74A952E29611}" name="ID" dataDxfId="80">
      <calculatedColumnFormula>ROW()-1</calculatedColumnFormula>
    </tableColumn>
    <tableColumn id="22" xr3:uid="{055CB3E4-C1DF-486D-9F8E-E65039E95278}" name="Stock_ID" dataDxfId="79">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7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77" headerRowBorderDxfId="76" tableBorderDxfId="75">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74" dataCellStyle="04_Comments"/>
    <tableColumn id="1" xr3:uid="{CE7CE076-C32F-4791-85A9-C6321A66E672}" name="ID" dataDxfId="73">
      <calculatedColumnFormula>ROW()-1</calculatedColumnFormula>
    </tableColumn>
    <tableColumn id="2" xr3:uid="{F7259AFD-9D16-4ACC-BDB2-8D0DCC203B92}" name="Process_ID" dataDxfId="72"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71"/>
    <tableColumn id="57" xr3:uid="{D3D78B03-02F6-42CA-BD33-6A54DF04FE86}" name="Column1"/>
    <tableColumn id="11" xr3:uid="{D4C9F650-44B6-4DD5-875E-10DEE39F6D03}" name="Input_Flow_I_1" dataDxfId="70">
      <calculatedColumnFormula>_xlfn.XLOOKUP($D2,Tab_Def_Processes[Name(EN)],Tab_Def_Processes[Input_Flow_I_1],,0,)</calculatedColumnFormula>
    </tableColumn>
    <tableColumn id="12" xr3:uid="{5D9673E4-4F5C-4A02-8FE3-DAF7E360A271}" name="Flow_ID_I_1" dataDxfId="69">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68">
      <calculatedColumnFormula>_xlfn.XLOOKUP($D2,Tab_Def_Processes[Name(EN)],Tab_Def_Processes[Input_Flow_I_2],,0,)</calculatedColumnFormula>
    </tableColumn>
    <tableColumn id="14" xr3:uid="{39DCAF4C-C94E-4F6B-9473-486EB368D1A4}" name="Flow_ID_I_3" dataDxfId="67">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66">
      <calculatedColumnFormula>_xlfn.XLOOKUP($D2,Tab_Def_Processes[Name(EN)],Tab_Def_Processes[Input_Flow_I_3],,0,)</calculatedColumnFormula>
    </tableColumn>
    <tableColumn id="16" xr3:uid="{59EB2AB7-4406-48E2-A12E-175CA457D434}" name="Flow ID I_3" dataDxfId="65">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64">
      <calculatedColumnFormula>_xlfn.XLOOKUP($D2,Tab_Def_Processes[Name(EN)],Tab_Def_Processes[Input_Flow_I_4],,0,)</calculatedColumnFormula>
    </tableColumn>
    <tableColumn id="18" xr3:uid="{6B6A8FB7-CFFD-4E02-B4C2-DA33227D2D15}" name="Flow ID I_4" dataDxfId="63">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62">
      <calculatedColumnFormula>_xlfn.XLOOKUP($D2,Tab_Def_Processes[Name(EN)],Tab_Def_Processes[Input_Flow_I_5],,0,)</calculatedColumnFormula>
    </tableColumn>
    <tableColumn id="20" xr3:uid="{4DEF4D28-396A-452E-A2BA-F6E3F074F47C}" name="Flow ID I_5" dataDxfId="61">
      <calculatedColumnFormula>_xlfn.XLOOKUP($D2,Tab_Def_Processes[Name(EN)],Tab_Def_Processes[Flow_ID_I_5],,0,)</calculatedColumnFormula>
    </tableColumn>
    <tableColumn id="39" xr3:uid="{31A505D2-1052-4114-89A3-0125D2AEA2C0}" name="Flow_TC_I_5_[%]"/>
    <tableColumn id="34" xr3:uid="{87220065-CDDC-4D7C-BE11-D9EA0B3FF3E5}" name="Sum_TC_I" dataDxfId="60">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59">
      <calculatedColumnFormula>_xlfn.XLOOKUP($D2,#REF!,#REF!,,0,)</calculatedColumnFormula>
    </tableColumn>
    <tableColumn id="22" xr3:uid="{B381C1D4-C8F7-4BE4-A024-4BBD1B417D36}" name="Flow_ID_O_1" dataDxfId="58">
      <calculatedColumnFormula>_xlfn.XLOOKUP($D2,#REF!,#REF!,,0,)</calculatedColumnFormula>
    </tableColumn>
    <tableColumn id="63" xr3:uid="{C44CA027-9688-45B0-88EB-F14F3A7BECB8}" name="TC_ID_O_1_Year" dataDxfId="57">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56"/>
    <tableColumn id="23" xr3:uid="{B25FB2F6-238F-410A-AF2E-782A213D011A}" name="Output_Flow_O_2" dataDxfId="55">
      <calculatedColumnFormula>_xlfn.XLOOKUP($D2,#REF!,#REF!,,0,)</calculatedColumnFormula>
    </tableColumn>
    <tableColumn id="24" xr3:uid="{97798FE5-868B-45C0-AE3B-C29AF4C86E8E}" name="Flow_ID_O_2" dataDxfId="54">
      <calculatedColumnFormula>_xlfn.XLOOKUP($D2,#REF!,#REF!,,0,)</calculatedColumnFormula>
    </tableColumn>
    <tableColumn id="64" xr3:uid="{3679F173-262B-4D42-9125-71B27049FF31}" name="TC_ID_O_2_Year" dataDxfId="53">
      <calculatedColumnFormula>Tab_Process_TCs2527[[#This Row],[Flow_ID]]</calculatedColumnFormula>
    </tableColumn>
    <tableColumn id="54" xr3:uid="{59052527-1CA5-4A17-978F-E10A4CF13AAE}" name="TC_ID_O_2" dataDxfId="52">
      <calculatedColumnFormula>"TC"&amp;"_"&amp;RIGHT(AI2,5)</calculatedColumnFormula>
    </tableColumn>
    <tableColumn id="41" xr3:uid="{7F915D49-034F-4E82-9BAA-B8ED5CA4F335}" name="TC_O_2_[%]" dataDxfId="51" dataCellStyle="Percent"/>
    <tableColumn id="25" xr3:uid="{5714904F-F57E-48CA-BFAA-826C1CEFD309}" name="Output_Flow_O_3" dataDxfId="50">
      <calculatedColumnFormula>_xlfn.XLOOKUP($D2,#REF!,#REF!,,0,)</calculatedColumnFormula>
    </tableColumn>
    <tableColumn id="26" xr3:uid="{BF841E8C-9EB2-40B0-BD1F-8C768DE188AD}" name="Flow_ID_O_3" dataDxfId="49">
      <calculatedColumnFormula>_xlfn.XLOOKUP($D2,#REF!,#REF!,,0,)</calculatedColumnFormula>
    </tableColumn>
    <tableColumn id="65" xr3:uid="{40F24D12-78F3-4E2A-85F5-F634958096FD}" name="TC_ID_O_3_Year" dataDxfId="48">
      <calculatedColumnFormula>Tab_Process_TCs2527[[#This Row],[Flow_ID]]</calculatedColumnFormula>
    </tableColumn>
    <tableColumn id="42" xr3:uid="{231A0501-9932-43B0-A3F9-EB8BB036203D}" name="TC_ID_O_3" dataDxfId="47">
      <calculatedColumnFormula>"TC"&amp;"_"&amp;RIGHT(AN2,5)</calculatedColumnFormula>
    </tableColumn>
    <tableColumn id="27" xr3:uid="{25A11679-9BF9-4DEC-B798-B8A275D3B8AC}" name="TC_O_3_[%]" dataDxfId="46" dataCellStyle="Percent"/>
    <tableColumn id="28" xr3:uid="{67E45B1E-4E5D-4D83-A664-45983FD6F9D1}" name="Output_Flow_O_4" dataDxfId="45">
      <calculatedColumnFormula>_xlfn.XLOOKUP($D2,#REF!,#REF!,,0,)</calculatedColumnFormula>
    </tableColumn>
    <tableColumn id="43" xr3:uid="{C5680328-8545-431B-B943-966088B5B85B}" name="Flow_ID_O_4" dataDxfId="44">
      <calculatedColumnFormula>_xlfn.XLOOKUP($D2,#REF!,#REF!,,0,)</calculatedColumnFormula>
    </tableColumn>
    <tableColumn id="66" xr3:uid="{3C939FEA-060E-42BF-AC8F-37677818A9F4}" name="TC_ID_O_4_Year" dataDxfId="43">
      <calculatedColumnFormula>Tab_Process_TCs2527[[#This Row],[Flow_ID]]</calculatedColumnFormula>
    </tableColumn>
    <tableColumn id="29" xr3:uid="{5B8610D8-109C-4CC7-9DE9-5EF61CC39BD7}" name="TC_ID_O_4" dataDxfId="42">
      <calculatedColumnFormula>"TC"&amp;"_"&amp;RIGHT(AN2,5)</calculatedColumnFormula>
    </tableColumn>
    <tableColumn id="30" xr3:uid="{8DFBA5BB-ECEC-455D-9C69-3FF71622F2AC}" name="TC_O_4_[%]" dataDxfId="41" dataCellStyle="Percent"/>
    <tableColumn id="44" xr3:uid="{5785B5EE-01FF-44CB-9D74-9D2780652646}" name="Output_Flow_O_5" dataDxfId="40">
      <calculatedColumnFormula>_xlfn.XLOOKUP($D2,#REF!,#REF!,,0,)</calculatedColumnFormula>
    </tableColumn>
    <tableColumn id="31" xr3:uid="{54C02504-99D3-419C-9253-1DA532111E60}" name="Flow_ID_O_5" dataDxfId="39">
      <calculatedColumnFormula>_xlfn.XLOOKUP($D2,#REF!,#REF!,,0,)</calculatedColumnFormula>
    </tableColumn>
    <tableColumn id="67" xr3:uid="{770D2E29-F077-423A-9DDE-B86470FADA38}" name="TC_ID_O_5_Year" dataDxfId="38">
      <calculatedColumnFormula>Tab_Process_TCs2527[[#This Row],[Flow_ID]]</calculatedColumnFormula>
    </tableColumn>
    <tableColumn id="46" xr3:uid="{CBB535D2-9A64-4C2F-AF19-4CF0A79C6798}" name="TC_ID_O_5" dataDxfId="37">
      <calculatedColumnFormula>"TC"&amp;"_"&amp;RIGHT(AX2,5)</calculatedColumnFormula>
    </tableColumn>
    <tableColumn id="45" xr3:uid="{43E42E8C-202D-4522-9E50-CB3B80F8EE29}" name="TC O_5_[%]" dataDxfId="36" dataCellStyle="Percent"/>
    <tableColumn id="32" xr3:uid="{FD3810B5-3F37-4777-8ACB-D2CAAFA5C5EB}" name="Output_Flow_O_6" dataDxfId="35">
      <calculatedColumnFormula>_xlfn.XLOOKUP($D2,#REF!,#REF!,,0,)</calculatedColumnFormula>
    </tableColumn>
    <tableColumn id="48" xr3:uid="{EF811571-9CC9-41DC-BFA4-320CD8D9C0C6}" name="Flow_ID_O_6" dataDxfId="34">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33">
      <calculatedColumnFormula>"TC"&amp;"_"&amp;RIGHT(BC2,5)</calculatedColumnFormula>
    </tableColumn>
    <tableColumn id="50" xr3:uid="{5AF5E9BC-3B3E-4244-A22E-AC3284E0E97C}" name="TC O_6_[%]" dataDxfId="32" dataCellStyle="Percent"/>
    <tableColumn id="51" xr3:uid="{B76A3DEE-BBAC-4CE1-BE1D-2941B928DB78}" name="Sum_TC_O" dataDxfId="31"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0" dataDxfId="29" tableBorderDxfId="28">
  <autoFilter ref="A1:R51" xr:uid="{258723AD-03F6-4700-9C12-0435A55E108D}"/>
  <tableColumns count="18">
    <tableColumn id="1" xr3:uid="{33B8EF63-7663-4BA6-9B91-D446C0C9C276}" name="Complete?" dataCellStyle="04_Comments"/>
    <tableColumn id="2" xr3:uid="{6589C290-508A-4E8E-8896-B6E09EB1B594}" name="ID" dataDxfId="27">
      <calculatedColumnFormula>ROW()-1</calculatedColumnFormula>
    </tableColumn>
    <tableColumn id="4" xr3:uid="{F4E33EB8-7313-4BD5-8A0A-D0E18A2A18E9}" name="Process_ID" dataDxfId="26">
      <calculatedColumnFormula>_xlfn.XLOOKUP($D2,Tab_Def_Processes[Name(EN)],Tab_Def_Processes[Process_ID],,0,)</calculatedColumnFormula>
    </tableColumn>
    <tableColumn id="5" xr3:uid="{E9F30AE4-3733-473D-B124-CDB1D225C217}" name="Name(EN)" dataDxfId="25"/>
    <tableColumn id="6" xr3:uid="{8636F935-6448-4819-ADDF-71DFA45559FA}" name="Process_Type" dataDxfId="24">
      <calculatedColumnFormula>_xlfn.XLOOKUP($D2,Tab_Def_Processes[Name(EN)],Tab_Def_Processes[Process_Type],,0,)</calculatedColumnFormula>
    </tableColumn>
    <tableColumn id="11" xr3:uid="{60B3771B-3986-46D1-B5BA-CE7814BD4A11}" name="TC?" dataDxfId="23">
      <calculatedColumnFormula>_xlfn.XLOOKUP($D2,Tab_Def_Processes[Name(EN)],Tab_Def_Processes[TC?],,0,)</calculatedColumnFormula>
    </tableColumn>
    <tableColumn id="12" xr3:uid="{A2F17CD8-5CAE-47C5-88AC-65F98D1E04A7}" name="Dyn_TC?" dataDxfId="22">
      <calculatedColumnFormula>_xlfn.XLOOKUP($D2,Tab_Def_Processes[Name(EN)],Tab_Def_Processes[Dyn_TC?],,0,)</calculatedColumnFormula>
    </tableColumn>
    <tableColumn id="13" xr3:uid="{AAC3F32E-5E29-4B43-870A-6E7FC451D4C7}" name="Stock?" dataDxfId="21">
      <calculatedColumnFormula>_xlfn.XLOOKUP($D2,Tab_Def_Processes[Name(EN)],Tab_Def_Processes[Stock?],,0,)</calculatedColumnFormula>
    </tableColumn>
    <tableColumn id="14" xr3:uid="{46AA84AB-D3F4-4DFC-AFA9-73ECA93071B0}" name="Initial_Stock?" dataDxfId="20">
      <calculatedColumnFormula>_xlfn.XLOOKUP($D2,Tab_Def_Processes[Name(EN)],Tab_Def_Processes[Initial_Stock?],,0,)</calculatedColumnFormula>
    </tableColumn>
    <tableColumn id="7" xr3:uid="{4D982150-569B-49F8-B2ED-A59759BD8284}" name="DSM?" dataDxfId="19"/>
    <tableColumn id="8" xr3:uid="{722B87D6-F9E5-415C-984B-850168F8B4C0}" name="FOMP?" dataDxfId="18"/>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17" tableBorderDxfId="16" headerRowCellStyle="05_Header">
  <autoFilter ref="A1:Q41" xr:uid="{258723AD-03F6-4700-9C12-0435A55E108D}"/>
  <tableColumns count="17">
    <tableColumn id="1" xr3:uid="{45321D18-7A58-4FFA-814A-4BFE5587094A}" name="Complete?" dataCellStyle="04_Comments"/>
    <tableColumn id="2" xr3:uid="{EC881CBD-180B-4D64-9A86-8AA6EC24B7F6}" name="ID" dataDxfId="15">
      <calculatedColumnFormula>ROW()-1</calculatedColumnFormula>
    </tableColumn>
    <tableColumn id="4" xr3:uid="{844E5006-9125-4DE3-A7C3-7D82AE3725EE}" name="Process_ID" dataDxfId="14">
      <calculatedColumnFormula>_xlfn.XLOOKUP($D2,Tab_Def_Processes[Name(EN)],Tab_Def_Processes[Process_ID],,0,)</calculatedColumnFormula>
    </tableColumn>
    <tableColumn id="5" xr3:uid="{0A9A4390-230F-4C39-9AF5-D72E04524EC5}" name="Name(EN)" dataDxfId="13"/>
    <tableColumn id="6" xr3:uid="{27F8000C-3015-4447-BAA8-364798FFAAFF}" name="Process_Type" dataDxfId="12">
      <calculatedColumnFormula>_xlfn.XLOOKUP($D2,Tab_Def_Processes[Name(EN)],Tab_Def_Processes[Process_Type],,0,)</calculatedColumnFormula>
    </tableColumn>
    <tableColumn id="11" xr3:uid="{CC767FA8-EDF4-482B-B626-0EE382C271A5}" name="TC?" dataDxfId="11">
      <calculatedColumnFormula>_xlfn.XLOOKUP($D2,Tab_Def_Processes[Name(EN)],Tab_Def_Processes[TC?],,0,)</calculatedColumnFormula>
    </tableColumn>
    <tableColumn id="12" xr3:uid="{E84B3ABE-4E12-4E6F-A681-7D39D8B20B42}" name="Dyn_TC?" dataDxfId="10">
      <calculatedColumnFormula>_xlfn.XLOOKUP($D2,Tab_Def_Processes[Name(EN)],Tab_Def_Processes[Dyn_TC?],,0,)</calculatedColumnFormula>
    </tableColumn>
    <tableColumn id="13" xr3:uid="{981DEE9B-FA47-4F47-8F80-39B1E8690449}" name="Stock?" dataDxfId="9">
      <calculatedColumnFormula>_xlfn.XLOOKUP($D2,Tab_Def_Processes[Name(EN)],Tab_Def_Processes[Stock?],,0,)</calculatedColumnFormula>
    </tableColumn>
    <tableColumn id="14" xr3:uid="{69989678-F20B-45BE-B37C-4E9CE9AA75DC}" name="Initial_Stock?" dataDxfId="8">
      <calculatedColumnFormula>_xlfn.XLOOKUP($D2,Tab_Def_Processes[Name(EN)],Tab_Def_Processes[Initial_Stock?],,0,)</calculatedColumnFormula>
    </tableColumn>
    <tableColumn id="7" xr3:uid="{3CFB9275-BB11-4A48-A179-F10B662CD314}" name="DSM?" dataDxfId="7">
      <calculatedColumnFormula>_xlfn.XLOOKUP($D2,Tab_Def_Processes[Name(EN)],Tab_Def_Processes[DSM?],,0,)</calculatedColumnFormula>
    </tableColumn>
    <tableColumn id="8" xr3:uid="{10C6F948-DB35-488A-BBCF-1C22C3F74E52}" name="FOMP?" dataDxfId="6">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 Type="http://schemas.openxmlformats.org/officeDocument/2006/relationships/table" Target="../tables/table12.xml"/><Relationship Id="rId16" Type="http://schemas.openxmlformats.org/officeDocument/2006/relationships/table" Target="../tables/table26.xml"/><Relationship Id="rId1" Type="http://schemas.openxmlformats.org/officeDocument/2006/relationships/printerSettings" Target="../printerSettings/printerSettings5.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07" t="s">
        <v>29</v>
      </c>
      <c r="C12" s="207"/>
      <c r="D12" s="207"/>
      <c r="E12" s="207"/>
      <c r="F12" s="207"/>
      <c r="G12" s="207"/>
      <c r="H12" s="207"/>
      <c r="I12" s="207"/>
      <c r="J12" s="207"/>
      <c r="K12" s="207"/>
      <c r="L12" s="207"/>
      <c r="M12" s="207"/>
      <c r="T12">
        <v>2031</v>
      </c>
    </row>
    <row r="13" spans="2:20" x14ac:dyDescent="0.25">
      <c r="B13" s="207"/>
      <c r="C13" s="207"/>
      <c r="D13" s="207"/>
      <c r="E13" s="207"/>
      <c r="F13" s="207"/>
      <c r="G13" s="207"/>
      <c r="H13" s="207"/>
      <c r="I13" s="207"/>
      <c r="J13" s="207"/>
      <c r="K13" s="207"/>
      <c r="L13" s="207"/>
      <c r="M13" s="207"/>
      <c r="T13">
        <v>2032</v>
      </c>
    </row>
    <row r="14" spans="2:20" x14ac:dyDescent="0.25">
      <c r="B14" s="207"/>
      <c r="C14" s="207"/>
      <c r="D14" s="207"/>
      <c r="E14" s="207"/>
      <c r="F14" s="207"/>
      <c r="G14" s="207"/>
      <c r="H14" s="207"/>
      <c r="I14" s="207"/>
      <c r="J14" s="207"/>
      <c r="K14" s="207"/>
      <c r="L14" s="207"/>
      <c r="M14" s="207"/>
      <c r="T14">
        <v>2033</v>
      </c>
    </row>
    <row r="15" spans="2:20" x14ac:dyDescent="0.25">
      <c r="B15" s="208" t="s">
        <v>30</v>
      </c>
      <c r="C15" s="208"/>
      <c r="D15" s="208"/>
      <c r="E15" s="208"/>
      <c r="F15" s="208"/>
      <c r="G15" s="208"/>
      <c r="H15" s="208"/>
      <c r="I15" s="208"/>
      <c r="J15" s="208"/>
      <c r="K15" s="208"/>
      <c r="L15" s="208"/>
      <c r="T15">
        <v>2034</v>
      </c>
    </row>
    <row r="16" spans="2:20" x14ac:dyDescent="0.25">
      <c r="B16" s="208"/>
      <c r="C16" s="208"/>
      <c r="D16" s="208"/>
      <c r="E16" s="208"/>
      <c r="F16" s="208"/>
      <c r="G16" s="208"/>
      <c r="H16" s="208"/>
      <c r="I16" s="208"/>
      <c r="J16" s="208"/>
      <c r="K16" s="208"/>
      <c r="L16" s="208"/>
      <c r="T16">
        <v>2035</v>
      </c>
    </row>
    <row r="17" spans="2:20" x14ac:dyDescent="0.25">
      <c r="B17" s="208"/>
      <c r="C17" s="208"/>
      <c r="D17" s="208"/>
      <c r="E17" s="208"/>
      <c r="F17" s="208"/>
      <c r="G17" s="208"/>
      <c r="H17" s="208"/>
      <c r="I17" s="208"/>
      <c r="J17" s="208"/>
      <c r="K17" s="208"/>
      <c r="L17" s="208"/>
      <c r="T17">
        <v>2036</v>
      </c>
    </row>
    <row r="18" spans="2:20" x14ac:dyDescent="0.25">
      <c r="B18" s="208"/>
      <c r="C18" s="208"/>
      <c r="D18" s="208"/>
      <c r="E18" s="208"/>
      <c r="F18" s="208"/>
      <c r="G18" s="208"/>
      <c r="H18" s="208"/>
      <c r="I18" s="208"/>
      <c r="J18" s="208"/>
      <c r="K18" s="208"/>
      <c r="L18" s="208"/>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tabSelected="1" zoomScale="115" zoomScaleNormal="115" workbookViewId="0">
      <selection activeCell="C19" sqref="C19"/>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68" t="s">
        <v>499</v>
      </c>
      <c r="B2" s="269" t="s">
        <v>503</v>
      </c>
      <c r="C2" s="270">
        <v>2025</v>
      </c>
      <c r="D2" s="277" t="s">
        <v>504</v>
      </c>
      <c r="E2" s="277" t="s">
        <v>505</v>
      </c>
      <c r="F2" s="278" t="s">
        <v>506</v>
      </c>
    </row>
    <row r="3" spans="1:6" ht="15" customHeight="1" x14ac:dyDescent="0.25">
      <c r="A3" s="273"/>
      <c r="B3" s="271" t="s">
        <v>507</v>
      </c>
      <c r="C3" s="272">
        <v>2050</v>
      </c>
      <c r="D3" s="279" t="s">
        <v>508</v>
      </c>
      <c r="E3" s="279" t="s">
        <v>505</v>
      </c>
      <c r="F3" s="280" t="s">
        <v>506</v>
      </c>
    </row>
    <row r="4" spans="1:6" x14ac:dyDescent="0.25">
      <c r="A4" s="273"/>
      <c r="B4" s="271" t="s">
        <v>509</v>
      </c>
      <c r="C4" s="272" t="s">
        <v>410</v>
      </c>
      <c r="D4" s="279" t="s">
        <v>510</v>
      </c>
      <c r="E4" s="279" t="s">
        <v>505</v>
      </c>
      <c r="F4" s="280" t="s">
        <v>506</v>
      </c>
    </row>
    <row r="5" spans="1:6" x14ac:dyDescent="0.25">
      <c r="A5" s="273"/>
      <c r="B5" s="271" t="s">
        <v>511</v>
      </c>
      <c r="C5" s="272" t="s">
        <v>512</v>
      </c>
      <c r="D5" s="279" t="s">
        <v>513</v>
      </c>
      <c r="E5" s="279" t="s">
        <v>505</v>
      </c>
      <c r="F5" s="280" t="s">
        <v>506</v>
      </c>
    </row>
    <row r="6" spans="1:6" ht="15.75" thickBot="1" x14ac:dyDescent="0.3">
      <c r="A6" s="274"/>
      <c r="B6" s="19" t="s">
        <v>514</v>
      </c>
      <c r="C6" s="197" t="s">
        <v>409</v>
      </c>
      <c r="D6" s="281" t="s">
        <v>515</v>
      </c>
      <c r="E6" s="281" t="s">
        <v>505</v>
      </c>
      <c r="F6" s="282" t="s">
        <v>506</v>
      </c>
    </row>
    <row r="7" spans="1:6" x14ac:dyDescent="0.25">
      <c r="A7" s="268" t="s">
        <v>516</v>
      </c>
      <c r="B7" s="269" t="s">
        <v>517</v>
      </c>
      <c r="C7" s="270" t="b">
        <v>0</v>
      </c>
      <c r="D7" s="277" t="s">
        <v>518</v>
      </c>
      <c r="E7" s="277" t="s">
        <v>519</v>
      </c>
      <c r="F7" s="278" t="s">
        <v>506</v>
      </c>
    </row>
    <row r="8" spans="1:6" ht="15" customHeight="1" x14ac:dyDescent="0.25">
      <c r="A8" s="16"/>
      <c r="B8" s="271" t="s">
        <v>520</v>
      </c>
      <c r="C8" s="272" t="b">
        <v>1</v>
      </c>
      <c r="D8" s="279" t="s">
        <v>521</v>
      </c>
      <c r="E8" s="279" t="s">
        <v>519</v>
      </c>
      <c r="F8" s="280" t="s">
        <v>506</v>
      </c>
    </row>
    <row r="9" spans="1:6" x14ac:dyDescent="0.25">
      <c r="A9" s="16"/>
      <c r="B9" s="271" t="s">
        <v>614</v>
      </c>
      <c r="C9" s="272" t="b">
        <v>1</v>
      </c>
      <c r="D9" s="279" t="s">
        <v>522</v>
      </c>
      <c r="E9" s="279" t="s">
        <v>519</v>
      </c>
      <c r="F9" s="280" t="s">
        <v>523</v>
      </c>
    </row>
    <row r="10" spans="1:6" ht="15.75" thickBot="1" x14ac:dyDescent="0.3">
      <c r="A10" s="18"/>
      <c r="B10" s="19" t="s">
        <v>524</v>
      </c>
      <c r="C10" s="197">
        <v>25</v>
      </c>
      <c r="D10" s="281" t="s">
        <v>525</v>
      </c>
      <c r="E10" s="281" t="s">
        <v>519</v>
      </c>
      <c r="F10" s="282" t="s">
        <v>523</v>
      </c>
    </row>
    <row r="11" spans="1:6" ht="15" customHeight="1" x14ac:dyDescent="0.25">
      <c r="A11" s="268" t="s">
        <v>526</v>
      </c>
      <c r="B11" s="269" t="s">
        <v>497</v>
      </c>
      <c r="C11" s="270" t="b">
        <v>0</v>
      </c>
      <c r="D11" s="277" t="s">
        <v>527</v>
      </c>
      <c r="E11" s="277" t="s">
        <v>528</v>
      </c>
      <c r="F11" s="278" t="s">
        <v>523</v>
      </c>
    </row>
    <row r="12" spans="1:6" x14ac:dyDescent="0.25">
      <c r="A12" s="16"/>
      <c r="B12" s="271" t="s">
        <v>529</v>
      </c>
      <c r="C12" s="272" t="s">
        <v>495</v>
      </c>
      <c r="D12" s="279" t="s">
        <v>531</v>
      </c>
      <c r="E12" s="279" t="s">
        <v>528</v>
      </c>
      <c r="F12" s="280" t="s">
        <v>523</v>
      </c>
    </row>
    <row r="13" spans="1:6" x14ac:dyDescent="0.25">
      <c r="A13" s="16"/>
      <c r="B13" s="271" t="s">
        <v>532</v>
      </c>
      <c r="C13" s="272" t="s">
        <v>498</v>
      </c>
      <c r="D13" s="279" t="s">
        <v>533</v>
      </c>
      <c r="E13" s="279" t="s">
        <v>528</v>
      </c>
      <c r="F13" s="280" t="s">
        <v>523</v>
      </c>
    </row>
    <row r="14" spans="1:6" x14ac:dyDescent="0.25">
      <c r="A14" s="16"/>
      <c r="B14" s="271" t="s">
        <v>534</v>
      </c>
      <c r="C14" s="272" t="s">
        <v>530</v>
      </c>
      <c r="D14" s="279" t="s">
        <v>535</v>
      </c>
      <c r="E14" s="279" t="s">
        <v>528</v>
      </c>
      <c r="F14" s="280" t="s">
        <v>523</v>
      </c>
    </row>
    <row r="15" spans="1:6" ht="15.75" thickBot="1" x14ac:dyDescent="0.3">
      <c r="A15" s="18"/>
      <c r="B15" s="19" t="s">
        <v>536</v>
      </c>
      <c r="C15" s="197" t="s">
        <v>537</v>
      </c>
      <c r="D15" s="281" t="s">
        <v>538</v>
      </c>
      <c r="E15" s="281" t="s">
        <v>528</v>
      </c>
      <c r="F15" s="282" t="s">
        <v>523</v>
      </c>
    </row>
    <row r="16" spans="1:6" x14ac:dyDescent="0.25">
      <c r="A16" s="268" t="s">
        <v>589</v>
      </c>
      <c r="B16" s="269" t="s">
        <v>590</v>
      </c>
      <c r="C16" s="270" t="b">
        <v>1</v>
      </c>
      <c r="D16" s="277" t="s">
        <v>591</v>
      </c>
      <c r="E16" s="277" t="s">
        <v>592</v>
      </c>
      <c r="F16" s="278" t="s">
        <v>506</v>
      </c>
    </row>
    <row r="17" spans="1:6" x14ac:dyDescent="0.25">
      <c r="A17" s="16"/>
      <c r="B17" s="271" t="s">
        <v>593</v>
      </c>
      <c r="C17" s="272" t="b">
        <v>1</v>
      </c>
      <c r="D17" s="279" t="s">
        <v>594</v>
      </c>
      <c r="E17" s="279" t="s">
        <v>592</v>
      </c>
      <c r="F17" s="280" t="s">
        <v>506</v>
      </c>
    </row>
    <row r="18" spans="1:6" x14ac:dyDescent="0.25">
      <c r="A18" s="16"/>
      <c r="B18" s="271" t="s">
        <v>595</v>
      </c>
      <c r="C18" s="272" t="b">
        <v>1</v>
      </c>
      <c r="D18" s="279" t="s">
        <v>596</v>
      </c>
      <c r="E18" s="279" t="s">
        <v>592</v>
      </c>
      <c r="F18" s="280" t="s">
        <v>506</v>
      </c>
    </row>
    <row r="19" spans="1:6" ht="15.75" thickBot="1" x14ac:dyDescent="0.3">
      <c r="A19" s="18"/>
      <c r="B19" s="19" t="s">
        <v>597</v>
      </c>
      <c r="C19" s="197">
        <v>1E-3</v>
      </c>
      <c r="D19" s="281" t="s">
        <v>598</v>
      </c>
      <c r="E19" s="281" t="s">
        <v>592</v>
      </c>
      <c r="F19" s="282" t="s">
        <v>523</v>
      </c>
    </row>
    <row r="20" spans="1:6" x14ac:dyDescent="0.25">
      <c r="A20" s="268" t="s">
        <v>539</v>
      </c>
      <c r="B20" s="269" t="s">
        <v>540</v>
      </c>
      <c r="C20" s="270">
        <v>0.1</v>
      </c>
      <c r="D20" s="277" t="s">
        <v>541</v>
      </c>
      <c r="E20" s="277" t="s">
        <v>542</v>
      </c>
      <c r="F20" s="278" t="s">
        <v>506</v>
      </c>
    </row>
    <row r="21" spans="1:6" x14ac:dyDescent="0.25">
      <c r="A21" s="16"/>
      <c r="B21" s="271" t="s">
        <v>543</v>
      </c>
      <c r="C21" s="272" t="b">
        <v>0</v>
      </c>
      <c r="D21" s="279" t="s">
        <v>544</v>
      </c>
      <c r="E21" s="279" t="s">
        <v>542</v>
      </c>
      <c r="F21" s="280" t="s">
        <v>523</v>
      </c>
    </row>
    <row r="22" spans="1:6" x14ac:dyDescent="0.25">
      <c r="A22" s="16"/>
      <c r="B22" s="271" t="s">
        <v>545</v>
      </c>
      <c r="C22" s="272" t="s">
        <v>546</v>
      </c>
      <c r="D22" s="279" t="s">
        <v>547</v>
      </c>
      <c r="E22" s="279" t="s">
        <v>542</v>
      </c>
      <c r="F22" s="280" t="s">
        <v>523</v>
      </c>
    </row>
    <row r="23" spans="1:6" x14ac:dyDescent="0.25">
      <c r="A23" s="16"/>
      <c r="B23" s="271" t="s">
        <v>548</v>
      </c>
      <c r="C23" s="272" t="s">
        <v>549</v>
      </c>
      <c r="D23" s="279" t="s">
        <v>550</v>
      </c>
      <c r="E23" s="279" t="s">
        <v>542</v>
      </c>
      <c r="F23" s="280" t="s">
        <v>523</v>
      </c>
    </row>
    <row r="24" spans="1:6" x14ac:dyDescent="0.25">
      <c r="A24" s="16"/>
      <c r="B24" s="271" t="s">
        <v>551</v>
      </c>
      <c r="C24" s="272" t="b">
        <v>1</v>
      </c>
      <c r="D24" s="279" t="s">
        <v>552</v>
      </c>
      <c r="E24" s="279" t="s">
        <v>542</v>
      </c>
      <c r="F24" s="280" t="s">
        <v>523</v>
      </c>
    </row>
    <row r="25" spans="1:6" ht="15.75" thickBot="1" x14ac:dyDescent="0.3">
      <c r="A25" s="18"/>
      <c r="B25" s="19" t="s">
        <v>553</v>
      </c>
      <c r="C25" s="197" t="s">
        <v>546</v>
      </c>
      <c r="D25" s="281" t="s">
        <v>554</v>
      </c>
      <c r="E25" s="281" t="s">
        <v>542</v>
      </c>
      <c r="F25" s="282" t="s">
        <v>523</v>
      </c>
    </row>
    <row r="26" spans="1:6" x14ac:dyDescent="0.25">
      <c r="A26" s="268" t="s">
        <v>555</v>
      </c>
      <c r="B26" s="269" t="s">
        <v>556</v>
      </c>
      <c r="C26" s="270" t="s">
        <v>411</v>
      </c>
      <c r="D26" s="277" t="s">
        <v>557</v>
      </c>
      <c r="E26" s="277" t="s">
        <v>558</v>
      </c>
      <c r="F26" s="278" t="s">
        <v>506</v>
      </c>
    </row>
    <row r="27" spans="1:6" x14ac:dyDescent="0.25">
      <c r="A27" s="16"/>
      <c r="B27" s="271" t="s">
        <v>559</v>
      </c>
      <c r="C27" s="272" t="b">
        <v>1</v>
      </c>
      <c r="D27" s="279" t="s">
        <v>560</v>
      </c>
      <c r="E27" s="279" t="s">
        <v>558</v>
      </c>
      <c r="F27" s="280" t="s">
        <v>523</v>
      </c>
    </row>
    <row r="28" spans="1:6" x14ac:dyDescent="0.25">
      <c r="A28" s="16"/>
      <c r="B28" s="271" t="s">
        <v>561</v>
      </c>
      <c r="C28" s="272" t="s">
        <v>562</v>
      </c>
      <c r="D28" s="279" t="s">
        <v>563</v>
      </c>
      <c r="E28" s="279" t="s">
        <v>558</v>
      </c>
      <c r="F28" s="280" t="s">
        <v>523</v>
      </c>
    </row>
    <row r="29" spans="1:6" x14ac:dyDescent="0.25">
      <c r="A29" s="16"/>
      <c r="B29" s="271" t="s">
        <v>564</v>
      </c>
      <c r="C29" s="272" t="b">
        <v>1</v>
      </c>
      <c r="D29" s="279" t="s">
        <v>565</v>
      </c>
      <c r="E29" s="279" t="s">
        <v>558</v>
      </c>
      <c r="F29" s="280" t="s">
        <v>523</v>
      </c>
    </row>
    <row r="30" spans="1:6" ht="15.75" thickBot="1" x14ac:dyDescent="0.3">
      <c r="A30" s="275"/>
      <c r="B30" s="185" t="s">
        <v>566</v>
      </c>
      <c r="C30" s="186" t="s">
        <v>567</v>
      </c>
      <c r="D30" s="276" t="s">
        <v>568</v>
      </c>
      <c r="E30" s="276" t="s">
        <v>558</v>
      </c>
      <c r="F30" s="283" t="s">
        <v>523</v>
      </c>
    </row>
    <row r="31" spans="1:6" x14ac:dyDescent="0.25">
      <c r="A31" s="268" t="s">
        <v>569</v>
      </c>
      <c r="B31" s="269" t="s">
        <v>570</v>
      </c>
      <c r="C31" s="270">
        <v>1E-3</v>
      </c>
      <c r="D31" s="277" t="s">
        <v>571</v>
      </c>
      <c r="E31" s="277" t="s">
        <v>572</v>
      </c>
      <c r="F31" s="278" t="s">
        <v>573</v>
      </c>
    </row>
    <row r="32" spans="1:6" x14ac:dyDescent="0.25">
      <c r="A32" s="16"/>
      <c r="B32" s="271" t="s">
        <v>574</v>
      </c>
      <c r="C32" s="272" t="s">
        <v>412</v>
      </c>
      <c r="D32" s="279" t="s">
        <v>575</v>
      </c>
      <c r="E32" s="279" t="s">
        <v>572</v>
      </c>
      <c r="F32" s="280" t="s">
        <v>573</v>
      </c>
    </row>
    <row r="33" spans="1:6" x14ac:dyDescent="0.25">
      <c r="A33" s="16"/>
      <c r="B33" s="271" t="s">
        <v>576</v>
      </c>
      <c r="C33" s="272" t="s">
        <v>577</v>
      </c>
      <c r="D33" s="279" t="s">
        <v>578</v>
      </c>
      <c r="E33" s="279" t="s">
        <v>572</v>
      </c>
      <c r="F33" s="280" t="s">
        <v>573</v>
      </c>
    </row>
    <row r="34" spans="1:6" x14ac:dyDescent="0.25">
      <c r="A34" s="16"/>
      <c r="B34" s="271" t="s">
        <v>579</v>
      </c>
      <c r="C34" s="272" t="b">
        <v>0</v>
      </c>
      <c r="D34" s="279" t="s">
        <v>580</v>
      </c>
      <c r="E34" s="279" t="s">
        <v>572</v>
      </c>
      <c r="F34" s="280" t="s">
        <v>573</v>
      </c>
    </row>
    <row r="35" spans="1:6" x14ac:dyDescent="0.25">
      <c r="A35" s="16"/>
      <c r="B35" s="271" t="s">
        <v>581</v>
      </c>
      <c r="C35" s="272" t="b">
        <v>0</v>
      </c>
      <c r="D35" s="279" t="s">
        <v>582</v>
      </c>
      <c r="E35" s="279" t="s">
        <v>572</v>
      </c>
      <c r="F35" s="280" t="s">
        <v>573</v>
      </c>
    </row>
    <row r="36" spans="1:6" x14ac:dyDescent="0.25">
      <c r="A36" s="16"/>
      <c r="B36" s="271" t="s">
        <v>583</v>
      </c>
      <c r="C36" s="272" t="b">
        <v>1</v>
      </c>
      <c r="D36" s="279" t="s">
        <v>584</v>
      </c>
      <c r="E36" s="279" t="s">
        <v>572</v>
      </c>
      <c r="F36" s="280" t="s">
        <v>573</v>
      </c>
    </row>
    <row r="37" spans="1:6" x14ac:dyDescent="0.25">
      <c r="A37" s="16"/>
      <c r="B37" s="271" t="s">
        <v>585</v>
      </c>
      <c r="C37" s="272" t="b">
        <v>0</v>
      </c>
      <c r="D37" s="279" t="s">
        <v>586</v>
      </c>
      <c r="E37" s="279" t="s">
        <v>572</v>
      </c>
      <c r="F37" s="280" t="s">
        <v>573</v>
      </c>
    </row>
    <row r="38" spans="1:6" ht="15.75" thickBot="1" x14ac:dyDescent="0.3">
      <c r="A38" s="18"/>
      <c r="B38" s="19" t="s">
        <v>587</v>
      </c>
      <c r="C38" s="197" t="b">
        <v>1</v>
      </c>
      <c r="D38" s="281" t="s">
        <v>588</v>
      </c>
      <c r="E38" s="281" t="s">
        <v>572</v>
      </c>
      <c r="F38" s="282" t="s">
        <v>573</v>
      </c>
    </row>
    <row r="39" spans="1:6" x14ac:dyDescent="0.25">
      <c r="A39" s="268" t="s">
        <v>599</v>
      </c>
      <c r="B39" s="269" t="s">
        <v>600</v>
      </c>
      <c r="C39" s="270">
        <v>15</v>
      </c>
      <c r="D39" s="277" t="s">
        <v>601</v>
      </c>
      <c r="E39" s="277" t="s">
        <v>602</v>
      </c>
      <c r="F39" s="278" t="s">
        <v>506</v>
      </c>
    </row>
    <row r="40" spans="1:6" x14ac:dyDescent="0.25">
      <c r="A40" s="16"/>
      <c r="B40" s="271" t="s">
        <v>603</v>
      </c>
      <c r="C40" s="272">
        <v>1E-4</v>
      </c>
      <c r="D40" s="279" t="s">
        <v>604</v>
      </c>
      <c r="E40" s="279" t="s">
        <v>602</v>
      </c>
      <c r="F40" s="280" t="s">
        <v>506</v>
      </c>
    </row>
    <row r="41" spans="1:6" x14ac:dyDescent="0.25">
      <c r="A41" s="16"/>
      <c r="B41" s="271" t="s">
        <v>605</v>
      </c>
      <c r="C41" s="272" t="s">
        <v>606</v>
      </c>
      <c r="D41" s="279" t="s">
        <v>607</v>
      </c>
      <c r="E41" s="279" t="s">
        <v>602</v>
      </c>
      <c r="F41" s="280" t="s">
        <v>523</v>
      </c>
    </row>
    <row r="42" spans="1:6" x14ac:dyDescent="0.25">
      <c r="A42" s="16"/>
      <c r="B42" s="271" t="s">
        <v>608</v>
      </c>
      <c r="C42" s="272" t="s">
        <v>609</v>
      </c>
      <c r="D42" s="279" t="s">
        <v>610</v>
      </c>
      <c r="E42" s="279" t="s">
        <v>602</v>
      </c>
      <c r="F42" s="280" t="s">
        <v>523</v>
      </c>
    </row>
    <row r="43" spans="1:6" ht="15.75" thickBot="1" x14ac:dyDescent="0.3">
      <c r="A43" s="18"/>
      <c r="B43" s="19" t="s">
        <v>611</v>
      </c>
      <c r="C43" s="197" t="b">
        <v>1</v>
      </c>
      <c r="D43" s="281" t="s">
        <v>612</v>
      </c>
      <c r="E43" s="281" t="s">
        <v>602</v>
      </c>
      <c r="F43" s="282"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D27" sqref="D27"/>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B27" sqref="B27:B2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N12" sqref="N12"/>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activeCell="U20" sqref="U20"/>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Q13" sqref="A1: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56" t="str">
        <f>'2_1_Definition_Processes'!D2</f>
        <v>Atmosphere</v>
      </c>
      <c r="C1" s="256"/>
      <c r="D1" s="256"/>
      <c r="E1" s="256"/>
      <c r="F1" s="256"/>
      <c r="G1" s="256"/>
      <c r="H1" s="256"/>
      <c r="I1" s="152" t="s">
        <v>261</v>
      </c>
      <c r="J1" s="257" t="s">
        <v>133</v>
      </c>
      <c r="K1" s="257"/>
      <c r="L1" s="257"/>
      <c r="M1" s="257"/>
    </row>
    <row r="2" spans="1:22" ht="16.5" thickBot="1" x14ac:dyDescent="0.3">
      <c r="A2" s="247" t="s">
        <v>260</v>
      </c>
      <c r="B2" s="248"/>
      <c r="C2" s="248"/>
      <c r="D2" s="248"/>
      <c r="E2" s="248"/>
      <c r="F2" s="248"/>
      <c r="G2" s="248"/>
      <c r="H2" s="248"/>
      <c r="I2" s="248"/>
      <c r="J2" s="248"/>
      <c r="K2" s="248"/>
      <c r="L2" s="248"/>
      <c r="M2" s="249"/>
    </row>
    <row r="3" spans="1:22" ht="126.75" customHeight="1" thickBot="1" x14ac:dyDescent="0.3">
      <c r="A3" s="258"/>
      <c r="B3" s="259"/>
      <c r="C3" s="259"/>
      <c r="D3" s="259"/>
      <c r="E3" s="259"/>
      <c r="F3" s="259"/>
      <c r="G3" s="259"/>
      <c r="H3" s="259"/>
      <c r="I3" s="259"/>
      <c r="J3" s="259"/>
      <c r="K3" s="259"/>
      <c r="L3" s="259"/>
      <c r="M3" s="260"/>
    </row>
    <row r="4" spans="1:22" ht="31.5" customHeight="1" x14ac:dyDescent="0.25">
      <c r="A4" s="151" t="s">
        <v>259</v>
      </c>
      <c r="B4" s="261"/>
      <c r="C4" s="262"/>
      <c r="D4" s="263"/>
      <c r="E4" s="264" t="s">
        <v>258</v>
      </c>
      <c r="F4" s="265"/>
      <c r="G4" s="156"/>
      <c r="H4" s="156"/>
      <c r="I4" s="150"/>
      <c r="J4" s="150"/>
      <c r="K4" s="150"/>
      <c r="L4" s="150"/>
      <c r="M4" s="150"/>
    </row>
    <row r="5" spans="1:22" ht="16.5" customHeight="1" x14ac:dyDescent="0.25">
      <c r="A5" s="153" t="s">
        <v>257</v>
      </c>
      <c r="B5" s="250" t="s">
        <v>444</v>
      </c>
      <c r="C5" s="250"/>
      <c r="D5" s="251"/>
      <c r="E5" s="153" t="s">
        <v>257</v>
      </c>
      <c r="F5" s="252" t="str">
        <f>_xlfn.XLOOKUP(J1,Tab_Def_Processes[Process_ID],Tab_Def_Processes[Output_Flow_O_1],"No_flow.",0,1)</f>
        <v>Wheat Plant</v>
      </c>
      <c r="G5" s="252"/>
      <c r="H5" s="253"/>
      <c r="I5" s="154"/>
      <c r="J5" s="149"/>
      <c r="K5" s="149"/>
      <c r="L5" s="149"/>
      <c r="M5" s="146"/>
    </row>
    <row r="6" spans="1:22" ht="16.5" customHeight="1" x14ac:dyDescent="0.25">
      <c r="A6" s="153" t="s">
        <v>256</v>
      </c>
      <c r="B6" s="252" t="s">
        <v>445</v>
      </c>
      <c r="C6" s="252"/>
      <c r="D6" s="253"/>
      <c r="E6" s="153" t="s">
        <v>256</v>
      </c>
      <c r="F6" s="252" t="str">
        <f>_xlfn.XLOOKUP(J1,Tab_Def_Processes[Process_ID],Tab_Def_Processes[Output_Flow_O_2],"No_flow.",0,1)</f>
        <v>N.A.</v>
      </c>
      <c r="G6" s="252"/>
      <c r="H6" s="253"/>
      <c r="I6" s="154"/>
      <c r="J6" s="149"/>
      <c r="K6" s="149"/>
      <c r="L6" s="149"/>
      <c r="M6" s="146"/>
    </row>
    <row r="7" spans="1:22" ht="16.5" customHeight="1" x14ac:dyDescent="0.25">
      <c r="A7" s="148" t="s">
        <v>255</v>
      </c>
      <c r="B7" s="252" t="str">
        <f>_xlfn.XLOOKUP(J1,Tab_Def_Processes[Process_ID],Tab_Def_Processes[Input_Flow_I_3],"No_flow.",0,1)</f>
        <v>N.A.</v>
      </c>
      <c r="C7" s="252"/>
      <c r="D7" s="253"/>
      <c r="E7" s="148" t="s">
        <v>255</v>
      </c>
      <c r="F7" s="252" t="str">
        <f>_xlfn.XLOOKUP(J1,Tab_Def_Processes[Process_ID],Tab_Def_Processes[Output_Flow_O_3],"No_flow.",0,1)</f>
        <v>N.A.</v>
      </c>
      <c r="G7" s="252"/>
      <c r="H7" s="253"/>
      <c r="I7" s="155"/>
      <c r="J7" s="147"/>
      <c r="K7" s="147"/>
      <c r="L7" s="147"/>
      <c r="M7" s="146"/>
    </row>
    <row r="8" spans="1:22" ht="16.5" customHeight="1" x14ac:dyDescent="0.25">
      <c r="A8" s="148" t="s">
        <v>254</v>
      </c>
      <c r="B8" s="252" t="str">
        <f>_xlfn.XLOOKUP(J1,Tab_Def_Processes[Process_ID],Tab_Def_Processes[Input_Flow_I_4],"No_flow.",0,1)</f>
        <v>N.A.</v>
      </c>
      <c r="C8" s="252"/>
      <c r="D8" s="253"/>
      <c r="E8" s="148" t="s">
        <v>254</v>
      </c>
      <c r="F8" s="252" t="str">
        <f>_xlfn.XLOOKUP(J1,Tab_Def_Processes[Process_ID],Tab_Def_Processes[Output_Flow_O_4],"No_flow.",0,1)</f>
        <v>N.A.</v>
      </c>
      <c r="G8" s="252"/>
      <c r="H8" s="253"/>
      <c r="I8" s="155"/>
      <c r="J8" s="147"/>
      <c r="K8" s="147"/>
      <c r="L8" s="147"/>
      <c r="M8" s="146"/>
    </row>
    <row r="9" spans="1:22" ht="16.5" customHeight="1" x14ac:dyDescent="0.25">
      <c r="A9" s="148" t="s">
        <v>253</v>
      </c>
      <c r="B9" s="252" t="str">
        <f>_xlfn.XLOOKUP(J1,Tab_Def_Processes[Process_ID],Tab_Def_Processes[Input_Flow_I_5],"No_flow.",0,1)</f>
        <v>N.A.</v>
      </c>
      <c r="C9" s="252"/>
      <c r="D9" s="253"/>
      <c r="E9" s="148" t="s">
        <v>253</v>
      </c>
      <c r="F9" s="252" t="str">
        <f>_xlfn.XLOOKUP(J1,Tab_Def_Processes[Process_ID],Tab_Def_Processes[Output_Flow_O_5],"No_flow.",0,1)</f>
        <v>N.A.</v>
      </c>
      <c r="G9" s="252"/>
      <c r="H9" s="253"/>
      <c r="I9" s="155"/>
      <c r="J9" s="147"/>
      <c r="K9" s="147"/>
      <c r="L9" s="147"/>
      <c r="M9" s="146"/>
    </row>
    <row r="10" spans="1:22" ht="16.5" customHeight="1" thickBot="1" x14ac:dyDescent="0.3">
      <c r="A10" s="157" t="s">
        <v>252</v>
      </c>
      <c r="B10" s="254"/>
      <c r="C10" s="254"/>
      <c r="D10" s="255"/>
      <c r="E10" s="157" t="s">
        <v>252</v>
      </c>
      <c r="F10" s="254"/>
      <c r="G10" s="254"/>
      <c r="H10" s="255"/>
      <c r="I10" s="155"/>
      <c r="J10" s="147"/>
      <c r="K10" s="147"/>
      <c r="L10" s="147"/>
      <c r="M10" s="146"/>
    </row>
    <row r="11" spans="1:22" ht="16.5" thickBot="1" x14ac:dyDescent="0.3">
      <c r="A11" s="247" t="s">
        <v>251</v>
      </c>
      <c r="B11" s="248"/>
      <c r="C11" s="248"/>
      <c r="D11" s="248"/>
      <c r="E11" s="248"/>
      <c r="F11" s="248"/>
      <c r="G11" s="248"/>
      <c r="H11" s="248"/>
      <c r="I11" s="248"/>
      <c r="J11" s="248"/>
      <c r="K11" s="248"/>
      <c r="L11" s="248"/>
      <c r="M11" s="249"/>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22" t="s">
        <v>249</v>
      </c>
      <c r="B13" s="223"/>
      <c r="C13" s="223"/>
      <c r="D13" s="223"/>
      <c r="E13" s="223"/>
      <c r="F13" s="223"/>
      <c r="G13" s="223"/>
      <c r="H13" s="223"/>
      <c r="I13" s="223"/>
      <c r="J13" s="223"/>
      <c r="K13" s="223"/>
      <c r="L13" s="223"/>
      <c r="M13" s="224"/>
    </row>
    <row r="14" spans="1:22" ht="16.5" thickBot="1" x14ac:dyDescent="0.3">
      <c r="A14" s="103" t="s">
        <v>235</v>
      </c>
      <c r="B14" s="226" t="s">
        <v>247</v>
      </c>
      <c r="C14" s="227"/>
      <c r="D14" s="228"/>
      <c r="E14" s="229" t="s">
        <v>246</v>
      </c>
      <c r="F14" s="230"/>
      <c r="G14" s="230"/>
      <c r="H14" s="231"/>
      <c r="I14" s="232" t="s">
        <v>245</v>
      </c>
      <c r="J14" s="233"/>
      <c r="K14" s="233"/>
      <c r="L14" s="233"/>
      <c r="M14" s="234"/>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09" t="s">
        <v>234</v>
      </c>
      <c r="C23" s="210"/>
      <c r="D23" s="210"/>
      <c r="E23" s="210"/>
      <c r="F23" s="210"/>
      <c r="G23" s="210"/>
      <c r="H23" s="211"/>
      <c r="I23" s="212" t="s">
        <v>233</v>
      </c>
      <c r="J23" s="213"/>
      <c r="K23" s="213"/>
      <c r="L23" s="213"/>
      <c r="M23" s="214"/>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35" t="s">
        <v>248</v>
      </c>
      <c r="B32" s="236"/>
      <c r="C32" s="236"/>
      <c r="D32" s="236"/>
      <c r="E32" s="236"/>
      <c r="F32" s="236"/>
      <c r="G32" s="236"/>
      <c r="H32" s="236"/>
      <c r="I32" s="236"/>
      <c r="J32" s="236"/>
      <c r="K32" s="236"/>
      <c r="L32" s="236"/>
      <c r="M32" s="237"/>
    </row>
    <row r="33" spans="1:18" ht="16.5" customHeight="1" thickBot="1" x14ac:dyDescent="0.3">
      <c r="A33" s="103" t="s">
        <v>235</v>
      </c>
      <c r="B33" s="238" t="s">
        <v>247</v>
      </c>
      <c r="C33" s="239"/>
      <c r="D33" s="240"/>
      <c r="E33" s="241" t="s">
        <v>246</v>
      </c>
      <c r="F33" s="242"/>
      <c r="G33" s="242"/>
      <c r="H33" s="243"/>
      <c r="I33" s="244" t="s">
        <v>245</v>
      </c>
      <c r="J33" s="245"/>
      <c r="K33" s="245"/>
      <c r="L33" s="245"/>
      <c r="M33" s="246"/>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09" t="s">
        <v>234</v>
      </c>
      <c r="C42" s="210"/>
      <c r="D42" s="210"/>
      <c r="E42" s="210"/>
      <c r="F42" s="210"/>
      <c r="G42" s="210"/>
      <c r="H42" s="211"/>
      <c r="I42" s="212" t="s">
        <v>233</v>
      </c>
      <c r="J42" s="213"/>
      <c r="K42" s="213"/>
      <c r="L42" s="213"/>
      <c r="M42" s="214"/>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15" t="s">
        <v>220</v>
      </c>
      <c r="B51" s="216"/>
      <c r="C51" s="216"/>
      <c r="D51" s="216"/>
      <c r="E51" s="217"/>
      <c r="F51" s="218" t="s">
        <v>219</v>
      </c>
      <c r="G51" s="219"/>
      <c r="H51" s="219"/>
      <c r="I51" s="219"/>
      <c r="J51" s="219"/>
      <c r="K51" s="219"/>
      <c r="L51" s="219"/>
      <c r="M51" s="220"/>
    </row>
    <row r="52" spans="1:17" ht="16.5" thickBot="1" x14ac:dyDescent="0.3">
      <c r="A52" s="4" t="s">
        <v>218</v>
      </c>
      <c r="B52" s="77" t="s">
        <v>217</v>
      </c>
      <c r="C52" s="76" t="s">
        <v>189</v>
      </c>
      <c r="D52" s="75" t="s">
        <v>188</v>
      </c>
      <c r="E52" s="74" t="s">
        <v>216</v>
      </c>
      <c r="F52" s="208"/>
      <c r="G52" s="208"/>
      <c r="H52" s="208"/>
      <c r="I52" s="208"/>
      <c r="J52" s="208"/>
      <c r="K52" s="208"/>
      <c r="L52" s="208"/>
      <c r="M52" s="221"/>
    </row>
    <row r="53" spans="1:17" ht="15.75" x14ac:dyDescent="0.25">
      <c r="A53" s="5" t="s">
        <v>215</v>
      </c>
      <c r="B53" s="73">
        <f>B22</f>
        <v>721668.05</v>
      </c>
      <c r="C53" s="72">
        <f>F22</f>
        <v>101033.52700000002</v>
      </c>
      <c r="D53" s="71">
        <f>J22</f>
        <v>620634.52299999993</v>
      </c>
      <c r="E53" s="70">
        <f>C31</f>
        <v>297904.57</v>
      </c>
      <c r="F53" s="208"/>
      <c r="G53" s="208"/>
      <c r="H53" s="208"/>
      <c r="I53" s="208"/>
      <c r="J53" s="208"/>
      <c r="K53" s="208"/>
      <c r="L53" s="208"/>
      <c r="M53" s="221"/>
    </row>
    <row r="54" spans="1:17" ht="16.5" thickBot="1" x14ac:dyDescent="0.3">
      <c r="A54" s="5" t="s">
        <v>214</v>
      </c>
      <c r="B54" s="73">
        <f>B41</f>
        <v>721668.05</v>
      </c>
      <c r="C54" s="72">
        <f>F41</f>
        <v>101033.52700000002</v>
      </c>
      <c r="D54" s="71">
        <f>J41</f>
        <v>620634.52300000004</v>
      </c>
      <c r="E54" s="70">
        <f>C50</f>
        <v>297904.57104000001</v>
      </c>
      <c r="F54" s="208"/>
      <c r="G54" s="208"/>
      <c r="H54" s="208"/>
      <c r="I54" s="208"/>
      <c r="J54" s="208"/>
      <c r="K54" s="208"/>
      <c r="L54" s="208"/>
      <c r="M54" s="221"/>
    </row>
    <row r="55" spans="1:17" ht="15.75" x14ac:dyDescent="0.25">
      <c r="A55" s="4" t="s">
        <v>213</v>
      </c>
      <c r="B55" s="162">
        <f>B53-B54</f>
        <v>0</v>
      </c>
      <c r="C55" s="163">
        <f>C53-C54</f>
        <v>0</v>
      </c>
      <c r="D55" s="164">
        <f>D53-D54</f>
        <v>0</v>
      </c>
      <c r="E55" s="165">
        <f>E53-E54</f>
        <v>-1.0400000028312206E-3</v>
      </c>
      <c r="F55" s="208"/>
      <c r="G55" s="208"/>
      <c r="H55" s="208"/>
      <c r="I55" s="208"/>
      <c r="J55" s="208"/>
      <c r="K55" s="208"/>
      <c r="L55" s="208"/>
      <c r="M55" s="221"/>
    </row>
    <row r="56" spans="1:17" ht="16.5" thickBot="1" x14ac:dyDescent="0.3">
      <c r="A56" s="7" t="s">
        <v>212</v>
      </c>
      <c r="B56" s="69">
        <f>B53/B54</f>
        <v>1</v>
      </c>
      <c r="C56" s="67">
        <f>C53/C54</f>
        <v>1</v>
      </c>
      <c r="D56" s="66">
        <f>D53/D54</f>
        <v>0.99999999999999978</v>
      </c>
      <c r="E56" s="65">
        <f>E53/E54</f>
        <v>0.99999999650894911</v>
      </c>
      <c r="F56" s="208"/>
      <c r="G56" s="208"/>
      <c r="H56" s="208"/>
      <c r="I56" s="208"/>
      <c r="J56" s="208"/>
      <c r="K56" s="208"/>
      <c r="L56" s="208"/>
      <c r="M56" s="221"/>
    </row>
    <row r="57" spans="1:17" ht="15.75" thickBot="1" x14ac:dyDescent="0.3">
      <c r="A57" s="215" t="s">
        <v>211</v>
      </c>
      <c r="B57" s="216"/>
      <c r="C57" s="216"/>
      <c r="D57" s="216"/>
      <c r="E57" s="217"/>
      <c r="F57" s="208"/>
      <c r="G57" s="208"/>
      <c r="H57" s="208"/>
      <c r="I57" s="208"/>
      <c r="J57" s="208"/>
      <c r="K57" s="208"/>
      <c r="L57" s="208"/>
      <c r="M57" s="221"/>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08"/>
      <c r="G58" s="208"/>
      <c r="H58" s="208"/>
      <c r="I58" s="208"/>
      <c r="J58" s="208"/>
      <c r="K58" s="208"/>
      <c r="L58" s="208"/>
      <c r="M58" s="221"/>
    </row>
    <row r="59" spans="1:17" ht="16.5" thickBot="1" x14ac:dyDescent="0.3">
      <c r="A59" s="7" t="str">
        <f t="shared" si="35"/>
        <v>N.A.</v>
      </c>
      <c r="B59" s="68">
        <f t="shared" si="36"/>
        <v>0</v>
      </c>
      <c r="C59" s="67">
        <f>(E36*B36)/($B$22*$E$22)</f>
        <v>0</v>
      </c>
      <c r="D59" s="66">
        <f t="shared" si="37"/>
        <v>0</v>
      </c>
      <c r="E59" s="65" t="e">
        <f t="shared" si="38"/>
        <v>#DIV/0!</v>
      </c>
      <c r="F59" s="208"/>
      <c r="G59" s="208"/>
      <c r="H59" s="208"/>
      <c r="I59" s="208"/>
      <c r="J59" s="208"/>
      <c r="K59" s="208"/>
      <c r="L59" s="208"/>
      <c r="M59" s="221"/>
    </row>
    <row r="60" spans="1:17" ht="16.5" thickBot="1" x14ac:dyDescent="0.3">
      <c r="A60" s="7" t="str">
        <f t="shared" si="35"/>
        <v>N.A.</v>
      </c>
      <c r="B60" s="68">
        <f t="shared" si="36"/>
        <v>0</v>
      </c>
      <c r="C60" s="67">
        <f>(E37*B37)/($B$22*$E$22)</f>
        <v>0</v>
      </c>
      <c r="D60" s="66">
        <f t="shared" si="37"/>
        <v>0</v>
      </c>
      <c r="E60" s="65" t="e">
        <f t="shared" si="38"/>
        <v>#DIV/0!</v>
      </c>
      <c r="F60" s="208"/>
      <c r="G60" s="208"/>
      <c r="H60" s="208"/>
      <c r="I60" s="208"/>
      <c r="J60" s="208"/>
      <c r="K60" s="208"/>
      <c r="L60" s="208"/>
      <c r="M60" s="221"/>
    </row>
    <row r="61" spans="1:17" ht="16.5" thickBot="1" x14ac:dyDescent="0.3">
      <c r="A61" s="7" t="str">
        <f t="shared" si="35"/>
        <v>N.A.</v>
      </c>
      <c r="B61" s="68">
        <f t="shared" si="36"/>
        <v>0</v>
      </c>
      <c r="C61" s="67">
        <f>($G$41*F38)/($B$22*$E$22)</f>
        <v>0</v>
      </c>
      <c r="D61" s="66">
        <f t="shared" si="37"/>
        <v>0</v>
      </c>
      <c r="E61" s="65" t="e">
        <f t="shared" si="38"/>
        <v>#DIV/0!</v>
      </c>
      <c r="F61" s="208"/>
      <c r="G61" s="208"/>
      <c r="H61" s="208"/>
      <c r="I61" s="208"/>
      <c r="J61" s="208"/>
      <c r="K61" s="208"/>
      <c r="L61" s="208"/>
      <c r="M61" s="221"/>
    </row>
    <row r="62" spans="1:17" ht="16.5" thickBot="1" x14ac:dyDescent="0.3">
      <c r="A62" s="7" t="str">
        <f t="shared" si="35"/>
        <v>N.A.</v>
      </c>
      <c r="B62" s="68">
        <f t="shared" si="36"/>
        <v>0</v>
      </c>
      <c r="C62" s="67">
        <f>(B39*E39)/($B$22*$E$22)</f>
        <v>0</v>
      </c>
      <c r="D62" s="66">
        <f t="shared" si="37"/>
        <v>0</v>
      </c>
      <c r="E62" s="65" t="e">
        <f t="shared" si="38"/>
        <v>#DIV/0!</v>
      </c>
      <c r="F62" s="208"/>
      <c r="G62" s="208"/>
      <c r="H62" s="208"/>
      <c r="I62" s="208"/>
      <c r="J62" s="208"/>
      <c r="K62" s="208"/>
      <c r="L62" s="208"/>
      <c r="M62" s="221"/>
    </row>
    <row r="63" spans="1:17" ht="16.5" thickBot="1" x14ac:dyDescent="0.3">
      <c r="A63" s="7">
        <f t="shared" si="35"/>
        <v>0</v>
      </c>
      <c r="B63" s="68">
        <f t="shared" si="36"/>
        <v>0</v>
      </c>
      <c r="C63" s="67">
        <f>(B40*E40)/($B$22*$E$22)</f>
        <v>0</v>
      </c>
      <c r="D63" s="66">
        <f t="shared" si="37"/>
        <v>0</v>
      </c>
      <c r="E63" s="65" t="e">
        <f t="shared" si="38"/>
        <v>#DIV/0!</v>
      </c>
      <c r="F63" s="208"/>
      <c r="G63" s="208"/>
      <c r="H63" s="208"/>
      <c r="I63" s="208"/>
      <c r="J63" s="208"/>
      <c r="K63" s="208"/>
      <c r="L63" s="208"/>
      <c r="M63" s="221"/>
    </row>
    <row r="64" spans="1:17" ht="16.5" thickBot="1" x14ac:dyDescent="0.3">
      <c r="A64" s="4" t="s">
        <v>210</v>
      </c>
      <c r="B64" s="158">
        <f>SUM(B58:B63)</f>
        <v>1</v>
      </c>
      <c r="C64" s="159">
        <f>SUM(C58:C63)</f>
        <v>1</v>
      </c>
      <c r="D64" s="160">
        <f>SUM(D58:D63)</f>
        <v>1.0000000000000002</v>
      </c>
      <c r="E64" s="161" t="e">
        <f>SUM(E58:E63)</f>
        <v>#DIV/0!</v>
      </c>
      <c r="F64" s="208"/>
      <c r="G64" s="208"/>
      <c r="H64" s="208"/>
      <c r="I64" s="208"/>
      <c r="J64" s="208"/>
      <c r="K64" s="208"/>
      <c r="L64" s="208"/>
      <c r="M64" s="221"/>
    </row>
    <row r="65" spans="1:13" ht="16.5" thickBot="1" x14ac:dyDescent="0.3">
      <c r="A65" s="222" t="s">
        <v>209</v>
      </c>
      <c r="B65" s="223"/>
      <c r="C65" s="223"/>
      <c r="D65" s="223"/>
      <c r="E65" s="223"/>
      <c r="F65" s="223"/>
      <c r="G65" s="223"/>
      <c r="H65" s="223"/>
      <c r="I65" s="223"/>
      <c r="J65" s="223"/>
      <c r="K65" s="223"/>
      <c r="L65" s="223"/>
      <c r="M65" s="224"/>
    </row>
    <row r="66" spans="1:13" x14ac:dyDescent="0.25">
      <c r="A66" s="5" t="s">
        <v>208</v>
      </c>
      <c r="B66" s="225" t="s">
        <v>207</v>
      </c>
      <c r="C66" s="225"/>
      <c r="D66" s="225"/>
      <c r="E66" s="225"/>
      <c r="F66" s="225"/>
      <c r="G66" s="5" t="s">
        <v>206</v>
      </c>
      <c r="M66" s="59"/>
    </row>
    <row r="67" spans="1:13" ht="18.75" customHeight="1" x14ac:dyDescent="0.25">
      <c r="A67" s="5" t="s">
        <v>205</v>
      </c>
      <c r="B67" s="208" t="s">
        <v>192</v>
      </c>
      <c r="C67" s="208"/>
      <c r="D67" s="208"/>
      <c r="E67" s="208"/>
      <c r="F67" s="208"/>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tr">
        <f>_xlfn.XLOOKUP($E2,[1]!Tab_Def_Processes[Name(EN)],[1]!Tab_Def_Processes[Output_Flow_O_2],,0,)</f>
        <v>N.A.</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66" t="s">
        <v>341</v>
      </c>
      <c r="B1" s="266"/>
      <c r="C1" s="266"/>
      <c r="E1" s="266" t="s">
        <v>342</v>
      </c>
      <c r="F1" s="266"/>
      <c r="G1" s="266"/>
    </row>
    <row r="2" spans="1:12" x14ac:dyDescent="0.25">
      <c r="A2" s="22" t="s">
        <v>32</v>
      </c>
      <c r="B2" s="22" t="s">
        <v>33</v>
      </c>
      <c r="C2" s="22" t="s">
        <v>6</v>
      </c>
      <c r="E2" s="22" t="s">
        <v>32</v>
      </c>
      <c r="F2" s="22" t="s">
        <v>33</v>
      </c>
      <c r="G2" s="22" t="s">
        <v>6</v>
      </c>
      <c r="J2" s="267" t="s">
        <v>63</v>
      </c>
      <c r="K2" s="267"/>
      <c r="L2" s="267"/>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66" t="s">
        <v>343</v>
      </c>
      <c r="B9" s="266"/>
      <c r="C9" s="266"/>
      <c r="J9">
        <v>6</v>
      </c>
    </row>
    <row r="10" spans="1:12" x14ac:dyDescent="0.25">
      <c r="A10" t="s">
        <v>32</v>
      </c>
      <c r="B10" t="s">
        <v>218</v>
      </c>
      <c r="C10" t="s">
        <v>6</v>
      </c>
      <c r="E10" s="266"/>
      <c r="F10" s="266"/>
      <c r="G10" s="266"/>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66" t="s">
        <v>462</v>
      </c>
      <c r="B20" s="266"/>
      <c r="C20" s="266"/>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67" t="s">
        <v>63</v>
      </c>
      <c r="K28" s="267"/>
      <c r="L28" s="267"/>
    </row>
    <row r="29" spans="1:12" x14ac:dyDescent="0.25">
      <c r="J29" s="2" t="s">
        <v>32</v>
      </c>
      <c r="K29" s="2" t="s">
        <v>33</v>
      </c>
      <c r="L29" s="2" t="s">
        <v>6</v>
      </c>
    </row>
    <row r="30" spans="1:12" x14ac:dyDescent="0.25">
      <c r="J30" s="3">
        <v>1</v>
      </c>
      <c r="K30" s="3" t="s">
        <v>100</v>
      </c>
      <c r="L30" s="3" t="s">
        <v>100</v>
      </c>
    </row>
    <row r="31" spans="1:12" x14ac:dyDescent="0.25">
      <c r="A31" s="266" t="s">
        <v>344</v>
      </c>
      <c r="B31" s="266"/>
      <c r="C31" s="266"/>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66" t="s">
        <v>349</v>
      </c>
      <c r="B38" s="266"/>
      <c r="C38" s="266"/>
    </row>
    <row r="39" spans="1:12" x14ac:dyDescent="0.25">
      <c r="A39" t="s">
        <v>311</v>
      </c>
      <c r="B39" t="s">
        <v>350</v>
      </c>
      <c r="C39" t="s">
        <v>6</v>
      </c>
    </row>
    <row r="40" spans="1:12" x14ac:dyDescent="0.25">
      <c r="A40">
        <v>1</v>
      </c>
      <c r="B40" t="s">
        <v>312</v>
      </c>
      <c r="F40" s="266" t="s">
        <v>64</v>
      </c>
      <c r="G40" s="266"/>
      <c r="H40" s="266"/>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66" t="s">
        <v>351</v>
      </c>
      <c r="B51" s="266"/>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2025-09-09T14:07:14Z</dcterms:modified>
</cp:coreProperties>
</file>