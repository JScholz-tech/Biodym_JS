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22046FAE-52D2-4C9C-BA5D-27AC3D8FDF49}" xr6:coauthVersionLast="47" xr6:coauthVersionMax="47" xr10:uidLastSave="{00000000-0000-0000-0000-000000000000}"/>
  <bookViews>
    <workbookView xWindow="-19310" yWindow="-110" windowWidth="19420" windowHeight="11500" tabRatio="840" firstSheet="4" activeTab="4"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F9" i="48"/>
  <c r="A39" i="48" s="1"/>
  <c r="A48" i="48" s="1"/>
  <c r="A62" i="48" s="1"/>
  <c r="B9" i="48"/>
  <c r="A20" i="48" s="1"/>
  <c r="F8" i="48"/>
  <c r="A38" i="48" s="1"/>
  <c r="A47" i="48" s="1"/>
  <c r="A61" i="48" s="1"/>
  <c r="B8" i="48"/>
  <c r="A28" i="48" s="1"/>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A19" i="48"/>
  <c r="F31" i="48"/>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<sst xmlns="http://schemas.openxmlformats.org/spreadsheetml/2006/main" count="3931" uniqueCount="813">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</sst>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2"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1" t="s">
        <v>29</v>
      </c>
      <c r="C12" s="231"/>
      <c r="D12" s="231"/>
      <c r="E12" s="231"/>
      <c r="F12" s="231"/>
      <c r="G12" s="231"/>
      <c r="H12" s="231"/>
      <c r="I12" s="231"/>
      <c r="J12" s="231"/>
      <c r="K12" s="231"/>
      <c r="L12" s="231"/>
      <c r="M12" s="231"/>
      <c r="T12">
        <v>2031</v>
      </c>
    </row>
    <row r="13" spans="2:20" x14ac:dyDescent="0.25">
      <c r="B13" s="231"/>
      <c r="C13" s="231"/>
      <c r="D13" s="231"/>
      <c r="E13" s="231"/>
      <c r="F13" s="231"/>
      <c r="G13" s="231"/>
      <c r="H13" s="231"/>
      <c r="I13" s="231"/>
      <c r="J13" s="231"/>
      <c r="K13" s="231"/>
      <c r="L13" s="231"/>
      <c r="M13" s="231"/>
      <c r="T13">
        <v>2032</v>
      </c>
    </row>
    <row r="14" spans="2:20" x14ac:dyDescent="0.25">
      <c r="B14" s="231"/>
      <c r="C14" s="231"/>
      <c r="D14" s="231"/>
      <c r="E14" s="231"/>
      <c r="F14" s="231"/>
      <c r="G14" s="231"/>
      <c r="H14" s="231"/>
      <c r="I14" s="231"/>
      <c r="J14" s="231"/>
      <c r="K14" s="231"/>
      <c r="L14" s="231"/>
      <c r="M14" s="231"/>
      <c r="T14">
        <v>2033</v>
      </c>
    </row>
    <row r="15" spans="2:20" x14ac:dyDescent="0.25">
      <c r="B15" s="232" t="s">
        <v>30</v>
      </c>
      <c r="C15" s="232"/>
      <c r="D15" s="232"/>
      <c r="E15" s="232"/>
      <c r="F15" s="232"/>
      <c r="G15" s="232"/>
      <c r="H15" s="232"/>
      <c r="I15" s="232"/>
      <c r="J15" s="232"/>
      <c r="K15" s="232"/>
      <c r="L15" s="232"/>
      <c r="T15">
        <v>2034</v>
      </c>
    </row>
    <row r="16" spans="2:20" x14ac:dyDescent="0.25">
      <c r="B16" s="232"/>
      <c r="C16" s="232"/>
      <c r="D16" s="232"/>
      <c r="E16" s="232"/>
      <c r="F16" s="232"/>
      <c r="G16" s="232"/>
      <c r="H16" s="232"/>
      <c r="I16" s="232"/>
      <c r="J16" s="232"/>
      <c r="K16" s="232"/>
      <c r="L16" s="232"/>
      <c r="T16">
        <v>2035</v>
      </c>
    </row>
    <row r="17" spans="2:20" x14ac:dyDescent="0.25">
      <c r="B17" s="232"/>
      <c r="C17" s="232"/>
      <c r="D17" s="232"/>
      <c r="E17" s="232"/>
      <c r="F17" s="232"/>
      <c r="G17" s="232"/>
      <c r="H17" s="232"/>
      <c r="I17" s="232"/>
      <c r="J17" s="232"/>
      <c r="K17" s="232"/>
      <c r="L17" s="232"/>
      <c r="T17">
        <v>2036</v>
      </c>
    </row>
    <row r="18" spans="2:20" x14ac:dyDescent="0.25">
      <c r="B18" s="232"/>
      <c r="C18" s="232"/>
      <c r="D18" s="232"/>
      <c r="E18" s="232"/>
      <c r="F18" s="232"/>
      <c r="G18" s="232"/>
      <c r="H18" s="232"/>
      <c r="I18" s="232"/>
      <c r="J18" s="232"/>
      <c r="K18" s="232"/>
      <c r="L18" s="232"/>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3" sqref="C13"/>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0</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tabSelected="1" zoomScaleNormal="100" workbookViewId="0">
      <pane xSplit="4" ySplit="16" topLeftCell="M17" activePane="bottomRight" state="frozen"/>
      <selection pane="topRight" activeCell="E1" sqref="E1"/>
      <selection pane="bottomLeft" activeCell="A14" sqref="A14"/>
      <selection pane="bottomRight" activeCell="S12" sqref="S12"/>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1</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1</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1</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1</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1</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1</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1</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1</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1</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F_11_09</v>
      </c>
      <c r="D22" s="11" t="s">
        <v>812</v>
      </c>
      <c r="E22" s="37"/>
      <c r="F22" s="37"/>
      <c r="G22" s="37"/>
      <c r="H22" s="189" t="s">
        <v>811</v>
      </c>
      <c r="I22" s="9" t="str">
        <f>_xlfn.XLOOKUP(H22,Tab_Def_Processes[Name(EN)],Tab_Def_Processes[Process_ID],,0,)</f>
        <v>11</v>
      </c>
      <c r="J22" s="189" t="s">
        <v>470</v>
      </c>
      <c r="K22" s="17" t="str">
        <f>_xlfn.XLOOKUP(J22,Tab_Def_Processes[Name(EN)],Tab_Def_Processes[Process_ID],,0,)</f>
        <v>09</v>
      </c>
      <c r="L22" s="189" t="s">
        <v>7</v>
      </c>
      <c r="M22" s="189" t="s">
        <v>7</v>
      </c>
      <c r="N22" s="189" t="s">
        <v>7</v>
      </c>
      <c r="O22" s="183">
        <v>1</v>
      </c>
      <c r="P22" s="55"/>
      <c r="Q22" s="183">
        <v>0</v>
      </c>
      <c r="R22" s="55"/>
      <c r="S22" s="183">
        <v>0</v>
      </c>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54" zoomScale="115" zoomScaleNormal="115" workbookViewId="0">
      <selection activeCell="C2" sqref="C2:O79"/>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F_11_09</v>
      </c>
      <c r="C54" s="11" t="s">
        <v>812</v>
      </c>
      <c r="D54" s="9"/>
      <c r="E54" s="9" t="str">
        <f>_xlfn.XLOOKUP(C54,Tab_Def_Flows[Name(EN)],Tab_Def_Flows[Output_Process],,0,)</f>
        <v>Water Compostation</v>
      </c>
      <c r="F54" s="9" t="str">
        <f>_xlfn.XLOOKUP(C54,Tab_Def_Flows[Name(EN)],Tab_Def_Flows[Process_ID_O],,0,)</f>
        <v>11</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22016.648869400004</v>
      </c>
      <c r="P54" s="11"/>
      <c r="Q54" s="11"/>
      <c r="R54" s="11" t="e">
        <f>INDEX(#REF!,MATCH(Tab_Data_Flows[[#This Row],[Name(EN)]],#REF!,0),12)</f>
        <v>#REF!</v>
      </c>
      <c r="S54" s="11" t="e">
        <f>MATCH(Tab_Data_Flows[[#This Row],[Name(EN)]],#REF!,0)</f>
        <v>#REF!</v>
      </c>
      <c r="T54" s="11"/>
      <c r="U54" s="11"/>
      <c r="V54" s="11"/>
      <c r="W54" s="11"/>
      <c r="X54" s="11" t="s">
        <v>8</v>
      </c>
      <c r="Y54" s="11"/>
      <c r="Z54" s="11"/>
      <c r="AA54" s="35">
        <f t="shared" si="1"/>
        <v>22016.648869400004</v>
      </c>
      <c r="AB54" s="11" t="s">
        <v>276</v>
      </c>
      <c r="AC54" s="190">
        <f>INDEX(Tab_Def_Flows[[Flow_ID]:[CC_DM_source]],MATCH(Tab_Data_Flows[[#This Row],[Name(EN)]],Tab_Def_Flows[Name(EN)],0),13)</f>
        <v>1</v>
      </c>
      <c r="AD54" s="9">
        <f>IF(J54="Yes",AA54*Tab_Data_Flows[[#This Row],[WC_'[%']]],"N.A.")</f>
        <v>22016.648869400004</v>
      </c>
      <c r="AE54" s="9" t="str">
        <f>Tab_Data_Flows[[#This Row],[UoM_Flow_Py]]</f>
        <v>Mg</v>
      </c>
      <c r="AF54" s="190">
        <f>INDEX(Tab_Def_Flows[[Flow_ID]:[CC_DM_source]],MATCH(Tab_Data_Flows[[#This Row],[Name(EN)]],Tab_Def_Flows[Name(EN)],0),15)</f>
        <v>0</v>
      </c>
      <c r="AG54" s="9">
        <f>IF(K54="Yes",AF54*Tab_Data_Flows[[#This Row],[Flow_Py]],"N.A.")</f>
        <v>0</v>
      </c>
      <c r="AH54" s="9" t="str">
        <f>Tab_Data_Flows[[#This Row],[UoM_Flow_Py]]</f>
        <v>Mg</v>
      </c>
      <c r="AI54" s="190">
        <f>INDEX(Tab_Def_Flows[[Flow_ID]:[CC_DM_source]],MATCH(Tab_Data_Flows[[#This Row],[Name(EN)]],Tab_Def_Flows[Name(EN)],0),17)</f>
        <v>0</v>
      </c>
      <c r="AJ54" s="9">
        <f>IF(L54="Yes",AI54*Tab_Data_Flows[[#This Row],[Flow_Py]]*Tab_Data_Flows[[#This Row],[DM_'[%']]],"N.A.")</f>
        <v>0</v>
      </c>
      <c r="AK54" s="9" t="str">
        <f>Tab_Data_Flows[[#This Row],[UoM_Flow_Py]]</f>
        <v>Mg</v>
      </c>
    </row>
    <row r="55" spans="1:37" x14ac:dyDescent="0.25">
      <c r="A55" s="16">
        <f t="shared" si="0"/>
        <v>54</v>
      </c>
      <c r="B55" s="9" t="str">
        <f>_xlfn.XLOOKUP(C55,Tab_Def_Flows[Name(EN)],Tab_Def_Flows[Flow_ID],,0,)</f>
        <v>F_11_09</v>
      </c>
      <c r="C55" s="11" t="s">
        <v>812</v>
      </c>
      <c r="D55" s="9"/>
      <c r="E55" s="9" t="str">
        <f>_xlfn.XLOOKUP(C55,Tab_Def_Flows[Name(EN)],Tab_Def_Flows[Output_Process],,0,)</f>
        <v>Water Compostation</v>
      </c>
      <c r="F55" s="9" t="str">
        <f>_xlfn.XLOOKUP(C55,Tab_Def_Flows[Name(EN)],Tab_Def_Flows[Process_ID_O],,0,)</f>
        <v>11</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25064.3401042</v>
      </c>
      <c r="P55" s="11"/>
      <c r="Q55" s="11"/>
      <c r="R55" s="11" t="e">
        <f>INDEX(#REF!,MATCH(Tab_Data_Flows[[#This Row],[Name(EN)]],#REF!,0),12)</f>
        <v>#REF!</v>
      </c>
      <c r="S55" s="11" t="e">
        <f>MATCH(Tab_Data_Flows[[#This Row],[Name(EN)]],#REF!,0)</f>
        <v>#REF!</v>
      </c>
      <c r="T55" s="11"/>
      <c r="U55" s="11"/>
      <c r="V55" s="11"/>
      <c r="W55" s="11"/>
      <c r="X55" s="11" t="s">
        <v>8</v>
      </c>
      <c r="Y55" s="11"/>
      <c r="Z55" s="11"/>
      <c r="AA55" s="35">
        <f t="shared" si="1"/>
        <v>25064.3401042</v>
      </c>
      <c r="AB55" s="11" t="s">
        <v>276</v>
      </c>
      <c r="AC55" s="190">
        <f>INDEX(Tab_Def_Flows[[Flow_ID]:[CC_DM_source]],MATCH(Tab_Data_Flows[[#This Row],[Name(EN)]],Tab_Def_Flows[Name(EN)],0),13)</f>
        <v>1</v>
      </c>
      <c r="AD55" s="9">
        <f>IF(J55="Yes",AA55*Tab_Data_Flows[[#This Row],[WC_'[%']]],"N.A.")</f>
        <v>25064.3401042</v>
      </c>
      <c r="AE55" s="9" t="str">
        <f>Tab_Data_Flows[[#This Row],[UoM_Flow_Py]]</f>
        <v>Mg</v>
      </c>
      <c r="AF55" s="190">
        <f>INDEX(Tab_Def_Flows[[Flow_ID]:[CC_DM_source]],MATCH(Tab_Data_Flows[[#This Row],[Name(EN)]],Tab_Def_Flows[Name(EN)],0),15)</f>
        <v>0</v>
      </c>
      <c r="AG55" s="9">
        <f>IF(K55="Yes",AF55*Tab_Data_Flows[[#This Row],[Flow_Py]],"N.A.")</f>
        <v>0</v>
      </c>
      <c r="AH55" s="9" t="str">
        <f>Tab_Data_Flows[[#This Row],[UoM_Flow_Py]]</f>
        <v>Mg</v>
      </c>
      <c r="AI55" s="190">
        <f>INDEX(Tab_Def_Flows[[Flow_ID]:[CC_DM_source]],MATCH(Tab_Data_Flows[[#This Row],[Name(EN)]],Tab_Def_Flows[Name(EN)],0),17)</f>
        <v>0</v>
      </c>
      <c r="AJ55" s="9">
        <f>IF(L55="Yes",AI55*Tab_Data_Flows[[#This Row],[Flow_Py]]*Tab_Data_Flows[[#This Row],[DM_'[%']]],"N.A.")</f>
        <v>0</v>
      </c>
      <c r="AK55" s="9" t="str">
        <f>Tab_Data_Flows[[#This Row],[UoM_Flow_Py]]</f>
        <v>Mg</v>
      </c>
    </row>
    <row r="56" spans="1:37" x14ac:dyDescent="0.25">
      <c r="A56" s="16">
        <f t="shared" si="0"/>
        <v>55</v>
      </c>
      <c r="B56" s="9" t="str">
        <f>_xlfn.XLOOKUP(C56,Tab_Def_Flows[Name(EN)],Tab_Def_Flows[Flow_ID],,0,)</f>
        <v>F_11_09</v>
      </c>
      <c r="C56" s="11" t="s">
        <v>812</v>
      </c>
      <c r="D56" s="9"/>
      <c r="E56" s="9" t="str">
        <f>_xlfn.XLOOKUP(C56,Tab_Def_Flows[Name(EN)],Tab_Def_Flows[Output_Process],,0,)</f>
        <v>Water Compostation</v>
      </c>
      <c r="F56" s="9" t="str">
        <f>_xlfn.XLOOKUP(C56,Tab_Def_Flows[Name(EN)],Tab_Def_Flows[Process_ID_O],,0,)</f>
        <v>11</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18997.301091999998</v>
      </c>
      <c r="P56" s="11"/>
      <c r="Q56" s="11"/>
      <c r="R56" s="11" t="e">
        <f>INDEX(#REF!,MATCH(Tab_Data_Flows[[#This Row],[Name(EN)]],#REF!,0),12)</f>
        <v>#REF!</v>
      </c>
      <c r="S56" s="11" t="e">
        <f>MATCH(Tab_Data_Flows[[#This Row],[Name(EN)]],#REF!,0)</f>
        <v>#REF!</v>
      </c>
      <c r="T56" s="11"/>
      <c r="U56" s="11"/>
      <c r="V56" s="11"/>
      <c r="W56" s="11"/>
      <c r="X56" s="11" t="s">
        <v>8</v>
      </c>
      <c r="Y56" s="11"/>
      <c r="Z56" s="11"/>
      <c r="AA56" s="35">
        <f t="shared" si="1"/>
        <v>18997.301091999998</v>
      </c>
      <c r="AB56" s="11" t="s">
        <v>276</v>
      </c>
      <c r="AC56" s="190">
        <f>INDEX(Tab_Def_Flows[[Flow_ID]:[CC_DM_source]],MATCH(Tab_Data_Flows[[#This Row],[Name(EN)]],Tab_Def_Flows[Name(EN)],0),13)</f>
        <v>1</v>
      </c>
      <c r="AD56" s="9">
        <f>IF(J56="Yes",AA56*Tab_Data_Flows[[#This Row],[WC_'[%']]],"N.A.")</f>
        <v>18997.301091999998</v>
      </c>
      <c r="AE56" s="9" t="str">
        <f>Tab_Data_Flows[[#This Row],[UoM_Flow_Py]]</f>
        <v>Mg</v>
      </c>
      <c r="AF56" s="190">
        <f>INDEX(Tab_Def_Flows[[Flow_ID]:[CC_DM_source]],MATCH(Tab_Data_Flows[[#This Row],[Name(EN)]],Tab_Def_Flows[Name(EN)],0),15)</f>
        <v>0</v>
      </c>
      <c r="AG56" s="9">
        <f>IF(K56="Yes",AF56*Tab_Data_Flows[[#This Row],[Flow_Py]],"N.A.")</f>
        <v>0</v>
      </c>
      <c r="AH56" s="9" t="str">
        <f>Tab_Data_Flows[[#This Row],[UoM_Flow_Py]]</f>
        <v>Mg</v>
      </c>
      <c r="AI56" s="190">
        <f>INDEX(Tab_Def_Flows[[Flow_ID]:[CC_DM_source]],MATCH(Tab_Data_Flows[[#This Row],[Name(EN)]],Tab_Def_Flows[Name(EN)],0),17)</f>
        <v>0</v>
      </c>
      <c r="AJ56" s="9">
        <f>IF(L56="Yes",AI56*Tab_Data_Flows[[#This Row],[Flow_Py]]*Tab_Data_Flows[[#This Row],[DM_'[%']]],"N.A.")</f>
        <v>0</v>
      </c>
      <c r="AK56" s="9" t="str">
        <f>Tab_Data_Flows[[#This Row],[UoM_Flow_Py]]</f>
        <v>Mg</v>
      </c>
    </row>
    <row r="57" spans="1:37" x14ac:dyDescent="0.25">
      <c r="A57" s="16">
        <f t="shared" si="0"/>
        <v>56</v>
      </c>
      <c r="B57" s="9" t="str">
        <f>_xlfn.XLOOKUP(C57,Tab_Def_Flows[Name(EN)],Tab_Def_Flows[Flow_ID],,0,)</f>
        <v>F_11_09</v>
      </c>
      <c r="C57" s="11" t="s">
        <v>812</v>
      </c>
      <c r="D57" s="9"/>
      <c r="E57" s="9" t="str">
        <f>_xlfn.XLOOKUP(C57,Tab_Def_Flows[Name(EN)],Tab_Def_Flows[Output_Process],,0,)</f>
        <v>Water Compostation</v>
      </c>
      <c r="F57" s="9" t="str">
        <f>_xlfn.XLOOKUP(C57,Tab_Def_Flows[Name(EN)],Tab_Def_Flows[Process_ID_O],,0,)</f>
        <v>11</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19514.475453719999</v>
      </c>
      <c r="P57" s="11"/>
      <c r="Q57" s="11"/>
      <c r="R57" s="11" t="e">
        <f>INDEX(#REF!,MATCH(Tab_Data_Flows[[#This Row],[Name(EN)]],#REF!,0),12)</f>
        <v>#REF!</v>
      </c>
      <c r="S57" s="11" t="e">
        <f>MATCH(Tab_Data_Flows[[#This Row],[Name(EN)]],#REF!,0)</f>
        <v>#REF!</v>
      </c>
      <c r="T57" s="11"/>
      <c r="U57" s="11"/>
      <c r="V57" s="11"/>
      <c r="W57" s="11"/>
      <c r="X57" s="11" t="s">
        <v>8</v>
      </c>
      <c r="Y57" s="11"/>
      <c r="Z57" s="11"/>
      <c r="AA57" s="35">
        <f t="shared" si="1"/>
        <v>19514.475453719999</v>
      </c>
      <c r="AB57" s="11" t="s">
        <v>276</v>
      </c>
      <c r="AC57" s="190">
        <f>INDEX(Tab_Def_Flows[[Flow_ID]:[CC_DM_source]],MATCH(Tab_Data_Flows[[#This Row],[Name(EN)]],Tab_Def_Flows[Name(EN)],0),13)</f>
        <v>1</v>
      </c>
      <c r="AD57" s="9">
        <f>IF(J57="Yes",AA57*Tab_Data_Flows[[#This Row],[WC_'[%']]],"N.A.")</f>
        <v>19514.475453719999</v>
      </c>
      <c r="AE57" s="9" t="str">
        <f>Tab_Data_Flows[[#This Row],[UoM_Flow_Py]]</f>
        <v>Mg</v>
      </c>
      <c r="AF57" s="190">
        <f>INDEX(Tab_Def_Flows[[Flow_ID]:[CC_DM_source]],MATCH(Tab_Data_Flows[[#This Row],[Name(EN)]],Tab_Def_Flows[Name(EN)],0),15)</f>
        <v>0</v>
      </c>
      <c r="AG57" s="9">
        <f>IF(K57="Yes",AF57*Tab_Data_Flows[[#This Row],[Flow_Py]],"N.A.")</f>
        <v>0</v>
      </c>
      <c r="AH57" s="9" t="str">
        <f>Tab_Data_Flows[[#This Row],[UoM_Flow_Py]]</f>
        <v>Mg</v>
      </c>
      <c r="AI57" s="190">
        <f>INDEX(Tab_Def_Flows[[Flow_ID]:[CC_DM_source]],MATCH(Tab_Data_Flows[[#This Row],[Name(EN)]],Tab_Def_Flows[Name(EN)],0),17)</f>
        <v>0</v>
      </c>
      <c r="AJ57" s="9">
        <f>IF(L57="Yes",AI57*Tab_Data_Flows[[#This Row],[Flow_Py]]*Tab_Data_Flows[[#This Row],[DM_'[%']]],"N.A.")</f>
        <v>0</v>
      </c>
      <c r="AK57" s="9" t="str">
        <f>Tab_Data_Flows[[#This Row],[UoM_Flow_Py]]</f>
        <v>Mg</v>
      </c>
    </row>
    <row r="58" spans="1:37" x14ac:dyDescent="0.25">
      <c r="A58" s="16">
        <f t="shared" si="0"/>
        <v>57</v>
      </c>
      <c r="B58" s="9" t="str">
        <f>_xlfn.XLOOKUP(C58,Tab_Def_Flows[Name(EN)],Tab_Def_Flows[Flow_ID],,0,)</f>
        <v>F_11_09</v>
      </c>
      <c r="C58" s="11" t="s">
        <v>812</v>
      </c>
      <c r="D58" s="9"/>
      <c r="E58" s="9" t="str">
        <f>_xlfn.XLOOKUP(C58,Tab_Def_Flows[Name(EN)],Tab_Def_Flows[Output_Process],,0,)</f>
        <v>Water Compostation</v>
      </c>
      <c r="F58" s="9" t="str">
        <f>_xlfn.XLOOKUP(C58,Tab_Def_Flows[Name(EN)],Tab_Def_Flows[Process_ID_O],,0,)</f>
        <v>11</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25434.671834920002</v>
      </c>
      <c r="P58" s="11"/>
      <c r="Q58" s="11"/>
      <c r="R58" s="11" t="e">
        <f>INDEX(#REF!,MATCH(Tab_Data_Flows[[#This Row],[Name(EN)]],#REF!,0),12)</f>
        <v>#REF!</v>
      </c>
      <c r="S58" s="11" t="e">
        <f>MATCH(Tab_Data_Flows[[#This Row],[Name(EN)]],#REF!,0)</f>
        <v>#REF!</v>
      </c>
      <c r="T58" s="11"/>
      <c r="U58" s="11"/>
      <c r="V58" s="11"/>
      <c r="W58" s="11"/>
      <c r="X58" s="11" t="s">
        <v>8</v>
      </c>
      <c r="Y58" s="11"/>
      <c r="Z58" s="11"/>
      <c r="AA58" s="35">
        <f t="shared" si="1"/>
        <v>25434.671834920002</v>
      </c>
      <c r="AB58" s="11" t="s">
        <v>276</v>
      </c>
      <c r="AC58" s="190">
        <f>INDEX(Tab_Def_Flows[[Flow_ID]:[CC_DM_source]],MATCH(Tab_Data_Flows[[#This Row],[Name(EN)]],Tab_Def_Flows[Name(EN)],0),13)</f>
        <v>1</v>
      </c>
      <c r="AD58" s="9">
        <f>IF(J58="Yes",AA58*Tab_Data_Flows[[#This Row],[WC_'[%']]],"N.A.")</f>
        <v>25434.671834920002</v>
      </c>
      <c r="AE58" s="9" t="str">
        <f>Tab_Data_Flows[[#This Row],[UoM_Flow_Py]]</f>
        <v>Mg</v>
      </c>
      <c r="AF58" s="190">
        <f>INDEX(Tab_Def_Flows[[Flow_ID]:[CC_DM_source]],MATCH(Tab_Data_Flows[[#This Row],[Name(EN)]],Tab_Def_Flows[Name(EN)],0),15)</f>
        <v>0</v>
      </c>
      <c r="AG58" s="9">
        <f>IF(K58="Yes",AF58*Tab_Data_Flows[[#This Row],[Flow_Py]],"N.A.")</f>
        <v>0</v>
      </c>
      <c r="AH58" s="9" t="str">
        <f>Tab_Data_Flows[[#This Row],[UoM_Flow_Py]]</f>
        <v>Mg</v>
      </c>
      <c r="AI58" s="190">
        <f>INDEX(Tab_Def_Flows[[Flow_ID]:[CC_DM_source]],MATCH(Tab_Data_Flows[[#This Row],[Name(EN)]],Tab_Def_Flows[Name(EN)],0),17)</f>
        <v>0</v>
      </c>
      <c r="AJ58" s="9">
        <f>IF(L58="Yes",AI58*Tab_Data_Flows[[#This Row],[Flow_Py]]*Tab_Data_Flows[[#This Row],[DM_'[%']]],"N.A.")</f>
        <v>0</v>
      </c>
      <c r="AK58" s="9" t="str">
        <f>Tab_Data_Flows[[#This Row],[UoM_Flow_Py]]</f>
        <v>Mg</v>
      </c>
    </row>
    <row r="59" spans="1:37" x14ac:dyDescent="0.25">
      <c r="A59" s="16">
        <f t="shared" si="0"/>
        <v>58</v>
      </c>
      <c r="B59" s="9" t="str">
        <f>_xlfn.XLOOKUP(C59,Tab_Def_Flows[Name(EN)],Tab_Def_Flows[Flow_ID],,0,)</f>
        <v>F_11_09</v>
      </c>
      <c r="C59" s="11" t="s">
        <v>812</v>
      </c>
      <c r="D59" s="9"/>
      <c r="E59" s="9" t="str">
        <f>_xlfn.XLOOKUP(C59,Tab_Def_Flows[Name(EN)],Tab_Def_Flows[Output_Process],,0,)</f>
        <v>Water Compostation</v>
      </c>
      <c r="F59" s="9" t="str">
        <f>_xlfn.XLOOKUP(C59,Tab_Def_Flows[Name(EN)],Tab_Def_Flows[Process_ID_O],,0,)</f>
        <v>11</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23305.390991480002</v>
      </c>
      <c r="P59" s="11"/>
      <c r="Q59" s="11"/>
      <c r="R59" s="11" t="e">
        <f>INDEX(#REF!,MATCH(Tab_Data_Flows[[#This Row],[Name(EN)]],#REF!,0),12)</f>
        <v>#REF!</v>
      </c>
      <c r="S59" s="11" t="e">
        <f>MATCH(Tab_Data_Flows[[#This Row],[Name(EN)]],#REF!,0)</f>
        <v>#REF!</v>
      </c>
      <c r="T59" s="11"/>
      <c r="U59" s="11"/>
      <c r="V59" s="11"/>
      <c r="W59" s="11"/>
      <c r="X59" s="11" t="s">
        <v>8</v>
      </c>
      <c r="Y59" s="11"/>
      <c r="Z59" s="11"/>
      <c r="AA59" s="35">
        <f t="shared" si="1"/>
        <v>23305.390991480002</v>
      </c>
      <c r="AB59" s="11" t="s">
        <v>276</v>
      </c>
      <c r="AC59" s="190">
        <f>INDEX(Tab_Def_Flows[[Flow_ID]:[CC_DM_source]],MATCH(Tab_Data_Flows[[#This Row],[Name(EN)]],Tab_Def_Flows[Name(EN)],0),13)</f>
        <v>1</v>
      </c>
      <c r="AD59" s="9">
        <f>IF(J59="Yes",AA59*Tab_Data_Flows[[#This Row],[WC_'[%']]],"N.A.")</f>
        <v>23305.390991480002</v>
      </c>
      <c r="AE59" s="9" t="str">
        <f>Tab_Data_Flows[[#This Row],[UoM_Flow_Py]]</f>
        <v>Mg</v>
      </c>
      <c r="AF59" s="190">
        <f>INDEX(Tab_Def_Flows[[Flow_ID]:[CC_DM_source]],MATCH(Tab_Data_Flows[[#This Row],[Name(EN)]],Tab_Def_Flows[Name(EN)],0),15)</f>
        <v>0</v>
      </c>
      <c r="AG59" s="9">
        <f>IF(K59="Yes",AF59*Tab_Data_Flows[[#This Row],[Flow_Py]],"N.A.")</f>
        <v>0</v>
      </c>
      <c r="AH59" s="9" t="str">
        <f>Tab_Data_Flows[[#This Row],[UoM_Flow_Py]]</f>
        <v>Mg</v>
      </c>
      <c r="AI59" s="190">
        <f>INDEX(Tab_Def_Flows[[Flow_ID]:[CC_DM_source]],MATCH(Tab_Data_Flows[[#This Row],[Name(EN)]],Tab_Def_Flows[Name(EN)],0),17)</f>
        <v>0</v>
      </c>
      <c r="AJ59" s="9">
        <f>IF(L59="Yes",AI59*Tab_Data_Flows[[#This Row],[Flow_Py]]*Tab_Data_Flows[[#This Row],[DM_'[%']]],"N.A.")</f>
        <v>0</v>
      </c>
      <c r="AK59" s="9" t="str">
        <f>Tab_Data_Flows[[#This Row],[UoM_Flow_Py]]</f>
        <v>Mg</v>
      </c>
    </row>
    <row r="60" spans="1:37" x14ac:dyDescent="0.25">
      <c r="A60" s="16">
        <f t="shared" si="0"/>
        <v>59</v>
      </c>
      <c r="B60" s="9" t="str">
        <f>_xlfn.XLOOKUP(C60,Tab_Def_Flows[Name(EN)],Tab_Def_Flows[Flow_ID],,0,)</f>
        <v>F_11_09</v>
      </c>
      <c r="C60" s="11" t="s">
        <v>812</v>
      </c>
      <c r="D60" s="9">
        <f>_xlfn.XLOOKUP(C60,Tab_Def_Flows[Name(EN)],Tab_Def_Flows[Type_Biomass],,0,)</f>
        <v>0</v>
      </c>
      <c r="E60" s="9" t="str">
        <f>_xlfn.XLOOKUP(C60,Tab_Def_Flows[Name(EN)],Tab_Def_Flows[Output_Process],,0,)</f>
        <v>Water Compostation</v>
      </c>
      <c r="F60" s="9" t="str">
        <f>_xlfn.XLOOKUP(C60,Tab_Def_Flows[Name(EN)],Tab_Def_Flows[Process_ID_O],,0,)</f>
        <v>11</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c r="O60" s="48">
        <v>27685.866612400005</v>
      </c>
      <c r="P60" s="11"/>
      <c r="Q60" s="11"/>
      <c r="R60" s="11"/>
      <c r="S60" s="11"/>
      <c r="T60" s="11"/>
      <c r="U60" s="11"/>
      <c r="V60" s="11"/>
      <c r="W60" s="11"/>
      <c r="X60" s="11" t="s">
        <v>8</v>
      </c>
      <c r="Y60" s="41"/>
      <c r="Z60" s="11"/>
      <c r="AA60" s="35">
        <f>IF(X60="no",O60,O60*Y60)</f>
        <v>27685.866612400005</v>
      </c>
      <c r="AB60" s="11" t="s">
        <v>276</v>
      </c>
      <c r="AC60" s="190">
        <f>INDEX(Tab_Def_Flows[[Flow_ID]:[CC_DM_source]],MATCH(Tab_Data_Flows[[#This Row],[Name(EN)]],Tab_Def_Flows[Name(EN)],0),13)</f>
        <v>1</v>
      </c>
      <c r="AD60" s="9">
        <f>IF(J60="Yes",AA60*Tab_Data_Flows[[#This Row],[WC_'[%']]],"N.A.")</f>
        <v>27685.866612400005</v>
      </c>
      <c r="AE60" s="9" t="str">
        <f>Tab_Data_Flows[[#This Row],[UoM_Flow_Py]]</f>
        <v>Mg</v>
      </c>
      <c r="AF60" s="190">
        <f>INDEX(Tab_Def_Flows[[Flow_ID]:[CC_DM_source]],MATCH(Tab_Data_Flows[[#This Row],[Name(EN)]],Tab_Def_Flows[Name(EN)],0),15)</f>
        <v>0</v>
      </c>
      <c r="AG60" s="9">
        <f>IF(K60="Yes",AF60*Tab_Data_Flows[[#This Row],[Flow_Py]],"N.A.")</f>
        <v>0</v>
      </c>
      <c r="AH60" s="9" t="str">
        <f>Tab_Data_Flows[[#This Row],[UoM_Flow_Py]]</f>
        <v>Mg</v>
      </c>
      <c r="AI60" s="190">
        <f>INDEX(Tab_Def_Flows[[Flow_ID]:[CC_DM_source]],MATCH(Tab_Data_Flows[[#This Row],[Name(EN)]],Tab_Def_Flows[Name(EN)],0),17)</f>
        <v>0</v>
      </c>
      <c r="AJ60" s="9">
        <f>IF(L60="Yes",AI60*Tab_Data_Flows[[#This Row],[Flow_Py]]*Tab_Data_Flows[[#This Row],[DM_'[%']]],"N.A.")</f>
        <v>0</v>
      </c>
      <c r="AK60" s="9" t="str">
        <f>Tab_Data_Flows[[#This Row],[UoM_Flow_Py]]</f>
        <v>Mg</v>
      </c>
    </row>
    <row r="61" spans="1:37" x14ac:dyDescent="0.25">
      <c r="A61" s="16">
        <f t="shared" si="0"/>
        <v>60</v>
      </c>
      <c r="B61" s="9" t="str">
        <f>_xlfn.XLOOKUP(C61,Tab_Def_Flows[Name(EN)],Tab_Def_Flows[Flow_ID],,0,)</f>
        <v>F_11_09</v>
      </c>
      <c r="C61" s="11" t="s">
        <v>812</v>
      </c>
      <c r="D61" s="9">
        <f>_xlfn.XLOOKUP(C61,Tab_Def_Flows[Name(EN)],Tab_Def_Flows[Type_Biomass],,0,)</f>
        <v>0</v>
      </c>
      <c r="E61" s="9" t="str">
        <f>_xlfn.XLOOKUP(C61,Tab_Def_Flows[Name(EN)],Tab_Def_Flows[Output_Process],,0,)</f>
        <v>Water Compostation</v>
      </c>
      <c r="F61" s="9" t="str">
        <f>_xlfn.XLOOKUP(C61,Tab_Def_Flows[Name(EN)],Tab_Def_Flows[Process_ID_O],,0,)</f>
        <v>11</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c r="O61" s="48">
        <v>26092.248588840001</v>
      </c>
      <c r="P61" s="11"/>
      <c r="Q61" s="11"/>
      <c r="R61" s="11"/>
      <c r="S61" s="11"/>
      <c r="T61" s="11"/>
      <c r="U61" s="11"/>
      <c r="V61" s="11"/>
      <c r="W61" s="11"/>
      <c r="X61" s="11" t="s">
        <v>8</v>
      </c>
      <c r="Y61" s="41"/>
      <c r="Z61" s="11"/>
      <c r="AA61" s="35">
        <f t="shared" si="1"/>
        <v>26092.248588840001</v>
      </c>
      <c r="AB61" s="11" t="s">
        <v>276</v>
      </c>
      <c r="AC61" s="190">
        <f>INDEX(Tab_Def_Flows[[Flow_ID]:[CC_DM_source]],MATCH(Tab_Data_Flows[[#This Row],[Name(EN)]],Tab_Def_Flows[Name(EN)],0),13)</f>
        <v>1</v>
      </c>
      <c r="AD61" s="9">
        <f>IF(J61="Yes",AA61*Tab_Data_Flows[[#This Row],[WC_'[%']]],"N.A.")</f>
        <v>26092.248588840001</v>
      </c>
      <c r="AE61" s="9" t="str">
        <f>Tab_Data_Flows[[#This Row],[UoM_Flow_Py]]</f>
        <v>Mg</v>
      </c>
      <c r="AF61" s="190">
        <f>INDEX(Tab_Def_Flows[[Flow_ID]:[CC_DM_source]],MATCH(Tab_Data_Flows[[#This Row],[Name(EN)]],Tab_Def_Flows[Name(EN)],0),15)</f>
        <v>0</v>
      </c>
      <c r="AG61" s="9">
        <f>IF(K61="Yes",AF61*Tab_Data_Flows[[#This Row],[Flow_Py]],"N.A.")</f>
        <v>0</v>
      </c>
      <c r="AH61" s="9" t="str">
        <f>Tab_Data_Flows[[#This Row],[UoM_Flow_Py]]</f>
        <v>Mg</v>
      </c>
      <c r="AI61" s="190">
        <f>INDEX(Tab_Def_Flows[[Flow_ID]:[CC_DM_source]],MATCH(Tab_Data_Flows[[#This Row],[Name(EN)]],Tab_Def_Flows[Name(EN)],0),17)</f>
        <v>0</v>
      </c>
      <c r="AJ61" s="9">
        <f>IF(L61="Yes",AI61*Tab_Data_Flows[[#This Row],[Flow_Py]]*Tab_Data_Flows[[#This Row],[DM_'[%']]],"N.A.")</f>
        <v>0</v>
      </c>
      <c r="AK61" s="9" t="str">
        <f>Tab_Data_Flows[[#This Row],[UoM_Flow_Py]]</f>
        <v>Mg</v>
      </c>
    </row>
    <row r="62" spans="1:37" x14ac:dyDescent="0.25">
      <c r="A62" s="16">
        <f t="shared" si="0"/>
        <v>61</v>
      </c>
      <c r="B62" s="9" t="str">
        <f>_xlfn.XLOOKUP(C62,Tab_Def_Flows[Name(EN)],Tab_Def_Flows[Flow_ID],,0,)</f>
        <v>F_11_09</v>
      </c>
      <c r="C62" s="11" t="s">
        <v>812</v>
      </c>
      <c r="D62" s="9">
        <f>_xlfn.XLOOKUP(C62,Tab_Def_Flows[Name(EN)],Tab_Def_Flows[Type_Biomass],,0,)</f>
        <v>0</v>
      </c>
      <c r="E62" s="9" t="str">
        <f>_xlfn.XLOOKUP(C62,Tab_Def_Flows[Name(EN)],Tab_Def_Flows[Output_Process],,0,)</f>
        <v>Water Compostation</v>
      </c>
      <c r="F62" s="9" t="str">
        <f>_xlfn.XLOOKUP(C62,Tab_Def_Flows[Name(EN)],Tab_Def_Flows[Process_ID_O],,0,)</f>
        <v>11</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c r="O62" s="48">
        <v>28784.767518120003</v>
      </c>
      <c r="P62" s="11"/>
      <c r="Q62" s="11"/>
      <c r="R62" s="11"/>
      <c r="S62" s="11"/>
      <c r="T62" s="11"/>
      <c r="U62" s="11"/>
      <c r="V62" s="11"/>
      <c r="W62" s="11"/>
      <c r="X62" s="11" t="s">
        <v>8</v>
      </c>
      <c r="Y62" s="41"/>
      <c r="Z62" s="11"/>
      <c r="AA62" s="35">
        <f t="shared" si="1"/>
        <v>28784.767518120003</v>
      </c>
      <c r="AB62" s="11" t="s">
        <v>276</v>
      </c>
      <c r="AC62" s="190">
        <f>INDEX(Tab_Def_Flows[[Flow_ID]:[CC_DM_source]],MATCH(Tab_Data_Flows[[#This Row],[Name(EN)]],Tab_Def_Flows[Name(EN)],0),13)</f>
        <v>1</v>
      </c>
      <c r="AD62" s="9">
        <f>IF(J62="Yes",AA62*Tab_Data_Flows[[#This Row],[WC_'[%']]],"N.A.")</f>
        <v>28784.767518120003</v>
      </c>
      <c r="AE62" s="9" t="str">
        <f>Tab_Data_Flows[[#This Row],[UoM_Flow_Py]]</f>
        <v>Mg</v>
      </c>
      <c r="AF62" s="190">
        <f>INDEX(Tab_Def_Flows[[Flow_ID]:[CC_DM_source]],MATCH(Tab_Data_Flows[[#This Row],[Name(EN)]],Tab_Def_Flows[Name(EN)],0),15)</f>
        <v>0</v>
      </c>
      <c r="AG62" s="9">
        <f>IF(K62="Yes",AF62*Tab_Data_Flows[[#This Row],[Flow_Py]],"N.A.")</f>
        <v>0</v>
      </c>
      <c r="AH62" s="9" t="str">
        <f>Tab_Data_Flows[[#This Row],[UoM_Flow_Py]]</f>
        <v>Mg</v>
      </c>
      <c r="AI62" s="190">
        <f>INDEX(Tab_Def_Flows[[Flow_ID]:[CC_DM_source]],MATCH(Tab_Data_Flows[[#This Row],[Name(EN)]],Tab_Def_Flows[Name(EN)],0),17)</f>
        <v>0</v>
      </c>
      <c r="AJ62" s="9">
        <f>IF(L62="Yes",AI62*Tab_Data_Flows[[#This Row],[Flow_Py]]*Tab_Data_Flows[[#This Row],[DM_'[%']]],"N.A.")</f>
        <v>0</v>
      </c>
      <c r="AK62" s="9" t="str">
        <f>Tab_Data_Flows[[#This Row],[UoM_Flow_Py]]</f>
        <v>Mg</v>
      </c>
    </row>
    <row r="63" spans="1:37" x14ac:dyDescent="0.25">
      <c r="A63" s="16">
        <f t="shared" si="0"/>
        <v>62</v>
      </c>
      <c r="B63" s="9" t="str">
        <f>_xlfn.XLOOKUP(C63,Tab_Def_Flows[Name(EN)],Tab_Def_Flows[Flow_ID],,0,)</f>
        <v>F_11_09</v>
      </c>
      <c r="C63" s="11" t="s">
        <v>812</v>
      </c>
      <c r="D63" s="9">
        <f>_xlfn.XLOOKUP(C63,Tab_Def_Flows[Name(EN)],Tab_Def_Flows[Type_Biomass],,0,)</f>
        <v>0</v>
      </c>
      <c r="E63" s="9" t="str">
        <f>_xlfn.XLOOKUP(C63,Tab_Def_Flows[Name(EN)],Tab_Def_Flows[Output_Process],,0,)</f>
        <v>Water Compostation</v>
      </c>
      <c r="F63" s="9" t="str">
        <f>_xlfn.XLOOKUP(C63,Tab_Def_Flows[Name(EN)],Tab_Def_Flows[Process_ID_O],,0,)</f>
        <v>11</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2034</v>
      </c>
      <c r="N63" s="11"/>
      <c r="O63" s="48">
        <v>25214.658816720003</v>
      </c>
      <c r="P63" s="11"/>
      <c r="Q63" s="11"/>
      <c r="R63" s="11"/>
      <c r="S63" s="11"/>
      <c r="T63" s="11"/>
      <c r="U63" s="11"/>
      <c r="V63" s="11"/>
      <c r="W63" s="11"/>
      <c r="X63" s="11" t="s">
        <v>8</v>
      </c>
      <c r="Y63" s="41"/>
      <c r="Z63" s="11"/>
      <c r="AA63" s="35">
        <f t="shared" si="1"/>
        <v>25214.658816720003</v>
      </c>
      <c r="AB63" s="11" t="s">
        <v>276</v>
      </c>
      <c r="AC63" s="190">
        <f>INDEX(Tab_Def_Flows[[Flow_ID]:[CC_DM_source]],MATCH(Tab_Data_Flows[[#This Row],[Name(EN)]],Tab_Def_Flows[Name(EN)],0),13)</f>
        <v>1</v>
      </c>
      <c r="AD63" s="9">
        <f>IF(J63="Yes",AA63*Tab_Data_Flows[[#This Row],[WC_'[%']]],"N.A.")</f>
        <v>25214.658816720003</v>
      </c>
      <c r="AE63" s="9" t="str">
        <f>Tab_Data_Flows[[#This Row],[UoM_Flow_Py]]</f>
        <v>Mg</v>
      </c>
      <c r="AF63" s="190">
        <f>INDEX(Tab_Def_Flows[[Flow_ID]:[CC_DM_source]],MATCH(Tab_Data_Flows[[#This Row],[Name(EN)]],Tab_Def_Flows[Name(EN)],0),15)</f>
        <v>0</v>
      </c>
      <c r="AG63" s="9">
        <f>IF(K63="Yes",AF63*Tab_Data_Flows[[#This Row],[Flow_Py]],"N.A.")</f>
        <v>0</v>
      </c>
      <c r="AH63" s="9" t="str">
        <f>Tab_Data_Flows[[#This Row],[UoM_Flow_Py]]</f>
        <v>Mg</v>
      </c>
      <c r="AI63" s="190">
        <f>INDEX(Tab_Def_Flows[[Flow_ID]:[CC_DM_source]],MATCH(Tab_Data_Flows[[#This Row],[Name(EN)]],Tab_Def_Flows[Name(EN)],0),17)</f>
        <v>0</v>
      </c>
      <c r="AJ63" s="9">
        <f>IF(L63="Yes",AI63*Tab_Data_Flows[[#This Row],[Flow_Py]]*Tab_Data_Flows[[#This Row],[DM_'[%']]],"N.A.")</f>
        <v>0</v>
      </c>
      <c r="AK63" s="9" t="str">
        <f>Tab_Data_Flows[[#This Row],[UoM_Flow_Py]]</f>
        <v>Mg</v>
      </c>
    </row>
    <row r="64" spans="1:37" x14ac:dyDescent="0.25">
      <c r="A64" s="16">
        <f t="shared" si="0"/>
        <v>63</v>
      </c>
      <c r="B64" s="9" t="str">
        <f>_xlfn.XLOOKUP(C64,Tab_Def_Flows[Name(EN)],Tab_Def_Flows[Flow_ID],,0,)</f>
        <v>F_11_09</v>
      </c>
      <c r="C64" s="11" t="s">
        <v>812</v>
      </c>
      <c r="D64" s="9">
        <f>_xlfn.XLOOKUP(C64,Tab_Def_Flows[Name(EN)],Tab_Def_Flows[Type_Biomass],,0,)</f>
        <v>0</v>
      </c>
      <c r="E64" s="9" t="str">
        <f>_xlfn.XLOOKUP(C64,Tab_Def_Flows[Name(EN)],Tab_Def_Flows[Output_Process],,0,)</f>
        <v>Water Compostation</v>
      </c>
      <c r="F64" s="9" t="str">
        <f>_xlfn.XLOOKUP(C64,Tab_Def_Flows[Name(EN)],Tab_Def_Flows[Process_ID_O],,0,)</f>
        <v>11</v>
      </c>
      <c r="G64" s="9" t="str">
        <f>_xlfn.XLOOKUP(C64,Tab_Def_Flows[Name(EN)],Tab_Def_Flows[Input_Process],,0,)</f>
        <v>Compostation &amp; Incorporation</v>
      </c>
      <c r="H64" s="17" t="str">
        <f>_xlfn.XLOOKUP(C64,Tab_Def_Flows[Name(EN)],Tab_Def_Flows[Process_ID_I],,0,)</f>
        <v>09</v>
      </c>
      <c r="I64" s="17" t="e">
        <f>_xlfn.XLOOKUP(C64,Tab_Def_Flows[Name(EN)],#REF!,,0,)</f>
        <v>#REF!</v>
      </c>
      <c r="J64" s="17" t="str">
        <f>_xlfn.XLOOKUP(C64,Tab_Def_Flows[Name(EN)],Tab_Def_Flows[WC?],,0,)</f>
        <v>Yes</v>
      </c>
      <c r="K64" s="17" t="str">
        <f>_xlfn.XLOOKUP(C64,Tab_Def_Flows[Name(EN)],Tab_Def_Flows[DM?],,0,)</f>
        <v>Yes</v>
      </c>
      <c r="L64" s="17" t="str">
        <f>_xlfn.XLOOKUP(C64,Tab_Def_Flows[Name(EN)],Tab_Def_Flows[CC?],,0,)</f>
        <v>Yes</v>
      </c>
      <c r="M64" s="11">
        <v>2035</v>
      </c>
      <c r="N64" s="11"/>
      <c r="O64" s="48">
        <v>23830.69024376</v>
      </c>
      <c r="P64" s="11"/>
      <c r="Q64" s="11"/>
      <c r="R64" s="11"/>
      <c r="S64" s="11"/>
      <c r="T64" s="11"/>
      <c r="U64" s="11"/>
      <c r="V64" s="11"/>
      <c r="W64" s="11"/>
      <c r="X64" s="11" t="s">
        <v>8</v>
      </c>
      <c r="Y64" s="41"/>
      <c r="Z64" s="11"/>
      <c r="AA64" s="35">
        <f t="shared" si="1"/>
        <v>23830.69024376</v>
      </c>
      <c r="AB64" s="11" t="s">
        <v>276</v>
      </c>
      <c r="AC64" s="190">
        <f>INDEX(Tab_Def_Flows[[Flow_ID]:[CC_DM_source]],MATCH(Tab_Data_Flows[[#This Row],[Name(EN)]],Tab_Def_Flows[Name(EN)],0),13)</f>
        <v>1</v>
      </c>
      <c r="AD64" s="9">
        <f>IF(J64="Yes",AA64*Tab_Data_Flows[[#This Row],[WC_'[%']]],"N.A.")</f>
        <v>23830.69024376</v>
      </c>
      <c r="AE64" s="9" t="str">
        <f>Tab_Data_Flows[[#This Row],[UoM_Flow_Py]]</f>
        <v>Mg</v>
      </c>
      <c r="AF64" s="190">
        <f>INDEX(Tab_Def_Flows[[Flow_ID]:[CC_DM_source]],MATCH(Tab_Data_Flows[[#This Row],[Name(EN)]],Tab_Def_Flows[Name(EN)],0),15)</f>
        <v>0</v>
      </c>
      <c r="AG64" s="9">
        <f>IF(K64="Yes",AF64*Tab_Data_Flows[[#This Row],[Flow_Py]],"N.A.")</f>
        <v>0</v>
      </c>
      <c r="AH64" s="9" t="str">
        <f>Tab_Data_Flows[[#This Row],[UoM_Flow_Py]]</f>
        <v>Mg</v>
      </c>
      <c r="AI64" s="190">
        <f>INDEX(Tab_Def_Flows[[Flow_ID]:[CC_DM_source]],MATCH(Tab_Data_Flows[[#This Row],[Name(EN)]],Tab_Def_Flows[Name(EN)],0),17)</f>
        <v>0</v>
      </c>
      <c r="AJ64" s="9">
        <f>IF(L64="Yes",AI64*Tab_Data_Flows[[#This Row],[Flow_Py]]*Tab_Data_Flows[[#This Row],[DM_'[%']]],"N.A.")</f>
        <v>0</v>
      </c>
      <c r="AK64" s="9" t="str">
        <f>Tab_Data_Flows[[#This Row],[UoM_Flow_Py]]</f>
        <v>Mg</v>
      </c>
    </row>
    <row r="65" spans="1:37" x14ac:dyDescent="0.25">
      <c r="A65" s="16">
        <f t="shared" si="0"/>
        <v>64</v>
      </c>
      <c r="B65" s="9" t="str">
        <f>_xlfn.XLOOKUP(C65,Tab_Def_Flows[Name(EN)],Tab_Def_Flows[Flow_ID],,0,)</f>
        <v>F_11_09</v>
      </c>
      <c r="C65" s="11" t="s">
        <v>812</v>
      </c>
      <c r="D65" s="9">
        <f>_xlfn.XLOOKUP(C65,Tab_Def_Flows[Name(EN)],Tab_Def_Flows[Type_Biomass],,0,)</f>
        <v>0</v>
      </c>
      <c r="E65" s="9" t="str">
        <f>_xlfn.XLOOKUP(C65,Tab_Def_Flows[Name(EN)],Tab_Def_Flows[Output_Process],,0,)</f>
        <v>Water Compostation</v>
      </c>
      <c r="F65" s="9" t="str">
        <f>_xlfn.XLOOKUP(C65,Tab_Def_Flows[Name(EN)],Tab_Def_Flows[Process_ID_O],,0,)</f>
        <v>11</v>
      </c>
      <c r="G65" s="9" t="str">
        <f>_xlfn.XLOOKUP(C65,Tab_Def_Flows[Name(EN)],Tab_Def_Flows[Input_Process],,0,)</f>
        <v>Compostation &amp; Incorporation</v>
      </c>
      <c r="H65" s="17" t="str">
        <f>_xlfn.XLOOKUP(C65,Tab_Def_Flows[Name(EN)],Tab_Def_Flows[Process_ID_I],,0,)</f>
        <v>09</v>
      </c>
      <c r="I65" s="17" t="e">
        <f>_xlfn.XLOOKUP(C65,Tab_Def_Flows[Name(EN)],#REF!,,0,)</f>
        <v>#REF!</v>
      </c>
      <c r="J65" s="17" t="str">
        <f>_xlfn.XLOOKUP(C65,Tab_Def_Flows[Name(EN)],Tab_Def_Flows[WC?],,0,)</f>
        <v>Yes</v>
      </c>
      <c r="K65" s="17" t="str">
        <f>_xlfn.XLOOKUP(C65,Tab_Def_Flows[Name(EN)],Tab_Def_Flows[DM?],,0,)</f>
        <v>Yes</v>
      </c>
      <c r="L65" s="17" t="str">
        <f>_xlfn.XLOOKUP(C65,Tab_Def_Flows[Name(EN)],Tab_Def_Flows[CC?],,0,)</f>
        <v>Yes</v>
      </c>
      <c r="M65" s="11">
        <v>2036</v>
      </c>
      <c r="N65" s="11"/>
      <c r="O65" s="48">
        <v>23667.149364040004</v>
      </c>
      <c r="P65" s="11"/>
      <c r="Q65" s="11"/>
      <c r="R65" s="11"/>
      <c r="S65" s="11"/>
      <c r="T65" s="11"/>
      <c r="U65" s="11"/>
      <c r="V65" s="11"/>
      <c r="W65" s="11"/>
      <c r="X65" s="11" t="s">
        <v>8</v>
      </c>
      <c r="Y65" s="41"/>
      <c r="Z65" s="11"/>
      <c r="AA65" s="35">
        <f t="shared" si="1"/>
        <v>23667.149364040004</v>
      </c>
      <c r="AB65" s="11" t="s">
        <v>276</v>
      </c>
      <c r="AC65" s="190">
        <f>INDEX(Tab_Def_Flows[[Flow_ID]:[CC_DM_source]],MATCH(Tab_Data_Flows[[#This Row],[Name(EN)]],Tab_Def_Flows[Name(EN)],0),13)</f>
        <v>1</v>
      </c>
      <c r="AD65" s="9">
        <f>IF(J65="Yes",AA65*Tab_Data_Flows[[#This Row],[WC_'[%']]],"N.A.")</f>
        <v>23667.149364040004</v>
      </c>
      <c r="AE65" s="9" t="str">
        <f>Tab_Data_Flows[[#This Row],[UoM_Flow_Py]]</f>
        <v>Mg</v>
      </c>
      <c r="AF65" s="190">
        <f>INDEX(Tab_Def_Flows[[Flow_ID]:[CC_DM_source]],MATCH(Tab_Data_Flows[[#This Row],[Name(EN)]],Tab_Def_Flows[Name(EN)],0),15)</f>
        <v>0</v>
      </c>
      <c r="AG65" s="9">
        <f>IF(K65="Yes",AF65*Tab_Data_Flows[[#This Row],[Flow_Py]],"N.A.")</f>
        <v>0</v>
      </c>
      <c r="AH65" s="9" t="str">
        <f>Tab_Data_Flows[[#This Row],[UoM_Flow_Py]]</f>
        <v>Mg</v>
      </c>
      <c r="AI65" s="190">
        <f>INDEX(Tab_Def_Flows[[Flow_ID]:[CC_DM_source]],MATCH(Tab_Data_Flows[[#This Row],[Name(EN)]],Tab_Def_Flows[Name(EN)],0),17)</f>
        <v>0</v>
      </c>
      <c r="AJ65" s="9">
        <f>IF(L65="Yes",AI65*Tab_Data_Flows[[#This Row],[Flow_Py]]*Tab_Data_Flows[[#This Row],[DM_'[%']]],"N.A.")</f>
        <v>0</v>
      </c>
      <c r="AK65" s="9" t="str">
        <f>Tab_Data_Flows[[#This Row],[UoM_Flow_Py]]</f>
        <v>Mg</v>
      </c>
    </row>
    <row r="66" spans="1:37" x14ac:dyDescent="0.25">
      <c r="A66" s="16">
        <f t="shared" si="0"/>
        <v>65</v>
      </c>
      <c r="B66" s="9" t="str">
        <f>_xlfn.XLOOKUP(C66,Tab_Def_Flows[Name(EN)],Tab_Def_Flows[Flow_ID],,0,)</f>
        <v>F_11_09</v>
      </c>
      <c r="C66" s="11" t="s">
        <v>812</v>
      </c>
      <c r="D66" s="9">
        <f>_xlfn.XLOOKUP(C66,Tab_Def_Flows[Name(EN)],Tab_Def_Flows[Type_Biomass],,0,)</f>
        <v>0</v>
      </c>
      <c r="E66" s="9" t="str">
        <f>_xlfn.XLOOKUP(C66,Tab_Def_Flows[Name(EN)],Tab_Def_Flows[Output_Process],,0,)</f>
        <v>Water Compostation</v>
      </c>
      <c r="F66" s="9" t="str">
        <f>_xlfn.XLOOKUP(C66,Tab_Def_Flows[Name(EN)],Tab_Def_Flows[Process_ID_O],,0,)</f>
        <v>11</v>
      </c>
      <c r="G66" s="9" t="str">
        <f>_xlfn.XLOOKUP(C66,Tab_Def_Flows[Name(EN)],Tab_Def_Flows[Input_Process],,0,)</f>
        <v>Compostation &amp; Incorporation</v>
      </c>
      <c r="H66" s="17" t="str">
        <f>_xlfn.XLOOKUP(C66,Tab_Def_Flows[Name(EN)],Tab_Def_Flows[Process_ID_I],,0,)</f>
        <v>09</v>
      </c>
      <c r="I66" s="17" t="e">
        <f>_xlfn.XLOOKUP(C66,Tab_Def_Flows[Name(EN)],#REF!,,0,)</f>
        <v>#REF!</v>
      </c>
      <c r="J66" s="17" t="str">
        <f>_xlfn.XLOOKUP(C66,Tab_Def_Flows[Name(EN)],Tab_Def_Flows[WC?],,0,)</f>
        <v>Yes</v>
      </c>
      <c r="K66" s="17" t="str">
        <f>_xlfn.XLOOKUP(C66,Tab_Def_Flows[Name(EN)],Tab_Def_Flows[DM?],,0,)</f>
        <v>Yes</v>
      </c>
      <c r="L66" s="17" t="str">
        <f>_xlfn.XLOOKUP(C66,Tab_Def_Flows[Name(EN)],Tab_Def_Flows[CC?],,0,)</f>
        <v>Yes</v>
      </c>
      <c r="M66" s="11">
        <v>2037</v>
      </c>
      <c r="N66" s="11" t="s">
        <v>105</v>
      </c>
      <c r="O66" s="48">
        <v>28076.82083588</v>
      </c>
      <c r="P66" s="11"/>
      <c r="Q66" s="11"/>
      <c r="R66" s="11"/>
      <c r="S66" s="11"/>
      <c r="T66" s="11"/>
      <c r="U66" s="11"/>
      <c r="V66" s="11"/>
      <c r="W66" s="11"/>
      <c r="X66" s="11" t="s">
        <v>8</v>
      </c>
      <c r="Y66" s="41"/>
      <c r="Z66" s="11"/>
      <c r="AA66" s="35">
        <f t="shared" si="1"/>
        <v>28076.82083588</v>
      </c>
      <c r="AB66" s="11" t="s">
        <v>276</v>
      </c>
      <c r="AC66" s="190">
        <f>INDEX(Tab_Def_Flows[[Flow_ID]:[CC_DM_source]],MATCH(Tab_Data_Flows[[#This Row],[Name(EN)]],Tab_Def_Flows[Name(EN)],0),13)</f>
        <v>1</v>
      </c>
      <c r="AD66" s="9">
        <f>IF(J66="Yes",AA66*Tab_Data_Flows[[#This Row],[WC_'[%']]],"N.A.")</f>
        <v>28076.82083588</v>
      </c>
      <c r="AE66" s="9" t="str">
        <f>Tab_Data_Flows[[#This Row],[UoM_Flow_Py]]</f>
        <v>Mg</v>
      </c>
      <c r="AF66" s="190">
        <f>INDEX(Tab_Def_Flows[[Flow_ID]:[CC_DM_source]],MATCH(Tab_Data_Flows[[#This Row],[Name(EN)]],Tab_Def_Flows[Name(EN)],0),15)</f>
        <v>0</v>
      </c>
      <c r="AG66" s="9">
        <f>IF(K66="Yes",AF66*Tab_Data_Flows[[#This Row],[Flow_Py]],"N.A.")</f>
        <v>0</v>
      </c>
      <c r="AH66" s="9" t="str">
        <f>Tab_Data_Flows[[#This Row],[UoM_Flow_Py]]</f>
        <v>Mg</v>
      </c>
      <c r="AI66" s="190">
        <f>INDEX(Tab_Def_Flows[[Flow_ID]:[CC_DM_source]],MATCH(Tab_Data_Flows[[#This Row],[Name(EN)]],Tab_Def_Flows[Name(EN)],0),17)</f>
        <v>0</v>
      </c>
      <c r="AJ66" s="9">
        <f>IF(L66="Yes",AI66*Tab_Data_Flows[[#This Row],[Flow_Py]]*Tab_Data_Flows[[#This Row],[DM_'[%']]],"N.A.")</f>
        <v>0</v>
      </c>
      <c r="AK66" s="9" t="str">
        <f>Tab_Data_Flows[[#This Row],[UoM_Flow_Py]]</f>
        <v>Mg</v>
      </c>
    </row>
    <row r="67" spans="1:37" x14ac:dyDescent="0.25">
      <c r="A67" s="16">
        <f t="shared" ref="A67:A130" si="2">ROW()-1</f>
        <v>66</v>
      </c>
      <c r="B67" s="9" t="str">
        <f>_xlfn.XLOOKUP(C67,Tab_Def_Flows[Name(EN)],Tab_Def_Flows[Flow_ID],,0,)</f>
        <v>F_11_09</v>
      </c>
      <c r="C67" s="11" t="s">
        <v>812</v>
      </c>
      <c r="D67" s="9"/>
      <c r="E67" s="9" t="str">
        <f>_xlfn.XLOOKUP(C67,Tab_Def_Flows[Name(EN)],Tab_Def_Flows[Output_Process],,0,)</f>
        <v>Water Compostation</v>
      </c>
      <c r="F67" s="9" t="str">
        <f>_xlfn.XLOOKUP(C67,Tab_Def_Flows[Name(EN)],Tab_Def_Flows[Process_ID_O],,0,)</f>
        <v>11</v>
      </c>
      <c r="G67" s="9" t="str">
        <f>_xlfn.XLOOKUP(C67,Tab_Def_Flows[Name(EN)],Tab_Def_Flows[Input_Process],,0,)</f>
        <v>Compostation &amp; Incorporation</v>
      </c>
      <c r="H67" s="17" t="str">
        <f>_xlfn.XLOOKUP(C67,Tab_Def_Flows[Name(EN)],Tab_Def_Flows[Process_ID_I],,0,)</f>
        <v>09</v>
      </c>
      <c r="I67" s="9" t="e">
        <f>_xlfn.XLOOKUP(C67,Tab_Def_Flows[Name(EN)],#REF!,,0,)</f>
        <v>#REF!</v>
      </c>
      <c r="J67" s="9" t="str">
        <f>_xlfn.XLOOKUP(C67,Tab_Def_Flows[Name(EN)],Tab_Def_Flows[WC?],,0,)</f>
        <v>Yes</v>
      </c>
      <c r="K67" s="9" t="str">
        <f>_xlfn.XLOOKUP(C67,Tab_Def_Flows[Name(EN)],Tab_Def_Flows[DM?],,0,)</f>
        <v>Yes</v>
      </c>
      <c r="L67" s="9" t="str">
        <f>_xlfn.XLOOKUP(C67,Tab_Def_Flows[Name(EN)],Tab_Def_Flows[CC?],,0,)</f>
        <v>Yes</v>
      </c>
      <c r="M67" s="11">
        <v>2038</v>
      </c>
      <c r="N67" s="11"/>
      <c r="O67" s="48">
        <v>26992.042388440001</v>
      </c>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26992.042388440001</v>
      </c>
      <c r="AB67" s="11" t="s">
        <v>276</v>
      </c>
      <c r="AC67" s="190">
        <f>INDEX(Tab_Def_Flows[[Flow_ID]:[CC_DM_source]],MATCH(Tab_Data_Flows[[#This Row],[Name(EN)]],Tab_Def_Flows[Name(EN)],0),13)</f>
        <v>1</v>
      </c>
      <c r="AD67" s="9">
        <f>IF(J67="Yes",AA67*Tab_Data_Flows[[#This Row],[WC_'[%']]],"N.A.")</f>
        <v>26992.042388440001</v>
      </c>
      <c r="AE67" s="9" t="str">
        <f>Tab_Data_Flows[[#This Row],[UoM_Flow_Py]]</f>
        <v>Mg</v>
      </c>
      <c r="AF67" s="190">
        <f>INDEX(Tab_Def_Flows[[Flow_ID]:[CC_DM_source]],MATCH(Tab_Data_Flows[[#This Row],[Name(EN)]],Tab_Def_Flows[Name(EN)],0),15)</f>
        <v>0</v>
      </c>
      <c r="AG67" s="9">
        <f>IF(K67="Yes",AF67*Tab_Data_Flows[[#This Row],[Flow_Py]],"N.A.")</f>
        <v>0</v>
      </c>
      <c r="AH67" s="9" t="str">
        <f>Tab_Data_Flows[[#This Row],[UoM_Flow_Py]]</f>
        <v>Mg</v>
      </c>
      <c r="AI67" s="190">
        <f>INDEX(Tab_Def_Flows[[Flow_ID]:[CC_DM_source]],MATCH(Tab_Data_Flows[[#This Row],[Name(EN)]],Tab_Def_Flows[Name(EN)],0),17)</f>
        <v>0</v>
      </c>
      <c r="AJ67" s="9">
        <f>IF(L67="Yes",AI67*Tab_Data_Flows[[#This Row],[Flow_Py]]*Tab_Data_Flows[[#This Row],[DM_'[%']]],"N.A.")</f>
        <v>0</v>
      </c>
      <c r="AK67" s="9" t="str">
        <f>Tab_Data_Flows[[#This Row],[UoM_Flow_Py]]</f>
        <v>Mg</v>
      </c>
    </row>
    <row r="68" spans="1:37" x14ac:dyDescent="0.25">
      <c r="A68" s="16">
        <f t="shared" si="2"/>
        <v>67</v>
      </c>
      <c r="B68" s="9" t="str">
        <f>_xlfn.XLOOKUP(C68,Tab_Def_Flows[Name(EN)],Tab_Def_Flows[Flow_ID],,0,)</f>
        <v>F_11_09</v>
      </c>
      <c r="C68" s="11" t="s">
        <v>812</v>
      </c>
      <c r="D68" s="9"/>
      <c r="E68" s="9" t="str">
        <f>_xlfn.XLOOKUP(C68,Tab_Def_Flows[Name(EN)],Tab_Def_Flows[Output_Process],,0,)</f>
        <v>Water Compostation</v>
      </c>
      <c r="F68" s="9" t="str">
        <f>_xlfn.XLOOKUP(C68,Tab_Def_Flows[Name(EN)],Tab_Def_Flows[Process_ID_O],,0,)</f>
        <v>11</v>
      </c>
      <c r="G68" s="9" t="str">
        <f>_xlfn.XLOOKUP(C68,Tab_Def_Flows[Name(EN)],Tab_Def_Flows[Input_Process],,0,)</f>
        <v>Compostation &amp; Incorporation</v>
      </c>
      <c r="H68" s="17" t="str">
        <f>_xlfn.XLOOKUP(C68,Tab_Def_Flows[Name(EN)],Tab_Def_Flows[Process_ID_I],,0,)</f>
        <v>09</v>
      </c>
      <c r="I68" s="9" t="e">
        <f>_xlfn.XLOOKUP(C68,Tab_Def_Flows[Name(EN)],#REF!,,0,)</f>
        <v>#REF!</v>
      </c>
      <c r="J68" s="9" t="str">
        <f>_xlfn.XLOOKUP(C68,Tab_Def_Flows[Name(EN)],Tab_Def_Flows[WC?],,0,)</f>
        <v>Yes</v>
      </c>
      <c r="K68" s="9" t="str">
        <f>_xlfn.XLOOKUP(C68,Tab_Def_Flows[Name(EN)],Tab_Def_Flows[DM?],,0,)</f>
        <v>Yes</v>
      </c>
      <c r="L68" s="9" t="str">
        <f>_xlfn.XLOOKUP(C68,Tab_Def_Flows[Name(EN)],Tab_Def_Flows[CC?],,0,)</f>
        <v>Yes</v>
      </c>
      <c r="M68" s="11">
        <v>2039</v>
      </c>
      <c r="N68" s="11"/>
      <c r="O68" s="48">
        <v>23489.155014240001</v>
      </c>
      <c r="P68" s="11"/>
      <c r="Q68" s="11"/>
      <c r="R68" s="11" t="e">
        <f>INDEX(#REF!,MATCH(Tab_Data_Flows[[#This Row],[Name(EN)]],#REF!,0),12)</f>
        <v>#REF!</v>
      </c>
      <c r="S68" s="11" t="e">
        <f>MATCH(Tab_Data_Flows[[#This Row],[Name(EN)]],#REF!,0)</f>
        <v>#REF!</v>
      </c>
      <c r="T68" s="11"/>
      <c r="U68" s="11"/>
      <c r="V68" s="11"/>
      <c r="W68" s="11"/>
      <c r="X68" s="11" t="s">
        <v>8</v>
      </c>
      <c r="Y68" s="11"/>
      <c r="Z68" s="11"/>
      <c r="AA68" s="35">
        <f t="shared" si="3"/>
        <v>23489.155014240001</v>
      </c>
      <c r="AB68" s="11" t="s">
        <v>276</v>
      </c>
      <c r="AC68" s="190">
        <f>INDEX(Tab_Def_Flows[[Flow_ID]:[CC_DM_source]],MATCH(Tab_Data_Flows[[#This Row],[Name(EN)]],Tab_Def_Flows[Name(EN)],0),13)</f>
        <v>1</v>
      </c>
      <c r="AD68" s="9">
        <f>IF(J68="Yes",AA68*Tab_Data_Flows[[#This Row],[WC_'[%']]],"N.A.")</f>
        <v>23489.155014240001</v>
      </c>
      <c r="AE68" s="9" t="str">
        <f>Tab_Data_Flows[[#This Row],[UoM_Flow_Py]]</f>
        <v>Mg</v>
      </c>
      <c r="AF68" s="190">
        <f>INDEX(Tab_Def_Flows[[Flow_ID]:[CC_DM_source]],MATCH(Tab_Data_Flows[[#This Row],[Name(EN)]],Tab_Def_Flows[Name(EN)],0),15)</f>
        <v>0</v>
      </c>
      <c r="AG68" s="9">
        <f>IF(K68="Yes",AF68*Tab_Data_Flows[[#This Row],[Flow_Py]],"N.A.")</f>
        <v>0</v>
      </c>
      <c r="AH68" s="9" t="str">
        <f>Tab_Data_Flows[[#This Row],[UoM_Flow_Py]]</f>
        <v>Mg</v>
      </c>
      <c r="AI68" s="190">
        <f>INDEX(Tab_Def_Flows[[Flow_ID]:[CC_DM_source]],MATCH(Tab_Data_Flows[[#This Row],[Name(EN)]],Tab_Def_Flows[Name(EN)],0),17)</f>
        <v>0</v>
      </c>
      <c r="AJ68" s="9">
        <f>IF(L68="Yes",AI68*Tab_Data_Flows[[#This Row],[Flow_Py]]*Tab_Data_Flows[[#This Row],[DM_'[%']]],"N.A.")</f>
        <v>0</v>
      </c>
      <c r="AK68" s="9" t="str">
        <f>Tab_Data_Flows[[#This Row],[UoM_Flow_Py]]</f>
        <v>Mg</v>
      </c>
    </row>
    <row r="69" spans="1:37" x14ac:dyDescent="0.25">
      <c r="A69" s="16">
        <f t="shared" si="2"/>
        <v>68</v>
      </c>
      <c r="B69" s="9" t="str">
        <f>_xlfn.XLOOKUP(C69,Tab_Def_Flows[Name(EN)],Tab_Def_Flows[Flow_ID],,0,)</f>
        <v>F_11_09</v>
      </c>
      <c r="C69" s="11" t="s">
        <v>812</v>
      </c>
      <c r="D69" s="9"/>
      <c r="E69" s="9" t="str">
        <f>_xlfn.XLOOKUP(C69,Tab_Def_Flows[Name(EN)],Tab_Def_Flows[Output_Process],,0,)</f>
        <v>Water Compostation</v>
      </c>
      <c r="F69" s="9" t="str">
        <f>_xlfn.XLOOKUP(C69,Tab_Def_Flows[Name(EN)],Tab_Def_Flows[Process_ID_O],,0,)</f>
        <v>11</v>
      </c>
      <c r="G69" s="9" t="str">
        <f>_xlfn.XLOOKUP(C69,Tab_Def_Flows[Name(EN)],Tab_Def_Flows[Input_Process],,0,)</f>
        <v>Compostation &amp; Incorporation</v>
      </c>
      <c r="H69" s="17" t="str">
        <f>_xlfn.XLOOKUP(C69,Tab_Def_Flows[Name(EN)],Tab_Def_Flows[Process_ID_I],,0,)</f>
        <v>09</v>
      </c>
      <c r="I69" s="9" t="e">
        <f>_xlfn.XLOOKUP(C69,Tab_Def_Flows[Name(EN)],#REF!,,0,)</f>
        <v>#REF!</v>
      </c>
      <c r="J69" s="9" t="str">
        <f>_xlfn.XLOOKUP(C69,Tab_Def_Flows[Name(EN)],Tab_Def_Flows[WC?],,0,)</f>
        <v>Yes</v>
      </c>
      <c r="K69" s="9" t="str">
        <f>_xlfn.XLOOKUP(C69,Tab_Def_Flows[Name(EN)],Tab_Def_Flows[DM?],,0,)</f>
        <v>Yes</v>
      </c>
      <c r="L69" s="9" t="str">
        <f>_xlfn.XLOOKUP(C69,Tab_Def_Flows[Name(EN)],Tab_Def_Flows[CC?],,0,)</f>
        <v>Yes</v>
      </c>
      <c r="M69" s="11">
        <v>2040</v>
      </c>
      <c r="N69" s="11"/>
      <c r="O69" s="48">
        <v>29256.706447919998</v>
      </c>
      <c r="P69" s="11"/>
      <c r="Q69" s="11"/>
      <c r="R69" s="11" t="e">
        <f>INDEX(#REF!,MATCH(Tab_Data_Flows[[#This Row],[Name(EN)]],#REF!,0),12)</f>
        <v>#REF!</v>
      </c>
      <c r="S69" s="11" t="e">
        <f>MATCH(Tab_Data_Flows[[#This Row],[Name(EN)]],#REF!,0)</f>
        <v>#REF!</v>
      </c>
      <c r="T69" s="11"/>
      <c r="U69" s="11"/>
      <c r="V69" s="11"/>
      <c r="W69" s="11"/>
      <c r="X69" s="11" t="s">
        <v>8</v>
      </c>
      <c r="Y69" s="11"/>
      <c r="Z69" s="11"/>
      <c r="AA69" s="35">
        <f t="shared" si="3"/>
        <v>29256.706447919998</v>
      </c>
      <c r="AB69" s="11" t="s">
        <v>276</v>
      </c>
      <c r="AC69" s="190">
        <f>INDEX(Tab_Def_Flows[[Flow_ID]:[CC_DM_source]],MATCH(Tab_Data_Flows[[#This Row],[Name(EN)]],Tab_Def_Flows[Name(EN)],0),13)</f>
        <v>1</v>
      </c>
      <c r="AD69" s="9">
        <f>IF(J69="Yes",AA69*Tab_Data_Flows[[#This Row],[WC_'[%']]],"N.A.")</f>
        <v>29256.706447919998</v>
      </c>
      <c r="AE69" s="9" t="str">
        <f>Tab_Data_Flows[[#This Row],[UoM_Flow_Py]]</f>
        <v>Mg</v>
      </c>
      <c r="AF69" s="190">
        <f>INDEX(Tab_Def_Flows[[Flow_ID]:[CC_DM_source]],MATCH(Tab_Data_Flows[[#This Row],[Name(EN)]],Tab_Def_Flows[Name(EN)],0),15)</f>
        <v>0</v>
      </c>
      <c r="AG69" s="9">
        <f>IF(K69="Yes",AF69*Tab_Data_Flows[[#This Row],[Flow_Py]],"N.A.")</f>
        <v>0</v>
      </c>
      <c r="AH69" s="9" t="str">
        <f>Tab_Data_Flows[[#This Row],[UoM_Flow_Py]]</f>
        <v>Mg</v>
      </c>
      <c r="AI69" s="190">
        <f>INDEX(Tab_Def_Flows[[Flow_ID]:[CC_DM_source]],MATCH(Tab_Data_Flows[[#This Row],[Name(EN)]],Tab_Def_Flows[Name(EN)],0),17)</f>
        <v>0</v>
      </c>
      <c r="AJ69" s="9">
        <f>IF(L69="Yes",AI69*Tab_Data_Flows[[#This Row],[Flow_Py]]*Tab_Data_Flows[[#This Row],[DM_'[%']]],"N.A.")</f>
        <v>0</v>
      </c>
      <c r="AK69" s="9" t="str">
        <f>Tab_Data_Flows[[#This Row],[UoM_Flow_Py]]</f>
        <v>Mg</v>
      </c>
    </row>
    <row r="70" spans="1:37" x14ac:dyDescent="0.25">
      <c r="A70" s="16">
        <f t="shared" si="2"/>
        <v>69</v>
      </c>
      <c r="B70" s="9" t="str">
        <f>_xlfn.XLOOKUP(C70,Tab_Def_Flows[Name(EN)],Tab_Def_Flows[Flow_ID],,0,)</f>
        <v>F_11_09</v>
      </c>
      <c r="C70" s="11" t="s">
        <v>812</v>
      </c>
      <c r="D70" s="9"/>
      <c r="E70" s="9" t="str">
        <f>_xlfn.XLOOKUP(C70,Tab_Def_Flows[Name(EN)],Tab_Def_Flows[Output_Process],,0,)</f>
        <v>Water Compostation</v>
      </c>
      <c r="F70" s="9" t="str">
        <f>_xlfn.XLOOKUP(C70,Tab_Def_Flows[Name(EN)],Tab_Def_Flows[Process_ID_O],,0,)</f>
        <v>11</v>
      </c>
      <c r="G70" s="9" t="str">
        <f>_xlfn.XLOOKUP(C70,Tab_Def_Flows[Name(EN)],Tab_Def_Flows[Input_Process],,0,)</f>
        <v>Compostation &amp; Incorporation</v>
      </c>
      <c r="H70" s="17" t="str">
        <f>_xlfn.XLOOKUP(C70,Tab_Def_Flows[Name(EN)],Tab_Def_Flows[Process_ID_I],,0,)</f>
        <v>09</v>
      </c>
      <c r="I70" s="9" t="e">
        <f>_xlfn.XLOOKUP(C70,Tab_Def_Flows[Name(EN)],#REF!,,0,)</f>
        <v>#REF!</v>
      </c>
      <c r="J70" s="9" t="str">
        <f>_xlfn.XLOOKUP(C70,Tab_Def_Flows[Name(EN)],Tab_Def_Flows[WC?],,0,)</f>
        <v>Yes</v>
      </c>
      <c r="K70" s="9" t="str">
        <f>_xlfn.XLOOKUP(C70,Tab_Def_Flows[Name(EN)],Tab_Def_Flows[DM?],,0,)</f>
        <v>Yes</v>
      </c>
      <c r="L70" s="9" t="str">
        <f>_xlfn.XLOOKUP(C70,Tab_Def_Flows[Name(EN)],Tab_Def_Flows[CC?],,0,)</f>
        <v>Yes</v>
      </c>
      <c r="M70" s="11">
        <v>2041</v>
      </c>
      <c r="N70" s="11"/>
      <c r="O70" s="48">
        <v>23965.815057039999</v>
      </c>
      <c r="P70" s="11"/>
      <c r="Q70" s="11"/>
      <c r="R70" s="11" t="e">
        <f>INDEX(#REF!,MATCH(Tab_Data_Flows[[#This Row],[Name(EN)]],#REF!,0),12)</f>
        <v>#REF!</v>
      </c>
      <c r="S70" s="11" t="e">
        <f>MATCH(Tab_Data_Flows[[#This Row],[Name(EN)]],#REF!,0)</f>
        <v>#REF!</v>
      </c>
      <c r="T70" s="11"/>
      <c r="U70" s="11"/>
      <c r="V70" s="11"/>
      <c r="W70" s="11"/>
      <c r="X70" s="11" t="s">
        <v>8</v>
      </c>
      <c r="Y70" s="11"/>
      <c r="Z70" s="11"/>
      <c r="AA70" s="35">
        <f t="shared" si="3"/>
        <v>23965.815057039999</v>
      </c>
      <c r="AB70" s="11" t="s">
        <v>276</v>
      </c>
      <c r="AC70" s="190">
        <f>INDEX(Tab_Def_Flows[[Flow_ID]:[CC_DM_source]],MATCH(Tab_Data_Flows[[#This Row],[Name(EN)]],Tab_Def_Flows[Name(EN)],0),13)</f>
        <v>1</v>
      </c>
      <c r="AD70" s="9">
        <f>IF(J70="Yes",AA70*Tab_Data_Flows[[#This Row],[WC_'[%']]],"N.A.")</f>
        <v>23965.815057039999</v>
      </c>
      <c r="AE70" s="9" t="str">
        <f>Tab_Data_Flows[[#This Row],[UoM_Flow_Py]]</f>
        <v>Mg</v>
      </c>
      <c r="AF70" s="190">
        <f>INDEX(Tab_Def_Flows[[Flow_ID]:[CC_DM_source]],MATCH(Tab_Data_Flows[[#This Row],[Name(EN)]],Tab_Def_Flows[Name(EN)],0),15)</f>
        <v>0</v>
      </c>
      <c r="AG70" s="9">
        <f>IF(K70="Yes",AF70*Tab_Data_Flows[[#This Row],[Flow_Py]],"N.A.")</f>
        <v>0</v>
      </c>
      <c r="AH70" s="9" t="str">
        <f>Tab_Data_Flows[[#This Row],[UoM_Flow_Py]]</f>
        <v>Mg</v>
      </c>
      <c r="AI70" s="190">
        <f>INDEX(Tab_Def_Flows[[Flow_ID]:[CC_DM_source]],MATCH(Tab_Data_Flows[[#This Row],[Name(EN)]],Tab_Def_Flows[Name(EN)],0),17)</f>
        <v>0</v>
      </c>
      <c r="AJ70" s="9">
        <f>IF(L70="Yes",AI70*Tab_Data_Flows[[#This Row],[Flow_Py]]*Tab_Data_Flows[[#This Row],[DM_'[%']]],"N.A.")</f>
        <v>0</v>
      </c>
      <c r="AK70" s="9" t="str">
        <f>Tab_Data_Flows[[#This Row],[UoM_Flow_Py]]</f>
        <v>Mg</v>
      </c>
    </row>
    <row r="71" spans="1:37" x14ac:dyDescent="0.25">
      <c r="A71" s="16">
        <f t="shared" si="2"/>
        <v>70</v>
      </c>
      <c r="B71" s="9" t="str">
        <f>_xlfn.XLOOKUP(C71,Tab_Def_Flows[Name(EN)],Tab_Def_Flows[Flow_ID],,0,)</f>
        <v>F_11_09</v>
      </c>
      <c r="C71" s="11" t="s">
        <v>812</v>
      </c>
      <c r="D71" s="9"/>
      <c r="E71" s="9" t="str">
        <f>_xlfn.XLOOKUP(C71,Tab_Def_Flows[Name(EN)],Tab_Def_Flows[Output_Process],,0,)</f>
        <v>Water Compostation</v>
      </c>
      <c r="F71" s="9" t="str">
        <f>_xlfn.XLOOKUP(C71,Tab_Def_Flows[Name(EN)],Tab_Def_Flows[Process_ID_O],,0,)</f>
        <v>11</v>
      </c>
      <c r="G71" s="9" t="str">
        <f>_xlfn.XLOOKUP(C71,Tab_Def_Flows[Name(EN)],Tab_Def_Flows[Input_Process],,0,)</f>
        <v>Compostation &amp; Incorporation</v>
      </c>
      <c r="H71" s="17" t="str">
        <f>_xlfn.XLOOKUP(C71,Tab_Def_Flows[Name(EN)],Tab_Def_Flows[Process_ID_I],,0,)</f>
        <v>09</v>
      </c>
      <c r="I71" s="9" t="e">
        <f>_xlfn.XLOOKUP(C71,Tab_Def_Flows[Name(EN)],#REF!,,0,)</f>
        <v>#REF!</v>
      </c>
      <c r="J71" s="9" t="str">
        <f>_xlfn.XLOOKUP(C71,Tab_Def_Flows[Name(EN)],Tab_Def_Flows[WC?],,0,)</f>
        <v>Yes</v>
      </c>
      <c r="K71" s="9" t="str">
        <f>_xlfn.XLOOKUP(C71,Tab_Def_Flows[Name(EN)],Tab_Def_Flows[DM?],,0,)</f>
        <v>Yes</v>
      </c>
      <c r="L71" s="9" t="str">
        <f>_xlfn.XLOOKUP(C71,Tab_Def_Flows[Name(EN)],Tab_Def_Flows[CC?],,0,)</f>
        <v>Yes</v>
      </c>
      <c r="M71" s="11">
        <v>2042</v>
      </c>
      <c r="N71" s="11"/>
      <c r="O71" s="48">
        <v>26310.404279999999</v>
      </c>
      <c r="P71" s="11"/>
      <c r="Q71" s="11"/>
      <c r="R71" s="11" t="e">
        <f>INDEX(#REF!,MATCH(Tab_Data_Flows[[#This Row],[Name(EN)]],#REF!,0),12)</f>
        <v>#REF!</v>
      </c>
      <c r="S71" s="11" t="e">
        <f>MATCH(Tab_Data_Flows[[#This Row],[Name(EN)]],#REF!,0)</f>
        <v>#REF!</v>
      </c>
      <c r="T71" s="11"/>
      <c r="U71" s="11"/>
      <c r="V71" s="11"/>
      <c r="W71" s="11"/>
      <c r="X71" s="11" t="s">
        <v>8</v>
      </c>
      <c r="Y71" s="11"/>
      <c r="Z71" s="11"/>
      <c r="AA71" s="35">
        <f t="shared" si="3"/>
        <v>26310.404279999999</v>
      </c>
      <c r="AB71" s="11" t="s">
        <v>276</v>
      </c>
      <c r="AC71" s="190">
        <f>INDEX(Tab_Def_Flows[[Flow_ID]:[CC_DM_source]],MATCH(Tab_Data_Flows[[#This Row],[Name(EN)]],Tab_Def_Flows[Name(EN)],0),13)</f>
        <v>1</v>
      </c>
      <c r="AD71" s="9">
        <f>IF(J71="Yes",AA71*Tab_Data_Flows[[#This Row],[WC_'[%']]],"N.A.")</f>
        <v>26310.404279999999</v>
      </c>
      <c r="AE71" s="9" t="str">
        <f>Tab_Data_Flows[[#This Row],[UoM_Flow_Py]]</f>
        <v>Mg</v>
      </c>
      <c r="AF71" s="190">
        <f>INDEX(Tab_Def_Flows[[Flow_ID]:[CC_DM_source]],MATCH(Tab_Data_Flows[[#This Row],[Name(EN)]],Tab_Def_Flows[Name(EN)],0),15)</f>
        <v>0</v>
      </c>
      <c r="AG71" s="9">
        <f>IF(K71="Yes",AF71*Tab_Data_Flows[[#This Row],[Flow_Py]],"N.A.")</f>
        <v>0</v>
      </c>
      <c r="AH71" s="9" t="str">
        <f>Tab_Data_Flows[[#This Row],[UoM_Flow_Py]]</f>
        <v>Mg</v>
      </c>
      <c r="AI71" s="190">
        <f>INDEX(Tab_Def_Flows[[Flow_ID]:[CC_DM_source]],MATCH(Tab_Data_Flows[[#This Row],[Name(EN)]],Tab_Def_Flows[Name(EN)],0),17)</f>
        <v>0</v>
      </c>
      <c r="AJ71" s="9">
        <f>IF(L71="Yes",AI71*Tab_Data_Flows[[#This Row],[Flow_Py]]*Tab_Data_Flows[[#This Row],[DM_'[%']]],"N.A.")</f>
        <v>0</v>
      </c>
      <c r="AK71" s="9" t="str">
        <f>Tab_Data_Flows[[#This Row],[UoM_Flow_Py]]</f>
        <v>Mg</v>
      </c>
    </row>
    <row r="72" spans="1:37" x14ac:dyDescent="0.25">
      <c r="A72" s="16">
        <f t="shared" si="2"/>
        <v>71</v>
      </c>
      <c r="B72" s="9" t="str">
        <f>_xlfn.XLOOKUP(C72,Tab_Def_Flows[Name(EN)],Tab_Def_Flows[Flow_ID],,0,)</f>
        <v>F_11_09</v>
      </c>
      <c r="C72" s="11" t="s">
        <v>812</v>
      </c>
      <c r="D72" s="9"/>
      <c r="E72" s="9" t="str">
        <f>_xlfn.XLOOKUP(C72,Tab_Def_Flows[Name(EN)],Tab_Def_Flows[Output_Process],,0,)</f>
        <v>Water Compostation</v>
      </c>
      <c r="F72" s="9" t="str">
        <f>_xlfn.XLOOKUP(C72,Tab_Def_Flows[Name(EN)],Tab_Def_Flows[Process_ID_O],,0,)</f>
        <v>11</v>
      </c>
      <c r="G72" s="9" t="str">
        <f>_xlfn.XLOOKUP(C72,Tab_Def_Flows[Name(EN)],Tab_Def_Flows[Input_Process],,0,)</f>
        <v>Compostation &amp; Incorporation</v>
      </c>
      <c r="H72" s="17" t="str">
        <f>_xlfn.XLOOKUP(C72,Tab_Def_Flows[Name(EN)],Tab_Def_Flows[Process_ID_I],,0,)</f>
        <v>09</v>
      </c>
      <c r="I72" s="9" t="e">
        <f>_xlfn.XLOOKUP(C72,Tab_Def_Flows[Name(EN)],#REF!,,0,)</f>
        <v>#REF!</v>
      </c>
      <c r="J72" s="9" t="str">
        <f>_xlfn.XLOOKUP(C72,Tab_Def_Flows[Name(EN)],Tab_Def_Flows[WC?],,0,)</f>
        <v>Yes</v>
      </c>
      <c r="K72" s="9" t="str">
        <f>_xlfn.XLOOKUP(C72,Tab_Def_Flows[Name(EN)],Tab_Def_Flows[DM?],,0,)</f>
        <v>Yes</v>
      </c>
      <c r="L72" s="9" t="str">
        <f>_xlfn.XLOOKUP(C72,Tab_Def_Flows[Name(EN)],Tab_Def_Flows[CC?],,0,)</f>
        <v>Yes</v>
      </c>
      <c r="M72" s="11">
        <v>2043</v>
      </c>
      <c r="N72" s="11"/>
      <c r="O72" s="48">
        <v>25474.403013479998</v>
      </c>
      <c r="P72" s="11"/>
      <c r="Q72" s="11"/>
      <c r="R72" s="11" t="e">
        <f>INDEX(#REF!,MATCH(Tab_Data_Flows[[#This Row],[Name(EN)]],#REF!,0),12)</f>
        <v>#REF!</v>
      </c>
      <c r="S72" s="11" t="e">
        <f>MATCH(Tab_Data_Flows[[#This Row],[Name(EN)]],#REF!,0)</f>
        <v>#REF!</v>
      </c>
      <c r="T72" s="11"/>
      <c r="U72" s="11"/>
      <c r="V72" s="11"/>
      <c r="W72" s="11"/>
      <c r="X72" s="11" t="s">
        <v>8</v>
      </c>
      <c r="Y72" s="11"/>
      <c r="Z72" s="11"/>
      <c r="AA72" s="35">
        <f t="shared" si="3"/>
        <v>25474.403013479998</v>
      </c>
      <c r="AB72" s="11" t="s">
        <v>276</v>
      </c>
      <c r="AC72" s="190">
        <f>INDEX(Tab_Def_Flows[[Flow_ID]:[CC_DM_source]],MATCH(Tab_Data_Flows[[#This Row],[Name(EN)]],Tab_Def_Flows[Name(EN)],0),13)</f>
        <v>1</v>
      </c>
      <c r="AD72" s="9">
        <f>IF(J72="Yes",AA72*Tab_Data_Flows[[#This Row],[WC_'[%']]],"N.A.")</f>
        <v>25474.403013479998</v>
      </c>
      <c r="AE72" s="9" t="str">
        <f>Tab_Data_Flows[[#This Row],[UoM_Flow_Py]]</f>
        <v>Mg</v>
      </c>
      <c r="AF72" s="190">
        <f>INDEX(Tab_Def_Flows[[Flow_ID]:[CC_DM_source]],MATCH(Tab_Data_Flows[[#This Row],[Name(EN)]],Tab_Def_Flows[Name(EN)],0),15)</f>
        <v>0</v>
      </c>
      <c r="AG72" s="9">
        <f>IF(K72="Yes",AF72*Tab_Data_Flows[[#This Row],[Flow_Py]],"N.A.")</f>
        <v>0</v>
      </c>
      <c r="AH72" s="9" t="str">
        <f>Tab_Data_Flows[[#This Row],[UoM_Flow_Py]]</f>
        <v>Mg</v>
      </c>
      <c r="AI72" s="190">
        <f>INDEX(Tab_Def_Flows[[Flow_ID]:[CC_DM_source]],MATCH(Tab_Data_Flows[[#This Row],[Name(EN)]],Tab_Def_Flows[Name(EN)],0),17)</f>
        <v>0</v>
      </c>
      <c r="AJ72" s="9">
        <f>IF(L72="Yes",AI72*Tab_Data_Flows[[#This Row],[Flow_Py]]*Tab_Data_Flows[[#This Row],[DM_'[%']]],"N.A.")</f>
        <v>0</v>
      </c>
      <c r="AK72" s="9" t="str">
        <f>Tab_Data_Flows[[#This Row],[UoM_Flow_Py]]</f>
        <v>Mg</v>
      </c>
    </row>
    <row r="73" spans="1:37" x14ac:dyDescent="0.25">
      <c r="A73" s="16">
        <f t="shared" si="2"/>
        <v>72</v>
      </c>
      <c r="B73" s="9" t="str">
        <f>_xlfn.XLOOKUP(C73,Tab_Def_Flows[Name(EN)],Tab_Def_Flows[Flow_ID],,0,)</f>
        <v>F_11_09</v>
      </c>
      <c r="C73" s="11" t="s">
        <v>812</v>
      </c>
      <c r="D73" s="9"/>
      <c r="E73" s="9" t="str">
        <f>_xlfn.XLOOKUP(C73,Tab_Def_Flows[Name(EN)],Tab_Def_Flows[Output_Process],,0,)</f>
        <v>Water Compostation</v>
      </c>
      <c r="F73" s="9" t="str">
        <f>_xlfn.XLOOKUP(C73,Tab_Def_Flows[Name(EN)],Tab_Def_Flows[Process_ID_O],,0,)</f>
        <v>11</v>
      </c>
      <c r="G73" s="9" t="str">
        <f>_xlfn.XLOOKUP(C73,Tab_Def_Flows[Name(EN)],Tab_Def_Flows[Input_Process],,0,)</f>
        <v>Compostation &amp; Incorporation</v>
      </c>
      <c r="H73" s="17" t="str">
        <f>_xlfn.XLOOKUP(C73,Tab_Def_Flows[Name(EN)],Tab_Def_Flows[Process_ID_I],,0,)</f>
        <v>09</v>
      </c>
      <c r="I73" s="9" t="e">
        <f>_xlfn.XLOOKUP(C73,Tab_Def_Flows[Name(EN)],#REF!,,0,)</f>
        <v>#REF!</v>
      </c>
      <c r="J73" s="9" t="str">
        <f>_xlfn.XLOOKUP(C73,Tab_Def_Flows[Name(EN)],Tab_Def_Flows[WC?],,0,)</f>
        <v>Yes</v>
      </c>
      <c r="K73" s="9" t="str">
        <f>_xlfn.XLOOKUP(C73,Tab_Def_Flows[Name(EN)],Tab_Def_Flows[DM?],,0,)</f>
        <v>Yes</v>
      </c>
      <c r="L73" s="9" t="str">
        <f>_xlfn.XLOOKUP(C73,Tab_Def_Flows[Name(EN)],Tab_Def_Flows[CC?],,0,)</f>
        <v>Yes</v>
      </c>
      <c r="M73" s="11">
        <v>2044</v>
      </c>
      <c r="N73" s="11"/>
      <c r="O73" s="48">
        <v>22725.220660560004</v>
      </c>
      <c r="P73" s="11"/>
      <c r="Q73" s="11"/>
      <c r="R73" s="11" t="e">
        <f>INDEX(#REF!,MATCH(Tab_Data_Flows[[#This Row],[Name(EN)]],#REF!,0),12)</f>
        <v>#REF!</v>
      </c>
      <c r="S73" s="11" t="e">
        <f>MATCH(Tab_Data_Flows[[#This Row],[Name(EN)]],#REF!,0)</f>
        <v>#REF!</v>
      </c>
      <c r="T73" s="11"/>
      <c r="U73" s="11"/>
      <c r="V73" s="11"/>
      <c r="W73" s="11"/>
      <c r="X73" s="11" t="s">
        <v>8</v>
      </c>
      <c r="Y73" s="11"/>
      <c r="Z73" s="11"/>
      <c r="AA73" s="35">
        <f t="shared" si="3"/>
        <v>22725.220660560004</v>
      </c>
      <c r="AB73" s="11" t="s">
        <v>276</v>
      </c>
      <c r="AC73" s="190">
        <f>INDEX(Tab_Def_Flows[[Flow_ID]:[CC_DM_source]],MATCH(Tab_Data_Flows[[#This Row],[Name(EN)]],Tab_Def_Flows[Name(EN)],0),13)</f>
        <v>1</v>
      </c>
      <c r="AD73" s="9">
        <f>IF(J73="Yes",AA73*Tab_Data_Flows[[#This Row],[WC_'[%']]],"N.A.")</f>
        <v>22725.220660560004</v>
      </c>
      <c r="AE73" s="9" t="str">
        <f>Tab_Data_Flows[[#This Row],[UoM_Flow_Py]]</f>
        <v>Mg</v>
      </c>
      <c r="AF73" s="190">
        <f>INDEX(Tab_Def_Flows[[Flow_ID]:[CC_DM_source]],MATCH(Tab_Data_Flows[[#This Row],[Name(EN)]],Tab_Def_Flows[Name(EN)],0),15)</f>
        <v>0</v>
      </c>
      <c r="AG73" s="9">
        <f>IF(K73="Yes",AF73*Tab_Data_Flows[[#This Row],[Flow_Py]],"N.A.")</f>
        <v>0</v>
      </c>
      <c r="AH73" s="9" t="str">
        <f>Tab_Data_Flows[[#This Row],[UoM_Flow_Py]]</f>
        <v>Mg</v>
      </c>
      <c r="AI73" s="190">
        <f>INDEX(Tab_Def_Flows[[Flow_ID]:[CC_DM_source]],MATCH(Tab_Data_Flows[[#This Row],[Name(EN)]],Tab_Def_Flows[Name(EN)],0),17)</f>
        <v>0</v>
      </c>
      <c r="AJ73" s="9">
        <f>IF(L73="Yes",AI73*Tab_Data_Flows[[#This Row],[Flow_Py]]*Tab_Data_Flows[[#This Row],[DM_'[%']]],"N.A.")</f>
        <v>0</v>
      </c>
      <c r="AK73" s="9" t="str">
        <f>Tab_Data_Flows[[#This Row],[UoM_Flow_Py]]</f>
        <v>Mg</v>
      </c>
    </row>
    <row r="74" spans="1:37" x14ac:dyDescent="0.25">
      <c r="A74" s="16">
        <f t="shared" si="2"/>
        <v>73</v>
      </c>
      <c r="B74" s="9" t="str">
        <f>_xlfn.XLOOKUP(C74,Tab_Def_Flows[Name(EN)],Tab_Def_Flows[Flow_ID],,0,)</f>
        <v>F_11_09</v>
      </c>
      <c r="C74" s="11" t="s">
        <v>812</v>
      </c>
      <c r="D74" s="9"/>
      <c r="E74" s="9" t="str">
        <f>_xlfn.XLOOKUP(C74,Tab_Def_Flows[Name(EN)],Tab_Def_Flows[Output_Process],,0,)</f>
        <v>Water Compostation</v>
      </c>
      <c r="F74" s="9" t="str">
        <f>_xlfn.XLOOKUP(C74,Tab_Def_Flows[Name(EN)],Tab_Def_Flows[Process_ID_O],,0,)</f>
        <v>11</v>
      </c>
      <c r="G74" s="9" t="str">
        <f>_xlfn.XLOOKUP(C74,Tab_Def_Flows[Name(EN)],Tab_Def_Flows[Input_Process],,0,)</f>
        <v>Compostation &amp; Incorporation</v>
      </c>
      <c r="H74" s="17" t="str">
        <f>_xlfn.XLOOKUP(C74,Tab_Def_Flows[Name(EN)],Tab_Def_Flows[Process_ID_I],,0,)</f>
        <v>09</v>
      </c>
      <c r="I74" s="9" t="e">
        <f>_xlfn.XLOOKUP(C74,Tab_Def_Flows[Name(EN)],#REF!,,0,)</f>
        <v>#REF!</v>
      </c>
      <c r="J74" s="9" t="str">
        <f>_xlfn.XLOOKUP(C74,Tab_Def_Flows[Name(EN)],Tab_Def_Flows[WC?],,0,)</f>
        <v>Yes</v>
      </c>
      <c r="K74" s="9" t="str">
        <f>_xlfn.XLOOKUP(C74,Tab_Def_Flows[Name(EN)],Tab_Def_Flows[DM?],,0,)</f>
        <v>Yes</v>
      </c>
      <c r="L74" s="9" t="str">
        <f>_xlfn.XLOOKUP(C74,Tab_Def_Flows[Name(EN)],Tab_Def_Flows[CC?],,0,)</f>
        <v>Yes</v>
      </c>
      <c r="M74" s="11">
        <v>2045</v>
      </c>
      <c r="N74" s="11"/>
      <c r="O74" s="48">
        <v>23395.877719480002</v>
      </c>
      <c r="P74" s="11"/>
      <c r="Q74" s="11"/>
      <c r="R74" s="11" t="e">
        <f>INDEX(#REF!,MATCH(Tab_Data_Flows[[#This Row],[Name(EN)]],#REF!,0),12)</f>
        <v>#REF!</v>
      </c>
      <c r="S74" s="11" t="e">
        <f>MATCH(Tab_Data_Flows[[#This Row],[Name(EN)]],#REF!,0)</f>
        <v>#REF!</v>
      </c>
      <c r="T74" s="11"/>
      <c r="U74" s="11"/>
      <c r="V74" s="11"/>
      <c r="W74" s="11"/>
      <c r="X74" s="11" t="s">
        <v>8</v>
      </c>
      <c r="Y74" s="11"/>
      <c r="Z74" s="11"/>
      <c r="AA74" s="35">
        <f t="shared" si="3"/>
        <v>23395.877719480002</v>
      </c>
      <c r="AB74" s="11" t="s">
        <v>276</v>
      </c>
      <c r="AC74" s="190">
        <f>INDEX(Tab_Def_Flows[[Flow_ID]:[CC_DM_source]],MATCH(Tab_Data_Flows[[#This Row],[Name(EN)]],Tab_Def_Flows[Name(EN)],0),13)</f>
        <v>1</v>
      </c>
      <c r="AD74" s="9">
        <f>IF(J74="Yes",AA74*Tab_Data_Flows[[#This Row],[WC_'[%']]],"N.A.")</f>
        <v>23395.877719480002</v>
      </c>
      <c r="AE74" s="9" t="str">
        <f>Tab_Data_Flows[[#This Row],[UoM_Flow_Py]]</f>
        <v>Mg</v>
      </c>
      <c r="AF74" s="190">
        <f>INDEX(Tab_Def_Flows[[Flow_ID]:[CC_DM_source]],MATCH(Tab_Data_Flows[[#This Row],[Name(EN)]],Tab_Def_Flows[Name(EN)],0),15)</f>
        <v>0</v>
      </c>
      <c r="AG74" s="9">
        <f>IF(K74="Yes",AF74*Tab_Data_Flows[[#This Row],[Flow_Py]],"N.A.")</f>
        <v>0</v>
      </c>
      <c r="AH74" s="9" t="str">
        <f>Tab_Data_Flows[[#This Row],[UoM_Flow_Py]]</f>
        <v>Mg</v>
      </c>
      <c r="AI74" s="190">
        <f>INDEX(Tab_Def_Flows[[Flow_ID]:[CC_DM_source]],MATCH(Tab_Data_Flows[[#This Row],[Name(EN)]],Tab_Def_Flows[Name(EN)],0),17)</f>
        <v>0</v>
      </c>
      <c r="AJ74" s="9">
        <f>IF(L74="Yes",AI74*Tab_Data_Flows[[#This Row],[Flow_Py]]*Tab_Data_Flows[[#This Row],[DM_'[%']]],"N.A.")</f>
        <v>0</v>
      </c>
      <c r="AK74" s="9" t="str">
        <f>Tab_Data_Flows[[#This Row],[UoM_Flow_Py]]</f>
        <v>Mg</v>
      </c>
    </row>
    <row r="75" spans="1:37" x14ac:dyDescent="0.25">
      <c r="A75" s="16">
        <f t="shared" si="2"/>
        <v>74</v>
      </c>
      <c r="B75" s="9" t="str">
        <f>_xlfn.XLOOKUP(C75,Tab_Def_Flows[Name(EN)],Tab_Def_Flows[Flow_ID],,0,)</f>
        <v>F_11_09</v>
      </c>
      <c r="C75" s="11" t="s">
        <v>812</v>
      </c>
      <c r="D75" s="9"/>
      <c r="E75" s="9" t="str">
        <f>_xlfn.XLOOKUP(C75,Tab_Def_Flows[Name(EN)],Tab_Def_Flows[Output_Process],,0,)</f>
        <v>Water Compostation</v>
      </c>
      <c r="F75" s="9" t="str">
        <f>_xlfn.XLOOKUP(C75,Tab_Def_Flows[Name(EN)],Tab_Def_Flows[Process_ID_O],,0,)</f>
        <v>11</v>
      </c>
      <c r="G75" s="9" t="str">
        <f>_xlfn.XLOOKUP(C75,Tab_Def_Flows[Name(EN)],Tab_Def_Flows[Input_Process],,0,)</f>
        <v>Compostation &amp; Incorporation</v>
      </c>
      <c r="H75" s="17" t="str">
        <f>_xlfn.XLOOKUP(C75,Tab_Def_Flows[Name(EN)],Tab_Def_Flows[Process_ID_I],,0,)</f>
        <v>09</v>
      </c>
      <c r="I75" s="9" t="e">
        <f>_xlfn.XLOOKUP(C75,Tab_Def_Flows[Name(EN)],#REF!,,0,)</f>
        <v>#REF!</v>
      </c>
      <c r="J75" s="9" t="str">
        <f>_xlfn.XLOOKUP(C75,Tab_Def_Flows[Name(EN)],Tab_Def_Flows[WC?],,0,)</f>
        <v>Yes</v>
      </c>
      <c r="K75" s="9" t="str">
        <f>_xlfn.XLOOKUP(C75,Tab_Def_Flows[Name(EN)],Tab_Def_Flows[DM?],,0,)</f>
        <v>Yes</v>
      </c>
      <c r="L75" s="9" t="str">
        <f>_xlfn.XLOOKUP(C75,Tab_Def_Flows[Name(EN)],Tab_Def_Flows[CC?],,0,)</f>
        <v>Yes</v>
      </c>
      <c r="M75" s="11">
        <v>2046</v>
      </c>
      <c r="N75" s="11"/>
      <c r="O75" s="48">
        <v>25673.792318599997</v>
      </c>
      <c r="P75" s="11"/>
      <c r="Q75" s="11"/>
      <c r="R75" s="11" t="e">
        <f>INDEX(#REF!,MATCH(Tab_Data_Flows[[#This Row],[Name(EN)]],#REF!,0),12)</f>
        <v>#REF!</v>
      </c>
      <c r="S75" s="11" t="e">
        <f>MATCH(Tab_Data_Flows[[#This Row],[Name(EN)]],#REF!,0)</f>
        <v>#REF!</v>
      </c>
      <c r="T75" s="11"/>
      <c r="U75" s="11"/>
      <c r="V75" s="11"/>
      <c r="W75" s="11"/>
      <c r="X75" s="11" t="s">
        <v>8</v>
      </c>
      <c r="Y75" s="11"/>
      <c r="Z75" s="11"/>
      <c r="AA75" s="35">
        <f t="shared" si="3"/>
        <v>25673.792318599997</v>
      </c>
      <c r="AB75" s="11" t="s">
        <v>276</v>
      </c>
      <c r="AC75" s="190">
        <f>INDEX(Tab_Def_Flows[[Flow_ID]:[CC_DM_source]],MATCH(Tab_Data_Flows[[#This Row],[Name(EN)]],Tab_Def_Flows[Name(EN)],0),13)</f>
        <v>1</v>
      </c>
      <c r="AD75" s="9">
        <f>IF(J75="Yes",AA75*Tab_Data_Flows[[#This Row],[WC_'[%']]],"N.A.")</f>
        <v>25673.792318599997</v>
      </c>
      <c r="AE75" s="9" t="str">
        <f>Tab_Data_Flows[[#This Row],[UoM_Flow_Py]]</f>
        <v>Mg</v>
      </c>
      <c r="AF75" s="190">
        <f>INDEX(Tab_Def_Flows[[Flow_ID]:[CC_DM_source]],MATCH(Tab_Data_Flows[[#This Row],[Name(EN)]],Tab_Def_Flows[Name(EN)],0),15)</f>
        <v>0</v>
      </c>
      <c r="AG75" s="9">
        <f>IF(K75="Yes",AF75*Tab_Data_Flows[[#This Row],[Flow_Py]],"N.A.")</f>
        <v>0</v>
      </c>
      <c r="AH75" s="9" t="str">
        <f>Tab_Data_Flows[[#This Row],[UoM_Flow_Py]]</f>
        <v>Mg</v>
      </c>
      <c r="AI75" s="190">
        <f>INDEX(Tab_Def_Flows[[Flow_ID]:[CC_DM_source]],MATCH(Tab_Data_Flows[[#This Row],[Name(EN)]],Tab_Def_Flows[Name(EN)],0),17)</f>
        <v>0</v>
      </c>
      <c r="AJ75" s="9">
        <f>IF(L75="Yes",AI75*Tab_Data_Flows[[#This Row],[Flow_Py]]*Tab_Data_Flows[[#This Row],[DM_'[%']]],"N.A.")</f>
        <v>0</v>
      </c>
      <c r="AK75" s="9" t="str">
        <f>Tab_Data_Flows[[#This Row],[UoM_Flow_Py]]</f>
        <v>Mg</v>
      </c>
    </row>
    <row r="76" spans="1:37" x14ac:dyDescent="0.25">
      <c r="A76" s="16">
        <f t="shared" si="2"/>
        <v>75</v>
      </c>
      <c r="B76" s="9" t="str">
        <f>_xlfn.XLOOKUP(C76,Tab_Def_Flows[Name(EN)],Tab_Def_Flows[Flow_ID],,0,)</f>
        <v>F_11_09</v>
      </c>
      <c r="C76" s="11" t="s">
        <v>812</v>
      </c>
      <c r="D76" s="9"/>
      <c r="E76" s="9" t="str">
        <f>_xlfn.XLOOKUP(C76,Tab_Def_Flows[Name(EN)],Tab_Def_Flows[Output_Process],,0,)</f>
        <v>Water Compostation</v>
      </c>
      <c r="F76" s="9" t="str">
        <f>_xlfn.XLOOKUP(C76,Tab_Def_Flows[Name(EN)],Tab_Def_Flows[Process_ID_O],,0,)</f>
        <v>11</v>
      </c>
      <c r="G76" s="9" t="str">
        <f>_xlfn.XLOOKUP(C76,Tab_Def_Flows[Name(EN)],Tab_Def_Flows[Input_Process],,0,)</f>
        <v>Compostation &amp; Incorporation</v>
      </c>
      <c r="H76" s="17" t="str">
        <f>_xlfn.XLOOKUP(C76,Tab_Def_Flows[Name(EN)],Tab_Def_Flows[Process_ID_I],,0,)</f>
        <v>09</v>
      </c>
      <c r="I76" s="9" t="e">
        <f>_xlfn.XLOOKUP(C76,Tab_Def_Flows[Name(EN)],#REF!,,0,)</f>
        <v>#REF!</v>
      </c>
      <c r="J76" s="9" t="str">
        <f>_xlfn.XLOOKUP(C76,Tab_Def_Flows[Name(EN)],Tab_Def_Flows[WC?],,0,)</f>
        <v>Yes</v>
      </c>
      <c r="K76" s="9" t="str">
        <f>_xlfn.XLOOKUP(C76,Tab_Def_Flows[Name(EN)],Tab_Def_Flows[DM?],,0,)</f>
        <v>Yes</v>
      </c>
      <c r="L76" s="9" t="str">
        <f>_xlfn.XLOOKUP(C76,Tab_Def_Flows[Name(EN)],Tab_Def_Flows[CC?],,0,)</f>
        <v>Yes</v>
      </c>
      <c r="M76" s="11">
        <v>2047</v>
      </c>
      <c r="N76" s="11"/>
      <c r="O76" s="48">
        <v>26147.553186160003</v>
      </c>
      <c r="P76" s="11"/>
      <c r="Q76" s="11"/>
      <c r="R76" s="11" t="e">
        <f>INDEX(#REF!,MATCH(Tab_Data_Flows[[#This Row],[Name(EN)]],#REF!,0),12)</f>
        <v>#REF!</v>
      </c>
      <c r="S76" s="11" t="e">
        <f>MATCH(Tab_Data_Flows[[#This Row],[Name(EN)]],#REF!,0)</f>
        <v>#REF!</v>
      </c>
      <c r="T76" s="11"/>
      <c r="U76" s="11"/>
      <c r="V76" s="11"/>
      <c r="W76" s="11"/>
      <c r="X76" s="11" t="s">
        <v>8</v>
      </c>
      <c r="Y76" s="11"/>
      <c r="Z76" s="11"/>
      <c r="AA76" s="35">
        <f t="shared" si="3"/>
        <v>26147.553186160003</v>
      </c>
      <c r="AB76" s="11" t="s">
        <v>276</v>
      </c>
      <c r="AC76" s="190">
        <f>INDEX(Tab_Def_Flows[[Flow_ID]:[CC_DM_source]],MATCH(Tab_Data_Flows[[#This Row],[Name(EN)]],Tab_Def_Flows[Name(EN)],0),13)</f>
        <v>1</v>
      </c>
      <c r="AD76" s="9">
        <f>IF(J76="Yes",AA76*Tab_Data_Flows[[#This Row],[WC_'[%']]],"N.A.")</f>
        <v>26147.553186160003</v>
      </c>
      <c r="AE76" s="9" t="str">
        <f>Tab_Data_Flows[[#This Row],[UoM_Flow_Py]]</f>
        <v>Mg</v>
      </c>
      <c r="AF76" s="190">
        <f>INDEX(Tab_Def_Flows[[Flow_ID]:[CC_DM_source]],MATCH(Tab_Data_Flows[[#This Row],[Name(EN)]],Tab_Def_Flows[Name(EN)],0),15)</f>
        <v>0</v>
      </c>
      <c r="AG76" s="9">
        <f>IF(K76="Yes",AF76*Tab_Data_Flows[[#This Row],[Flow_Py]],"N.A.")</f>
        <v>0</v>
      </c>
      <c r="AH76" s="9" t="str">
        <f>Tab_Data_Flows[[#This Row],[UoM_Flow_Py]]</f>
        <v>Mg</v>
      </c>
      <c r="AI76" s="190">
        <f>INDEX(Tab_Def_Flows[[Flow_ID]:[CC_DM_source]],MATCH(Tab_Data_Flows[[#This Row],[Name(EN)]],Tab_Def_Flows[Name(EN)],0),17)</f>
        <v>0</v>
      </c>
      <c r="AJ76" s="9">
        <f>IF(L76="Yes",AI76*Tab_Data_Flows[[#This Row],[Flow_Py]]*Tab_Data_Flows[[#This Row],[DM_'[%']]],"N.A.")</f>
        <v>0</v>
      </c>
      <c r="AK76" s="9" t="str">
        <f>Tab_Data_Flows[[#This Row],[UoM_Flow_Py]]</f>
        <v>Mg</v>
      </c>
    </row>
    <row r="77" spans="1:37" x14ac:dyDescent="0.25">
      <c r="A77" s="16">
        <f t="shared" si="2"/>
        <v>76</v>
      </c>
      <c r="B77" s="9" t="str">
        <f>_xlfn.XLOOKUP(C77,Tab_Def_Flows[Name(EN)],Tab_Def_Flows[Flow_ID],,0,)</f>
        <v>F_11_09</v>
      </c>
      <c r="C77" s="11" t="s">
        <v>812</v>
      </c>
      <c r="D77" s="9"/>
      <c r="E77" s="9" t="str">
        <f>_xlfn.XLOOKUP(C77,Tab_Def_Flows[Name(EN)],Tab_Def_Flows[Output_Process],,0,)</f>
        <v>Water Compostation</v>
      </c>
      <c r="F77" s="9" t="str">
        <f>_xlfn.XLOOKUP(C77,Tab_Def_Flows[Name(EN)],Tab_Def_Flows[Process_ID_O],,0,)</f>
        <v>11</v>
      </c>
      <c r="G77" s="9" t="str">
        <f>_xlfn.XLOOKUP(C77,Tab_Def_Flows[Name(EN)],Tab_Def_Flows[Input_Process],,0,)</f>
        <v>Compostation &amp; Incorporation</v>
      </c>
      <c r="H77" s="17" t="str">
        <f>_xlfn.XLOOKUP(C77,Tab_Def_Flows[Name(EN)],Tab_Def_Flows[Process_ID_I],,0,)</f>
        <v>09</v>
      </c>
      <c r="I77" s="9" t="e">
        <f>_xlfn.XLOOKUP(C77,Tab_Def_Flows[Name(EN)],#REF!,,0,)</f>
        <v>#REF!</v>
      </c>
      <c r="J77" s="9" t="str">
        <f>_xlfn.XLOOKUP(C77,Tab_Def_Flows[Name(EN)],Tab_Def_Flows[WC?],,0,)</f>
        <v>Yes</v>
      </c>
      <c r="K77" s="9" t="str">
        <f>_xlfn.XLOOKUP(C77,Tab_Def_Flows[Name(EN)],Tab_Def_Flows[DM?],,0,)</f>
        <v>Yes</v>
      </c>
      <c r="L77" s="9" t="str">
        <f>_xlfn.XLOOKUP(C77,Tab_Def_Flows[Name(EN)],Tab_Def_Flows[CC?],,0,)</f>
        <v>Yes</v>
      </c>
      <c r="M77" s="11">
        <v>2048</v>
      </c>
      <c r="N77" s="11"/>
      <c r="O77" s="48">
        <v>21396.307434560003</v>
      </c>
      <c r="P77" s="11"/>
      <c r="Q77" s="11"/>
      <c r="R77" s="11" t="e">
        <f>INDEX(#REF!,MATCH(Tab_Data_Flows[[#This Row],[Name(EN)]],#REF!,0),12)</f>
        <v>#REF!</v>
      </c>
      <c r="S77" s="11" t="e">
        <f>MATCH(Tab_Data_Flows[[#This Row],[Name(EN)]],#REF!,0)</f>
        <v>#REF!</v>
      </c>
      <c r="T77" s="11"/>
      <c r="U77" s="11"/>
      <c r="V77" s="11"/>
      <c r="W77" s="11"/>
      <c r="X77" s="11" t="s">
        <v>8</v>
      </c>
      <c r="Y77" s="11"/>
      <c r="Z77" s="11"/>
      <c r="AA77" s="35">
        <f t="shared" si="3"/>
        <v>21396.307434560003</v>
      </c>
      <c r="AB77" s="11" t="s">
        <v>276</v>
      </c>
      <c r="AC77" s="190">
        <f>INDEX(Tab_Def_Flows[[Flow_ID]:[CC_DM_source]],MATCH(Tab_Data_Flows[[#This Row],[Name(EN)]],Tab_Def_Flows[Name(EN)],0),13)</f>
        <v>1</v>
      </c>
      <c r="AD77" s="9">
        <f>IF(J77="Yes",AA77*Tab_Data_Flows[[#This Row],[WC_'[%']]],"N.A.")</f>
        <v>21396.307434560003</v>
      </c>
      <c r="AE77" s="9" t="str">
        <f>Tab_Data_Flows[[#This Row],[UoM_Flow_Py]]</f>
        <v>Mg</v>
      </c>
      <c r="AF77" s="190">
        <f>INDEX(Tab_Def_Flows[[Flow_ID]:[CC_DM_source]],MATCH(Tab_Data_Flows[[#This Row],[Name(EN)]],Tab_Def_Flows[Name(EN)],0),15)</f>
        <v>0</v>
      </c>
      <c r="AG77" s="9">
        <f>IF(K77="Yes",AF77*Tab_Data_Flows[[#This Row],[Flow_Py]],"N.A.")</f>
        <v>0</v>
      </c>
      <c r="AH77" s="9" t="str">
        <f>Tab_Data_Flows[[#This Row],[UoM_Flow_Py]]</f>
        <v>Mg</v>
      </c>
      <c r="AI77" s="190">
        <f>INDEX(Tab_Def_Flows[[Flow_ID]:[CC_DM_source]],MATCH(Tab_Data_Flows[[#This Row],[Name(EN)]],Tab_Def_Flows[Name(EN)],0),17)</f>
        <v>0</v>
      </c>
      <c r="AJ77" s="9">
        <f>IF(L77="Yes",AI77*Tab_Data_Flows[[#This Row],[Flow_Py]]*Tab_Data_Flows[[#This Row],[DM_'[%']]],"N.A.")</f>
        <v>0</v>
      </c>
      <c r="AK77" s="9" t="str">
        <f>Tab_Data_Flows[[#This Row],[UoM_Flow_Py]]</f>
        <v>Mg</v>
      </c>
    </row>
    <row r="78" spans="1:37" x14ac:dyDescent="0.25">
      <c r="A78" s="16">
        <f t="shared" si="2"/>
        <v>77</v>
      </c>
      <c r="B78" s="9" t="str">
        <f>_xlfn.XLOOKUP(C78,Tab_Def_Flows[Name(EN)],Tab_Def_Flows[Flow_ID],,0,)</f>
        <v>F_11_09</v>
      </c>
      <c r="C78" s="11" t="s">
        <v>812</v>
      </c>
      <c r="D78" s="9"/>
      <c r="E78" s="9" t="str">
        <f>_xlfn.XLOOKUP(C78,Tab_Def_Flows[Name(EN)],Tab_Def_Flows[Output_Process],,0,)</f>
        <v>Water Compostation</v>
      </c>
      <c r="F78" s="9" t="str">
        <f>_xlfn.XLOOKUP(C78,Tab_Def_Flows[Name(EN)],Tab_Def_Flows[Process_ID_O],,0,)</f>
        <v>11</v>
      </c>
      <c r="G78" s="9" t="str">
        <f>_xlfn.XLOOKUP(C78,Tab_Def_Flows[Name(EN)],Tab_Def_Flows[Input_Process],,0,)</f>
        <v>Compostation &amp; Incorporation</v>
      </c>
      <c r="H78" s="17" t="str">
        <f>_xlfn.XLOOKUP(C78,Tab_Def_Flows[Name(EN)],Tab_Def_Flows[Process_ID_I],,0,)</f>
        <v>09</v>
      </c>
      <c r="I78" s="9" t="e">
        <f>_xlfn.XLOOKUP(C78,Tab_Def_Flows[Name(EN)],#REF!,,0,)</f>
        <v>#REF!</v>
      </c>
      <c r="J78" s="9" t="str">
        <f>_xlfn.XLOOKUP(C78,Tab_Def_Flows[Name(EN)],Tab_Def_Flows[WC?],,0,)</f>
        <v>Yes</v>
      </c>
      <c r="K78" s="9" t="str">
        <f>_xlfn.XLOOKUP(C78,Tab_Def_Flows[Name(EN)],Tab_Def_Flows[DM?],,0,)</f>
        <v>Yes</v>
      </c>
      <c r="L78" s="9" t="str">
        <f>_xlfn.XLOOKUP(C78,Tab_Def_Flows[Name(EN)],Tab_Def_Flows[CC?],,0,)</f>
        <v>Yes</v>
      </c>
      <c r="M78" s="11">
        <v>2049</v>
      </c>
      <c r="N78" s="11"/>
      <c r="O78" s="48">
        <v>25257.789806799999</v>
      </c>
      <c r="P78" s="11"/>
      <c r="Q78" s="11"/>
      <c r="R78" s="11" t="e">
        <f>INDEX(#REF!,MATCH(Tab_Data_Flows[[#This Row],[Name(EN)]],#REF!,0),12)</f>
        <v>#REF!</v>
      </c>
      <c r="S78" s="11" t="e">
        <f>MATCH(Tab_Data_Flows[[#This Row],[Name(EN)]],#REF!,0)</f>
        <v>#REF!</v>
      </c>
      <c r="T78" s="11"/>
      <c r="U78" s="11"/>
      <c r="V78" s="11"/>
      <c r="W78" s="11"/>
      <c r="X78" s="11" t="s">
        <v>8</v>
      </c>
      <c r="Y78" s="11"/>
      <c r="Z78" s="11"/>
      <c r="AA78" s="35">
        <f t="shared" si="3"/>
        <v>25257.789806799999</v>
      </c>
      <c r="AB78" s="11" t="s">
        <v>276</v>
      </c>
      <c r="AC78" s="190">
        <f>INDEX(Tab_Def_Flows[[Flow_ID]:[CC_DM_source]],MATCH(Tab_Data_Flows[[#This Row],[Name(EN)]],Tab_Def_Flows[Name(EN)],0),13)</f>
        <v>1</v>
      </c>
      <c r="AD78" s="9">
        <f>IF(J78="Yes",AA78*Tab_Data_Flows[[#This Row],[WC_'[%']]],"N.A.")</f>
        <v>25257.789806799999</v>
      </c>
      <c r="AE78" s="9" t="str">
        <f>Tab_Data_Flows[[#This Row],[UoM_Flow_Py]]</f>
        <v>Mg</v>
      </c>
      <c r="AF78" s="190">
        <f>INDEX(Tab_Def_Flows[[Flow_ID]:[CC_DM_source]],MATCH(Tab_Data_Flows[[#This Row],[Name(EN)]],Tab_Def_Flows[Name(EN)],0),15)</f>
        <v>0</v>
      </c>
      <c r="AG78" s="9">
        <f>IF(K78="Yes",AF78*Tab_Data_Flows[[#This Row],[Flow_Py]],"N.A.")</f>
        <v>0</v>
      </c>
      <c r="AH78" s="9" t="str">
        <f>Tab_Data_Flows[[#This Row],[UoM_Flow_Py]]</f>
        <v>Mg</v>
      </c>
      <c r="AI78" s="190">
        <f>INDEX(Tab_Def_Flows[[Flow_ID]:[CC_DM_source]],MATCH(Tab_Data_Flows[[#This Row],[Name(EN)]],Tab_Def_Flows[Name(EN)],0),17)</f>
        <v>0</v>
      </c>
      <c r="AJ78" s="9">
        <f>IF(L78="Yes",AI78*Tab_Data_Flows[[#This Row],[Flow_Py]]*Tab_Data_Flows[[#This Row],[DM_'[%']]],"N.A.")</f>
        <v>0</v>
      </c>
      <c r="AK78" s="9" t="str">
        <f>Tab_Data_Flows[[#This Row],[UoM_Flow_Py]]</f>
        <v>Mg</v>
      </c>
    </row>
    <row r="79" spans="1:37" x14ac:dyDescent="0.25">
      <c r="A79" s="16">
        <f t="shared" si="2"/>
        <v>78</v>
      </c>
      <c r="B79" s="9" t="str">
        <f>_xlfn.XLOOKUP(C79,Tab_Def_Flows[Name(EN)],Tab_Def_Flows[Flow_ID],,0,)</f>
        <v>F_11_09</v>
      </c>
      <c r="C79" s="11" t="s">
        <v>812</v>
      </c>
      <c r="D79" s="9"/>
      <c r="E79" s="9" t="str">
        <f>_xlfn.XLOOKUP(C79,Tab_Def_Flows[Name(EN)],Tab_Def_Flows[Output_Process],,0,)</f>
        <v>Water Compostation</v>
      </c>
      <c r="F79" s="9" t="str">
        <f>_xlfn.XLOOKUP(C79,Tab_Def_Flows[Name(EN)],Tab_Def_Flows[Process_ID_O],,0,)</f>
        <v>11</v>
      </c>
      <c r="G79" s="9" t="str">
        <f>_xlfn.XLOOKUP(C79,Tab_Def_Flows[Name(EN)],Tab_Def_Flows[Input_Process],,0,)</f>
        <v>Compostation &amp; Incorporation</v>
      </c>
      <c r="H79" s="17" t="str">
        <f>_xlfn.XLOOKUP(C79,Tab_Def_Flows[Name(EN)],Tab_Def_Flows[Process_ID_I],,0,)</f>
        <v>09</v>
      </c>
      <c r="I79" s="9" t="e">
        <f>_xlfn.XLOOKUP(C79,Tab_Def_Flows[Name(EN)],#REF!,,0,)</f>
        <v>#REF!</v>
      </c>
      <c r="J79" s="9" t="str">
        <f>_xlfn.XLOOKUP(C79,Tab_Def_Flows[Name(EN)],Tab_Def_Flows[WC?],,0,)</f>
        <v>Yes</v>
      </c>
      <c r="K79" s="9" t="str">
        <f>_xlfn.XLOOKUP(C79,Tab_Def_Flows[Name(EN)],Tab_Def_Flows[DM?],,0,)</f>
        <v>Yes</v>
      </c>
      <c r="L79" s="9" t="str">
        <f>_xlfn.XLOOKUP(C79,Tab_Def_Flows[Name(EN)],Tab_Def_Flows[CC?],,0,)</f>
        <v>Yes</v>
      </c>
      <c r="M79" s="11">
        <v>2050</v>
      </c>
      <c r="N79" s="11"/>
      <c r="O79" s="48">
        <v>24825.834051640002</v>
      </c>
      <c r="P79" s="11"/>
      <c r="Q79" s="11"/>
      <c r="R79" s="11" t="e">
        <f>INDEX(#REF!,MATCH(Tab_Data_Flows[[#This Row],[Name(EN)]],#REF!,0),12)</f>
        <v>#REF!</v>
      </c>
      <c r="S79" s="11" t="e">
        <f>MATCH(Tab_Data_Flows[[#This Row],[Name(EN)]],#REF!,0)</f>
        <v>#REF!</v>
      </c>
      <c r="T79" s="11"/>
      <c r="U79" s="11"/>
      <c r="V79" s="11"/>
      <c r="W79" s="11"/>
      <c r="X79" s="11" t="s">
        <v>8</v>
      </c>
      <c r="Y79" s="11"/>
      <c r="Z79" s="11"/>
      <c r="AA79" s="35">
        <f t="shared" si="3"/>
        <v>24825.834051640002</v>
      </c>
      <c r="AB79" s="11" t="s">
        <v>276</v>
      </c>
      <c r="AC79" s="190">
        <f>INDEX(Tab_Def_Flows[[Flow_ID]:[CC_DM_source]],MATCH(Tab_Data_Flows[[#This Row],[Name(EN)]],Tab_Def_Flows[Name(EN)],0),13)</f>
        <v>1</v>
      </c>
      <c r="AD79" s="9">
        <f>IF(J79="Yes",AA79*Tab_Data_Flows[[#This Row],[WC_'[%']]],"N.A.")</f>
        <v>24825.834051640002</v>
      </c>
      <c r="AE79" s="9" t="str">
        <f>Tab_Data_Flows[[#This Row],[UoM_Flow_Py]]</f>
        <v>Mg</v>
      </c>
      <c r="AF79" s="190">
        <f>INDEX(Tab_Def_Flows[[Flow_ID]:[CC_DM_source]],MATCH(Tab_Data_Flows[[#This Row],[Name(EN)]],Tab_Def_Flows[Name(EN)],0),15)</f>
        <v>0</v>
      </c>
      <c r="AG79" s="9">
        <f>IF(K79="Yes",AF79*Tab_Data_Flows[[#This Row],[Flow_Py]],"N.A.")</f>
        <v>0</v>
      </c>
      <c r="AH79" s="9" t="str">
        <f>Tab_Data_Flows[[#This Row],[UoM_Flow_Py]]</f>
        <v>Mg</v>
      </c>
      <c r="AI79" s="190">
        <f>INDEX(Tab_Def_Flows[[Flow_ID]:[CC_DM_source]],MATCH(Tab_Data_Flows[[#This Row],[Name(EN)]],Tab_Def_Flows[Name(EN)],0),17)</f>
        <v>0</v>
      </c>
      <c r="AJ79" s="9">
        <f>IF(L79="Yes",AI79*Tab_Data_Flows[[#This Row],[Flow_Py]]*Tab_Data_Flows[[#This Row],[DM_'[%']]],"N.A.")</f>
        <v>0</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O1" activePane="topRight" state="frozen"/>
      <selection pane="topRight" activeCell="P2" sqref="P2:P13"/>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7</v>
      </c>
      <c r="K3" s="189" t="s">
        <v>8</v>
      </c>
      <c r="L3" s="189" t="s">
        <v>7</v>
      </c>
      <c r="M3" s="189" t="s">
        <v>8</v>
      </c>
      <c r="N3" s="189" t="s">
        <v>8</v>
      </c>
      <c r="O3" s="189" t="s">
        <v>8</v>
      </c>
      <c r="P3" s="184">
        <v>2</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1</v>
      </c>
      <c r="B13" s="43" t="s">
        <v>146</v>
      </c>
      <c r="C13" s="9" t="str">
        <f t="shared" si="0"/>
        <v>11</v>
      </c>
      <c r="D13" s="11" t="s">
        <v>811</v>
      </c>
      <c r="E13" s="11"/>
      <c r="F13" s="11"/>
      <c r="G13" s="11"/>
      <c r="H13" s="37"/>
      <c r="I13" s="189" t="s">
        <v>215</v>
      </c>
      <c r="J13" s="189" t="s">
        <v>8</v>
      </c>
      <c r="K13" s="189" t="s">
        <v>8</v>
      </c>
      <c r="L13" s="189" t="s">
        <v>7</v>
      </c>
      <c r="M13" s="189" t="s">
        <v>8</v>
      </c>
      <c r="N13" s="189" t="s">
        <v>8</v>
      </c>
      <c r="O13" s="189" t="s">
        <v>8</v>
      </c>
      <c r="P13" s="11">
        <v>1</v>
      </c>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F_12_12</v>
      </c>
      <c r="S52" s="11"/>
      <c r="T52" s="9" t="str">
        <f>_xlfn.XLOOKUP(S52,Tab_Def_Flows[Name(EN)],Tab_Def_Flows[Flow_ID],,0,)</f>
        <v>F_12_12</v>
      </c>
      <c r="U52" s="11"/>
      <c r="V52" s="9" t="str">
        <f>_xlfn.XLOOKUP(U52,Tab_Def_Flows[Name(EN)],Tab_Def_Flows[Flow_ID],,0,)</f>
        <v>F_12_12</v>
      </c>
      <c r="W52" s="11"/>
      <c r="X52" s="9" t="str">
        <f>_xlfn.XLOOKUP(W52,Tab_Def_Flows[Name(EN)],Tab_Def_Flows[Flow_ID],,0,)</f>
        <v>F_12_12</v>
      </c>
      <c r="Y52" s="11"/>
      <c r="Z52" s="20" t="str">
        <f>_xlfn.XLOOKUP(Y52,Tab_Def_Flows[Name(EN)],Tab_Def_Flows[Flow_ID],,0,)</f>
        <v>F_12_12</v>
      </c>
      <c r="AA52" s="189"/>
      <c r="AB52" s="9" t="str">
        <f>_xlfn.XLOOKUP(AA52,Tab_Def_Flows[Name(EN)],Tab_Def_Flows[Flow_ID],,0,)</f>
        <v>F_12_12</v>
      </c>
      <c r="AC52" s="189"/>
      <c r="AD52" s="9" t="str">
        <f>_xlfn.XLOOKUP(AC52,Tab_Def_Flows[Name(EN)],Tab_Def_Flows[Flow_ID],,0,)</f>
        <v>F_12_12</v>
      </c>
      <c r="AE52" s="189" t="s">
        <v>35</v>
      </c>
      <c r="AF52" s="9" t="str">
        <f>_xlfn.XLOOKUP(AE52,Tab_Def_Flows[Name(EN)],Tab_Def_Flows[Flow_ID],,0,)</f>
        <v>N.A.</v>
      </c>
      <c r="AG52" s="189"/>
      <c r="AH52" s="9" t="str">
        <f>_xlfn.XLOOKUP(AG52,Tab_Def_Flows[Name(EN)],Tab_Def_Flows[Flow_ID],,0,)</f>
        <v>F_12_12</v>
      </c>
      <c r="AI52" s="189"/>
      <c r="AJ52" s="9" t="str">
        <f>_xlfn.XLOOKUP(AI52,Tab_Def_Flows[Name(EN)],Tab_Def_Flows[Flow_ID],,0,)</f>
        <v>F_12_12</v>
      </c>
      <c r="AK52" s="189"/>
      <c r="AL52" s="13" t="str">
        <f>_xlfn.XLOOKUP(AK52,Tab_Def_Flows[Name(EN)],Tab_Def_Flows[Flow_ID],,0,)</f>
        <v>F_12_12</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F_12_12</v>
      </c>
      <c r="S53" s="11"/>
      <c r="T53" s="9" t="str">
        <f>_xlfn.XLOOKUP(S53,Tab_Def_Flows[Name(EN)],Tab_Def_Flows[Flow_ID],,0,)</f>
        <v>F_12_12</v>
      </c>
      <c r="U53" s="11"/>
      <c r="V53" s="9" t="str">
        <f>_xlfn.XLOOKUP(U53,Tab_Def_Flows[Name(EN)],Tab_Def_Flows[Flow_ID],,0,)</f>
        <v>F_12_12</v>
      </c>
      <c r="W53" s="11"/>
      <c r="X53" s="9" t="str">
        <f>_xlfn.XLOOKUP(W53,Tab_Def_Flows[Name(EN)],Tab_Def_Flows[Flow_ID],,0,)</f>
        <v>F_12_12</v>
      </c>
      <c r="Y53" s="11"/>
      <c r="Z53" s="21" t="str">
        <f>_xlfn.XLOOKUP(Y53,Tab_Def_Flows[Name(EN)],Tab_Def_Flows[Flow_ID],,0,)</f>
        <v>F_12_12</v>
      </c>
      <c r="AA53" s="189"/>
      <c r="AB53" s="9" t="str">
        <f>_xlfn.XLOOKUP(AA53,Tab_Def_Flows[Name(EN)],Tab_Def_Flows[Flow_ID],,0,)</f>
        <v>F_12_12</v>
      </c>
      <c r="AC53" s="189"/>
      <c r="AD53" s="9" t="str">
        <f>_xlfn.XLOOKUP(AC53,Tab_Def_Flows[Name(EN)],Tab_Def_Flows[Flow_ID],,0,)</f>
        <v>F_12_12</v>
      </c>
      <c r="AE53" s="189" t="s">
        <v>35</v>
      </c>
      <c r="AF53" s="9" t="str">
        <f>_xlfn.XLOOKUP(AE53,Tab_Def_Flows[Name(EN)],Tab_Def_Flows[Flow_ID],,0,)</f>
        <v>N.A.</v>
      </c>
      <c r="AG53" s="189"/>
      <c r="AH53" s="9" t="str">
        <f>_xlfn.XLOOKUP(AG53,Tab_Def_Flows[Name(EN)],Tab_Def_Flows[Flow_ID],,0,)</f>
        <v>F_12_12</v>
      </c>
      <c r="AI53" s="189"/>
      <c r="AJ53" s="9" t="str">
        <f>_xlfn.XLOOKUP(AI53,Tab_Def_Flows[Name(EN)],Tab_Def_Flows[Flow_ID],,0,)</f>
        <v>F_12_12</v>
      </c>
      <c r="AK53" s="189"/>
      <c r="AL53" s="13" t="str">
        <f>_xlfn.XLOOKUP(AK53,Tab_Def_Flows[Name(EN)],Tab_Def_Flows[Flow_ID],,0,)</f>
        <v>F_12_12</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N1" activePane="topRight" state="frozen"/>
      <selection pane="topRight" activeCell="P17" sqref="P17"/>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0.66666666666666652</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K18" sqref="K18"/>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0.4</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0.4</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0.2</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0.4</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0.4</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J1" zoomScaleNormal="100" workbookViewId="0">
      <selection activeCell="Q13" sqref="Q2: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2.5000000000000001E-2</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J3" sqref="B2:J3"/>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40" sqref="H4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12</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12</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12</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12</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12</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12</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12</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12</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12</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12</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12</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12</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12</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12</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12</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12</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12</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12</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12</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12</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12</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12</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12</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12</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12</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12</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12</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12</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12</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12</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12</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12</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12</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12</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12</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12</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12</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12</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12</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12</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12</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12</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12</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12</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12</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12</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12</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str">
        <f>_xlfn.XLOOKUP(C22,Tab_Def_Flows[Name(EN)],Tab_Def_Flows[Flow_ID],,0,)</f>
        <v>F_11_09</v>
      </c>
      <c r="C22" s="9" t="str">
        <f>Tab_Def_Flows[[#This Row],[Name(EN)]]</f>
        <v>Water Compost</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2" zoomScaleNormal="100" zoomScaleSheetLayoutView="145" zoomScalePageLayoutView="115" workbookViewId="0">
      <selection activeCell="G36" sqref="G36"/>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80" t="str">
        <f>'2_1_Definition_Processes'!D2</f>
        <v>Atmosphere</v>
      </c>
      <c r="C1" s="280"/>
      <c r="D1" s="280"/>
      <c r="E1" s="280"/>
      <c r="F1" s="280"/>
      <c r="G1" s="280"/>
      <c r="H1" s="280"/>
      <c r="I1" s="152" t="s">
        <v>261</v>
      </c>
      <c r="J1" s="281" t="s">
        <v>133</v>
      </c>
      <c r="K1" s="281"/>
      <c r="L1" s="281"/>
      <c r="M1" s="281"/>
    </row>
    <row r="2" spans="1:22" ht="16.5" thickBot="1" x14ac:dyDescent="0.3">
      <c r="A2" s="262" t="s">
        <v>260</v>
      </c>
      <c r="B2" s="263"/>
      <c r="C2" s="263"/>
      <c r="D2" s="263"/>
      <c r="E2" s="263"/>
      <c r="F2" s="263"/>
      <c r="G2" s="263"/>
      <c r="H2" s="263"/>
      <c r="I2" s="263"/>
      <c r="J2" s="263"/>
      <c r="K2" s="263"/>
      <c r="L2" s="263"/>
      <c r="M2" s="264"/>
    </row>
    <row r="3" spans="1:22" ht="126.75" customHeight="1" thickBot="1" x14ac:dyDescent="0.3">
      <c r="A3" s="282"/>
      <c r="B3" s="283"/>
      <c r="C3" s="283"/>
      <c r="D3" s="283"/>
      <c r="E3" s="283"/>
      <c r="F3" s="283"/>
      <c r="G3" s="283"/>
      <c r="H3" s="283"/>
      <c r="I3" s="283"/>
      <c r="J3" s="283"/>
      <c r="K3" s="283"/>
      <c r="L3" s="283"/>
      <c r="M3" s="284"/>
    </row>
    <row r="4" spans="1:22" ht="31.5" customHeight="1" x14ac:dyDescent="0.25">
      <c r="A4" s="151" t="s">
        <v>259</v>
      </c>
      <c r="B4" s="285"/>
      <c r="C4" s="286"/>
      <c r="D4" s="287"/>
      <c r="E4" s="288" t="s">
        <v>258</v>
      </c>
      <c r="F4" s="289"/>
      <c r="G4" s="156"/>
      <c r="H4" s="156"/>
      <c r="I4" s="150"/>
      <c r="J4" s="150"/>
      <c r="K4" s="150"/>
      <c r="L4" s="150"/>
      <c r="M4" s="150"/>
    </row>
    <row r="5" spans="1:22" ht="16.5" customHeight="1" x14ac:dyDescent="0.25">
      <c r="A5" s="153" t="s">
        <v>257</v>
      </c>
      <c r="B5" s="278" t="s">
        <v>808</v>
      </c>
      <c r="C5" s="278"/>
      <c r="D5" s="279"/>
      <c r="E5" s="153" t="s">
        <v>257</v>
      </c>
      <c r="F5" s="274" t="s">
        <v>810</v>
      </c>
      <c r="G5" s="274"/>
      <c r="H5" s="275"/>
      <c r="I5" s="154"/>
      <c r="J5" s="149"/>
      <c r="K5" s="149"/>
      <c r="L5" s="149"/>
      <c r="M5" s="146"/>
    </row>
    <row r="6" spans="1:22" ht="16.5" customHeight="1" x14ac:dyDescent="0.25">
      <c r="A6" s="153" t="s">
        <v>256</v>
      </c>
      <c r="B6" s="274" t="s">
        <v>809</v>
      </c>
      <c r="C6" s="274"/>
      <c r="D6" s="275"/>
      <c r="E6" s="153" t="s">
        <v>256</v>
      </c>
      <c r="F6" s="274" t="s">
        <v>475</v>
      </c>
      <c r="G6" s="274"/>
      <c r="H6" s="275"/>
      <c r="I6" s="154"/>
      <c r="J6" s="149"/>
      <c r="K6" s="149"/>
      <c r="L6" s="149"/>
      <c r="M6" s="146"/>
    </row>
    <row r="7" spans="1:22" ht="16.5" customHeight="1" x14ac:dyDescent="0.25">
      <c r="A7" s="148" t="s">
        <v>255</v>
      </c>
      <c r="B7" s="274" t="str">
        <f>_xlfn.XLOOKUP(J1,Tab_Def_Processes[Process_ID],Tab_Def_Processes[Input_Flow_I_3],"No_flow.",0,1)</f>
        <v>N.A.</v>
      </c>
      <c r="C7" s="274"/>
      <c r="D7" s="275"/>
      <c r="E7" s="148" t="s">
        <v>255</v>
      </c>
      <c r="F7" s="274" t="s">
        <v>476</v>
      </c>
      <c r="G7" s="274"/>
      <c r="H7" s="275"/>
      <c r="I7" s="155"/>
      <c r="J7" s="147"/>
      <c r="K7" s="147"/>
      <c r="L7" s="147"/>
      <c r="M7" s="146"/>
    </row>
    <row r="8" spans="1:22" ht="16.5" customHeight="1" x14ac:dyDescent="0.25">
      <c r="A8" s="148" t="s">
        <v>254</v>
      </c>
      <c r="B8" s="274" t="str">
        <f>_xlfn.XLOOKUP(J1,Tab_Def_Processes[Process_ID],Tab_Def_Processes[Input_Flow_I_4],"No_flow.",0,1)</f>
        <v>N.A.</v>
      </c>
      <c r="C8" s="274"/>
      <c r="D8" s="275"/>
      <c r="E8" s="148" t="s">
        <v>254</v>
      </c>
      <c r="F8" s="274" t="str">
        <f>_xlfn.XLOOKUP(J1,Tab_Def_Processes[Process_ID],Tab_Def_Processes[Output_Flow_O_4],"No_flow.",0,1)</f>
        <v>N.A.</v>
      </c>
      <c r="G8" s="274"/>
      <c r="H8" s="275"/>
      <c r="I8" s="155"/>
      <c r="J8" s="147"/>
      <c r="K8" s="147"/>
      <c r="L8" s="147"/>
      <c r="M8" s="146"/>
    </row>
    <row r="9" spans="1:22" ht="16.5" customHeight="1" x14ac:dyDescent="0.25">
      <c r="A9" s="148" t="s">
        <v>253</v>
      </c>
      <c r="B9" s="274" t="str">
        <f>_xlfn.XLOOKUP(J1,Tab_Def_Processes[Process_ID],Tab_Def_Processes[Input_Flow_I_5],"No_flow.",0,1)</f>
        <v>N.A.</v>
      </c>
      <c r="C9" s="274"/>
      <c r="D9" s="275"/>
      <c r="E9" s="148" t="s">
        <v>253</v>
      </c>
      <c r="F9" s="274" t="str">
        <f>_xlfn.XLOOKUP(J1,Tab_Def_Processes[Process_ID],Tab_Def_Processes[Output_Flow_O_5],"No_flow.",0,1)</f>
        <v>N.A.</v>
      </c>
      <c r="G9" s="274"/>
      <c r="H9" s="275"/>
      <c r="I9" s="155"/>
      <c r="J9" s="147"/>
      <c r="K9" s="147"/>
      <c r="L9" s="147"/>
      <c r="M9" s="146"/>
    </row>
    <row r="10" spans="1:22" ht="16.5" customHeight="1" thickBot="1" x14ac:dyDescent="0.3">
      <c r="A10" s="157" t="s">
        <v>252</v>
      </c>
      <c r="B10" s="276"/>
      <c r="C10" s="276"/>
      <c r="D10" s="277"/>
      <c r="E10" s="157" t="s">
        <v>252</v>
      </c>
      <c r="F10" s="276"/>
      <c r="G10" s="276"/>
      <c r="H10" s="277"/>
      <c r="I10" s="155"/>
      <c r="J10" s="147"/>
      <c r="K10" s="147"/>
      <c r="L10" s="147"/>
      <c r="M10" s="146"/>
    </row>
    <row r="11" spans="1:22" ht="16.5" thickBot="1" x14ac:dyDescent="0.3">
      <c r="A11" s="262" t="s">
        <v>251</v>
      </c>
      <c r="B11" s="263"/>
      <c r="C11" s="263"/>
      <c r="D11" s="263"/>
      <c r="E11" s="263"/>
      <c r="F11" s="263"/>
      <c r="G11" s="263"/>
      <c r="H11" s="263"/>
      <c r="I11" s="263"/>
      <c r="J11" s="263"/>
      <c r="K11" s="263"/>
      <c r="L11" s="263"/>
      <c r="M11" s="264"/>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0" t="s">
        <v>249</v>
      </c>
      <c r="B13" s="241"/>
      <c r="C13" s="241"/>
      <c r="D13" s="241"/>
      <c r="E13" s="241"/>
      <c r="F13" s="241"/>
      <c r="G13" s="241"/>
      <c r="H13" s="241"/>
      <c r="I13" s="241"/>
      <c r="J13" s="241"/>
      <c r="K13" s="241"/>
      <c r="L13" s="241"/>
      <c r="M13" s="242"/>
    </row>
    <row r="14" spans="1:22" ht="16.5" thickBot="1" x14ac:dyDescent="0.3">
      <c r="A14" s="103" t="s">
        <v>235</v>
      </c>
      <c r="B14" s="265" t="s">
        <v>247</v>
      </c>
      <c r="C14" s="266"/>
      <c r="D14" s="267"/>
      <c r="E14" s="268" t="s">
        <v>246</v>
      </c>
      <c r="F14" s="269"/>
      <c r="G14" s="269"/>
      <c r="H14" s="270"/>
      <c r="I14" s="271" t="s">
        <v>245</v>
      </c>
      <c r="J14" s="272"/>
      <c r="K14" s="272"/>
      <c r="L14" s="272"/>
      <c r="M14" s="273"/>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0.77519379844961245</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0.32558139534883723</v>
      </c>
      <c r="L16" s="116" t="s">
        <v>208</v>
      </c>
      <c r="M16" s="116"/>
    </row>
    <row r="17" spans="1:23" ht="23.25" customHeight="1" x14ac:dyDescent="0.25">
      <c r="A17" s="97" t="str">
        <f t="shared" ref="A17:A21" si="5">B6</f>
        <v>Water</v>
      </c>
      <c r="B17" s="73">
        <v>29</v>
      </c>
      <c r="C17" s="124">
        <f t="shared" si="0"/>
        <v>0.22480620155038761</v>
      </c>
      <c r="D17" s="123" t="s">
        <v>208</v>
      </c>
      <c r="E17" s="122">
        <v>0</v>
      </c>
      <c r="F17" s="72">
        <f t="shared" si="1"/>
        <v>0</v>
      </c>
      <c r="G17" s="121">
        <f t="shared" si="2"/>
        <v>0</v>
      </c>
      <c r="H17" s="120" t="s">
        <v>208</v>
      </c>
      <c r="I17" s="119">
        <f>1-E17</f>
        <v>1</v>
      </c>
      <c r="J17" s="71">
        <f t="shared" si="3"/>
        <v>29</v>
      </c>
      <c r="K17" s="139">
        <f t="shared" si="4"/>
        <v>0.67441860465116277</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235</v>
      </c>
      <c r="B23" s="256" t="s">
        <v>234</v>
      </c>
      <c r="C23" s="257"/>
      <c r="D23" s="257"/>
      <c r="E23" s="257"/>
      <c r="F23" s="257"/>
      <c r="G23" s="257"/>
      <c r="H23" s="258"/>
      <c r="I23" s="259" t="s">
        <v>233</v>
      </c>
      <c r="J23" s="260"/>
      <c r="K23" s="260"/>
      <c r="L23" s="260"/>
      <c r="M23" s="261"/>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44" t="s">
        <v>248</v>
      </c>
      <c r="B32" s="245"/>
      <c r="C32" s="245"/>
      <c r="D32" s="245"/>
      <c r="E32" s="245"/>
      <c r="F32" s="245"/>
      <c r="G32" s="245"/>
      <c r="H32" s="245"/>
      <c r="I32" s="245"/>
      <c r="J32" s="245"/>
      <c r="K32" s="245"/>
      <c r="L32" s="245"/>
      <c r="M32" s="246"/>
    </row>
    <row r="33" spans="1:18" ht="16.5" customHeight="1" thickBot="1" x14ac:dyDescent="0.3">
      <c r="A33" s="103" t="s">
        <v>235</v>
      </c>
      <c r="B33" s="247" t="s">
        <v>247</v>
      </c>
      <c r="C33" s="248"/>
      <c r="D33" s="249"/>
      <c r="E33" s="250" t="s">
        <v>246</v>
      </c>
      <c r="F33" s="251"/>
      <c r="G33" s="251"/>
      <c r="H33" s="252"/>
      <c r="I33" s="253" t="s">
        <v>245</v>
      </c>
      <c r="J33" s="254"/>
      <c r="K33" s="254"/>
      <c r="L33" s="254"/>
      <c r="M33" s="255"/>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f>C54/B17</f>
        <v>2.9655172413793105</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7: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56" t="s">
        <v>234</v>
      </c>
      <c r="C42" s="257"/>
      <c r="D42" s="257"/>
      <c r="E42" s="257"/>
      <c r="F42" s="257"/>
      <c r="G42" s="257"/>
      <c r="H42" s="258"/>
      <c r="I42" s="259" t="s">
        <v>233</v>
      </c>
      <c r="J42" s="260"/>
      <c r="K42" s="260"/>
      <c r="L42" s="260"/>
      <c r="M42" s="261"/>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3" t="s">
        <v>220</v>
      </c>
      <c r="B51" s="234"/>
      <c r="C51" s="234"/>
      <c r="D51" s="234"/>
      <c r="E51" s="235"/>
      <c r="F51" s="236" t="s">
        <v>219</v>
      </c>
      <c r="G51" s="237"/>
      <c r="H51" s="237"/>
      <c r="I51" s="237"/>
      <c r="J51" s="237"/>
      <c r="K51" s="237"/>
      <c r="L51" s="237"/>
      <c r="M51" s="238"/>
    </row>
    <row r="52" spans="1:18" ht="16.5" thickBot="1" x14ac:dyDescent="0.3">
      <c r="A52" s="4" t="s">
        <v>218</v>
      </c>
      <c r="B52" s="77" t="s">
        <v>217</v>
      </c>
      <c r="C52" s="76" t="s">
        <v>189</v>
      </c>
      <c r="D52" s="75" t="s">
        <v>188</v>
      </c>
      <c r="E52" s="74" t="s">
        <v>216</v>
      </c>
      <c r="F52" s="232"/>
      <c r="G52" s="232"/>
      <c r="H52" s="232"/>
      <c r="I52" s="232"/>
      <c r="J52" s="232"/>
      <c r="K52" s="232"/>
      <c r="L52" s="232"/>
      <c r="M52" s="239"/>
    </row>
    <row r="53" spans="1:18" ht="15.75" x14ac:dyDescent="0.25">
      <c r="A53" s="5" t="s">
        <v>215</v>
      </c>
      <c r="B53" s="73">
        <f>B22</f>
        <v>129</v>
      </c>
      <c r="C53" s="72">
        <f>F22</f>
        <v>86</v>
      </c>
      <c r="D53" s="71">
        <f>J22</f>
        <v>43</v>
      </c>
      <c r="E53" s="70">
        <f>C31</f>
        <v>41.28</v>
      </c>
      <c r="F53" s="232"/>
      <c r="G53" s="232"/>
      <c r="H53" s="232"/>
      <c r="I53" s="232"/>
      <c r="J53" s="232"/>
      <c r="K53" s="232"/>
      <c r="L53" s="232"/>
      <c r="M53" s="239"/>
      <c r="P53">
        <f>C53-C54</f>
        <v>0</v>
      </c>
      <c r="R53">
        <f>R50-R45</f>
        <v>0</v>
      </c>
    </row>
    <row r="54" spans="1:18" ht="16.5" thickBot="1" x14ac:dyDescent="0.3">
      <c r="A54" s="5" t="s">
        <v>214</v>
      </c>
      <c r="B54" s="73">
        <f>B41</f>
        <v>129</v>
      </c>
      <c r="C54" s="72">
        <f>F41</f>
        <v>86</v>
      </c>
      <c r="D54" s="71">
        <f>J41</f>
        <v>43</v>
      </c>
      <c r="E54" s="70">
        <f>C50</f>
        <v>41.28</v>
      </c>
      <c r="F54" s="232"/>
      <c r="G54" s="232"/>
      <c r="H54" s="232"/>
      <c r="I54" s="232"/>
      <c r="J54" s="232"/>
      <c r="K54" s="232"/>
      <c r="L54" s="232"/>
      <c r="M54" s="239"/>
    </row>
    <row r="55" spans="1:18" ht="15.75" x14ac:dyDescent="0.25">
      <c r="A55" s="4" t="s">
        <v>213</v>
      </c>
      <c r="B55" s="162">
        <f>B53-B54</f>
        <v>0</v>
      </c>
      <c r="C55" s="163">
        <f>C53-C54</f>
        <v>0</v>
      </c>
      <c r="D55" s="164">
        <f>D53-D54</f>
        <v>0</v>
      </c>
      <c r="E55" s="165">
        <f>E53-E54</f>
        <v>0</v>
      </c>
      <c r="F55" s="232"/>
      <c r="G55" s="232"/>
      <c r="H55" s="232"/>
      <c r="I55" s="232"/>
      <c r="J55" s="232"/>
      <c r="K55" s="232"/>
      <c r="L55" s="232"/>
      <c r="M55" s="239"/>
    </row>
    <row r="56" spans="1:18" ht="16.5" thickBot="1" x14ac:dyDescent="0.3">
      <c r="A56" s="7" t="s">
        <v>212</v>
      </c>
      <c r="B56" s="69">
        <f>B53/B54</f>
        <v>1</v>
      </c>
      <c r="C56" s="67">
        <f>C53/C54</f>
        <v>1</v>
      </c>
      <c r="D56" s="66">
        <f>D53/D54</f>
        <v>1</v>
      </c>
      <c r="E56" s="65">
        <f>E53/E54</f>
        <v>1</v>
      </c>
      <c r="F56" s="232"/>
      <c r="G56" s="232"/>
      <c r="H56" s="232"/>
      <c r="I56" s="232"/>
      <c r="J56" s="232"/>
      <c r="K56" s="232"/>
      <c r="L56" s="232"/>
      <c r="M56" s="239"/>
    </row>
    <row r="57" spans="1:18" ht="15.75" thickBot="1" x14ac:dyDescent="0.3">
      <c r="A57" s="233" t="s">
        <v>211</v>
      </c>
      <c r="B57" s="234"/>
      <c r="C57" s="234"/>
      <c r="D57" s="234"/>
      <c r="E57" s="235"/>
      <c r="F57" s="232"/>
      <c r="G57" s="232"/>
      <c r="H57" s="232"/>
      <c r="I57" s="232"/>
      <c r="J57" s="232"/>
      <c r="K57" s="232"/>
      <c r="L57" s="232"/>
      <c r="M57" s="239"/>
      <c r="Q57" s="230">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2"/>
      <c r="G58" s="232"/>
      <c r="H58" s="232"/>
      <c r="I58" s="232"/>
      <c r="J58" s="232"/>
      <c r="K58" s="232"/>
      <c r="L58" s="232"/>
      <c r="M58" s="239"/>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2"/>
      <c r="G59" s="232"/>
      <c r="H59" s="232"/>
      <c r="I59" s="232"/>
      <c r="J59" s="232"/>
      <c r="K59" s="232"/>
      <c r="L59" s="232"/>
      <c r="M59" s="239"/>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2"/>
      <c r="G60" s="232"/>
      <c r="H60" s="232"/>
      <c r="I60" s="232"/>
      <c r="J60" s="232"/>
      <c r="K60" s="232"/>
      <c r="L60" s="232"/>
      <c r="M60" s="239"/>
    </row>
    <row r="61" spans="1:18" ht="16.5" thickBot="1" x14ac:dyDescent="0.3">
      <c r="A61" s="7" t="str">
        <f t="shared" si="38"/>
        <v>N.A.</v>
      </c>
      <c r="B61" s="68">
        <f t="shared" si="39"/>
        <v>0</v>
      </c>
      <c r="C61" s="67">
        <f>($G$41*F38)/($B$22*$E$22)</f>
        <v>0</v>
      </c>
      <c r="D61" s="66">
        <f t="shared" si="40"/>
        <v>0</v>
      </c>
      <c r="E61" s="65">
        <f t="shared" si="41"/>
        <v>0</v>
      </c>
      <c r="F61" s="232"/>
      <c r="G61" s="232"/>
      <c r="H61" s="232"/>
      <c r="I61" s="232"/>
      <c r="J61" s="232"/>
      <c r="K61" s="232"/>
      <c r="L61" s="232"/>
      <c r="M61" s="239"/>
    </row>
    <row r="62" spans="1:18" ht="16.5" thickBot="1" x14ac:dyDescent="0.3">
      <c r="A62" s="7" t="str">
        <f t="shared" si="38"/>
        <v>N.A.</v>
      </c>
      <c r="B62" s="68">
        <f t="shared" si="39"/>
        <v>0</v>
      </c>
      <c r="C62" s="67">
        <f>(B39*E39)/($B$22*$E$22)</f>
        <v>0</v>
      </c>
      <c r="D62" s="66">
        <f t="shared" si="40"/>
        <v>0</v>
      </c>
      <c r="E62" s="65">
        <f t="shared" si="41"/>
        <v>0</v>
      </c>
      <c r="F62" s="232"/>
      <c r="G62" s="232"/>
      <c r="H62" s="232"/>
      <c r="I62" s="232"/>
      <c r="J62" s="232"/>
      <c r="K62" s="232"/>
      <c r="L62" s="232"/>
      <c r="M62" s="239"/>
    </row>
    <row r="63" spans="1:18" ht="16.5" thickBot="1" x14ac:dyDescent="0.3">
      <c r="A63" s="7">
        <f t="shared" si="38"/>
        <v>0</v>
      </c>
      <c r="B63" s="68">
        <f t="shared" si="39"/>
        <v>0</v>
      </c>
      <c r="C63" s="67">
        <f>(B40*E40)/($B$22*$E$22)</f>
        <v>0</v>
      </c>
      <c r="D63" s="66">
        <f t="shared" si="40"/>
        <v>0</v>
      </c>
      <c r="E63" s="65">
        <f t="shared" si="41"/>
        <v>0</v>
      </c>
      <c r="F63" s="232"/>
      <c r="G63" s="232"/>
      <c r="H63" s="232"/>
      <c r="I63" s="232"/>
      <c r="J63" s="232"/>
      <c r="K63" s="232"/>
      <c r="L63" s="232"/>
      <c r="M63" s="239"/>
    </row>
    <row r="64" spans="1:18" ht="16.5" thickBot="1" x14ac:dyDescent="0.3">
      <c r="A64" s="4" t="s">
        <v>210</v>
      </c>
      <c r="B64" s="158">
        <f>SUM(B58:B63)</f>
        <v>0.99999999999999978</v>
      </c>
      <c r="C64" s="159">
        <f>SUM(C58:C63)</f>
        <v>1</v>
      </c>
      <c r="D64" s="160">
        <f>SUM(D58:D63)</f>
        <v>1</v>
      </c>
      <c r="E64" s="161">
        <f>SUM(E58:E63)</f>
        <v>1</v>
      </c>
      <c r="F64" s="232"/>
      <c r="G64" s="232"/>
      <c r="H64" s="232"/>
      <c r="I64" s="232"/>
      <c r="J64" s="232"/>
      <c r="K64" s="232"/>
      <c r="L64" s="232"/>
      <c r="M64" s="239"/>
    </row>
    <row r="65" spans="1:13" ht="16.5" thickBot="1" x14ac:dyDescent="0.3">
      <c r="A65" s="240" t="s">
        <v>209</v>
      </c>
      <c r="B65" s="241"/>
      <c r="C65" s="241"/>
      <c r="D65" s="241"/>
      <c r="E65" s="241"/>
      <c r="F65" s="241"/>
      <c r="G65" s="241"/>
      <c r="H65" s="241"/>
      <c r="I65" s="241"/>
      <c r="J65" s="241"/>
      <c r="K65" s="241"/>
      <c r="L65" s="241"/>
      <c r="M65" s="242"/>
    </row>
    <row r="66" spans="1:13" x14ac:dyDescent="0.25">
      <c r="A66" s="5" t="s">
        <v>208</v>
      </c>
      <c r="B66" s="243" t="s">
        <v>207</v>
      </c>
      <c r="C66" s="243"/>
      <c r="D66" s="243"/>
      <c r="E66" s="243"/>
      <c r="F66" s="243"/>
      <c r="G66" s="5" t="s">
        <v>206</v>
      </c>
      <c r="M66" s="59"/>
    </row>
    <row r="67" spans="1:13" ht="18.75" customHeight="1" x14ac:dyDescent="0.25">
      <c r="A67" s="5" t="s">
        <v>205</v>
      </c>
      <c r="B67" s="232" t="s">
        <v>192</v>
      </c>
      <c r="C67" s="232"/>
      <c r="D67" s="232"/>
      <c r="E67" s="232"/>
      <c r="F67" s="232"/>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80" t="str">
        <f>'2_1_Definition_Processes'!D2</f>
        <v>Atmosphere</v>
      </c>
      <c r="C1" s="280"/>
      <c r="D1" s="280"/>
      <c r="E1" s="280"/>
      <c r="F1" s="280"/>
      <c r="G1" s="280"/>
      <c r="H1" s="280"/>
      <c r="I1" s="152" t="s">
        <v>261</v>
      </c>
      <c r="J1" s="281" t="s">
        <v>133</v>
      </c>
      <c r="K1" s="281"/>
      <c r="L1" s="281"/>
      <c r="M1" s="281"/>
    </row>
    <row r="2" spans="1:22" ht="16.5" thickBot="1" x14ac:dyDescent="0.3">
      <c r="A2" s="262" t="s">
        <v>260</v>
      </c>
      <c r="B2" s="263"/>
      <c r="C2" s="263"/>
      <c r="D2" s="263"/>
      <c r="E2" s="263"/>
      <c r="F2" s="263"/>
      <c r="G2" s="263"/>
      <c r="H2" s="263"/>
      <c r="I2" s="263"/>
      <c r="J2" s="263"/>
      <c r="K2" s="263"/>
      <c r="L2" s="263"/>
      <c r="M2" s="264"/>
    </row>
    <row r="3" spans="1:22" ht="126.75" customHeight="1" thickBot="1" x14ac:dyDescent="0.3">
      <c r="A3" s="282"/>
      <c r="B3" s="283"/>
      <c r="C3" s="283"/>
      <c r="D3" s="283"/>
      <c r="E3" s="283"/>
      <c r="F3" s="283"/>
      <c r="G3" s="283"/>
      <c r="H3" s="283"/>
      <c r="I3" s="283"/>
      <c r="J3" s="283"/>
      <c r="K3" s="283"/>
      <c r="L3" s="283"/>
      <c r="M3" s="284"/>
    </row>
    <row r="4" spans="1:22" ht="31.5" customHeight="1" x14ac:dyDescent="0.25">
      <c r="A4" s="151" t="s">
        <v>259</v>
      </c>
      <c r="B4" s="285"/>
      <c r="C4" s="286"/>
      <c r="D4" s="287"/>
      <c r="E4" s="288" t="s">
        <v>258</v>
      </c>
      <c r="F4" s="289"/>
      <c r="G4" s="156"/>
      <c r="H4" s="156"/>
      <c r="I4" s="150"/>
      <c r="J4" s="150"/>
      <c r="K4" s="150"/>
      <c r="L4" s="150"/>
      <c r="M4" s="150"/>
    </row>
    <row r="5" spans="1:22" ht="16.5" customHeight="1" x14ac:dyDescent="0.25">
      <c r="A5" s="153" t="s">
        <v>257</v>
      </c>
      <c r="B5" s="278" t="s">
        <v>444</v>
      </c>
      <c r="C5" s="278"/>
      <c r="D5" s="279"/>
      <c r="E5" s="153" t="s">
        <v>257</v>
      </c>
      <c r="F5" s="274" t="str">
        <f>_xlfn.XLOOKUP(J1,Tab_Def_Processes[Process_ID],Tab_Def_Processes[Output_Flow_O_1],"No_flow.",0,1)</f>
        <v>Wheat Plant</v>
      </c>
      <c r="G5" s="274"/>
      <c r="H5" s="275"/>
      <c r="I5" s="154"/>
      <c r="J5" s="149"/>
      <c r="K5" s="149"/>
      <c r="L5" s="149"/>
      <c r="M5" s="146"/>
    </row>
    <row r="6" spans="1:22" ht="16.5" customHeight="1" x14ac:dyDescent="0.25">
      <c r="A6" s="153" t="s">
        <v>256</v>
      </c>
      <c r="B6" s="274" t="s">
        <v>445</v>
      </c>
      <c r="C6" s="274"/>
      <c r="D6" s="275"/>
      <c r="E6" s="153" t="s">
        <v>256</v>
      </c>
      <c r="F6" s="274" t="str">
        <f>_xlfn.XLOOKUP(J1,Tab_Def_Processes[Process_ID],Tab_Def_Processes[Output_Flow_O_2],"No_flow.",0,1)</f>
        <v>N.A.</v>
      </c>
      <c r="G6" s="274"/>
      <c r="H6" s="275"/>
      <c r="I6" s="154"/>
      <c r="J6" s="149"/>
      <c r="K6" s="149"/>
      <c r="L6" s="149"/>
      <c r="M6" s="146"/>
    </row>
    <row r="7" spans="1:22" ht="16.5" customHeight="1" x14ac:dyDescent="0.25">
      <c r="A7" s="148" t="s">
        <v>255</v>
      </c>
      <c r="B7" s="274" t="str">
        <f>_xlfn.XLOOKUP(J1,Tab_Def_Processes[Process_ID],Tab_Def_Processes[Input_Flow_I_3],"No_flow.",0,1)</f>
        <v>N.A.</v>
      </c>
      <c r="C7" s="274"/>
      <c r="D7" s="275"/>
      <c r="E7" s="148" t="s">
        <v>255</v>
      </c>
      <c r="F7" s="274" t="str">
        <f>_xlfn.XLOOKUP(J1,Tab_Def_Processes[Process_ID],Tab_Def_Processes[Output_Flow_O_3],"No_flow.",0,1)</f>
        <v>N.A.</v>
      </c>
      <c r="G7" s="274"/>
      <c r="H7" s="275"/>
      <c r="I7" s="155"/>
      <c r="J7" s="147"/>
      <c r="K7" s="147"/>
      <c r="L7" s="147"/>
      <c r="M7" s="146"/>
    </row>
    <row r="8" spans="1:22" ht="16.5" customHeight="1" x14ac:dyDescent="0.25">
      <c r="A8" s="148" t="s">
        <v>254</v>
      </c>
      <c r="B8" s="274" t="str">
        <f>_xlfn.XLOOKUP(J1,Tab_Def_Processes[Process_ID],Tab_Def_Processes[Input_Flow_I_4],"No_flow.",0,1)</f>
        <v>N.A.</v>
      </c>
      <c r="C8" s="274"/>
      <c r="D8" s="275"/>
      <c r="E8" s="148" t="s">
        <v>254</v>
      </c>
      <c r="F8" s="274" t="str">
        <f>_xlfn.XLOOKUP(J1,Tab_Def_Processes[Process_ID],Tab_Def_Processes[Output_Flow_O_4],"No_flow.",0,1)</f>
        <v>N.A.</v>
      </c>
      <c r="G8" s="274"/>
      <c r="H8" s="275"/>
      <c r="I8" s="155"/>
      <c r="J8" s="147"/>
      <c r="K8" s="147"/>
      <c r="L8" s="147"/>
      <c r="M8" s="146"/>
    </row>
    <row r="9" spans="1:22" ht="16.5" customHeight="1" x14ac:dyDescent="0.25">
      <c r="A9" s="148" t="s">
        <v>253</v>
      </c>
      <c r="B9" s="274" t="str">
        <f>_xlfn.XLOOKUP(J1,Tab_Def_Processes[Process_ID],Tab_Def_Processes[Input_Flow_I_5],"No_flow.",0,1)</f>
        <v>N.A.</v>
      </c>
      <c r="C9" s="274"/>
      <c r="D9" s="275"/>
      <c r="E9" s="148" t="s">
        <v>253</v>
      </c>
      <c r="F9" s="274" t="str">
        <f>_xlfn.XLOOKUP(J1,Tab_Def_Processes[Process_ID],Tab_Def_Processes[Output_Flow_O_5],"No_flow.",0,1)</f>
        <v>N.A.</v>
      </c>
      <c r="G9" s="274"/>
      <c r="H9" s="275"/>
      <c r="I9" s="155"/>
      <c r="J9" s="147"/>
      <c r="K9" s="147"/>
      <c r="L9" s="147"/>
      <c r="M9" s="146"/>
    </row>
    <row r="10" spans="1:22" ht="16.5" customHeight="1" thickBot="1" x14ac:dyDescent="0.3">
      <c r="A10" s="157" t="s">
        <v>252</v>
      </c>
      <c r="B10" s="276"/>
      <c r="C10" s="276"/>
      <c r="D10" s="277"/>
      <c r="E10" s="157" t="s">
        <v>252</v>
      </c>
      <c r="F10" s="276"/>
      <c r="G10" s="276"/>
      <c r="H10" s="277"/>
      <c r="I10" s="155"/>
      <c r="J10" s="147"/>
      <c r="K10" s="147"/>
      <c r="L10" s="147"/>
      <c r="M10" s="146"/>
    </row>
    <row r="11" spans="1:22" ht="16.5" thickBot="1" x14ac:dyDescent="0.3">
      <c r="A11" s="262" t="s">
        <v>251</v>
      </c>
      <c r="B11" s="263"/>
      <c r="C11" s="263"/>
      <c r="D11" s="263"/>
      <c r="E11" s="263"/>
      <c r="F11" s="263"/>
      <c r="G11" s="263"/>
      <c r="H11" s="263"/>
      <c r="I11" s="263"/>
      <c r="J11" s="263"/>
      <c r="K11" s="263"/>
      <c r="L11" s="263"/>
      <c r="M11" s="264"/>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0" t="s">
        <v>249</v>
      </c>
      <c r="B13" s="241"/>
      <c r="C13" s="241"/>
      <c r="D13" s="241"/>
      <c r="E13" s="241"/>
      <c r="F13" s="241"/>
      <c r="G13" s="241"/>
      <c r="H13" s="241"/>
      <c r="I13" s="241"/>
      <c r="J13" s="241"/>
      <c r="K13" s="241"/>
      <c r="L13" s="241"/>
      <c r="M13" s="242"/>
    </row>
    <row r="14" spans="1:22" ht="16.5" thickBot="1" x14ac:dyDescent="0.3">
      <c r="A14" s="103" t="s">
        <v>235</v>
      </c>
      <c r="B14" s="265" t="s">
        <v>247</v>
      </c>
      <c r="C14" s="266"/>
      <c r="D14" s="267"/>
      <c r="E14" s="268" t="s">
        <v>246</v>
      </c>
      <c r="F14" s="269"/>
      <c r="G14" s="269"/>
      <c r="H14" s="270"/>
      <c r="I14" s="271" t="s">
        <v>245</v>
      </c>
      <c r="J14" s="272"/>
      <c r="K14" s="272"/>
      <c r="L14" s="272"/>
      <c r="M14" s="273"/>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56" t="s">
        <v>234</v>
      </c>
      <c r="C23" s="257"/>
      <c r="D23" s="257"/>
      <c r="E23" s="257"/>
      <c r="F23" s="257"/>
      <c r="G23" s="257"/>
      <c r="H23" s="258"/>
      <c r="I23" s="259" t="s">
        <v>233</v>
      </c>
      <c r="J23" s="260"/>
      <c r="K23" s="260"/>
      <c r="L23" s="260"/>
      <c r="M23" s="261"/>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44" t="s">
        <v>248</v>
      </c>
      <c r="B32" s="245"/>
      <c r="C32" s="245"/>
      <c r="D32" s="245"/>
      <c r="E32" s="245"/>
      <c r="F32" s="245"/>
      <c r="G32" s="245"/>
      <c r="H32" s="245"/>
      <c r="I32" s="245"/>
      <c r="J32" s="245"/>
      <c r="K32" s="245"/>
      <c r="L32" s="245"/>
      <c r="M32" s="246"/>
    </row>
    <row r="33" spans="1:18" ht="16.5" customHeight="1" thickBot="1" x14ac:dyDescent="0.3">
      <c r="A33" s="103" t="s">
        <v>235</v>
      </c>
      <c r="B33" s="247" t="s">
        <v>247</v>
      </c>
      <c r="C33" s="248"/>
      <c r="D33" s="249"/>
      <c r="E33" s="250" t="s">
        <v>246</v>
      </c>
      <c r="F33" s="251"/>
      <c r="G33" s="251"/>
      <c r="H33" s="252"/>
      <c r="I33" s="253" t="s">
        <v>245</v>
      </c>
      <c r="J33" s="254"/>
      <c r="K33" s="254"/>
      <c r="L33" s="254"/>
      <c r="M33" s="255"/>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56" t="s">
        <v>234</v>
      </c>
      <c r="C42" s="257"/>
      <c r="D42" s="257"/>
      <c r="E42" s="257"/>
      <c r="F42" s="257"/>
      <c r="G42" s="257"/>
      <c r="H42" s="258"/>
      <c r="I42" s="259" t="s">
        <v>233</v>
      </c>
      <c r="J42" s="260"/>
      <c r="K42" s="260"/>
      <c r="L42" s="260"/>
      <c r="M42" s="261"/>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3" t="s">
        <v>220</v>
      </c>
      <c r="B51" s="234"/>
      <c r="C51" s="234"/>
      <c r="D51" s="234"/>
      <c r="E51" s="235"/>
      <c r="F51" s="236" t="s">
        <v>219</v>
      </c>
      <c r="G51" s="237"/>
      <c r="H51" s="237"/>
      <c r="I51" s="237"/>
      <c r="J51" s="237"/>
      <c r="K51" s="237"/>
      <c r="L51" s="237"/>
      <c r="M51" s="238"/>
    </row>
    <row r="52" spans="1:17" ht="16.5" thickBot="1" x14ac:dyDescent="0.3">
      <c r="A52" s="4" t="s">
        <v>218</v>
      </c>
      <c r="B52" s="77" t="s">
        <v>217</v>
      </c>
      <c r="C52" s="76" t="s">
        <v>189</v>
      </c>
      <c r="D52" s="75" t="s">
        <v>188</v>
      </c>
      <c r="E52" s="74" t="s">
        <v>216</v>
      </c>
      <c r="F52" s="232"/>
      <c r="G52" s="232"/>
      <c r="H52" s="232"/>
      <c r="I52" s="232"/>
      <c r="J52" s="232"/>
      <c r="K52" s="232"/>
      <c r="L52" s="232"/>
      <c r="M52" s="239"/>
    </row>
    <row r="53" spans="1:17" ht="15.75" x14ac:dyDescent="0.25">
      <c r="A53" s="5" t="s">
        <v>215</v>
      </c>
      <c r="B53" s="73">
        <f>B22</f>
        <v>721668.05</v>
      </c>
      <c r="C53" s="72">
        <f>F22</f>
        <v>101033.52700000002</v>
      </c>
      <c r="D53" s="71">
        <f>J22</f>
        <v>620634.52299999993</v>
      </c>
      <c r="E53" s="70">
        <f>C31</f>
        <v>297904.57</v>
      </c>
      <c r="F53" s="232"/>
      <c r="G53" s="232"/>
      <c r="H53" s="232"/>
      <c r="I53" s="232"/>
      <c r="J53" s="232"/>
      <c r="K53" s="232"/>
      <c r="L53" s="232"/>
      <c r="M53" s="239"/>
    </row>
    <row r="54" spans="1:17" ht="16.5" thickBot="1" x14ac:dyDescent="0.3">
      <c r="A54" s="5" t="s">
        <v>214</v>
      </c>
      <c r="B54" s="73">
        <f>B41</f>
        <v>721668.05</v>
      </c>
      <c r="C54" s="72">
        <f>F41</f>
        <v>101033.52700000002</v>
      </c>
      <c r="D54" s="71">
        <f>J41</f>
        <v>620634.52300000004</v>
      </c>
      <c r="E54" s="70">
        <f>C50</f>
        <v>297904.57104000001</v>
      </c>
      <c r="F54" s="232"/>
      <c r="G54" s="232"/>
      <c r="H54" s="232"/>
      <c r="I54" s="232"/>
      <c r="J54" s="232"/>
      <c r="K54" s="232"/>
      <c r="L54" s="232"/>
      <c r="M54" s="239"/>
    </row>
    <row r="55" spans="1:17" ht="15.75" x14ac:dyDescent="0.25">
      <c r="A55" s="4" t="s">
        <v>213</v>
      </c>
      <c r="B55" s="162">
        <f>B53-B54</f>
        <v>0</v>
      </c>
      <c r="C55" s="163">
        <f>C53-C54</f>
        <v>0</v>
      </c>
      <c r="D55" s="164">
        <f>D53-D54</f>
        <v>0</v>
      </c>
      <c r="E55" s="165">
        <f>E53-E54</f>
        <v>-1.0400000028312206E-3</v>
      </c>
      <c r="F55" s="232"/>
      <c r="G55" s="232"/>
      <c r="H55" s="232"/>
      <c r="I55" s="232"/>
      <c r="J55" s="232"/>
      <c r="K55" s="232"/>
      <c r="L55" s="232"/>
      <c r="M55" s="239"/>
    </row>
    <row r="56" spans="1:17" ht="16.5" thickBot="1" x14ac:dyDescent="0.3">
      <c r="A56" s="7" t="s">
        <v>212</v>
      </c>
      <c r="B56" s="69">
        <f>B53/B54</f>
        <v>1</v>
      </c>
      <c r="C56" s="67">
        <f>C53/C54</f>
        <v>1</v>
      </c>
      <c r="D56" s="66">
        <f>D53/D54</f>
        <v>0.99999999999999978</v>
      </c>
      <c r="E56" s="65">
        <f>E53/E54</f>
        <v>0.99999999650894911</v>
      </c>
      <c r="F56" s="232"/>
      <c r="G56" s="232"/>
      <c r="H56" s="232"/>
      <c r="I56" s="232"/>
      <c r="J56" s="232"/>
      <c r="K56" s="232"/>
      <c r="L56" s="232"/>
      <c r="M56" s="239"/>
    </row>
    <row r="57" spans="1:17" ht="15.75" thickBot="1" x14ac:dyDescent="0.3">
      <c r="A57" s="233" t="s">
        <v>211</v>
      </c>
      <c r="B57" s="234"/>
      <c r="C57" s="234"/>
      <c r="D57" s="234"/>
      <c r="E57" s="235"/>
      <c r="F57" s="232"/>
      <c r="G57" s="232"/>
      <c r="H57" s="232"/>
      <c r="I57" s="232"/>
      <c r="J57" s="232"/>
      <c r="K57" s="232"/>
      <c r="L57" s="232"/>
      <c r="M57" s="239"/>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2"/>
      <c r="G58" s="232"/>
      <c r="H58" s="232"/>
      <c r="I58" s="232"/>
      <c r="J58" s="232"/>
      <c r="K58" s="232"/>
      <c r="L58" s="232"/>
      <c r="M58" s="239"/>
    </row>
    <row r="59" spans="1:17" ht="16.5" thickBot="1" x14ac:dyDescent="0.3">
      <c r="A59" s="7" t="str">
        <f t="shared" si="35"/>
        <v>N.A.</v>
      </c>
      <c r="B59" s="68">
        <f t="shared" si="36"/>
        <v>0</v>
      </c>
      <c r="C59" s="67">
        <f>(E36*B36)/($B$22*$E$22)</f>
        <v>0</v>
      </c>
      <c r="D59" s="66">
        <f t="shared" si="37"/>
        <v>0</v>
      </c>
      <c r="E59" s="65" t="e">
        <f t="shared" si="38"/>
        <v>#DIV/0!</v>
      </c>
      <c r="F59" s="232"/>
      <c r="G59" s="232"/>
      <c r="H59" s="232"/>
      <c r="I59" s="232"/>
      <c r="J59" s="232"/>
      <c r="K59" s="232"/>
      <c r="L59" s="232"/>
      <c r="M59" s="239"/>
    </row>
    <row r="60" spans="1:17" ht="16.5" thickBot="1" x14ac:dyDescent="0.3">
      <c r="A60" s="7" t="str">
        <f t="shared" si="35"/>
        <v>N.A.</v>
      </c>
      <c r="B60" s="68">
        <f t="shared" si="36"/>
        <v>0</v>
      </c>
      <c r="C60" s="67">
        <f>(E37*B37)/($B$22*$E$22)</f>
        <v>0</v>
      </c>
      <c r="D60" s="66">
        <f t="shared" si="37"/>
        <v>0</v>
      </c>
      <c r="E60" s="65" t="e">
        <f t="shared" si="38"/>
        <v>#DIV/0!</v>
      </c>
      <c r="F60" s="232"/>
      <c r="G60" s="232"/>
      <c r="H60" s="232"/>
      <c r="I60" s="232"/>
      <c r="J60" s="232"/>
      <c r="K60" s="232"/>
      <c r="L60" s="232"/>
      <c r="M60" s="239"/>
    </row>
    <row r="61" spans="1:17" ht="16.5" thickBot="1" x14ac:dyDescent="0.3">
      <c r="A61" s="7" t="str">
        <f t="shared" si="35"/>
        <v>N.A.</v>
      </c>
      <c r="B61" s="68">
        <f t="shared" si="36"/>
        <v>0</v>
      </c>
      <c r="C61" s="67">
        <f>($G$41*F38)/($B$22*$E$22)</f>
        <v>0</v>
      </c>
      <c r="D61" s="66">
        <f t="shared" si="37"/>
        <v>0</v>
      </c>
      <c r="E61" s="65" t="e">
        <f t="shared" si="38"/>
        <v>#DIV/0!</v>
      </c>
      <c r="F61" s="232"/>
      <c r="G61" s="232"/>
      <c r="H61" s="232"/>
      <c r="I61" s="232"/>
      <c r="J61" s="232"/>
      <c r="K61" s="232"/>
      <c r="L61" s="232"/>
      <c r="M61" s="239"/>
    </row>
    <row r="62" spans="1:17" ht="16.5" thickBot="1" x14ac:dyDescent="0.3">
      <c r="A62" s="7" t="str">
        <f t="shared" si="35"/>
        <v>N.A.</v>
      </c>
      <c r="B62" s="68">
        <f t="shared" si="36"/>
        <v>0</v>
      </c>
      <c r="C62" s="67">
        <f>(B39*E39)/($B$22*$E$22)</f>
        <v>0</v>
      </c>
      <c r="D62" s="66">
        <f t="shared" si="37"/>
        <v>0</v>
      </c>
      <c r="E62" s="65" t="e">
        <f t="shared" si="38"/>
        <v>#DIV/0!</v>
      </c>
      <c r="F62" s="232"/>
      <c r="G62" s="232"/>
      <c r="H62" s="232"/>
      <c r="I62" s="232"/>
      <c r="J62" s="232"/>
      <c r="K62" s="232"/>
      <c r="L62" s="232"/>
      <c r="M62" s="239"/>
    </row>
    <row r="63" spans="1:17" ht="16.5" thickBot="1" x14ac:dyDescent="0.3">
      <c r="A63" s="7">
        <f t="shared" si="35"/>
        <v>0</v>
      </c>
      <c r="B63" s="68">
        <f t="shared" si="36"/>
        <v>0</v>
      </c>
      <c r="C63" s="67">
        <f>(B40*E40)/($B$22*$E$22)</f>
        <v>0</v>
      </c>
      <c r="D63" s="66">
        <f t="shared" si="37"/>
        <v>0</v>
      </c>
      <c r="E63" s="65" t="e">
        <f t="shared" si="38"/>
        <v>#DIV/0!</v>
      </c>
      <c r="F63" s="232"/>
      <c r="G63" s="232"/>
      <c r="H63" s="232"/>
      <c r="I63" s="232"/>
      <c r="J63" s="232"/>
      <c r="K63" s="232"/>
      <c r="L63" s="232"/>
      <c r="M63" s="239"/>
    </row>
    <row r="64" spans="1:17" ht="16.5" thickBot="1" x14ac:dyDescent="0.3">
      <c r="A64" s="4" t="s">
        <v>210</v>
      </c>
      <c r="B64" s="158">
        <f>SUM(B58:B63)</f>
        <v>1</v>
      </c>
      <c r="C64" s="159">
        <f>SUM(C58:C63)</f>
        <v>1</v>
      </c>
      <c r="D64" s="160">
        <f>SUM(D58:D63)</f>
        <v>1.0000000000000002</v>
      </c>
      <c r="E64" s="161" t="e">
        <f>SUM(E58:E63)</f>
        <v>#DIV/0!</v>
      </c>
      <c r="F64" s="232"/>
      <c r="G64" s="232"/>
      <c r="H64" s="232"/>
      <c r="I64" s="232"/>
      <c r="J64" s="232"/>
      <c r="K64" s="232"/>
      <c r="L64" s="232"/>
      <c r="M64" s="239"/>
    </row>
    <row r="65" spans="1:13" ht="16.5" thickBot="1" x14ac:dyDescent="0.3">
      <c r="A65" s="240" t="s">
        <v>209</v>
      </c>
      <c r="B65" s="241"/>
      <c r="C65" s="241"/>
      <c r="D65" s="241"/>
      <c r="E65" s="241"/>
      <c r="F65" s="241"/>
      <c r="G65" s="241"/>
      <c r="H65" s="241"/>
      <c r="I65" s="241"/>
      <c r="J65" s="241"/>
      <c r="K65" s="241"/>
      <c r="L65" s="241"/>
      <c r="M65" s="242"/>
    </row>
    <row r="66" spans="1:13" x14ac:dyDescent="0.25">
      <c r="A66" s="5" t="s">
        <v>208</v>
      </c>
      <c r="B66" s="243" t="s">
        <v>207</v>
      </c>
      <c r="C66" s="243"/>
      <c r="D66" s="243"/>
      <c r="E66" s="243"/>
      <c r="F66" s="243"/>
      <c r="G66" s="5" t="s">
        <v>206</v>
      </c>
      <c r="M66" s="59"/>
    </row>
    <row r="67" spans="1:13" ht="18.75" customHeight="1" x14ac:dyDescent="0.25">
      <c r="A67" s="5" t="s">
        <v>205</v>
      </c>
      <c r="B67" s="232" t="s">
        <v>192</v>
      </c>
      <c r="C67" s="232"/>
      <c r="D67" s="232"/>
      <c r="E67" s="232"/>
      <c r="F67" s="232"/>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90" t="s">
        <v>341</v>
      </c>
      <c r="B1" s="290"/>
      <c r="C1" s="290"/>
      <c r="E1" s="290" t="s">
        <v>342</v>
      </c>
      <c r="F1" s="290"/>
      <c r="G1" s="290"/>
    </row>
    <row r="2" spans="1:12" x14ac:dyDescent="0.25">
      <c r="A2" s="22" t="s">
        <v>32</v>
      </c>
      <c r="B2" s="22" t="s">
        <v>33</v>
      </c>
      <c r="C2" s="22" t="s">
        <v>6</v>
      </c>
      <c r="E2" s="22" t="s">
        <v>32</v>
      </c>
      <c r="F2" s="22" t="s">
        <v>33</v>
      </c>
      <c r="G2" s="22" t="s">
        <v>6</v>
      </c>
      <c r="J2" s="291" t="s">
        <v>63</v>
      </c>
      <c r="K2" s="291"/>
      <c r="L2" s="291"/>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90" t="s">
        <v>343</v>
      </c>
      <c r="B9" s="290"/>
      <c r="C9" s="290"/>
      <c r="J9">
        <v>6</v>
      </c>
    </row>
    <row r="10" spans="1:12" x14ac:dyDescent="0.25">
      <c r="A10" t="s">
        <v>32</v>
      </c>
      <c r="B10" t="s">
        <v>218</v>
      </c>
      <c r="C10" t="s">
        <v>6</v>
      </c>
      <c r="E10" s="290"/>
      <c r="F10" s="290"/>
      <c r="G10" s="290"/>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90" t="s">
        <v>462</v>
      </c>
      <c r="B20" s="290"/>
      <c r="C20" s="290"/>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1" t="s">
        <v>63</v>
      </c>
      <c r="K28" s="291"/>
      <c r="L28" s="291"/>
    </row>
    <row r="29" spans="1:12" x14ac:dyDescent="0.25">
      <c r="J29" s="2" t="s">
        <v>32</v>
      </c>
      <c r="K29" s="2" t="s">
        <v>33</v>
      </c>
      <c r="L29" s="2" t="s">
        <v>6</v>
      </c>
    </row>
    <row r="30" spans="1:12" x14ac:dyDescent="0.25">
      <c r="J30" s="3">
        <v>1</v>
      </c>
      <c r="K30" s="3" t="s">
        <v>100</v>
      </c>
      <c r="L30" s="3" t="s">
        <v>100</v>
      </c>
    </row>
    <row r="31" spans="1:12" x14ac:dyDescent="0.25">
      <c r="A31" s="290" t="s">
        <v>344</v>
      </c>
      <c r="B31" s="290"/>
      <c r="C31" s="290"/>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90" t="s">
        <v>349</v>
      </c>
      <c r="B38" s="290"/>
      <c r="C38" s="290"/>
    </row>
    <row r="39" spans="1:12" x14ac:dyDescent="0.25">
      <c r="A39" t="s">
        <v>311</v>
      </c>
      <c r="B39" t="s">
        <v>350</v>
      </c>
      <c r="C39" t="s">
        <v>6</v>
      </c>
    </row>
    <row r="40" spans="1:12" x14ac:dyDescent="0.25">
      <c r="A40">
        <v>1</v>
      </c>
      <c r="B40" t="s">
        <v>312</v>
      </c>
      <c r="F40" s="290" t="s">
        <v>64</v>
      </c>
      <c r="G40" s="290"/>
      <c r="H40" s="290"/>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90" t="s">
        <v>351</v>
      </c>
      <c r="B51" s="290"/>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2025-09-16T11:15:37Z</dcterms:modified>
</cp:coreProperties>
</file>