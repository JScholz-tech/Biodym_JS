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ABFBF325-75E1-4717-86BB-730271A01414}" xr6:coauthVersionLast="47" xr6:coauthVersionMax="47" xr10:uidLastSave="{00000000-0000-0000-0000-000000000000}"/>
  <bookViews>
    <workbookView xWindow="-120" yWindow="-120" windowWidth="38640" windowHeight="21120" tabRatio="840" firstSheet="7" activeTab="7" xr2:uid="{00000000-000D-0000-FFFF-FFFF00000000}"/>
  </bookViews>
  <sheets>
    <sheet name="Version_CS2_08.05."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X - Template" sheetId="27" r:id="rId21"/>
    <sheet name="4. Calculation_factors&gt;&gt;&gt;&gt;" sheetId="13" r:id="rId22"/>
    <sheet name="Sheet2" sheetId="43" r:id="rId23"/>
    <sheet name="4. Codelists&gt;&gt;&gt;&gt;" sheetId="3" r:id="rId24"/>
    <sheet name="4_1 Codelists" sheetId="17" r:id="rId25"/>
    <sheet name="5. Wastefiles &gt;&gt;&gt;&gt;" sheetId="14" r:id="rId26"/>
  </sheets>
  <definedNames>
    <definedName name="Inhaltsverzeichnis">"MTRANS(ERSETZEN(Inhalt;1;FINDEN(""]"";Inhalt);""))"</definedName>
    <definedName name="List_DSM_Parameters" localSheetId="19">CL_DSM_Category_ID348[DSM Parameters]</definedName>
    <definedName name="List_DSM_Parameters">CL_DSM_Category_ID348[DSM Parameters]</definedName>
    <definedName name="List_Flow_Parameters" localSheetId="19">CL_Flow_Parameters[Flow_Parameters]</definedName>
    <definedName name="List_Flow_Parameters">CL_Flow_Parameters[Flow_Parameters]</definedName>
    <definedName name="List_FOMP_Parameters" localSheetId="19">CL_FOMP_Parameters[FOMP Parameters]</definedName>
    <definedName name="List_FOMP_Parameters">CL_FOMP_Parameters[FOMP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 i="48" l="1"/>
  <c r="C48" i="48"/>
  <c r="C49" i="48"/>
  <c r="C45" i="48"/>
  <c r="C25" i="48"/>
  <c r="A16" i="48"/>
  <c r="G49" i="48"/>
  <c r="F49" i="48"/>
  <c r="A49" i="48"/>
  <c r="A63" i="48" s="1"/>
  <c r="G48" i="48"/>
  <c r="F48" i="48"/>
  <c r="G47" i="48"/>
  <c r="F47" i="48"/>
  <c r="G46" i="48"/>
  <c r="F46" i="48"/>
  <c r="G45" i="48"/>
  <c r="F45" i="48"/>
  <c r="J40" i="48"/>
  <c r="F40" i="48"/>
  <c r="A40" i="48"/>
  <c r="J39" i="48"/>
  <c r="F39" i="48"/>
  <c r="J38" i="48"/>
  <c r="F38" i="48"/>
  <c r="I37" i="48"/>
  <c r="J37" i="48" s="1"/>
  <c r="C46" i="48" s="1"/>
  <c r="F37" i="48"/>
  <c r="I36" i="48"/>
  <c r="A36" i="48"/>
  <c r="A45" i="48" s="1"/>
  <c r="A59" i="48" s="1"/>
  <c r="I35" i="48"/>
  <c r="F44" i="48" s="1"/>
  <c r="G30" i="48"/>
  <c r="F30" i="48"/>
  <c r="C30" i="48"/>
  <c r="A30" i="48"/>
  <c r="G29" i="48"/>
  <c r="F29" i="48"/>
  <c r="A29" i="48"/>
  <c r="G28" i="48"/>
  <c r="F28" i="48"/>
  <c r="A28" i="48"/>
  <c r="G27" i="48"/>
  <c r="F27" i="48"/>
  <c r="G26" i="48"/>
  <c r="F26" i="48"/>
  <c r="A26" i="48"/>
  <c r="G25" i="48"/>
  <c r="G31" i="48" s="1"/>
  <c r="F25" i="48"/>
  <c r="A25" i="48"/>
  <c r="V24" i="48"/>
  <c r="B22" i="48"/>
  <c r="J21" i="48"/>
  <c r="F21" i="48"/>
  <c r="A21" i="48"/>
  <c r="J20" i="48"/>
  <c r="F20" i="48"/>
  <c r="C29" i="48" s="1"/>
  <c r="A20" i="48"/>
  <c r="J19" i="48"/>
  <c r="F19" i="48"/>
  <c r="G19" i="48" s="1"/>
  <c r="A19" i="48"/>
  <c r="J18" i="48"/>
  <c r="F18" i="48"/>
  <c r="C27" i="48" s="1"/>
  <c r="I17" i="48"/>
  <c r="J17" i="48" s="1"/>
  <c r="C26" i="48" s="1"/>
  <c r="F17" i="48"/>
  <c r="A17" i="48"/>
  <c r="J16" i="48"/>
  <c r="F16" i="48"/>
  <c r="F22" i="48" s="1"/>
  <c r="C16" i="48"/>
  <c r="I25" i="48" s="1"/>
  <c r="V15" i="48"/>
  <c r="V14" i="48"/>
  <c r="F9" i="48"/>
  <c r="A39" i="48" s="1"/>
  <c r="A48" i="48" s="1"/>
  <c r="A62" i="48" s="1"/>
  <c r="B9" i="48"/>
  <c r="F8" i="48"/>
  <c r="A38" i="48" s="1"/>
  <c r="A47" i="48" s="1"/>
  <c r="A61" i="48" s="1"/>
  <c r="B8" i="48"/>
  <c r="A37" i="48"/>
  <c r="A46" i="48" s="1"/>
  <c r="A60" i="48" s="1"/>
  <c r="B7" i="48"/>
  <c r="A27"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C48" i="44"/>
  <c r="C49" i="44"/>
  <c r="C50" i="44"/>
  <c r="C51" i="44"/>
  <c r="C52" i="44"/>
  <c r="C53" i="44"/>
  <c r="C54" i="44"/>
  <c r="C55" i="44"/>
  <c r="C56" i="44"/>
  <c r="C57" i="44"/>
  <c r="C58" i="44"/>
  <c r="C59"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G48" i="44"/>
  <c r="G49" i="44"/>
  <c r="G50" i="44"/>
  <c r="G51" i="44"/>
  <c r="G52" i="44"/>
  <c r="G53" i="44"/>
  <c r="G54" i="44"/>
  <c r="G55" i="44"/>
  <c r="G56" i="44"/>
  <c r="G57" i="44"/>
  <c r="G58" i="44"/>
  <c r="G59" i="44"/>
  <c r="C3" i="46"/>
  <c r="C4" i="46"/>
  <c r="C5" i="46"/>
  <c r="C6" i="46"/>
  <c r="C7" i="46"/>
  <c r="C8" i="46"/>
  <c r="C9" i="46"/>
  <c r="C10" i="46"/>
  <c r="C11" i="46"/>
  <c r="C12" i="46"/>
  <c r="C13" i="46"/>
  <c r="C14" i="46"/>
  <c r="C15" i="46"/>
  <c r="C16" i="46"/>
  <c r="C17" i="46"/>
  <c r="C18" i="46"/>
  <c r="C19" i="46"/>
  <c r="C20" i="46"/>
  <c r="C21" i="46"/>
  <c r="C22" i="46"/>
  <c r="C23" i="46"/>
  <c r="B23" i="46" s="1"/>
  <c r="C24" i="46"/>
  <c r="B24" i="46" s="1"/>
  <c r="C25" i="46"/>
  <c r="B25" i="46" s="1"/>
  <c r="C26" i="46"/>
  <c r="B26" i="46" s="1"/>
  <c r="C27" i="46"/>
  <c r="B27" i="46" s="1"/>
  <c r="C28" i="46"/>
  <c r="B28" i="46" s="1"/>
  <c r="C29" i="46"/>
  <c r="B29" i="46" s="1"/>
  <c r="C30" i="46"/>
  <c r="B30" i="46" s="1"/>
  <c r="C31" i="46"/>
  <c r="B31" i="46" s="1"/>
  <c r="C32" i="46"/>
  <c r="C33" i="46"/>
  <c r="B33" i="46" s="1"/>
  <c r="C34" i="46"/>
  <c r="B34" i="46" s="1"/>
  <c r="C35" i="46"/>
  <c r="B35" i="46" s="1"/>
  <c r="C36" i="46"/>
  <c r="B36" i="46" s="1"/>
  <c r="C37" i="46"/>
  <c r="B37" i="46" s="1"/>
  <c r="C38" i="46"/>
  <c r="B38" i="46" s="1"/>
  <c r="C39" i="46"/>
  <c r="B39" i="46" s="1"/>
  <c r="C40" i="46"/>
  <c r="B40" i="46" s="1"/>
  <c r="C41" i="46"/>
  <c r="C42" i="46"/>
  <c r="C43" i="46"/>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B43" i="46"/>
  <c r="A43" i="46"/>
  <c r="B42" i="46"/>
  <c r="A42" i="46"/>
  <c r="B41" i="46"/>
  <c r="A41" i="46"/>
  <c r="A40" i="46"/>
  <c r="A39" i="46"/>
  <c r="A38" i="46"/>
  <c r="A37" i="46"/>
  <c r="A36" i="46"/>
  <c r="A35" i="46"/>
  <c r="A34" i="46"/>
  <c r="A33" i="46"/>
  <c r="B32"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3" i="44"/>
  <c r="C3" i="44" s="1"/>
  <c r="D4" i="44"/>
  <c r="C4" i="44" s="1"/>
  <c r="D5" i="44"/>
  <c r="C5" i="44" s="1"/>
  <c r="D6" i="44"/>
  <c r="C6" i="44" s="1"/>
  <c r="D7" i="44"/>
  <c r="C7" i="44" s="1"/>
  <c r="D8" i="44"/>
  <c r="C8" i="44" s="1"/>
  <c r="D9" i="44"/>
  <c r="C9" i="44" s="1"/>
  <c r="D10" i="44"/>
  <c r="C10" i="44" s="1"/>
  <c r="D11" i="44"/>
  <c r="C11" i="44" s="1"/>
  <c r="D12" i="44"/>
  <c r="C12" i="44" s="1"/>
  <c r="D2" i="44"/>
  <c r="C2" i="44" s="1"/>
  <c r="B59" i="44"/>
  <c r="B58" i="44"/>
  <c r="B57" i="44"/>
  <c r="B56" i="44"/>
  <c r="B55" i="44"/>
  <c r="B54" i="44"/>
  <c r="B53" i="44"/>
  <c r="B52" i="44"/>
  <c r="B51" i="44"/>
  <c r="B50" i="44"/>
  <c r="B49" i="44"/>
  <c r="B48" i="44"/>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B7" i="39"/>
  <c r="C7" i="39"/>
  <c r="E7" i="39"/>
  <c r="F7" i="39"/>
  <c r="G7" i="39"/>
  <c r="H7" i="39"/>
  <c r="I7" i="39"/>
  <c r="J7" i="39"/>
  <c r="K7" i="39"/>
  <c r="L7" i="39"/>
  <c r="U21" i="15"/>
  <c r="U20" i="15"/>
  <c r="U18" i="15"/>
  <c r="U16" i="15"/>
  <c r="U17" i="15"/>
  <c r="U19" i="15"/>
  <c r="F31" i="48" l="1"/>
  <c r="E62" i="48" s="1"/>
  <c r="H29" i="48"/>
  <c r="H25" i="48"/>
  <c r="H26" i="48"/>
  <c r="J22" i="48"/>
  <c r="K16" i="48" s="1"/>
  <c r="G21" i="48"/>
  <c r="M25" i="48"/>
  <c r="K25" i="48"/>
  <c r="J25" i="48"/>
  <c r="C53" i="48"/>
  <c r="G17" i="48"/>
  <c r="E22" i="48"/>
  <c r="C62" i="48" s="1"/>
  <c r="H30" i="48"/>
  <c r="H27" i="48"/>
  <c r="H28" i="48"/>
  <c r="A18" i="48"/>
  <c r="G16" i="48"/>
  <c r="C18" i="48"/>
  <c r="I27" i="48" s="1"/>
  <c r="C20" i="48"/>
  <c r="I29" i="48" s="1"/>
  <c r="G18" i="48"/>
  <c r="G20" i="48"/>
  <c r="J36" i="48"/>
  <c r="C17" i="48"/>
  <c r="I26" i="48" s="1"/>
  <c r="C19" i="48"/>
  <c r="I28" i="48" s="1"/>
  <c r="C21" i="48"/>
  <c r="I30" i="48" s="1"/>
  <c r="C28" i="48"/>
  <c r="B53" i="48"/>
  <c r="O2" i="37"/>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AC11" i="39"/>
  <c r="E14" i="43"/>
  <c r="E15" i="43"/>
  <c r="E13" i="43"/>
  <c r="D16" i="43"/>
  <c r="E11" i="43"/>
  <c r="D11" i="43"/>
  <c r="K19" i="48" l="1"/>
  <c r="C60" i="48"/>
  <c r="H31" i="48"/>
  <c r="C63" i="48"/>
  <c r="E61" i="48"/>
  <c r="E59" i="48"/>
  <c r="E60" i="48"/>
  <c r="K18" i="48"/>
  <c r="K20" i="48"/>
  <c r="I22" i="48"/>
  <c r="D58" i="48" s="1"/>
  <c r="D53" i="48"/>
  <c r="J35" i="48"/>
  <c r="F35" i="48"/>
  <c r="B41" i="48"/>
  <c r="C35" i="48"/>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0" i="42"/>
  <c r="A8" i="42"/>
  <c r="A7" i="42"/>
  <c r="A6" i="42"/>
  <c r="A5" i="42"/>
  <c r="A4" i="42"/>
  <c r="A3" i="42"/>
  <c r="A2" i="42"/>
  <c r="L27" i="48" l="1"/>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L3" i="39"/>
  <c r="L4" i="39"/>
  <c r="L5" i="39"/>
  <c r="L6"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2" i="39"/>
  <c r="K3" i="39"/>
  <c r="K4" i="39"/>
  <c r="K5" i="39"/>
  <c r="K6"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2" i="39"/>
  <c r="I3" i="39"/>
  <c r="I4" i="39"/>
  <c r="I5" i="39"/>
  <c r="I6"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J3" i="39"/>
  <c r="J4" i="39"/>
  <c r="J5" i="39"/>
  <c r="J6"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2" i="39"/>
  <c r="I2"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3" i="35"/>
  <c r="C6" i="35"/>
  <c r="C8" i="16"/>
  <c r="C9" i="16"/>
  <c r="C10" i="16"/>
  <c r="C7"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9" i="15"/>
  <c r="U8" i="15"/>
  <c r="U7" i="15"/>
  <c r="U4" i="15"/>
  <c r="U2" i="15"/>
  <c r="U3" i="15"/>
  <c r="U5" i="15"/>
  <c r="U6" i="15"/>
  <c r="B2" i="15"/>
  <c r="U29" i="15"/>
  <c r="U28" i="15"/>
  <c r="R50" i="48" l="1"/>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C4" i="37"/>
  <c r="Q2" i="21"/>
  <c r="T2" i="21"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6" i="33"/>
  <c r="G7" i="33"/>
  <c r="G8" i="33"/>
  <c r="G9"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6" i="33"/>
  <c r="F7" i="33"/>
  <c r="F8" i="33"/>
  <c r="F9"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M138" i="33"/>
  <c r="P138" i="33"/>
  <c r="S138" i="33"/>
  <c r="V138" i="33"/>
  <c r="Y138" i="33"/>
  <c r="AB138" i="33"/>
  <c r="BG138" i="33"/>
  <c r="B139" i="33"/>
  <c r="M139" i="33"/>
  <c r="P139" i="33"/>
  <c r="S139" i="33"/>
  <c r="V139" i="33"/>
  <c r="Y139" i="33"/>
  <c r="AB139" i="33"/>
  <c r="BG139" i="33"/>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6" i="33"/>
  <c r="M6" i="33"/>
  <c r="P6" i="33"/>
  <c r="S6" i="33"/>
  <c r="V6" i="33"/>
  <c r="Y6" i="33"/>
  <c r="AB6" i="33"/>
  <c r="BG6" i="33"/>
  <c r="B3" i="33"/>
  <c r="M3" i="33"/>
  <c r="P3" i="33"/>
  <c r="S3" i="33"/>
  <c r="V3" i="33"/>
  <c r="Y3" i="33"/>
  <c r="AB3" i="33"/>
  <c r="BG3" i="33"/>
  <c r="B4" i="33"/>
  <c r="M4" i="33"/>
  <c r="P4" i="33"/>
  <c r="S4" i="33"/>
  <c r="V4" i="33"/>
  <c r="Y4" i="33"/>
  <c r="AB4" i="33"/>
  <c r="BG4" i="33"/>
  <c r="B147" i="33"/>
  <c r="M147" i="33"/>
  <c r="P147" i="33"/>
  <c r="S147" i="33"/>
  <c r="V147" i="33"/>
  <c r="Y147" i="33"/>
  <c r="AB147" i="33"/>
  <c r="BG147" i="33"/>
  <c r="B148" i="33"/>
  <c r="M148" i="33"/>
  <c r="P148" i="33"/>
  <c r="S148" i="33"/>
  <c r="V148" i="33"/>
  <c r="Y148" i="33"/>
  <c r="AB148" i="33"/>
  <c r="BG148" i="33"/>
  <c r="B149" i="33"/>
  <c r="M149" i="33"/>
  <c r="P149" i="33"/>
  <c r="S149" i="33"/>
  <c r="V149" i="33"/>
  <c r="Y149" i="33"/>
  <c r="AB149" i="33"/>
  <c r="BG149" i="33"/>
  <c r="B2" i="33"/>
  <c r="M2" i="33"/>
  <c r="P2" i="33"/>
  <c r="S2" i="33"/>
  <c r="V2" i="33"/>
  <c r="Y2" i="33"/>
  <c r="AB2" i="33"/>
  <c r="BG2" i="33"/>
  <c r="B5" i="33"/>
  <c r="M5" i="33"/>
  <c r="P5" i="33"/>
  <c r="S5" i="33"/>
  <c r="V5" i="33"/>
  <c r="Y5" i="33"/>
  <c r="AB5" i="33"/>
  <c r="BG5" i="33"/>
  <c r="B9" i="33"/>
  <c r="M9" i="33"/>
  <c r="P9" i="33"/>
  <c r="S9" i="33"/>
  <c r="V9" i="33"/>
  <c r="Y9" i="33"/>
  <c r="AB9" i="33"/>
  <c r="BG9" i="33"/>
  <c r="B10" i="33"/>
  <c r="M10" i="33"/>
  <c r="P10" i="33"/>
  <c r="S10" i="33"/>
  <c r="V10" i="33"/>
  <c r="Y10" i="33"/>
  <c r="AB10" i="33"/>
  <c r="BG10"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H23" i="33"/>
  <c r="AE23" i="33" s="1"/>
  <c r="I23" i="33"/>
  <c r="M23" i="33"/>
  <c r="N23" i="33"/>
  <c r="P23" i="33"/>
  <c r="Q23" i="33"/>
  <c r="S23" i="33"/>
  <c r="T23" i="33"/>
  <c r="V23" i="33"/>
  <c r="W23" i="33"/>
  <c r="Y23" i="33"/>
  <c r="Z23" i="33"/>
  <c r="AB23" i="33"/>
  <c r="BG23" i="33"/>
  <c r="B24" i="33"/>
  <c r="H24" i="33"/>
  <c r="AE24" i="33" s="1"/>
  <c r="I24" i="33"/>
  <c r="M24" i="33"/>
  <c r="N24" i="33"/>
  <c r="P24" i="33"/>
  <c r="Q24" i="33"/>
  <c r="S24" i="33"/>
  <c r="T24" i="33"/>
  <c r="V24" i="33"/>
  <c r="W24" i="33"/>
  <c r="Y24" i="33"/>
  <c r="Z24" i="33"/>
  <c r="AB24" i="33"/>
  <c r="BG24" i="33"/>
  <c r="B25" i="33"/>
  <c r="H25" i="33"/>
  <c r="AE25" i="33" s="1"/>
  <c r="I25" i="33"/>
  <c r="M25" i="33"/>
  <c r="N25" i="33"/>
  <c r="P25" i="33"/>
  <c r="Q25" i="33"/>
  <c r="S25" i="33"/>
  <c r="T25" i="33"/>
  <c r="V25" i="33"/>
  <c r="W25" i="33"/>
  <c r="Y25" i="33"/>
  <c r="Z25" i="33"/>
  <c r="AB25" i="33"/>
  <c r="BG25" i="33"/>
  <c r="B26" i="33"/>
  <c r="H26" i="33"/>
  <c r="AY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J28" i="33" s="1"/>
  <c r="I28" i="33"/>
  <c r="M28" i="33"/>
  <c r="N28" i="33"/>
  <c r="P28" i="33"/>
  <c r="Q28" i="33"/>
  <c r="S28" i="33"/>
  <c r="T28" i="33"/>
  <c r="V28" i="33"/>
  <c r="W28" i="33"/>
  <c r="Y28" i="33"/>
  <c r="Z28" i="33"/>
  <c r="AB28" i="33"/>
  <c r="BG28" i="33"/>
  <c r="B29" i="33"/>
  <c r="H29" i="33"/>
  <c r="AT29" i="33" s="1"/>
  <c r="I29" i="33"/>
  <c r="M29" i="33"/>
  <c r="N29" i="33"/>
  <c r="P29" i="33"/>
  <c r="Q29" i="33"/>
  <c r="S29" i="33"/>
  <c r="T29" i="33"/>
  <c r="V29" i="33"/>
  <c r="W29" i="33"/>
  <c r="Y29" i="33"/>
  <c r="Z29" i="33"/>
  <c r="AB29" i="33"/>
  <c r="BG29" i="33"/>
  <c r="B30" i="33"/>
  <c r="H30" i="33"/>
  <c r="BD30" i="33" s="1"/>
  <c r="I30" i="33"/>
  <c r="M30" i="33"/>
  <c r="N30" i="33"/>
  <c r="P30" i="33"/>
  <c r="Q30" i="33"/>
  <c r="S30" i="33"/>
  <c r="T30" i="33"/>
  <c r="V30" i="33"/>
  <c r="W30" i="33"/>
  <c r="Y30" i="33"/>
  <c r="Z30" i="33"/>
  <c r="AB30" i="33"/>
  <c r="BG30" i="33"/>
  <c r="B31" i="33"/>
  <c r="H31" i="33"/>
  <c r="AE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I33" i="33"/>
  <c r="M33" i="33"/>
  <c r="N33" i="33"/>
  <c r="P33" i="33"/>
  <c r="Q33" i="33"/>
  <c r="S33" i="33"/>
  <c r="T33" i="33"/>
  <c r="V33" i="33"/>
  <c r="W33" i="33"/>
  <c r="Y33" i="33"/>
  <c r="Z33" i="33"/>
  <c r="AB33" i="33"/>
  <c r="BG33" i="33"/>
  <c r="B34" i="33"/>
  <c r="H34" i="33"/>
  <c r="AE34" i="33" s="1"/>
  <c r="I34" i="33"/>
  <c r="M34" i="33"/>
  <c r="N34" i="33"/>
  <c r="P34" i="33"/>
  <c r="Q34" i="33"/>
  <c r="S34" i="33"/>
  <c r="T34" i="33"/>
  <c r="V34" i="33"/>
  <c r="W34" i="33"/>
  <c r="Y34" i="33"/>
  <c r="Z34" i="33"/>
  <c r="AB34" i="33"/>
  <c r="BG34" i="33"/>
  <c r="B35" i="33"/>
  <c r="H35" i="33"/>
  <c r="AJ35" i="33" s="1"/>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BD37" i="33" s="1"/>
  <c r="I37" i="33"/>
  <c r="M37" i="33"/>
  <c r="N37" i="33"/>
  <c r="P37" i="33"/>
  <c r="Q37" i="33"/>
  <c r="S37" i="33"/>
  <c r="T37" i="33"/>
  <c r="V37" i="33"/>
  <c r="W37" i="33"/>
  <c r="Y37" i="33"/>
  <c r="Z37" i="33"/>
  <c r="AB37" i="33"/>
  <c r="BG37" i="33"/>
  <c r="B38" i="33"/>
  <c r="H38" i="33"/>
  <c r="AY38" i="33" s="1"/>
  <c r="I38" i="33"/>
  <c r="M38" i="33"/>
  <c r="N38" i="33"/>
  <c r="P38" i="33"/>
  <c r="Q38" i="33"/>
  <c r="S38" i="33"/>
  <c r="T38" i="33"/>
  <c r="V38" i="33"/>
  <c r="W38" i="33"/>
  <c r="Y38" i="33"/>
  <c r="Z38" i="33"/>
  <c r="AB38" i="33"/>
  <c r="BG38" i="33"/>
  <c r="B39" i="33"/>
  <c r="H39" i="33"/>
  <c r="AE39" i="33" s="1"/>
  <c r="I39" i="33"/>
  <c r="M39" i="33"/>
  <c r="N39" i="33"/>
  <c r="P39" i="33"/>
  <c r="Q39" i="33"/>
  <c r="S39" i="33"/>
  <c r="T39" i="33"/>
  <c r="V39" i="33"/>
  <c r="W39" i="33"/>
  <c r="Y39" i="33"/>
  <c r="Z39" i="33"/>
  <c r="AB39" i="33"/>
  <c r="BG39" i="33"/>
  <c r="B40" i="33"/>
  <c r="H40" i="33"/>
  <c r="AJ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J43" i="33" s="1"/>
  <c r="I43" i="33"/>
  <c r="M43" i="33"/>
  <c r="N43" i="33"/>
  <c r="P43" i="33"/>
  <c r="Q43" i="33"/>
  <c r="S43" i="33"/>
  <c r="T43" i="33"/>
  <c r="V43" i="33"/>
  <c r="W43" i="33"/>
  <c r="Y43" i="33"/>
  <c r="Z43" i="33"/>
  <c r="AB43" i="33"/>
  <c r="BG43" i="33"/>
  <c r="B44" i="33"/>
  <c r="H44" i="33"/>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AO48" i="33" s="1"/>
  <c r="I48" i="33"/>
  <c r="M48" i="33"/>
  <c r="N48" i="33"/>
  <c r="P48" i="33"/>
  <c r="Q48" i="33"/>
  <c r="S48" i="33"/>
  <c r="T48" i="33"/>
  <c r="V48" i="33"/>
  <c r="W48" i="33"/>
  <c r="Y48" i="33"/>
  <c r="Z48" i="33"/>
  <c r="AB48" i="33"/>
  <c r="BG48" i="33"/>
  <c r="B49" i="33"/>
  <c r="H49" i="33"/>
  <c r="AE49" i="33" s="1"/>
  <c r="I49" i="33"/>
  <c r="M49" i="33"/>
  <c r="N49" i="33"/>
  <c r="P49" i="33"/>
  <c r="Q49" i="33"/>
  <c r="S49" i="33"/>
  <c r="T49" i="33"/>
  <c r="V49" i="33"/>
  <c r="W49" i="33"/>
  <c r="Y49" i="33"/>
  <c r="Z49" i="33"/>
  <c r="AB49" i="33"/>
  <c r="BG49" i="33"/>
  <c r="B50" i="33"/>
  <c r="H50" i="33"/>
  <c r="AJ50" i="33" s="1"/>
  <c r="I50" i="33"/>
  <c r="M50" i="33"/>
  <c r="N50" i="33"/>
  <c r="P50" i="33"/>
  <c r="Q50" i="33"/>
  <c r="S50" i="33"/>
  <c r="T50" i="33"/>
  <c r="V50" i="33"/>
  <c r="W50" i="33"/>
  <c r="Y50" i="33"/>
  <c r="Z50" i="33"/>
  <c r="AB50" i="33"/>
  <c r="BG50" i="33"/>
  <c r="B51" i="33"/>
  <c r="H51" i="33"/>
  <c r="AO51" i="33" s="1"/>
  <c r="I51" i="33"/>
  <c r="M51" i="33"/>
  <c r="N51" i="33"/>
  <c r="P51" i="33"/>
  <c r="Q51" i="33"/>
  <c r="S51" i="33"/>
  <c r="T51" i="33"/>
  <c r="V51" i="33"/>
  <c r="W51" i="33"/>
  <c r="Y51" i="33"/>
  <c r="Z51" i="33"/>
  <c r="AB51" i="33"/>
  <c r="BG51" i="33"/>
  <c r="B52" i="33"/>
  <c r="H52" i="33"/>
  <c r="BD52" i="33" s="1"/>
  <c r="I52" i="33"/>
  <c r="M52" i="33"/>
  <c r="N52" i="33"/>
  <c r="P52" i="33"/>
  <c r="Q52" i="33"/>
  <c r="S52" i="33"/>
  <c r="T52" i="33"/>
  <c r="V52" i="33"/>
  <c r="W52" i="33"/>
  <c r="Y52" i="33"/>
  <c r="Z52" i="33"/>
  <c r="AB52" i="33"/>
  <c r="BG52" i="33"/>
  <c r="B53" i="33"/>
  <c r="H53" i="33"/>
  <c r="AE53" i="33" s="1"/>
  <c r="I53" i="33"/>
  <c r="M53" i="33"/>
  <c r="N53" i="33"/>
  <c r="P53" i="33"/>
  <c r="Q53" i="33"/>
  <c r="S53" i="33"/>
  <c r="T53" i="33"/>
  <c r="V53" i="33"/>
  <c r="W53" i="33"/>
  <c r="Y53" i="33"/>
  <c r="Z53" i="33"/>
  <c r="AB53" i="33"/>
  <c r="BG53" i="33"/>
  <c r="B54" i="33"/>
  <c r="H54" i="33"/>
  <c r="AO54" i="33" s="1"/>
  <c r="I54" i="33"/>
  <c r="M54" i="33"/>
  <c r="N54" i="33"/>
  <c r="P54" i="33"/>
  <c r="Q54" i="33"/>
  <c r="S54" i="33"/>
  <c r="T54" i="33"/>
  <c r="V54" i="33"/>
  <c r="W54" i="33"/>
  <c r="Y54" i="33"/>
  <c r="Z54" i="33"/>
  <c r="AB54" i="33"/>
  <c r="BG54" i="33"/>
  <c r="B55" i="33"/>
  <c r="H55" i="33"/>
  <c r="AJ55" i="33" s="1"/>
  <c r="I55" i="33"/>
  <c r="M55" i="33"/>
  <c r="N55" i="33"/>
  <c r="P55" i="33"/>
  <c r="Q55" i="33"/>
  <c r="S55" i="33"/>
  <c r="T55" i="33"/>
  <c r="V55" i="33"/>
  <c r="W55" i="33"/>
  <c r="Y55" i="33"/>
  <c r="Z55" i="33"/>
  <c r="AB55" i="33"/>
  <c r="BG55" i="33"/>
  <c r="B56" i="33"/>
  <c r="H56" i="33"/>
  <c r="AE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BD60" i="33" s="1"/>
  <c r="I60" i="33"/>
  <c r="M60" i="33"/>
  <c r="N60" i="33"/>
  <c r="P60" i="33"/>
  <c r="Q60" i="33"/>
  <c r="S60" i="33"/>
  <c r="T60" i="33"/>
  <c r="V60" i="33"/>
  <c r="W60" i="33"/>
  <c r="Y60" i="33"/>
  <c r="Z60" i="33"/>
  <c r="AB60" i="33"/>
  <c r="BG60" i="33"/>
  <c r="B61" i="33"/>
  <c r="H61" i="33"/>
  <c r="AE61" i="33" s="1"/>
  <c r="I61" i="33"/>
  <c r="M61" i="33"/>
  <c r="N61" i="33"/>
  <c r="P61" i="33"/>
  <c r="Q61" i="33"/>
  <c r="S61" i="33"/>
  <c r="T61" i="33"/>
  <c r="V61" i="33"/>
  <c r="W61" i="33"/>
  <c r="Y61" i="33"/>
  <c r="Z61" i="33"/>
  <c r="AB61" i="33"/>
  <c r="AG61" i="33"/>
  <c r="AG62" i="33" s="1"/>
  <c r="AG63" i="33" s="1"/>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L61" i="33"/>
  <c r="B62" i="33"/>
  <c r="H62" i="33"/>
  <c r="AY62" i="33" s="1"/>
  <c r="I62" i="33"/>
  <c r="M62" i="33"/>
  <c r="N62" i="33"/>
  <c r="P62" i="33"/>
  <c r="Q62" i="33"/>
  <c r="S62" i="33"/>
  <c r="T62" i="33"/>
  <c r="V62" i="33"/>
  <c r="W62" i="33"/>
  <c r="Y62" i="33"/>
  <c r="Z62" i="33"/>
  <c r="AB62" i="33"/>
  <c r="B63" i="33"/>
  <c r="H63" i="33"/>
  <c r="AE63" i="33" s="1"/>
  <c r="I63" i="33"/>
  <c r="M63" i="33"/>
  <c r="N63" i="33"/>
  <c r="P63" i="33"/>
  <c r="Q63" i="33"/>
  <c r="S63" i="33"/>
  <c r="T63" i="33"/>
  <c r="V63" i="33"/>
  <c r="W63" i="33"/>
  <c r="Y63" i="33"/>
  <c r="Z63" i="33"/>
  <c r="AB63" i="33"/>
  <c r="B64" i="33"/>
  <c r="H64" i="33"/>
  <c r="AY64" i="33" s="1"/>
  <c r="I64" i="33"/>
  <c r="M64" i="33"/>
  <c r="N64" i="33"/>
  <c r="P64" i="33"/>
  <c r="Q64" i="33"/>
  <c r="S64" i="33"/>
  <c r="T64" i="33"/>
  <c r="V64" i="33"/>
  <c r="W64" i="33"/>
  <c r="Y64" i="33"/>
  <c r="Z64" i="33"/>
  <c r="AB64" i="33"/>
  <c r="B65" i="33"/>
  <c r="H65" i="33"/>
  <c r="AO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J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Y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E72" i="33" s="1"/>
  <c r="I72" i="33"/>
  <c r="M72" i="33"/>
  <c r="N72" i="33"/>
  <c r="P72" i="33"/>
  <c r="Q72" i="33"/>
  <c r="S72" i="33"/>
  <c r="T72" i="33"/>
  <c r="V72" i="33"/>
  <c r="W72" i="33"/>
  <c r="Y72" i="33"/>
  <c r="Z72" i="33"/>
  <c r="AB72" i="33"/>
  <c r="B73" i="33"/>
  <c r="H73" i="33"/>
  <c r="BD73" i="33" s="1"/>
  <c r="I73" i="33"/>
  <c r="M73" i="33"/>
  <c r="N73" i="33"/>
  <c r="P73" i="33"/>
  <c r="Q73" i="33"/>
  <c r="S73" i="33"/>
  <c r="T73" i="33"/>
  <c r="V73" i="33"/>
  <c r="W73" i="33"/>
  <c r="Y73" i="33"/>
  <c r="Z73" i="33"/>
  <c r="AB73" i="33"/>
  <c r="B74" i="33"/>
  <c r="H74" i="33"/>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AE76" i="33" s="1"/>
  <c r="I76" i="33"/>
  <c r="M76" i="33"/>
  <c r="N76" i="33"/>
  <c r="P76" i="33"/>
  <c r="Q76" i="33"/>
  <c r="S76" i="33"/>
  <c r="T76" i="33"/>
  <c r="V76" i="33"/>
  <c r="W76" i="33"/>
  <c r="Y76" i="33"/>
  <c r="Z76" i="33"/>
  <c r="AB76" i="33"/>
  <c r="B77" i="33"/>
  <c r="H77" i="33"/>
  <c r="AY77" i="33" s="1"/>
  <c r="I77" i="33"/>
  <c r="M77" i="33"/>
  <c r="N77" i="33"/>
  <c r="P77" i="33"/>
  <c r="Q77" i="33"/>
  <c r="S77" i="33"/>
  <c r="T77" i="33"/>
  <c r="V77" i="33"/>
  <c r="W77" i="33"/>
  <c r="Y77" i="33"/>
  <c r="Z77" i="33"/>
  <c r="AB77" i="33"/>
  <c r="B78" i="33"/>
  <c r="H78" i="33"/>
  <c r="AT78" i="33" s="1"/>
  <c r="I78" i="33"/>
  <c r="M78" i="33"/>
  <c r="N78" i="33"/>
  <c r="P78" i="33"/>
  <c r="Q78" i="33"/>
  <c r="S78" i="33"/>
  <c r="T78" i="33"/>
  <c r="V78" i="33"/>
  <c r="W78" i="33"/>
  <c r="Y78" i="33"/>
  <c r="Z78" i="33"/>
  <c r="AB78" i="33"/>
  <c r="B79" i="33"/>
  <c r="H79" i="33"/>
  <c r="AE79" i="33" s="1"/>
  <c r="I79" i="33"/>
  <c r="M79" i="33"/>
  <c r="N79" i="33"/>
  <c r="P79" i="33"/>
  <c r="Q79" i="33"/>
  <c r="S79" i="33"/>
  <c r="T79" i="33"/>
  <c r="V79" i="33"/>
  <c r="W79" i="33"/>
  <c r="Y79" i="33"/>
  <c r="Z79" i="33"/>
  <c r="AB79" i="33"/>
  <c r="B80" i="33"/>
  <c r="H80" i="33"/>
  <c r="AE80" i="33" s="1"/>
  <c r="I80" i="33"/>
  <c r="M80" i="33"/>
  <c r="N80" i="33"/>
  <c r="P80" i="33"/>
  <c r="Q80" i="33"/>
  <c r="S80" i="33"/>
  <c r="T80" i="33"/>
  <c r="V80" i="33"/>
  <c r="W80" i="33"/>
  <c r="Y80" i="33"/>
  <c r="Z80" i="33"/>
  <c r="AB80" i="33"/>
  <c r="B81" i="33"/>
  <c r="H81" i="33"/>
  <c r="AO81" i="33" s="1"/>
  <c r="I81" i="33"/>
  <c r="M81" i="33"/>
  <c r="N81" i="33"/>
  <c r="P81" i="33"/>
  <c r="Q81" i="33"/>
  <c r="S81" i="33"/>
  <c r="T81" i="33"/>
  <c r="V81" i="33"/>
  <c r="W81" i="33"/>
  <c r="Y81" i="33"/>
  <c r="Z81" i="33"/>
  <c r="AB81" i="33"/>
  <c r="B82" i="33"/>
  <c r="H82" i="33"/>
  <c r="AY82" i="33" s="1"/>
  <c r="I82" i="33"/>
  <c r="M82" i="33"/>
  <c r="N82" i="33"/>
  <c r="P82" i="33"/>
  <c r="Q82" i="33"/>
  <c r="S82" i="33"/>
  <c r="T82" i="33"/>
  <c r="V82" i="33"/>
  <c r="W82" i="33"/>
  <c r="Y82" i="33"/>
  <c r="Z82" i="33"/>
  <c r="AB82" i="33"/>
  <c r="B83" i="33"/>
  <c r="H83" i="33"/>
  <c r="AT83" i="33" s="1"/>
  <c r="I83" i="33"/>
  <c r="M83" i="33"/>
  <c r="N83" i="33"/>
  <c r="P83" i="33"/>
  <c r="Q83" i="33"/>
  <c r="S83" i="33"/>
  <c r="T83" i="33"/>
  <c r="V83" i="33"/>
  <c r="W83" i="33"/>
  <c r="Y83" i="33"/>
  <c r="Z83" i="33"/>
  <c r="AB83" i="33"/>
  <c r="B84" i="33"/>
  <c r="H84" i="33"/>
  <c r="AE84" i="33" s="1"/>
  <c r="I84" i="33"/>
  <c r="M84" i="33"/>
  <c r="N84" i="33"/>
  <c r="P84" i="33"/>
  <c r="Q84" i="33"/>
  <c r="S84" i="33"/>
  <c r="T84" i="33"/>
  <c r="V84" i="33"/>
  <c r="W84" i="33"/>
  <c r="Y84" i="33"/>
  <c r="Z84" i="33"/>
  <c r="AB84" i="33"/>
  <c r="B85" i="33"/>
  <c r="H85" i="33"/>
  <c r="AJ85" i="33" s="1"/>
  <c r="I85" i="33"/>
  <c r="M85" i="33"/>
  <c r="N85" i="33"/>
  <c r="P85" i="33"/>
  <c r="Q85" i="33"/>
  <c r="S85" i="33"/>
  <c r="T85" i="33"/>
  <c r="V85" i="33"/>
  <c r="W85" i="33"/>
  <c r="Y85" i="33"/>
  <c r="Z85" i="33"/>
  <c r="AB85" i="33"/>
  <c r="B86" i="33"/>
  <c r="H86" i="33"/>
  <c r="BD86" i="33" s="1"/>
  <c r="I86" i="33"/>
  <c r="M86" i="33"/>
  <c r="N86" i="33"/>
  <c r="P86" i="33"/>
  <c r="Q86" i="33"/>
  <c r="S86" i="33"/>
  <c r="T86" i="33"/>
  <c r="V86" i="33"/>
  <c r="W86" i="33"/>
  <c r="Y86" i="33"/>
  <c r="Z86" i="33"/>
  <c r="AB86" i="33"/>
  <c r="BG86" i="33"/>
  <c r="B87" i="33"/>
  <c r="H87" i="33"/>
  <c r="AE87" i="33" s="1"/>
  <c r="I87" i="33"/>
  <c r="M87" i="33"/>
  <c r="N87" i="33"/>
  <c r="P87" i="33"/>
  <c r="Q87" i="33"/>
  <c r="S87" i="33"/>
  <c r="T87" i="33"/>
  <c r="V87" i="33"/>
  <c r="W87" i="33"/>
  <c r="Y87" i="33"/>
  <c r="Z87" i="33"/>
  <c r="AB87" i="33"/>
  <c r="BG87" i="33"/>
  <c r="B88" i="33"/>
  <c r="H88" i="33"/>
  <c r="AE88" i="33" s="1"/>
  <c r="I88" i="33"/>
  <c r="M88" i="33"/>
  <c r="N88" i="33"/>
  <c r="P88" i="33"/>
  <c r="Q88" i="33"/>
  <c r="S88" i="33"/>
  <c r="T88" i="33"/>
  <c r="V88" i="33"/>
  <c r="W88" i="33"/>
  <c r="Y88" i="33"/>
  <c r="Z88" i="33"/>
  <c r="AB88" i="33"/>
  <c r="BG88" i="33"/>
  <c r="B89" i="33"/>
  <c r="H89" i="33"/>
  <c r="AO89" i="33" s="1"/>
  <c r="I89" i="33"/>
  <c r="M89" i="33"/>
  <c r="N89" i="33"/>
  <c r="P89" i="33"/>
  <c r="Q89" i="33"/>
  <c r="S89" i="33"/>
  <c r="T89" i="33"/>
  <c r="V89" i="33"/>
  <c r="W89" i="33"/>
  <c r="Y89" i="33"/>
  <c r="Z89" i="33"/>
  <c r="AB89" i="33"/>
  <c r="BG89" i="33"/>
  <c r="B90" i="33"/>
  <c r="H90" i="33"/>
  <c r="AO90" i="33" s="1"/>
  <c r="I90" i="33"/>
  <c r="M90" i="33"/>
  <c r="N90" i="33"/>
  <c r="P90" i="33"/>
  <c r="Q90" i="33"/>
  <c r="S90" i="33"/>
  <c r="T90" i="33"/>
  <c r="V90" i="33"/>
  <c r="W90" i="33"/>
  <c r="Y90" i="33"/>
  <c r="Z90" i="33"/>
  <c r="AB90" i="33"/>
  <c r="BG90" i="33"/>
  <c r="B91" i="33"/>
  <c r="H91" i="33"/>
  <c r="AJ91" i="33" s="1"/>
  <c r="I91" i="33"/>
  <c r="M91" i="33"/>
  <c r="N91" i="33"/>
  <c r="P91" i="33"/>
  <c r="Q91" i="33"/>
  <c r="S91" i="33"/>
  <c r="T91" i="33"/>
  <c r="V91" i="33"/>
  <c r="W91" i="33"/>
  <c r="Y91" i="33"/>
  <c r="Z91" i="33"/>
  <c r="AB91" i="33"/>
  <c r="BG91" i="33"/>
  <c r="B92" i="33"/>
  <c r="H92" i="33"/>
  <c r="AY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J94" i="33" s="1"/>
  <c r="I94" i="33"/>
  <c r="M94" i="33"/>
  <c r="N94" i="33"/>
  <c r="P94" i="33"/>
  <c r="Q94" i="33"/>
  <c r="S94" i="33"/>
  <c r="T94" i="33"/>
  <c r="V94" i="33"/>
  <c r="W94" i="33"/>
  <c r="Y94" i="33"/>
  <c r="Z94" i="33"/>
  <c r="AB94" i="33"/>
  <c r="BG94" i="33"/>
  <c r="B95" i="33"/>
  <c r="H95" i="33"/>
  <c r="AE95" i="33" s="1"/>
  <c r="I95" i="33"/>
  <c r="M95" i="33"/>
  <c r="N95" i="33"/>
  <c r="P95" i="33"/>
  <c r="Q95" i="33"/>
  <c r="S95" i="33"/>
  <c r="T95" i="33"/>
  <c r="V95" i="33"/>
  <c r="W95" i="33"/>
  <c r="Y95" i="33"/>
  <c r="Z95" i="33"/>
  <c r="AB95" i="33"/>
  <c r="BG95" i="33"/>
  <c r="B96" i="33"/>
  <c r="H96" i="33"/>
  <c r="AO96" i="33" s="1"/>
  <c r="I96" i="33"/>
  <c r="M96" i="33"/>
  <c r="N96" i="33"/>
  <c r="P96" i="33"/>
  <c r="Q96" i="33"/>
  <c r="S96" i="33"/>
  <c r="T96" i="33"/>
  <c r="V96" i="33"/>
  <c r="W96" i="33"/>
  <c r="Y96" i="33"/>
  <c r="Z96" i="33"/>
  <c r="AB96" i="33"/>
  <c r="BG96" i="33"/>
  <c r="B97" i="33"/>
  <c r="H97" i="33"/>
  <c r="BD97" i="33" s="1"/>
  <c r="I97" i="33"/>
  <c r="M97" i="33"/>
  <c r="N97" i="33"/>
  <c r="P97" i="33"/>
  <c r="Q97" i="33"/>
  <c r="S97" i="33"/>
  <c r="T97" i="33"/>
  <c r="V97" i="33"/>
  <c r="W97" i="33"/>
  <c r="Y97" i="33"/>
  <c r="Z97" i="33"/>
  <c r="AB97" i="33"/>
  <c r="BG97" i="33"/>
  <c r="B98" i="33"/>
  <c r="H98" i="33"/>
  <c r="BD98" i="33" s="1"/>
  <c r="I98" i="33"/>
  <c r="M98" i="33"/>
  <c r="N98" i="33"/>
  <c r="P98" i="33"/>
  <c r="Q98" i="33"/>
  <c r="S98" i="33"/>
  <c r="T98" i="33"/>
  <c r="V98" i="33"/>
  <c r="W98" i="33"/>
  <c r="Y98" i="33"/>
  <c r="Z98" i="33"/>
  <c r="AB98" i="33"/>
  <c r="BG98" i="33"/>
  <c r="B99" i="33"/>
  <c r="H99" i="33"/>
  <c r="AY99" i="33" s="1"/>
  <c r="I99" i="33"/>
  <c r="M99" i="33"/>
  <c r="N99" i="33"/>
  <c r="P99" i="33"/>
  <c r="Q99" i="33"/>
  <c r="S99" i="33"/>
  <c r="T99" i="33"/>
  <c r="V99" i="33"/>
  <c r="W99" i="33"/>
  <c r="Y99" i="33"/>
  <c r="Z99" i="33"/>
  <c r="AB99" i="33"/>
  <c r="BG99" i="33"/>
  <c r="B100" i="33"/>
  <c r="H100" i="33"/>
  <c r="I100" i="33"/>
  <c r="M100" i="33"/>
  <c r="N100" i="33"/>
  <c r="P100" i="33"/>
  <c r="Q100" i="33"/>
  <c r="S100" i="33"/>
  <c r="T100" i="33"/>
  <c r="V100" i="33"/>
  <c r="W100" i="33"/>
  <c r="Y100" i="33"/>
  <c r="Z100" i="33"/>
  <c r="AB100" i="33"/>
  <c r="BG100" i="33"/>
  <c r="B101" i="33"/>
  <c r="H101" i="33"/>
  <c r="AJ101" i="33" s="1"/>
  <c r="I101" i="33"/>
  <c r="M101" i="33"/>
  <c r="N101" i="33"/>
  <c r="P101" i="33"/>
  <c r="Q101" i="33"/>
  <c r="S101" i="33"/>
  <c r="T101" i="33"/>
  <c r="V101" i="33"/>
  <c r="W101" i="33"/>
  <c r="Y101" i="33"/>
  <c r="Z101" i="33"/>
  <c r="AB101" i="33"/>
  <c r="BG101" i="33"/>
  <c r="B102" i="33"/>
  <c r="H102" i="33"/>
  <c r="AO102" i="33" s="1"/>
  <c r="I102" i="33"/>
  <c r="M102" i="33"/>
  <c r="N102" i="33"/>
  <c r="P102" i="33"/>
  <c r="Q102" i="33"/>
  <c r="S102" i="33"/>
  <c r="T102" i="33"/>
  <c r="V102" i="33"/>
  <c r="W102" i="33"/>
  <c r="Y102" i="33"/>
  <c r="Z102" i="33"/>
  <c r="AB102" i="33"/>
  <c r="BG102" i="33"/>
  <c r="B103" i="33"/>
  <c r="H103" i="33"/>
  <c r="AT103" i="33" s="1"/>
  <c r="I103" i="33"/>
  <c r="M103" i="33"/>
  <c r="N103" i="33"/>
  <c r="P103" i="33"/>
  <c r="Q103" i="33"/>
  <c r="S103" i="33"/>
  <c r="T103" i="33"/>
  <c r="V103" i="33"/>
  <c r="W103" i="33"/>
  <c r="Y103" i="33"/>
  <c r="Z103" i="33"/>
  <c r="AB103" i="33"/>
  <c r="BG103" i="33"/>
  <c r="B104" i="33"/>
  <c r="H104" i="33"/>
  <c r="AE104" i="33" s="1"/>
  <c r="I104" i="33"/>
  <c r="M104" i="33"/>
  <c r="N104" i="33"/>
  <c r="P104" i="33"/>
  <c r="Q104" i="33"/>
  <c r="S104" i="33"/>
  <c r="T104" i="33"/>
  <c r="V104" i="33"/>
  <c r="W104" i="33"/>
  <c r="Y104" i="33"/>
  <c r="Z104" i="33"/>
  <c r="AB104" i="33"/>
  <c r="BG104" i="33"/>
  <c r="B105" i="33"/>
  <c r="H105" i="33"/>
  <c r="AJ105" i="33" s="1"/>
  <c r="I105" i="33"/>
  <c r="M105" i="33"/>
  <c r="N105" i="33"/>
  <c r="P105" i="33"/>
  <c r="Q105" i="33"/>
  <c r="S105" i="33"/>
  <c r="T105" i="33"/>
  <c r="V105" i="33"/>
  <c r="W105" i="33"/>
  <c r="Y105" i="33"/>
  <c r="Z105" i="33"/>
  <c r="AB105" i="33"/>
  <c r="BG105" i="33"/>
  <c r="B106" i="33"/>
  <c r="H106" i="33"/>
  <c r="BD106" i="33" s="1"/>
  <c r="I106" i="33"/>
  <c r="M106" i="33"/>
  <c r="N106" i="33"/>
  <c r="P106" i="33"/>
  <c r="Q106" i="33"/>
  <c r="S106" i="33"/>
  <c r="T106" i="33"/>
  <c r="V106" i="33"/>
  <c r="W106" i="33"/>
  <c r="Y106" i="33"/>
  <c r="Z106" i="33"/>
  <c r="AB106" i="33"/>
  <c r="BG106" i="33"/>
  <c r="B107" i="33"/>
  <c r="H107" i="33"/>
  <c r="AE107" i="33" s="1"/>
  <c r="I107" i="33"/>
  <c r="M107" i="33"/>
  <c r="N107" i="33"/>
  <c r="P107" i="33"/>
  <c r="Q107" i="33"/>
  <c r="S107" i="33"/>
  <c r="T107" i="33"/>
  <c r="V107" i="33"/>
  <c r="W107" i="33"/>
  <c r="Y107" i="33"/>
  <c r="Z107" i="33"/>
  <c r="AB107" i="33"/>
  <c r="BG107" i="33"/>
  <c r="B108" i="33"/>
  <c r="H108" i="33"/>
  <c r="AE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J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E112" i="33" s="1"/>
  <c r="I112" i="33"/>
  <c r="M112" i="33"/>
  <c r="N112" i="33"/>
  <c r="P112" i="33"/>
  <c r="Q112" i="33"/>
  <c r="S112" i="33"/>
  <c r="T112" i="33"/>
  <c r="V112" i="33"/>
  <c r="W112" i="33"/>
  <c r="Y112" i="33"/>
  <c r="Z112" i="33"/>
  <c r="AB112" i="33"/>
  <c r="BG112" i="33"/>
  <c r="B113" i="33"/>
  <c r="H113" i="33"/>
  <c r="AT113" i="33" s="1"/>
  <c r="I113" i="33"/>
  <c r="M113" i="33"/>
  <c r="N113" i="33"/>
  <c r="P113" i="33"/>
  <c r="Q113" i="33"/>
  <c r="S113" i="33"/>
  <c r="T113" i="33"/>
  <c r="V113" i="33"/>
  <c r="W113" i="33"/>
  <c r="Y113" i="33"/>
  <c r="Z113" i="33"/>
  <c r="AB113" i="33"/>
  <c r="BG113" i="33"/>
  <c r="B114" i="33"/>
  <c r="H114" i="33"/>
  <c r="AO114" i="33" s="1"/>
  <c r="I114" i="33"/>
  <c r="M114" i="33"/>
  <c r="N114" i="33"/>
  <c r="P114" i="33"/>
  <c r="Q114" i="33"/>
  <c r="S114" i="33"/>
  <c r="T114" i="33"/>
  <c r="V114" i="33"/>
  <c r="W114" i="33"/>
  <c r="Y114" i="33"/>
  <c r="Z114" i="33"/>
  <c r="AB114" i="33"/>
  <c r="BG114" i="33"/>
  <c r="B115" i="33"/>
  <c r="H115" i="33"/>
  <c r="BD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I117" i="33"/>
  <c r="M117" i="33"/>
  <c r="N117" i="33"/>
  <c r="P117" i="33"/>
  <c r="Q117" i="33"/>
  <c r="S117" i="33"/>
  <c r="T117" i="33"/>
  <c r="V117" i="33"/>
  <c r="W117" i="33"/>
  <c r="Y117" i="33"/>
  <c r="Z117" i="33"/>
  <c r="AB117" i="33"/>
  <c r="BG117" i="33"/>
  <c r="B118" i="33"/>
  <c r="H118" i="33"/>
  <c r="AJ118" i="33" s="1"/>
  <c r="I118" i="33"/>
  <c r="M118" i="33"/>
  <c r="N118" i="33"/>
  <c r="P118" i="33"/>
  <c r="Q118" i="33"/>
  <c r="S118" i="33"/>
  <c r="T118" i="33"/>
  <c r="V118" i="33"/>
  <c r="W118" i="33"/>
  <c r="Y118" i="33"/>
  <c r="Z118" i="33"/>
  <c r="AB118" i="33"/>
  <c r="BG118" i="33"/>
  <c r="B119" i="33"/>
  <c r="H119" i="33"/>
  <c r="AJ119" i="33" s="1"/>
  <c r="I119" i="33"/>
  <c r="M119" i="33"/>
  <c r="N119" i="33"/>
  <c r="P119" i="33"/>
  <c r="Q119" i="33"/>
  <c r="S119" i="33"/>
  <c r="T119" i="33"/>
  <c r="V119" i="33"/>
  <c r="W119" i="33"/>
  <c r="Y119" i="33"/>
  <c r="Z119" i="33"/>
  <c r="AB119" i="33"/>
  <c r="BG119" i="33"/>
  <c r="B120" i="33"/>
  <c r="H120" i="33"/>
  <c r="AY120" i="33" s="1"/>
  <c r="I120" i="33"/>
  <c r="M120" i="33"/>
  <c r="N120" i="33"/>
  <c r="P120" i="33"/>
  <c r="Q120" i="33"/>
  <c r="S120" i="33"/>
  <c r="T120" i="33"/>
  <c r="V120" i="33"/>
  <c r="W120" i="33"/>
  <c r="Y120" i="33"/>
  <c r="Z120" i="33"/>
  <c r="AB120" i="33"/>
  <c r="BG120" i="33"/>
  <c r="B121" i="33"/>
  <c r="H121" i="33"/>
  <c r="AO121" i="33" s="1"/>
  <c r="I121" i="33"/>
  <c r="M121" i="33"/>
  <c r="N121" i="33"/>
  <c r="P121" i="33"/>
  <c r="Q121" i="33"/>
  <c r="S121" i="33"/>
  <c r="T121" i="33"/>
  <c r="V121" i="33"/>
  <c r="W121" i="33"/>
  <c r="Y121" i="33"/>
  <c r="Z121" i="33"/>
  <c r="AB121" i="33"/>
  <c r="BG121" i="33"/>
  <c r="B122" i="33"/>
  <c r="H122" i="33"/>
  <c r="AO122" i="33" s="1"/>
  <c r="I122" i="33"/>
  <c r="M122" i="33"/>
  <c r="N122" i="33"/>
  <c r="P122" i="33"/>
  <c r="Q122" i="33"/>
  <c r="S122" i="33"/>
  <c r="T122" i="33"/>
  <c r="V122" i="33"/>
  <c r="W122" i="33"/>
  <c r="Y122" i="33"/>
  <c r="Z122" i="33"/>
  <c r="AB122" i="33"/>
  <c r="BG122" i="33"/>
  <c r="B123" i="33"/>
  <c r="H123" i="33"/>
  <c r="AE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Y125" i="33" s="1"/>
  <c r="I125" i="33"/>
  <c r="M125" i="33"/>
  <c r="N125" i="33"/>
  <c r="P125" i="33"/>
  <c r="Q125" i="33"/>
  <c r="S125" i="33"/>
  <c r="T125" i="33"/>
  <c r="V125" i="33"/>
  <c r="W125" i="33"/>
  <c r="Y125" i="33"/>
  <c r="Z125" i="33"/>
  <c r="AB125" i="33"/>
  <c r="BG125" i="33"/>
  <c r="B126" i="33"/>
  <c r="H126" i="33"/>
  <c r="AE126" i="33" s="1"/>
  <c r="I126" i="33"/>
  <c r="M126" i="33"/>
  <c r="N126" i="33"/>
  <c r="P126" i="33"/>
  <c r="Q126" i="33"/>
  <c r="S126" i="33"/>
  <c r="T126" i="33"/>
  <c r="V126" i="33"/>
  <c r="W126" i="33"/>
  <c r="Y126" i="33"/>
  <c r="Z126" i="33"/>
  <c r="AB126" i="33"/>
  <c r="BG126" i="33"/>
  <c r="B127" i="33"/>
  <c r="H127" i="33"/>
  <c r="AO127" i="33" s="1"/>
  <c r="I127" i="33"/>
  <c r="M127" i="33"/>
  <c r="N127" i="33"/>
  <c r="P127" i="33"/>
  <c r="Q127" i="33"/>
  <c r="S127" i="33"/>
  <c r="T127" i="33"/>
  <c r="V127" i="33"/>
  <c r="W127" i="33"/>
  <c r="Y127" i="33"/>
  <c r="Z127" i="33"/>
  <c r="AB127" i="33"/>
  <c r="BG127" i="33"/>
  <c r="B128" i="33"/>
  <c r="H128" i="33"/>
  <c r="AY128" i="33" s="1"/>
  <c r="I128" i="33"/>
  <c r="M128" i="33"/>
  <c r="N128" i="33"/>
  <c r="P128" i="33"/>
  <c r="Q128" i="33"/>
  <c r="S128" i="33"/>
  <c r="T128" i="33"/>
  <c r="V128" i="33"/>
  <c r="W128" i="33"/>
  <c r="Y128" i="33"/>
  <c r="Z128" i="33"/>
  <c r="AB128" i="33"/>
  <c r="BG128" i="33"/>
  <c r="B129" i="33"/>
  <c r="H129" i="33"/>
  <c r="I129" i="33"/>
  <c r="M129" i="33"/>
  <c r="N129" i="33"/>
  <c r="P129" i="33"/>
  <c r="Q129" i="33"/>
  <c r="S129" i="33"/>
  <c r="T129" i="33"/>
  <c r="V129" i="33"/>
  <c r="W129" i="33"/>
  <c r="Y129" i="33"/>
  <c r="Z129" i="33"/>
  <c r="AB129" i="33"/>
  <c r="BG129" i="33"/>
  <c r="B130" i="33"/>
  <c r="H130" i="33"/>
  <c r="AO130" i="33" s="1"/>
  <c r="I130" i="33"/>
  <c r="M130" i="33"/>
  <c r="N130" i="33"/>
  <c r="P130" i="33"/>
  <c r="Q130" i="33"/>
  <c r="S130" i="33"/>
  <c r="T130" i="33"/>
  <c r="V130" i="33"/>
  <c r="W130" i="33"/>
  <c r="Y130" i="33"/>
  <c r="Z130" i="33"/>
  <c r="AB130" i="33"/>
  <c r="BG130" i="33"/>
  <c r="B131" i="33"/>
  <c r="H131" i="33"/>
  <c r="AJ131" i="33" s="1"/>
  <c r="I131" i="33"/>
  <c r="M131" i="33"/>
  <c r="N131" i="33"/>
  <c r="P131" i="33"/>
  <c r="Q131" i="33"/>
  <c r="S131" i="33"/>
  <c r="T131" i="33"/>
  <c r="V131" i="33"/>
  <c r="W131" i="33"/>
  <c r="Y131" i="33"/>
  <c r="Z131" i="33"/>
  <c r="AB131" i="33"/>
  <c r="BG131" i="33"/>
  <c r="B132" i="33"/>
  <c r="H132" i="33"/>
  <c r="BD132" i="33" s="1"/>
  <c r="I132" i="33"/>
  <c r="M132" i="33"/>
  <c r="N132" i="33"/>
  <c r="P132" i="33"/>
  <c r="Q132" i="33"/>
  <c r="S132" i="33"/>
  <c r="T132" i="33"/>
  <c r="V132" i="33"/>
  <c r="W132" i="33"/>
  <c r="Y132" i="33"/>
  <c r="Z132" i="33"/>
  <c r="AB132" i="33"/>
  <c r="BG132" i="33"/>
  <c r="B133" i="33"/>
  <c r="H133" i="33"/>
  <c r="AE133" i="33" s="1"/>
  <c r="I133" i="33"/>
  <c r="M133" i="33"/>
  <c r="N133" i="33"/>
  <c r="P133" i="33"/>
  <c r="Q133" i="33"/>
  <c r="S133" i="33"/>
  <c r="T133" i="33"/>
  <c r="V133" i="33"/>
  <c r="W133" i="33"/>
  <c r="Y133" i="33"/>
  <c r="Z133" i="33"/>
  <c r="AB133" i="33"/>
  <c r="BG133" i="33"/>
  <c r="B134" i="33"/>
  <c r="H134" i="33"/>
  <c r="AJ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E136" i="33" s="1"/>
  <c r="I136" i="33"/>
  <c r="M136" i="33"/>
  <c r="N136" i="33"/>
  <c r="P136" i="33"/>
  <c r="Q136" i="33"/>
  <c r="S136" i="33"/>
  <c r="T136" i="33"/>
  <c r="V136" i="33"/>
  <c r="W136" i="33"/>
  <c r="Y136" i="33"/>
  <c r="Z136" i="33"/>
  <c r="AB136" i="33"/>
  <c r="BG136" i="33"/>
  <c r="B137" i="33"/>
  <c r="H137" i="33"/>
  <c r="AJ137" i="33" s="1"/>
  <c r="I137" i="33"/>
  <c r="M137" i="33"/>
  <c r="N137" i="33"/>
  <c r="P137" i="33"/>
  <c r="Q137" i="33"/>
  <c r="S137" i="33"/>
  <c r="T137" i="33"/>
  <c r="V137" i="33"/>
  <c r="W137" i="33"/>
  <c r="Y137" i="33"/>
  <c r="Z137" i="33"/>
  <c r="AB137" i="33"/>
  <c r="BG137" i="33"/>
  <c r="B8" i="33"/>
  <c r="M8" i="33"/>
  <c r="P8" i="33"/>
  <c r="S8" i="33"/>
  <c r="V8" i="33"/>
  <c r="Y8" i="33"/>
  <c r="AB8" i="33"/>
  <c r="BG8" i="33"/>
  <c r="BG7" i="33"/>
  <c r="AB7" i="33"/>
  <c r="Y7" i="33"/>
  <c r="V7" i="33"/>
  <c r="S7" i="33"/>
  <c r="P7" i="33"/>
  <c r="M7" i="33"/>
  <c r="B7" i="33"/>
  <c r="M45" i="48" l="1"/>
  <c r="J47" i="48"/>
  <c r="J45" i="48"/>
  <c r="B64" i="48"/>
  <c r="R45" i="48"/>
  <c r="R53" i="48" s="1"/>
  <c r="M47" i="48"/>
  <c r="J49" i="48"/>
  <c r="K49" i="48"/>
  <c r="J46" i="48"/>
  <c r="L46" i="48" s="1"/>
  <c r="M46" i="48"/>
  <c r="D50" i="48"/>
  <c r="L47" i="48"/>
  <c r="E56" i="48"/>
  <c r="E55" i="48"/>
  <c r="L48" i="48"/>
  <c r="K44" i="48"/>
  <c r="J44" i="48"/>
  <c r="I50" i="48"/>
  <c r="M44" i="48"/>
  <c r="L45" i="48"/>
  <c r="AE62" i="33"/>
  <c r="BD82" i="33"/>
  <c r="BD102" i="33"/>
  <c r="BD57" i="33"/>
  <c r="AJ102" i="33"/>
  <c r="AE57" i="33"/>
  <c r="AY96" i="33"/>
  <c r="AY113" i="33"/>
  <c r="AT62" i="33"/>
  <c r="AY53" i="33"/>
  <c r="AO62" i="33"/>
  <c r="AY43" i="33"/>
  <c r="AT130" i="33"/>
  <c r="BD39" i="33"/>
  <c r="AE130" i="33"/>
  <c r="BD25" i="33"/>
  <c r="BD114" i="33"/>
  <c r="AY87" i="33"/>
  <c r="AE114" i="33"/>
  <c r="AT89" i="33"/>
  <c r="AT132" i="33"/>
  <c r="BD91" i="33"/>
  <c r="AO43" i="33"/>
  <c r="BD131" i="33"/>
  <c r="AE131" i="33"/>
  <c r="AE106" i="33"/>
  <c r="AE89" i="33"/>
  <c r="AE115" i="33"/>
  <c r="AY89" i="33"/>
  <c r="BD81" i="33"/>
  <c r="AE30" i="33"/>
  <c r="AE43" i="33"/>
  <c r="BD101" i="33"/>
  <c r="AO35" i="33"/>
  <c r="AE101" i="33"/>
  <c r="AE85" i="33"/>
  <c r="BD42" i="33"/>
  <c r="AE42" i="33"/>
  <c r="AY85" i="33"/>
  <c r="AO61" i="33"/>
  <c r="BD56" i="33"/>
  <c r="AJ132" i="33"/>
  <c r="BD35" i="33"/>
  <c r="AE35" i="33"/>
  <c r="AJ24" i="33"/>
  <c r="AT85" i="33"/>
  <c r="BD112" i="33"/>
  <c r="BD90" i="33"/>
  <c r="BD71" i="33"/>
  <c r="BD48" i="33"/>
  <c r="AY132" i="33"/>
  <c r="AE132" i="33"/>
  <c r="AE125" i="33"/>
  <c r="AO101" i="33"/>
  <c r="AJ41" i="33"/>
  <c r="BD24" i="33"/>
  <c r="AT101" i="33"/>
  <c r="AE113" i="33"/>
  <c r="AT69" i="33"/>
  <c r="AT80" i="33"/>
  <c r="BD36" i="33"/>
  <c r="AJ104" i="33"/>
  <c r="AT66" i="33"/>
  <c r="AO45" i="33"/>
  <c r="AE120" i="33"/>
  <c r="AE119" i="33"/>
  <c r="BD104" i="33"/>
  <c r="AY101" i="33"/>
  <c r="AT94" i="33"/>
  <c r="BD69" i="33"/>
  <c r="AO39" i="33"/>
  <c r="AO36" i="33"/>
  <c r="AT125" i="33"/>
  <c r="AJ69" i="33"/>
  <c r="AE137" i="33"/>
  <c r="BD111" i="33"/>
  <c r="AE66" i="33"/>
  <c r="AO57" i="33"/>
  <c r="AE45" i="33"/>
  <c r="AY36" i="33"/>
  <c r="AO119" i="33"/>
  <c r="AT70" i="33"/>
  <c r="AO80" i="33"/>
  <c r="AT126" i="33"/>
  <c r="AY103" i="33"/>
  <c r="BD70" i="33"/>
  <c r="AT108" i="33"/>
  <c r="AO120" i="33"/>
  <c r="AO27" i="33"/>
  <c r="AJ103" i="33"/>
  <c r="AT57" i="33"/>
  <c r="BD103" i="33"/>
  <c r="AO85" i="33"/>
  <c r="AO56" i="33"/>
  <c r="BD137" i="33"/>
  <c r="AE103" i="33"/>
  <c r="AT127" i="33"/>
  <c r="AJ113" i="33"/>
  <c r="AE105" i="33"/>
  <c r="BD85" i="33"/>
  <c r="BD80" i="33"/>
  <c r="AT120" i="33"/>
  <c r="AT119" i="33"/>
  <c r="BD105" i="33"/>
  <c r="BD88" i="33"/>
  <c r="AJ81" i="33"/>
  <c r="AE70" i="33"/>
  <c r="AT118" i="33"/>
  <c r="AO94" i="33"/>
  <c r="AO52" i="33"/>
  <c r="AO108" i="33"/>
  <c r="AO31" i="33"/>
  <c r="BD29" i="33"/>
  <c r="AO84" i="33"/>
  <c r="AO50" i="33"/>
  <c r="AO109" i="33"/>
  <c r="BD47" i="33"/>
  <c r="AT45" i="33"/>
  <c r="AT43" i="33"/>
  <c r="AY115" i="33"/>
  <c r="AY104" i="33"/>
  <c r="BD84" i="33"/>
  <c r="AY81" i="33"/>
  <c r="AE81" i="33"/>
  <c r="AT76" i="33"/>
  <c r="AE71" i="33"/>
  <c r="AO66" i="33"/>
  <c r="AT60" i="33"/>
  <c r="AT54" i="33"/>
  <c r="AY24" i="33"/>
  <c r="AT107" i="33"/>
  <c r="AO29" i="33"/>
  <c r="AO95" i="33"/>
  <c r="AT137" i="33"/>
  <c r="BD127" i="33"/>
  <c r="AJ127" i="33"/>
  <c r="AO125" i="33"/>
  <c r="AO118" i="33"/>
  <c r="AT114" i="33"/>
  <c r="AO110" i="33"/>
  <c r="AJ99" i="33"/>
  <c r="BD93" i="33"/>
  <c r="AJ84" i="33"/>
  <c r="AY80" i="33"/>
  <c r="AJ78" i="33"/>
  <c r="AO59" i="33"/>
  <c r="BD50" i="33"/>
  <c r="AT42" i="33"/>
  <c r="AT41" i="33"/>
  <c r="AT40" i="33"/>
  <c r="AO34" i="33"/>
  <c r="AJ29" i="33"/>
  <c r="AT50" i="33"/>
  <c r="AT28" i="33"/>
  <c r="AO111" i="33"/>
  <c r="BD107" i="33"/>
  <c r="BD99" i="33"/>
  <c r="BD95" i="33"/>
  <c r="AE94" i="33"/>
  <c r="AE93" i="33"/>
  <c r="AO88" i="33"/>
  <c r="AY84" i="33"/>
  <c r="AT81" i="33"/>
  <c r="AT71" i="33"/>
  <c r="BD66" i="33"/>
  <c r="AJ66" i="33"/>
  <c r="AE50" i="33"/>
  <c r="BD43" i="33"/>
  <c r="BD31" i="33"/>
  <c r="AY29" i="33"/>
  <c r="AT59" i="33"/>
  <c r="BD108" i="33"/>
  <c r="AO87" i="33"/>
  <c r="AJ126" i="33"/>
  <c r="AY127" i="33"/>
  <c r="AE127" i="33"/>
  <c r="AY50" i="33"/>
  <c r="AT47" i="33"/>
  <c r="AE29" i="33"/>
  <c r="AY126" i="33"/>
  <c r="AO103" i="33"/>
  <c r="AJ90" i="33"/>
  <c r="AJ87" i="33"/>
  <c r="AJ76" i="33"/>
  <c r="BD65" i="33"/>
  <c r="AJ62" i="33"/>
  <c r="BG61" i="33"/>
  <c r="BD59" i="33"/>
  <c r="BD45" i="33"/>
  <c r="AO42" i="33"/>
  <c r="AJ36" i="33"/>
  <c r="AO93" i="33"/>
  <c r="AO126" i="33"/>
  <c r="BD126" i="33"/>
  <c r="BD94" i="33"/>
  <c r="BD51" i="33"/>
  <c r="AO137" i="33"/>
  <c r="BD109" i="33"/>
  <c r="BD78" i="33"/>
  <c r="AE73" i="33"/>
  <c r="AO41" i="33"/>
  <c r="AO132" i="33"/>
  <c r="AE118" i="33"/>
  <c r="BD113" i="33"/>
  <c r="AO112" i="33"/>
  <c r="BD110" i="33"/>
  <c r="AT93" i="33"/>
  <c r="BD87" i="33"/>
  <c r="AO71" i="33"/>
  <c r="AJ68" i="33"/>
  <c r="BD62" i="33"/>
  <c r="BD61" i="33"/>
  <c r="AE59" i="33"/>
  <c r="BD34" i="33"/>
  <c r="AY31" i="33"/>
  <c r="AO24" i="33"/>
  <c r="AY79" i="33"/>
  <c r="AJ60" i="33"/>
  <c r="AY60" i="33"/>
  <c r="AO55" i="33"/>
  <c r="AE44" i="33"/>
  <c r="BD44" i="33"/>
  <c r="AO44" i="33"/>
  <c r="AE124" i="33"/>
  <c r="BD124" i="33"/>
  <c r="AJ117" i="33"/>
  <c r="AT117" i="33"/>
  <c r="AY114" i="33"/>
  <c r="AE96" i="33"/>
  <c r="AY90" i="33"/>
  <c r="AE90" i="33"/>
  <c r="AT77" i="33"/>
  <c r="AJ77" i="33"/>
  <c r="BD77" i="33"/>
  <c r="AO75" i="33"/>
  <c r="BD46" i="33"/>
  <c r="AO46" i="33"/>
  <c r="AO133" i="33"/>
  <c r="AT115" i="33"/>
  <c r="AE97" i="33"/>
  <c r="AO97" i="33"/>
  <c r="AO60" i="33"/>
  <c r="AJ26" i="33"/>
  <c r="BD26" i="33"/>
  <c r="AO26" i="33"/>
  <c r="AT26" i="33"/>
  <c r="AE26" i="33"/>
  <c r="AJ23" i="33"/>
  <c r="BD23" i="33"/>
  <c r="AO23" i="33"/>
  <c r="AT23" i="33"/>
  <c r="BD125" i="33"/>
  <c r="AO123" i="33"/>
  <c r="BD120" i="33"/>
  <c r="AO117" i="33"/>
  <c r="AE116" i="33"/>
  <c r="AY116" i="33"/>
  <c r="AT96" i="33"/>
  <c r="AJ30" i="33"/>
  <c r="AO30" i="33"/>
  <c r="AT30" i="33"/>
  <c r="AE128" i="33"/>
  <c r="AJ128" i="33"/>
  <c r="BD128" i="33"/>
  <c r="AE92" i="33"/>
  <c r="AO92" i="33"/>
  <c r="AT91" i="33"/>
  <c r="AE91" i="33"/>
  <c r="AY91" i="33"/>
  <c r="AT90" i="33"/>
  <c r="AJ86" i="33"/>
  <c r="AO86" i="33"/>
  <c r="AY78" i="33"/>
  <c r="AE78" i="33"/>
  <c r="AT38" i="33"/>
  <c r="AE38" i="33"/>
  <c r="AJ38" i="33"/>
  <c r="BD38" i="33"/>
  <c r="AE37" i="33"/>
  <c r="AO37" i="33"/>
  <c r="AY75" i="33"/>
  <c r="AJ75" i="33"/>
  <c r="AJ129" i="33"/>
  <c r="BD129" i="33"/>
  <c r="AJ33" i="33"/>
  <c r="AT33" i="33"/>
  <c r="AE33" i="33"/>
  <c r="BD33" i="33"/>
  <c r="AJ133" i="33"/>
  <c r="AT131" i="33"/>
  <c r="AJ130" i="33"/>
  <c r="BD130" i="33"/>
  <c r="AJ125" i="33"/>
  <c r="AJ120" i="33"/>
  <c r="AO115" i="33"/>
  <c r="AT105" i="33"/>
  <c r="AJ89" i="33"/>
  <c r="BD89" i="33"/>
  <c r="AO79" i="33"/>
  <c r="AY74" i="33"/>
  <c r="BD74" i="33"/>
  <c r="AE48" i="33"/>
  <c r="AT48" i="33"/>
  <c r="AJ48" i="33"/>
  <c r="AY48" i="33"/>
  <c r="AE32" i="33"/>
  <c r="AO32" i="33"/>
  <c r="AJ98" i="33"/>
  <c r="AO98" i="33"/>
  <c r="AJ106" i="33"/>
  <c r="AO106" i="33"/>
  <c r="AO91" i="33"/>
  <c r="AO78" i="33"/>
  <c r="AE75" i="33"/>
  <c r="AE69" i="33"/>
  <c r="AO69" i="33"/>
  <c r="AJ54" i="33"/>
  <c r="AE54" i="33"/>
  <c r="BD54" i="33"/>
  <c r="AJ53" i="33"/>
  <c r="BD53" i="33"/>
  <c r="AT53" i="33"/>
  <c r="AJ52" i="33"/>
  <c r="AT52" i="33"/>
  <c r="AE52" i="33"/>
  <c r="AO38" i="33"/>
  <c r="BD133" i="33"/>
  <c r="AO128" i="33"/>
  <c r="BD117" i="33"/>
  <c r="BD116" i="33"/>
  <c r="AJ116" i="33"/>
  <c r="AO113" i="33"/>
  <c r="AT106" i="33"/>
  <c r="AE60" i="33"/>
  <c r="AO33" i="33"/>
  <c r="AE55" i="33"/>
  <c r="AY55" i="33"/>
  <c r="BD55" i="33"/>
  <c r="AY63" i="33"/>
  <c r="AJ63" i="33"/>
  <c r="AT63" i="33"/>
  <c r="AO129" i="33"/>
  <c r="BD123" i="33"/>
  <c r="BD119" i="33"/>
  <c r="AT102" i="33"/>
  <c r="AE102" i="33"/>
  <c r="AY102" i="33"/>
  <c r="AE100" i="33"/>
  <c r="BD100" i="33"/>
  <c r="AO100" i="33"/>
  <c r="AE99" i="33"/>
  <c r="AO99" i="33"/>
  <c r="BD96" i="33"/>
  <c r="AY133" i="33"/>
  <c r="AO131" i="33"/>
  <c r="AJ122" i="33"/>
  <c r="BD122" i="33"/>
  <c r="AE121" i="33"/>
  <c r="BD121" i="33"/>
  <c r="BD118" i="33"/>
  <c r="AE117" i="33"/>
  <c r="AJ115" i="33"/>
  <c r="AJ114" i="33"/>
  <c r="AJ108" i="33"/>
  <c r="AY108" i="33"/>
  <c r="AJ107" i="33"/>
  <c r="AO107" i="33"/>
  <c r="AO105" i="33"/>
  <c r="AJ96" i="33"/>
  <c r="BD92" i="33"/>
  <c r="AJ92" i="33"/>
  <c r="BD79" i="33"/>
  <c r="AE77" i="33"/>
  <c r="AT75" i="33"/>
  <c r="AT55" i="33"/>
  <c r="AO53" i="33"/>
  <c r="AE40" i="33"/>
  <c r="AT36" i="33"/>
  <c r="AO28" i="33"/>
  <c r="AO47" i="33"/>
  <c r="BD41" i="33"/>
  <c r="BD28" i="33"/>
  <c r="AO49" i="33"/>
  <c r="AO104" i="33"/>
  <c r="AT84" i="33"/>
  <c r="AY41" i="33"/>
  <c r="AO40" i="33"/>
  <c r="AT35" i="33"/>
  <c r="BD40" i="33"/>
  <c r="AJ31" i="33"/>
  <c r="BD27" i="33"/>
  <c r="BD49" i="33"/>
  <c r="AE47" i="33"/>
  <c r="AE28" i="33"/>
  <c r="AO25" i="33"/>
  <c r="AT24" i="33"/>
  <c r="BD135" i="33"/>
  <c r="AO135" i="33"/>
  <c r="AT129" i="33"/>
  <c r="AE129" i="33"/>
  <c r="AT72" i="33"/>
  <c r="AE58" i="33"/>
  <c r="AT58" i="33"/>
  <c r="AJ58" i="33"/>
  <c r="AY58" i="33"/>
  <c r="AY137" i="33"/>
  <c r="AT134" i="33"/>
  <c r="AE134" i="33"/>
  <c r="AY130" i="33"/>
  <c r="AT122" i="33"/>
  <c r="AE122" i="33"/>
  <c r="AY118" i="33"/>
  <c r="AT110" i="33"/>
  <c r="AE110" i="33"/>
  <c r="AY106" i="33"/>
  <c r="AT98" i="33"/>
  <c r="AE98" i="33"/>
  <c r="AY94" i="33"/>
  <c r="AT86" i="33"/>
  <c r="AE86" i="33"/>
  <c r="AE83" i="33"/>
  <c r="AO77" i="33"/>
  <c r="AY76" i="33"/>
  <c r="AO74" i="33"/>
  <c r="AY73" i="33"/>
  <c r="AJ73" i="33"/>
  <c r="AJ71" i="33"/>
  <c r="AY135" i="33"/>
  <c r="AJ135" i="33"/>
  <c r="AY123" i="33"/>
  <c r="AJ123" i="33"/>
  <c r="AY111" i="33"/>
  <c r="AJ111" i="33"/>
  <c r="AY67" i="33"/>
  <c r="AO67" i="33"/>
  <c r="BD67" i="33"/>
  <c r="AO136" i="33"/>
  <c r="BD83" i="33"/>
  <c r="AO83" i="33"/>
  <c r="AJ82" i="33"/>
  <c r="AJ79" i="33"/>
  <c r="AO70" i="33"/>
  <c r="AJ64" i="33"/>
  <c r="AO58" i="33"/>
  <c r="BD136" i="33"/>
  <c r="AY121" i="33"/>
  <c r="AJ121" i="33"/>
  <c r="AY109" i="33"/>
  <c r="AJ109" i="33"/>
  <c r="AY97" i="33"/>
  <c r="AJ97" i="33"/>
  <c r="AT73" i="33"/>
  <c r="BD72" i="33"/>
  <c r="AO72" i="33"/>
  <c r="BD134" i="33"/>
  <c r="AO134" i="33"/>
  <c r="AJ74" i="33"/>
  <c r="AT135" i="33"/>
  <c r="AY131" i="33"/>
  <c r="AT123" i="33"/>
  <c r="AY119" i="33"/>
  <c r="AT111" i="33"/>
  <c r="AY107" i="33"/>
  <c r="AT99" i="33"/>
  <c r="AY95" i="33"/>
  <c r="AJ95" i="33"/>
  <c r="AT87" i="33"/>
  <c r="AT79" i="33"/>
  <c r="AY136" i="33"/>
  <c r="AJ136" i="33"/>
  <c r="AT128" i="33"/>
  <c r="AY124" i="33"/>
  <c r="AJ124" i="33"/>
  <c r="AT116" i="33"/>
  <c r="AY112" i="33"/>
  <c r="AJ112" i="33"/>
  <c r="AT104" i="33"/>
  <c r="AY100" i="33"/>
  <c r="AJ100" i="33"/>
  <c r="AT92" i="33"/>
  <c r="AY88" i="33"/>
  <c r="AJ88" i="33"/>
  <c r="AY83" i="33"/>
  <c r="AT82" i="33"/>
  <c r="AJ80" i="33"/>
  <c r="AJ70" i="33"/>
  <c r="AE65" i="33"/>
  <c r="AT65" i="33"/>
  <c r="AJ65" i="33"/>
  <c r="AY65" i="33"/>
  <c r="AT133" i="33"/>
  <c r="AY129" i="33"/>
  <c r="AT121" i="33"/>
  <c r="AY117" i="33"/>
  <c r="AT109" i="33"/>
  <c r="AY105" i="33"/>
  <c r="AT97" i="33"/>
  <c r="AY93" i="33"/>
  <c r="AJ83" i="33"/>
  <c r="AE82" i="33"/>
  <c r="AO73" i="33"/>
  <c r="AY72" i="33"/>
  <c r="BD58" i="33"/>
  <c r="AE51" i="33"/>
  <c r="AT51" i="33"/>
  <c r="AJ51" i="33"/>
  <c r="AY51" i="33"/>
  <c r="AE46" i="33"/>
  <c r="AT46" i="33"/>
  <c r="AJ46" i="33"/>
  <c r="AY46" i="33"/>
  <c r="AY134" i="33"/>
  <c r="AY122" i="33"/>
  <c r="AY110" i="33"/>
  <c r="AY98" i="33"/>
  <c r="AY86" i="33"/>
  <c r="BD76" i="33"/>
  <c r="AO76" i="33"/>
  <c r="AT74" i="33"/>
  <c r="AJ72" i="33"/>
  <c r="AO64" i="33"/>
  <c r="BD64" i="33"/>
  <c r="AE64" i="33"/>
  <c r="AT64" i="33"/>
  <c r="AT95" i="33"/>
  <c r="AE74" i="33"/>
  <c r="AE67" i="33"/>
  <c r="AT136" i="33"/>
  <c r="AT124" i="33"/>
  <c r="AT112" i="33"/>
  <c r="AT100" i="33"/>
  <c r="AT88" i="33"/>
  <c r="AO82" i="33"/>
  <c r="AO68" i="33"/>
  <c r="BD68" i="33"/>
  <c r="AE68" i="33"/>
  <c r="AT68" i="33"/>
  <c r="AT67" i="33"/>
  <c r="AY34" i="33"/>
  <c r="AJ34" i="33"/>
  <c r="AY61" i="33"/>
  <c r="AY39" i="33"/>
  <c r="AJ39" i="33"/>
  <c r="AT31" i="33"/>
  <c r="AY27" i="33"/>
  <c r="AJ27" i="33"/>
  <c r="AJ61" i="33"/>
  <c r="AY56" i="33"/>
  <c r="AJ56" i="33"/>
  <c r="AY44" i="33"/>
  <c r="AJ44" i="33"/>
  <c r="AY32" i="33"/>
  <c r="AJ32" i="33"/>
  <c r="BD63" i="33"/>
  <c r="AO63" i="33"/>
  <c r="AL62" i="33"/>
  <c r="AY49" i="33"/>
  <c r="AJ49" i="33"/>
  <c r="AY37" i="33"/>
  <c r="AJ37" i="33"/>
  <c r="AY25" i="33"/>
  <c r="AJ25" i="33"/>
  <c r="AY54" i="33"/>
  <c r="AY42" i="33"/>
  <c r="AT34" i="33"/>
  <c r="AY30" i="33"/>
  <c r="AT61" i="33"/>
  <c r="AY59" i="33"/>
  <c r="AY47" i="33"/>
  <c r="AT39" i="33"/>
  <c r="AY35" i="33"/>
  <c r="AT27" i="33"/>
  <c r="AY23" i="33"/>
  <c r="AT56" i="33"/>
  <c r="AY52" i="33"/>
  <c r="AT44" i="33"/>
  <c r="AY40" i="33"/>
  <c r="AT32" i="33"/>
  <c r="AY28" i="33"/>
  <c r="AY57" i="33"/>
  <c r="AT49" i="33"/>
  <c r="AY45" i="33"/>
  <c r="AT37" i="33"/>
  <c r="AY33" i="33"/>
  <c r="AT25" i="33"/>
  <c r="L49" i="48" l="1"/>
  <c r="K50" i="48"/>
  <c r="M50" i="48"/>
  <c r="J50" i="48"/>
  <c r="L44" i="48"/>
  <c r="L50" i="48" s="1"/>
  <c r="AL63" i="33"/>
  <c r="BG62" i="33"/>
  <c r="BG63" i="33" l="1"/>
  <c r="AL64" i="33"/>
  <c r="BG64" i="33" l="1"/>
  <c r="AL65" i="33"/>
  <c r="AK6" i="2"/>
  <c r="BG65" i="33" l="1"/>
  <c r="AL66" i="33"/>
  <c r="T6" i="1" a="1"/>
  <c r="T6" i="1" s="1"/>
  <c r="AL67" i="33" l="1"/>
  <c r="BG66" i="33"/>
  <c r="B1" i="27"/>
  <c r="BG67" i="33" l="1"/>
  <c r="AL68" i="33"/>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BG68" i="33"/>
  <c r="AL69"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BG69" i="33"/>
  <c r="AL70"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AL71" i="33"/>
  <c r="BG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BG71" i="33"/>
  <c r="AL72" i="33"/>
  <c r="J48" i="27"/>
  <c r="K48" i="27"/>
  <c r="M48" i="27"/>
  <c r="K49" i="27"/>
  <c r="J49" i="27"/>
  <c r="M49" i="27"/>
  <c r="B64" i="27"/>
  <c r="I44" i="27"/>
  <c r="M45" i="27"/>
  <c r="K45" i="27"/>
  <c r="J45" i="27"/>
  <c r="D64" i="27"/>
  <c r="M47" i="27"/>
  <c r="J47" i="27"/>
  <c r="K47" i="27"/>
  <c r="J46" i="27"/>
  <c r="K46" i="27"/>
  <c r="M46" i="27"/>
  <c r="E55" i="27"/>
  <c r="E56" i="27"/>
  <c r="D31" i="27"/>
  <c r="L49" i="27" l="1"/>
  <c r="L45" i="27"/>
  <c r="BG72" i="33"/>
  <c r="AL73" i="33"/>
  <c r="M44" i="27"/>
  <c r="M50" i="27" s="1"/>
  <c r="I50" i="27"/>
  <c r="J44" i="27"/>
  <c r="K44" i="27"/>
  <c r="K50" i="27" s="1"/>
  <c r="L46" i="27"/>
  <c r="L47" i="27"/>
  <c r="L48" i="27"/>
  <c r="BG73" i="33" l="1"/>
  <c r="AL74" i="33"/>
  <c r="L44" i="27"/>
  <c r="L50" i="27" s="1"/>
  <c r="J50" i="27"/>
  <c r="AL75" i="33" l="1"/>
  <c r="BG74"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0" i="15"/>
  <c r="U10" i="15"/>
  <c r="U11" i="15"/>
  <c r="U12" i="15"/>
  <c r="U13" i="15"/>
  <c r="U14" i="15"/>
  <c r="U15" i="15"/>
  <c r="U22" i="15"/>
  <c r="U23" i="15"/>
  <c r="U24" i="15"/>
  <c r="U25" i="15"/>
  <c r="U26" i="15"/>
  <c r="U27" i="15"/>
  <c r="BG75" i="33" l="1"/>
  <c r="AL76" i="33"/>
  <c r="I3" i="15"/>
  <c r="BG76" i="33" l="1"/>
  <c r="AL77" i="33"/>
  <c r="U43" i="15"/>
  <c r="U44" i="15"/>
  <c r="U45" i="15"/>
  <c r="U46" i="15"/>
  <c r="U47"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AA60" i="2"/>
  <c r="AL78" i="33" l="1"/>
  <c r="BG77" i="33"/>
  <c r="U40" i="15"/>
  <c r="U36" i="15"/>
  <c r="AA280" i="2"/>
  <c r="AA274" i="2"/>
  <c r="AA273" i="2"/>
  <c r="AA269" i="2"/>
  <c r="AA268" i="2"/>
  <c r="AA259" i="2"/>
  <c r="AA255" i="2"/>
  <c r="AA254" i="2"/>
  <c r="AA253" i="2"/>
  <c r="AA251" i="2"/>
  <c r="AA247" i="2"/>
  <c r="AA243" i="2"/>
  <c r="AA242" i="2"/>
  <c r="AA241" i="2"/>
  <c r="AA239" i="2"/>
  <c r="AA235" i="2"/>
  <c r="U32" i="15"/>
  <c r="U33" i="15"/>
  <c r="U34" i="15"/>
  <c r="U35" i="15"/>
  <c r="U37" i="15"/>
  <c r="U38" i="15"/>
  <c r="U41" i="15"/>
  <c r="U42"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1" i="15"/>
  <c r="AD2" i="2" l="1"/>
  <c r="AJ2" i="2"/>
  <c r="BG78" i="33"/>
  <c r="AL79" i="33"/>
  <c r="AA32" i="2"/>
  <c r="AJ32" i="2" s="1"/>
  <c r="AD89" i="2"/>
  <c r="AD90" i="2"/>
  <c r="U39" i="15"/>
  <c r="AA3" i="2"/>
  <c r="AG3" i="2" s="1"/>
  <c r="AD61" i="2"/>
  <c r="AD60" i="2"/>
  <c r="AJ31" i="2"/>
  <c r="AA62" i="2"/>
  <c r="AJ61" i="2"/>
  <c r="AJ89" i="2"/>
  <c r="AJ60" i="2"/>
  <c r="AJ90" i="2"/>
  <c r="AG60" i="2"/>
  <c r="AG89" i="2"/>
  <c r="AG2" i="2"/>
  <c r="AA34" i="2"/>
  <c r="AG33" i="2"/>
  <c r="AG90" i="2"/>
  <c r="AA4" i="2"/>
  <c r="AG61" i="2"/>
  <c r="AA91" i="2"/>
  <c r="BG79" i="33" l="1"/>
  <c r="AL80" i="33"/>
  <c r="AD4" i="2"/>
  <c r="AJ3" i="2"/>
  <c r="AD3" i="2"/>
  <c r="AG31" i="2"/>
  <c r="AD31" i="2"/>
  <c r="AJ33" i="2"/>
  <c r="AA63" i="2"/>
  <c r="AJ4" i="2"/>
  <c r="AG4" i="2"/>
  <c r="AJ91" i="2"/>
  <c r="AA92" i="2"/>
  <c r="AD33" i="2"/>
  <c r="AG32" i="2"/>
  <c r="AD32" i="2"/>
  <c r="AJ34" i="2"/>
  <c r="AA35" i="2"/>
  <c r="AA5" i="2"/>
  <c r="AJ5" i="2" s="1"/>
  <c r="BG80" i="33" l="1"/>
  <c r="AL81" i="33"/>
  <c r="AJ62" i="2"/>
  <c r="AG62" i="2"/>
  <c r="AD62" i="2"/>
  <c r="AA64" i="2"/>
  <c r="AA93" i="2"/>
  <c r="AJ92" i="2"/>
  <c r="AG5" i="2"/>
  <c r="AD5" i="2"/>
  <c r="AA6" i="2"/>
  <c r="AJ6" i="2" s="1"/>
  <c r="AJ35" i="2"/>
  <c r="AA36" i="2"/>
  <c r="AD34" i="2"/>
  <c r="AG34" i="2"/>
  <c r="AD91" i="2"/>
  <c r="AG91" i="2"/>
  <c r="BG81" i="33" l="1"/>
  <c r="AL82" i="33"/>
  <c r="AD63" i="2"/>
  <c r="AJ63" i="2"/>
  <c r="AG63" i="2"/>
  <c r="AA65" i="2"/>
  <c r="AA7" i="2"/>
  <c r="AJ7" i="2" s="1"/>
  <c r="AJ36" i="2"/>
  <c r="AG35" i="2"/>
  <c r="AD35" i="2"/>
  <c r="AG92" i="2"/>
  <c r="AD92" i="2"/>
  <c r="AG6" i="2"/>
  <c r="AD6" i="2"/>
  <c r="AA94" i="2"/>
  <c r="AJ93" i="2"/>
  <c r="BG82" i="33" l="1"/>
  <c r="AL83" i="33"/>
  <c r="AA8" i="2"/>
  <c r="AJ8" i="2" s="1"/>
  <c r="AA37" i="2"/>
  <c r="AJ37" i="2" s="1"/>
  <c r="AD64" i="2"/>
  <c r="AG64" i="2"/>
  <c r="AJ64" i="2"/>
  <c r="AG93" i="2"/>
  <c r="AD93" i="2"/>
  <c r="AD36" i="2"/>
  <c r="AG36" i="2"/>
  <c r="AJ94" i="2"/>
  <c r="AD7" i="2"/>
  <c r="AG7" i="2"/>
  <c r="AD37" i="2" l="1"/>
  <c r="AD8" i="2"/>
  <c r="AL84" i="33"/>
  <c r="BG83" i="33"/>
  <c r="AG37" i="2"/>
  <c r="AG8" i="2"/>
  <c r="AA9" i="2"/>
  <c r="AA38" i="2"/>
  <c r="AA66" i="2"/>
  <c r="AG66" i="2" s="1"/>
  <c r="AJ95" i="2"/>
  <c r="AA95" i="2"/>
  <c r="AD95" i="2" s="1"/>
  <c r="AJ65" i="2"/>
  <c r="AD65" i="2"/>
  <c r="AG65" i="2"/>
  <c r="AG95" i="2"/>
  <c r="AG94" i="2"/>
  <c r="AD94" i="2"/>
  <c r="BG84" i="33" l="1"/>
  <c r="AL85" i="33"/>
  <c r="BG85"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I8" i="15"/>
  <c r="I5" i="15"/>
  <c r="I6" i="15"/>
  <c r="K5" i="15"/>
  <c r="K8" i="15"/>
  <c r="I7" i="15"/>
  <c r="K6" i="15"/>
  <c r="K7" i="15"/>
  <c r="K2" i="15"/>
  <c r="C2" i="15" s="1"/>
  <c r="B2" i="46" s="1"/>
  <c r="K3" i="15"/>
  <c r="C3" i="15" s="1"/>
  <c r="B3" i="46" s="1"/>
  <c r="AD208" i="2"/>
  <c r="AD12" i="2"/>
  <c r="AG12" i="2"/>
  <c r="AJ12" i="2"/>
  <c r="AA13" i="2"/>
  <c r="AG41" i="2"/>
  <c r="AD41" i="2"/>
  <c r="AJ41" i="2"/>
  <c r="AA42" i="2"/>
  <c r="AG69" i="2"/>
  <c r="AJ69" i="2"/>
  <c r="AD69" i="2"/>
  <c r="AA70" i="2"/>
  <c r="AJ98" i="2"/>
  <c r="AD98" i="2"/>
  <c r="AG98" i="2"/>
  <c r="AA99" i="2"/>
  <c r="AA209" i="2"/>
  <c r="AJ209" i="2" s="1"/>
  <c r="AJ208" i="2"/>
  <c r="K28" i="15"/>
  <c r="I27" i="15"/>
  <c r="N2" i="39" l="1"/>
  <c r="B4" i="46"/>
  <c r="K27" i="15"/>
  <c r="I28" i="15"/>
  <c r="C7" i="15"/>
  <c r="B7" i="46" s="1"/>
  <c r="C6" i="15"/>
  <c r="B6" i="46" s="1"/>
  <c r="C5" i="15"/>
  <c r="C8" i="15"/>
  <c r="B8" i="46" s="1"/>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AG209" i="2"/>
  <c r="AD209" i="2"/>
  <c r="AD13" i="2"/>
  <c r="AJ13" i="2"/>
  <c r="AG13" i="2"/>
  <c r="AA14" i="2"/>
  <c r="AJ42" i="2"/>
  <c r="AD42" i="2"/>
  <c r="AG42" i="2"/>
  <c r="AA43" i="2"/>
  <c r="AD70" i="2"/>
  <c r="AG70" i="2"/>
  <c r="AJ70" i="2"/>
  <c r="AA71" i="2"/>
  <c r="AA100" i="2"/>
  <c r="AG99" i="2"/>
  <c r="AJ99" i="2"/>
  <c r="AD99" i="2"/>
  <c r="AA210" i="2"/>
  <c r="AD210" i="2" s="1"/>
  <c r="K29" i="15"/>
  <c r="I29" i="15"/>
  <c r="K30"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4" i="39" l="1"/>
  <c r="O4" i="39" s="1"/>
  <c r="B5" i="46"/>
  <c r="N3" i="39"/>
  <c r="O3" i="39" s="1"/>
  <c r="N8" i="39"/>
  <c r="O8" i="39" s="1"/>
  <c r="H11" i="33"/>
  <c r="AT11" i="33" s="1"/>
  <c r="H9" i="33"/>
  <c r="BD9" i="33" s="1"/>
  <c r="H10" i="33"/>
  <c r="AE10" i="33" s="1"/>
  <c r="H12" i="33"/>
  <c r="AE12" i="33" s="1"/>
  <c r="H21" i="33"/>
  <c r="H19" i="33"/>
  <c r="H20" i="33"/>
  <c r="H18" i="33"/>
  <c r="H22" i="33"/>
  <c r="BD17" i="33"/>
  <c r="AE17" i="33"/>
  <c r="AO17" i="33"/>
  <c r="I17" i="33"/>
  <c r="AY17" i="33"/>
  <c r="AT17" i="33"/>
  <c r="AJ17" i="33"/>
  <c r="AB2" i="16"/>
  <c r="H16" i="33"/>
  <c r="A26" i="27"/>
  <c r="A27" i="27"/>
  <c r="A25" i="27"/>
  <c r="A29" i="27"/>
  <c r="A28" i="27"/>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1" i="33" l="1"/>
  <c r="AJ11" i="33"/>
  <c r="BD11" i="33"/>
  <c r="AO9" i="33"/>
  <c r="AJ9" i="33"/>
  <c r="AT9" i="33"/>
  <c r="AY11" i="33"/>
  <c r="BD10" i="33"/>
  <c r="AJ10" i="33"/>
  <c r="AY10" i="33"/>
  <c r="I10" i="33"/>
  <c r="AT10" i="33"/>
  <c r="AO10" i="33"/>
  <c r="AY9" i="33"/>
  <c r="AE9" i="33"/>
  <c r="AE11" i="33"/>
  <c r="I9" i="33"/>
  <c r="I11" i="33"/>
  <c r="AJ12" i="33"/>
  <c r="AY12" i="33"/>
  <c r="AT12" i="33"/>
  <c r="AO12" i="33"/>
  <c r="BD12" i="33"/>
  <c r="I12" i="33"/>
  <c r="AE22" i="33"/>
  <c r="AY22" i="33"/>
  <c r="I22" i="33"/>
  <c r="AJ22" i="33"/>
  <c r="BD22" i="33"/>
  <c r="AT22" i="33"/>
  <c r="AO22" i="33"/>
  <c r="AJ18" i="33"/>
  <c r="AO18" i="33"/>
  <c r="BD18" i="33"/>
  <c r="I18" i="33"/>
  <c r="AT18" i="33"/>
  <c r="AE18" i="33"/>
  <c r="AY18" i="33"/>
  <c r="AE20" i="33"/>
  <c r="BD20" i="33"/>
  <c r="AT20" i="33"/>
  <c r="I20" i="33"/>
  <c r="AJ20" i="33"/>
  <c r="AO20" i="33"/>
  <c r="AY20" i="33"/>
  <c r="AE19" i="33"/>
  <c r="AT19" i="33"/>
  <c r="BD19" i="33"/>
  <c r="I19" i="33"/>
  <c r="AJ19" i="33"/>
  <c r="AO19" i="33"/>
  <c r="AY19" i="33"/>
  <c r="AJ21" i="33"/>
  <c r="I21" i="33"/>
  <c r="AE21" i="33"/>
  <c r="BD21" i="33"/>
  <c r="AT21" i="33"/>
  <c r="AO21" i="33"/>
  <c r="AY21" i="33"/>
  <c r="AJ16" i="33"/>
  <c r="AE16" i="33"/>
  <c r="AY16" i="33"/>
  <c r="BD16" i="33"/>
  <c r="I16" i="33"/>
  <c r="AO16" i="33"/>
  <c r="AT16" i="33"/>
  <c r="AX139" i="33"/>
  <c r="AZ139" i="33" s="1"/>
  <c r="AH140" i="33"/>
  <c r="AR141" i="33"/>
  <c r="BB142" i="33"/>
  <c r="AM143" i="33"/>
  <c r="AD145" i="33"/>
  <c r="AF145" i="33" s="1"/>
  <c r="AN146" i="33"/>
  <c r="AX6" i="33"/>
  <c r="AZ6" i="33" s="1"/>
  <c r="AS3" i="33"/>
  <c r="AH4" i="33"/>
  <c r="AI147" i="33"/>
  <c r="AK147" i="33" s="1"/>
  <c r="AW148" i="33"/>
  <c r="AD149" i="33"/>
  <c r="AF149" i="33" s="1"/>
  <c r="AN2" i="33"/>
  <c r="BB5" i="33"/>
  <c r="AM9" i="33"/>
  <c r="AX10" i="33"/>
  <c r="AZ10" i="33" s="1"/>
  <c r="AH11" i="33"/>
  <c r="AW12" i="33"/>
  <c r="AH13" i="33"/>
  <c r="AW14" i="33"/>
  <c r="AH15" i="33"/>
  <c r="AW16" i="33"/>
  <c r="AH17" i="33"/>
  <c r="AN18" i="33"/>
  <c r="AH20" i="33"/>
  <c r="AW21" i="33"/>
  <c r="AH22" i="33"/>
  <c r="AR23" i="33"/>
  <c r="BC24" i="33"/>
  <c r="BE24" i="33" s="1"/>
  <c r="AM25" i="33"/>
  <c r="AX26" i="33"/>
  <c r="AZ26" i="33" s="1"/>
  <c r="AI27" i="33"/>
  <c r="AK27" i="33" s="1"/>
  <c r="AW28" i="33"/>
  <c r="AH29" i="33"/>
  <c r="AW30" i="33"/>
  <c r="AH31" i="33"/>
  <c r="AR32" i="33"/>
  <c r="AC33" i="33"/>
  <c r="BC33" i="33"/>
  <c r="BE33" i="33" s="1"/>
  <c r="AN34" i="33"/>
  <c r="BB35" i="33"/>
  <c r="AM36" i="33"/>
  <c r="AW37" i="33"/>
  <c r="AD38" i="33"/>
  <c r="AF38" i="33" s="1"/>
  <c r="AR39" i="33"/>
  <c r="AX40" i="33"/>
  <c r="AZ40" i="33" s="1"/>
  <c r="AI41" i="33"/>
  <c r="AK41" i="33" s="1"/>
  <c r="AX42" i="33"/>
  <c r="AZ42" i="33" s="1"/>
  <c r="AI43" i="33"/>
  <c r="AK43" i="33" s="1"/>
  <c r="AR138" i="33"/>
  <c r="BB139" i="33"/>
  <c r="AI140" i="33"/>
  <c r="AK140" i="33" s="1"/>
  <c r="AS141" i="33"/>
  <c r="AC142" i="33"/>
  <c r="BC142" i="33"/>
  <c r="BE142" i="33" s="1"/>
  <c r="AN143" i="33"/>
  <c r="AW144" i="33"/>
  <c r="AH145" i="33"/>
  <c r="AC6" i="33"/>
  <c r="AW3" i="33"/>
  <c r="AI4" i="33"/>
  <c r="AK4" i="33" s="1"/>
  <c r="AM147" i="33"/>
  <c r="AX148" i="33"/>
  <c r="AZ148" i="33" s="1"/>
  <c r="AH149" i="33"/>
  <c r="AR2" i="33"/>
  <c r="BC5" i="33"/>
  <c r="BE5" i="33" s="1"/>
  <c r="AN9" i="33"/>
  <c r="BB10" i="33"/>
  <c r="AI11" i="33"/>
  <c r="AK11" i="33" s="1"/>
  <c r="AX12" i="33"/>
  <c r="AZ12" i="33" s="1"/>
  <c r="AI13" i="33"/>
  <c r="AK13" i="33" s="1"/>
  <c r="AX14" i="33"/>
  <c r="AZ14" i="33" s="1"/>
  <c r="AI15" i="33"/>
  <c r="AK15" i="33" s="1"/>
  <c r="AX16" i="33"/>
  <c r="AZ16" i="33" s="1"/>
  <c r="AI17" i="33"/>
  <c r="AK17" i="33" s="1"/>
  <c r="AR18" i="33"/>
  <c r="BB19" i="33"/>
  <c r="AI20" i="33"/>
  <c r="AK20" i="33" s="1"/>
  <c r="AX21" i="33"/>
  <c r="AZ21" i="33" s="1"/>
  <c r="AI22" i="33"/>
  <c r="AK22" i="33" s="1"/>
  <c r="AS23" i="33"/>
  <c r="AC24" i="33"/>
  <c r="AN25" i="33"/>
  <c r="BB26" i="33"/>
  <c r="AM27" i="33"/>
  <c r="AX28" i="33"/>
  <c r="AZ28" i="33" s="1"/>
  <c r="AI29" i="33"/>
  <c r="AK29" i="33" s="1"/>
  <c r="AX30" i="33"/>
  <c r="AZ30" i="33" s="1"/>
  <c r="AI31" i="33"/>
  <c r="AK31" i="33" s="1"/>
  <c r="AS32" i="33"/>
  <c r="AD33" i="33"/>
  <c r="AF33" i="33" s="1"/>
  <c r="AR34" i="33"/>
  <c r="AC35" i="33"/>
  <c r="BC35" i="33"/>
  <c r="BE35" i="33" s="1"/>
  <c r="AN36" i="33"/>
  <c r="AX37" i="33"/>
  <c r="AZ37" i="33" s="1"/>
  <c r="AS39" i="33"/>
  <c r="BB40" i="33"/>
  <c r="AM41" i="33"/>
  <c r="BB42" i="33"/>
  <c r="AM43" i="33"/>
  <c r="AW44" i="33"/>
  <c r="AD45" i="33"/>
  <c r="AF45" i="33" s="1"/>
  <c r="AS46" i="33"/>
  <c r="AD47" i="33"/>
  <c r="AF47" i="33" s="1"/>
  <c r="AR48" i="33"/>
  <c r="AC49" i="33"/>
  <c r="AR50" i="33"/>
  <c r="AC51" i="33"/>
  <c r="BC51" i="33"/>
  <c r="BE51" i="33" s="1"/>
  <c r="AN52" i="33"/>
  <c r="AI54" i="33"/>
  <c r="AK54" i="33" s="1"/>
  <c r="AX55" i="33"/>
  <c r="AZ55" i="33" s="1"/>
  <c r="AI56" i="33"/>
  <c r="AK56" i="33" s="1"/>
  <c r="AS57" i="33"/>
  <c r="AC58" i="33"/>
  <c r="AR59" i="33"/>
  <c r="AC60" i="33"/>
  <c r="BB60" i="33"/>
  <c r="AI61" i="33"/>
  <c r="AK61" i="33" s="1"/>
  <c r="AR62" i="33"/>
  <c r="AC63" i="33"/>
  <c r="BC63" i="33"/>
  <c r="BE63" i="33" s="1"/>
  <c r="AW138" i="33"/>
  <c r="AH139" i="33"/>
  <c r="AC141" i="33"/>
  <c r="AX141" i="33"/>
  <c r="AZ141" i="33" s="1"/>
  <c r="AH142" i="33"/>
  <c r="AS143" i="33"/>
  <c r="BC144" i="33"/>
  <c r="BE144" i="33" s="1"/>
  <c r="AN145" i="33"/>
  <c r="AW146" i="33"/>
  <c r="AI6" i="33"/>
  <c r="AK6" i="33" s="1"/>
  <c r="BC3" i="33"/>
  <c r="BE3" i="33" s="1"/>
  <c r="AR4" i="33"/>
  <c r="AS147" i="33"/>
  <c r="AD148" i="33"/>
  <c r="AF148" i="33" s="1"/>
  <c r="AN149" i="33"/>
  <c r="AX2" i="33"/>
  <c r="AZ2" i="33" s="1"/>
  <c r="AH5" i="33"/>
  <c r="AW9" i="33"/>
  <c r="AR11" i="33"/>
  <c r="AC12" i="33"/>
  <c r="AR13" i="33"/>
  <c r="AC14" i="33"/>
  <c r="AR15" i="33"/>
  <c r="AC16" i="33"/>
  <c r="AR17" i="33"/>
  <c r="AW18" i="33"/>
  <c r="AH19" i="33"/>
  <c r="AR20" i="33"/>
  <c r="AC21" i="33"/>
  <c r="AR22" i="33"/>
  <c r="AX23" i="33"/>
  <c r="AZ23" i="33" s="1"/>
  <c r="AI24" i="33"/>
  <c r="AK24" i="33" s="1"/>
  <c r="AW25" i="33"/>
  <c r="AD26" i="33"/>
  <c r="AF26" i="33" s="1"/>
  <c r="AS27" i="33"/>
  <c r="AD28" i="33"/>
  <c r="AF28" i="33" s="1"/>
  <c r="AR29" i="33"/>
  <c r="AC30" i="33"/>
  <c r="AR31" i="33"/>
  <c r="AC32" i="33"/>
  <c r="BB32" i="33"/>
  <c r="AI33" i="33"/>
  <c r="AK33" i="33" s="1"/>
  <c r="AX34" i="33"/>
  <c r="AZ34" i="33" s="1"/>
  <c r="AH35" i="33"/>
  <c r="AC138" i="33"/>
  <c r="AX138" i="33"/>
  <c r="AZ138" i="33" s="1"/>
  <c r="AI139" i="33"/>
  <c r="AK139" i="33" s="1"/>
  <c r="AR140" i="33"/>
  <c r="AD141" i="33"/>
  <c r="AF141" i="33" s="1"/>
  <c r="BB141" i="33"/>
  <c r="AI142" i="33"/>
  <c r="AK142" i="33" s="1"/>
  <c r="AW143" i="33"/>
  <c r="AH144" i="33"/>
  <c r="AR145" i="33"/>
  <c r="AX146" i="33"/>
  <c r="AZ146" i="33" s="1"/>
  <c r="AC3" i="33"/>
  <c r="AS4" i="33"/>
  <c r="AW147" i="33"/>
  <c r="AH148" i="33"/>
  <c r="AR149" i="33"/>
  <c r="AI5" i="33"/>
  <c r="AK5" i="33" s="1"/>
  <c r="AX9" i="33"/>
  <c r="AZ9" i="33" s="1"/>
  <c r="AH10" i="33"/>
  <c r="AS11" i="33"/>
  <c r="AD12" i="33"/>
  <c r="AF12" i="33" s="1"/>
  <c r="AS13" i="33"/>
  <c r="AD14" i="33"/>
  <c r="AF14" i="33" s="1"/>
  <c r="AS15" i="33"/>
  <c r="AD16" i="33"/>
  <c r="AF16" i="33" s="1"/>
  <c r="AS17" i="33"/>
  <c r="AX18" i="33"/>
  <c r="AZ18" i="33" s="1"/>
  <c r="AI19" i="33"/>
  <c r="AK19" i="33" s="1"/>
  <c r="AS20" i="33"/>
  <c r="AD21" i="33"/>
  <c r="AF21" i="33" s="1"/>
  <c r="AS22" i="33"/>
  <c r="AC23" i="33"/>
  <c r="BB23" i="33"/>
  <c r="AM24" i="33"/>
  <c r="AX25" i="33"/>
  <c r="AZ25" i="33" s="1"/>
  <c r="AH26" i="33"/>
  <c r="AW27" i="33"/>
  <c r="AH28" i="33"/>
  <c r="AS29" i="33"/>
  <c r="AD30" i="33"/>
  <c r="AF30" i="33" s="1"/>
  <c r="AS31" i="33"/>
  <c r="AD32" i="33"/>
  <c r="AF32" i="33" s="1"/>
  <c r="BC32" i="33"/>
  <c r="BE32" i="33" s="1"/>
  <c r="AM33" i="33"/>
  <c r="BB34" i="33"/>
  <c r="AI35" i="33"/>
  <c r="AK35" i="33" s="1"/>
  <c r="AW36" i="33"/>
  <c r="AH37" i="33"/>
  <c r="AN38" i="33"/>
  <c r="BC39" i="33"/>
  <c r="BE39" i="33" s="1"/>
  <c r="AI40" i="33"/>
  <c r="AK40" i="33" s="1"/>
  <c r="AW41" i="33"/>
  <c r="AD138" i="33"/>
  <c r="AF138" i="33" s="1"/>
  <c r="BB138" i="33"/>
  <c r="AM139" i="33"/>
  <c r="AS140" i="33"/>
  <c r="BC141" i="33"/>
  <c r="BE141" i="33" s="1"/>
  <c r="AM142" i="33"/>
  <c r="AX143" i="33"/>
  <c r="AZ143" i="33" s="1"/>
  <c r="AI144" i="33"/>
  <c r="AK144" i="33" s="1"/>
  <c r="AS145" i="33"/>
  <c r="AC146" i="33"/>
  <c r="BB146" i="33"/>
  <c r="AM6" i="33"/>
  <c r="AD3" i="33"/>
  <c r="AF3" i="33" s="1"/>
  <c r="AW4" i="33"/>
  <c r="AX147" i="33"/>
  <c r="AZ147" i="33" s="1"/>
  <c r="AI148" i="33"/>
  <c r="AK148" i="33" s="1"/>
  <c r="AS149" i="33"/>
  <c r="BB2" i="33"/>
  <c r="AM5" i="33"/>
  <c r="BB9" i="33"/>
  <c r="AI10" i="33"/>
  <c r="AK10" i="33" s="1"/>
  <c r="AW11" i="33"/>
  <c r="AH12" i="33"/>
  <c r="AW13" i="33"/>
  <c r="AH14" i="33"/>
  <c r="AW15" i="33"/>
  <c r="AH16" i="33"/>
  <c r="AW17" i="33"/>
  <c r="AC18" i="33"/>
  <c r="BB18" i="33"/>
  <c r="AM19" i="33"/>
  <c r="AW20" i="33"/>
  <c r="AH21" i="33"/>
  <c r="AW22" i="33"/>
  <c r="AD23" i="33"/>
  <c r="AF23" i="33" s="1"/>
  <c r="BC23" i="33"/>
  <c r="BE23" i="33" s="1"/>
  <c r="AN24" i="33"/>
  <c r="BB25" i="33"/>
  <c r="AI26" i="33"/>
  <c r="AK26" i="33" s="1"/>
  <c r="AX27" i="33"/>
  <c r="AZ27" i="33" s="1"/>
  <c r="AI28" i="33"/>
  <c r="AK28" i="33" s="1"/>
  <c r="AW29" i="33"/>
  <c r="AH30" i="33"/>
  <c r="AW31" i="33"/>
  <c r="AH32" i="33"/>
  <c r="AN33" i="33"/>
  <c r="BC34" i="33"/>
  <c r="BE34" i="33" s="1"/>
  <c r="AM35" i="33"/>
  <c r="AX36" i="33"/>
  <c r="AZ36" i="33" s="1"/>
  <c r="AI37" i="33"/>
  <c r="AK37" i="33" s="1"/>
  <c r="AR38" i="33"/>
  <c r="AC39" i="33"/>
  <c r="AM40" i="33"/>
  <c r="AX41" i="33"/>
  <c r="AZ41" i="33" s="1"/>
  <c r="AI42" i="33"/>
  <c r="AK42" i="33" s="1"/>
  <c r="AX43" i="33"/>
  <c r="AZ43" i="33" s="1"/>
  <c r="BC138" i="33"/>
  <c r="BE138" i="33" s="1"/>
  <c r="AN139" i="33"/>
  <c r="AW140" i="33"/>
  <c r="AH141" i="33"/>
  <c r="AN142" i="33"/>
  <c r="BB143" i="33"/>
  <c r="AM144" i="33"/>
  <c r="AD146" i="33"/>
  <c r="AF146" i="33" s="1"/>
  <c r="BC146" i="33"/>
  <c r="BE146" i="33" s="1"/>
  <c r="AN6" i="33"/>
  <c r="AH3" i="33"/>
  <c r="AX4" i="33"/>
  <c r="AZ4" i="33" s="1"/>
  <c r="BB147" i="33"/>
  <c r="AM148" i="33"/>
  <c r="AW149" i="33"/>
  <c r="AC2" i="33"/>
  <c r="BC2" i="33"/>
  <c r="BE2" i="33" s="1"/>
  <c r="AN5" i="33"/>
  <c r="BC9" i="33"/>
  <c r="BE9" i="33" s="1"/>
  <c r="AM10" i="33"/>
  <c r="AX11" i="33"/>
  <c r="AZ11" i="33" s="1"/>
  <c r="AI12" i="33"/>
  <c r="AK12" i="33" s="1"/>
  <c r="AX13" i="33"/>
  <c r="AZ13" i="33" s="1"/>
  <c r="AI14" i="33"/>
  <c r="AK14" i="33" s="1"/>
  <c r="AX15" i="33"/>
  <c r="AZ15" i="33" s="1"/>
  <c r="AI16" i="33"/>
  <c r="AK16" i="33" s="1"/>
  <c r="AX17" i="33"/>
  <c r="AZ17" i="33" s="1"/>
  <c r="AD18" i="33"/>
  <c r="AF18" i="33" s="1"/>
  <c r="BC18" i="33"/>
  <c r="BE18" i="33" s="1"/>
  <c r="AN19" i="33"/>
  <c r="AX20" i="33"/>
  <c r="AZ20" i="33" s="1"/>
  <c r="AI21" i="33"/>
  <c r="AK21" i="33" s="1"/>
  <c r="AX22" i="33"/>
  <c r="AZ22" i="33" s="1"/>
  <c r="AR24" i="33"/>
  <c r="AC25" i="33"/>
  <c r="BC25" i="33"/>
  <c r="BE25" i="33" s="1"/>
  <c r="AM26" i="33"/>
  <c r="BB27" i="33"/>
  <c r="AM28" i="33"/>
  <c r="AX29" i="33"/>
  <c r="AZ29" i="33" s="1"/>
  <c r="AI30" i="33"/>
  <c r="AK30" i="33" s="1"/>
  <c r="AX31" i="33"/>
  <c r="AZ31" i="33" s="1"/>
  <c r="AI32" i="33"/>
  <c r="AK32" i="33" s="1"/>
  <c r="AH138" i="33"/>
  <c r="AR139" i="33"/>
  <c r="AX140" i="33"/>
  <c r="AZ140" i="33" s="1"/>
  <c r="AI141" i="33"/>
  <c r="AK141" i="33" s="1"/>
  <c r="AR142" i="33"/>
  <c r="AC143" i="33"/>
  <c r="BC143" i="33"/>
  <c r="BE143" i="33" s="1"/>
  <c r="AN144" i="33"/>
  <c r="AW145" i="33"/>
  <c r="AI3" i="33"/>
  <c r="AK3" i="33" s="1"/>
  <c r="BB4" i="33"/>
  <c r="BC147" i="33"/>
  <c r="BE147" i="33" s="1"/>
  <c r="AN148" i="33"/>
  <c r="AX149" i="33"/>
  <c r="AZ149" i="33" s="1"/>
  <c r="AD2" i="33"/>
  <c r="AF2" i="33" s="1"/>
  <c r="AR5" i="33"/>
  <c r="AC9" i="33"/>
  <c r="AN10" i="33"/>
  <c r="BB11" i="33"/>
  <c r="AM12" i="33"/>
  <c r="BB13" i="33"/>
  <c r="AM14" i="33"/>
  <c r="BB15" i="33"/>
  <c r="AM16" i="33"/>
  <c r="AR19" i="33"/>
  <c r="BB20" i="33"/>
  <c r="AM21" i="33"/>
  <c r="AH23" i="33"/>
  <c r="AS24" i="33"/>
  <c r="AD25" i="33"/>
  <c r="AF25" i="33" s="1"/>
  <c r="AN26" i="33"/>
  <c r="BC27" i="33"/>
  <c r="BE27" i="33" s="1"/>
  <c r="AN28" i="33"/>
  <c r="BB29" i="33"/>
  <c r="AM30" i="33"/>
  <c r="BB31" i="33"/>
  <c r="AS33" i="33"/>
  <c r="AD34" i="33"/>
  <c r="AF34" i="33" s="1"/>
  <c r="AR35" i="33"/>
  <c r="AC36" i="33"/>
  <c r="BC36" i="33"/>
  <c r="BE36" i="33" s="1"/>
  <c r="AN37" i="33"/>
  <c r="AW38" i="33"/>
  <c r="AH39" i="33"/>
  <c r="AR40" i="33"/>
  <c r="BC41" i="33"/>
  <c r="BE41" i="33" s="1"/>
  <c r="AD139" i="33"/>
  <c r="AF139" i="33" s="1"/>
  <c r="AD140" i="33"/>
  <c r="AF140" i="33" s="1"/>
  <c r="AN141" i="33"/>
  <c r="AW142" i="33"/>
  <c r="AR143" i="33"/>
  <c r="BB144" i="33"/>
  <c r="AC147" i="33"/>
  <c r="AI149" i="33"/>
  <c r="AK149" i="33" s="1"/>
  <c r="AC17" i="33"/>
  <c r="AD24" i="33"/>
  <c r="AF24" i="33" s="1"/>
  <c r="AI25" i="33"/>
  <c r="AK25" i="33" s="1"/>
  <c r="AR26" i="33"/>
  <c r="AH27" i="33"/>
  <c r="AS28" i="33"/>
  <c r="AN29" i="33"/>
  <c r="BC30" i="33"/>
  <c r="BE30" i="33" s="1"/>
  <c r="BC37" i="33"/>
  <c r="BE37" i="33" s="1"/>
  <c r="AS38" i="33"/>
  <c r="AM39" i="33"/>
  <c r="BC42" i="33"/>
  <c r="BE42" i="33" s="1"/>
  <c r="AS43" i="33"/>
  <c r="AD44" i="33"/>
  <c r="AF44" i="33" s="1"/>
  <c r="AS45" i="33"/>
  <c r="AD46" i="33"/>
  <c r="AF46" i="33" s="1"/>
  <c r="AX47" i="33"/>
  <c r="AZ47" i="33" s="1"/>
  <c r="AH48" i="33"/>
  <c r="BB49" i="33"/>
  <c r="AM50" i="33"/>
  <c r="AS52" i="33"/>
  <c r="AD53" i="33"/>
  <c r="AF53" i="33" s="1"/>
  <c r="BC53" i="33"/>
  <c r="BE53" i="33" s="1"/>
  <c r="AR54" i="33"/>
  <c r="AC55" i="33"/>
  <c r="AS56" i="33"/>
  <c r="AD57" i="33"/>
  <c r="AF57" i="33" s="1"/>
  <c r="AS58" i="33"/>
  <c r="AD59" i="33"/>
  <c r="AF59" i="33" s="1"/>
  <c r="AD63" i="33"/>
  <c r="AF63" i="33" s="1"/>
  <c r="AW64" i="33"/>
  <c r="AI65" i="33"/>
  <c r="AK65" i="33" s="1"/>
  <c r="AX66" i="33"/>
  <c r="AZ66" i="33" s="1"/>
  <c r="AM67" i="33"/>
  <c r="BC68" i="33"/>
  <c r="BE68" i="33" s="1"/>
  <c r="AR69" i="33"/>
  <c r="AD70" i="33"/>
  <c r="AF70" i="33" s="1"/>
  <c r="AS71" i="33"/>
  <c r="AH72" i="33"/>
  <c r="AW73" i="33"/>
  <c r="AI74" i="33"/>
  <c r="AK74" i="33" s="1"/>
  <c r="BB75" i="33"/>
  <c r="AN76" i="33"/>
  <c r="AC77" i="33"/>
  <c r="BC77" i="33"/>
  <c r="BE77" i="33" s="1"/>
  <c r="AR78" i="33"/>
  <c r="AD79" i="33"/>
  <c r="AF79" i="33" s="1"/>
  <c r="AW80" i="33"/>
  <c r="AI81" i="33"/>
  <c r="AK81" i="33" s="1"/>
  <c r="AX82" i="33"/>
  <c r="AZ82" i="33" s="1"/>
  <c r="AI83" i="33"/>
  <c r="AK83" i="33" s="1"/>
  <c r="AX84" i="33"/>
  <c r="AZ84" i="33" s="1"/>
  <c r="AM85" i="33"/>
  <c r="BC86" i="33"/>
  <c r="BE86" i="33" s="1"/>
  <c r="AN87" i="33"/>
  <c r="BB88" i="33"/>
  <c r="AM89" i="33"/>
  <c r="BB90" i="33"/>
  <c r="AM91" i="33"/>
  <c r="AX92" i="33"/>
  <c r="AZ92" i="33" s="1"/>
  <c r="AI93" i="33"/>
  <c r="AK93" i="33" s="1"/>
  <c r="AX94" i="33"/>
  <c r="AZ94" i="33" s="1"/>
  <c r="AI95" i="33"/>
  <c r="AK95" i="33" s="1"/>
  <c r="AX96" i="33"/>
  <c r="AZ96" i="33" s="1"/>
  <c r="AH97" i="33"/>
  <c r="AW98" i="33"/>
  <c r="AH99" i="33"/>
  <c r="AW100" i="33"/>
  <c r="AH101" i="33"/>
  <c r="AI138" i="33"/>
  <c r="AK138" i="33" s="1"/>
  <c r="AS139" i="33"/>
  <c r="AX142" i="33"/>
  <c r="AZ142" i="33" s="1"/>
  <c r="AD147" i="33"/>
  <c r="AF147" i="33" s="1"/>
  <c r="AR148" i="33"/>
  <c r="AM149" i="33"/>
  <c r="AN16" i="33"/>
  <c r="AD17" i="33"/>
  <c r="AF17" i="33" s="1"/>
  <c r="AC22" i="33"/>
  <c r="AI23" i="33"/>
  <c r="AK23" i="33" s="1"/>
  <c r="AH24" i="33"/>
  <c r="AS26" i="33"/>
  <c r="AN27" i="33"/>
  <c r="BB28" i="33"/>
  <c r="BC29" i="33"/>
  <c r="BE29" i="33" s="1"/>
  <c r="AX38" i="33"/>
  <c r="AZ38" i="33" s="1"/>
  <c r="AN39" i="33"/>
  <c r="AC40" i="33"/>
  <c r="AW43" i="33"/>
  <c r="AH44" i="33"/>
  <c r="AW45" i="33"/>
  <c r="AH46" i="33"/>
  <c r="BB47" i="33"/>
  <c r="AI48" i="33"/>
  <c r="AK48" i="33" s="1"/>
  <c r="BC49" i="33"/>
  <c r="BE49" i="33" s="1"/>
  <c r="AN50" i="33"/>
  <c r="AD51" i="33"/>
  <c r="AF51" i="33" s="1"/>
  <c r="AW52" i="33"/>
  <c r="AS54" i="33"/>
  <c r="AD55" i="33"/>
  <c r="AF55" i="33" s="1"/>
  <c r="AW56" i="33"/>
  <c r="AW58" i="33"/>
  <c r="AH59" i="33"/>
  <c r="AW60" i="33"/>
  <c r="AH61" i="33"/>
  <c r="AS62" i="33"/>
  <c r="AH63" i="33"/>
  <c r="AX64" i="33"/>
  <c r="AZ64" i="33" s="1"/>
  <c r="AM65" i="33"/>
  <c r="BB66" i="33"/>
  <c r="AN67" i="33"/>
  <c r="AC68" i="33"/>
  <c r="AS69" i="33"/>
  <c r="AH70" i="33"/>
  <c r="AW71" i="33"/>
  <c r="AI72" i="33"/>
  <c r="AK72" i="33" s="1"/>
  <c r="AX73" i="33"/>
  <c r="AZ73" i="33" s="1"/>
  <c r="AM74" i="33"/>
  <c r="BC75" i="33"/>
  <c r="BE75" i="33" s="1"/>
  <c r="AR76" i="33"/>
  <c r="AD77" i="33"/>
  <c r="AF77" i="33" s="1"/>
  <c r="AS78" i="33"/>
  <c r="AH79" i="33"/>
  <c r="AX80" i="33"/>
  <c r="AZ80" i="33" s="1"/>
  <c r="AM81" i="33"/>
  <c r="BB82" i="33"/>
  <c r="AM83" i="33"/>
  <c r="BB84" i="33"/>
  <c r="AN85" i="33"/>
  <c r="AC86" i="33"/>
  <c r="AR87" i="33"/>
  <c r="BC88" i="33"/>
  <c r="BE88" i="33" s="1"/>
  <c r="AN89" i="33"/>
  <c r="BC90" i="33"/>
  <c r="BE90" i="33" s="1"/>
  <c r="AN91" i="33"/>
  <c r="BB92" i="33"/>
  <c r="AM93" i="33"/>
  <c r="BB94" i="33"/>
  <c r="AM95" i="33"/>
  <c r="AI97" i="33"/>
  <c r="AK97" i="33" s="1"/>
  <c r="AX98" i="33"/>
  <c r="AZ98" i="33" s="1"/>
  <c r="AI99" i="33"/>
  <c r="AK99" i="33" s="1"/>
  <c r="AX100" i="33"/>
  <c r="AZ100" i="33" s="1"/>
  <c r="AI101" i="33"/>
  <c r="AK101" i="33" s="1"/>
  <c r="AM138" i="33"/>
  <c r="AM140" i="33"/>
  <c r="AH147" i="33"/>
  <c r="AS148" i="33"/>
  <c r="BB149" i="33"/>
  <c r="AC15" i="33"/>
  <c r="AR16" i="33"/>
  <c r="AM17" i="33"/>
  <c r="AC19" i="33"/>
  <c r="AC20" i="33"/>
  <c r="AN21" i="33"/>
  <c r="AD22" i="33"/>
  <c r="AF22" i="33" s="1"/>
  <c r="AM23" i="33"/>
  <c r="AW24" i="33"/>
  <c r="AR25" i="33"/>
  <c r="AW26" i="33"/>
  <c r="AR27" i="33"/>
  <c r="BC28" i="33"/>
  <c r="BE28" i="33" s="1"/>
  <c r="BB38" i="33"/>
  <c r="AW39" i="33"/>
  <c r="AD40" i="33"/>
  <c r="AF40" i="33" s="1"/>
  <c r="AI44" i="33"/>
  <c r="AK44" i="33" s="1"/>
  <c r="AX45" i="33"/>
  <c r="AZ45" i="33" s="1"/>
  <c r="AI46" i="33"/>
  <c r="AK46" i="33" s="1"/>
  <c r="BC47" i="33"/>
  <c r="BE47" i="33" s="1"/>
  <c r="AM48" i="33"/>
  <c r="AS50" i="33"/>
  <c r="AH51" i="33"/>
  <c r="AX52" i="33"/>
  <c r="AZ52" i="33" s="1"/>
  <c r="AH53" i="33"/>
  <c r="AW54" i="33"/>
  <c r="AH55" i="33"/>
  <c r="AX56" i="33"/>
  <c r="AZ56" i="33" s="1"/>
  <c r="AH57" i="33"/>
  <c r="AX58" i="33"/>
  <c r="AZ58" i="33" s="1"/>
  <c r="AI59" i="33"/>
  <c r="AK59" i="33" s="1"/>
  <c r="AX60" i="33"/>
  <c r="AZ60" i="33" s="1"/>
  <c r="AI63" i="33"/>
  <c r="AK63" i="33" s="1"/>
  <c r="BB64" i="33"/>
  <c r="AN65" i="33"/>
  <c r="AC66" i="33"/>
  <c r="BC66" i="33"/>
  <c r="BE66" i="33" s="1"/>
  <c r="AR67" i="33"/>
  <c r="AD68" i="33"/>
  <c r="AF68" i="33" s="1"/>
  <c r="AW69" i="33"/>
  <c r="AI70" i="33"/>
  <c r="AK70" i="33" s="1"/>
  <c r="AX71" i="33"/>
  <c r="AZ71" i="33" s="1"/>
  <c r="AM72" i="33"/>
  <c r="BB73" i="33"/>
  <c r="AN74" i="33"/>
  <c r="AC75" i="33"/>
  <c r="AS76" i="33"/>
  <c r="AH77" i="33"/>
  <c r="AW78" i="33"/>
  <c r="AI79" i="33"/>
  <c r="AK79" i="33" s="1"/>
  <c r="BB80" i="33"/>
  <c r="AN81" i="33"/>
  <c r="AC82" i="33"/>
  <c r="BC82" i="33"/>
  <c r="BE82" i="33" s="1"/>
  <c r="AN83" i="33"/>
  <c r="AC84" i="33"/>
  <c r="BC84" i="33"/>
  <c r="BE84" i="33" s="1"/>
  <c r="AR85" i="33"/>
  <c r="AD86" i="33"/>
  <c r="AF86" i="33" s="1"/>
  <c r="AS87" i="33"/>
  <c r="AN138" i="33"/>
  <c r="AW139" i="33"/>
  <c r="AN140" i="33"/>
  <c r="AW141" i="33"/>
  <c r="AD6" i="33"/>
  <c r="AF6" i="33" s="1"/>
  <c r="AC4" i="33"/>
  <c r="AN147" i="33"/>
  <c r="BB148" i="33"/>
  <c r="BC149" i="33"/>
  <c r="BE149" i="33" s="1"/>
  <c r="AN14" i="33"/>
  <c r="AD15" i="33"/>
  <c r="AF15" i="33" s="1"/>
  <c r="AS16" i="33"/>
  <c r="AN17" i="33"/>
  <c r="AH18" i="33"/>
  <c r="AD19" i="33"/>
  <c r="AF19" i="33" s="1"/>
  <c r="AD20" i="33"/>
  <c r="AF20" i="33" s="1"/>
  <c r="AR21" i="33"/>
  <c r="AM22" i="33"/>
  <c r="AN23" i="33"/>
  <c r="AX24" i="33"/>
  <c r="AZ24" i="33" s="1"/>
  <c r="AS25" i="33"/>
  <c r="BC26" i="33"/>
  <c r="BE26" i="33" s="1"/>
  <c r="BC38" i="33"/>
  <c r="BE38" i="33" s="1"/>
  <c r="AX39" i="33"/>
  <c r="AZ39" i="33" s="1"/>
  <c r="AH40" i="33"/>
  <c r="AC41" i="33"/>
  <c r="BB43" i="33"/>
  <c r="AM44" i="33"/>
  <c r="BB45" i="33"/>
  <c r="AM46" i="33"/>
  <c r="AN48" i="33"/>
  <c r="AD49" i="33"/>
  <c r="AF49" i="33" s="1"/>
  <c r="AW50" i="33"/>
  <c r="AI51" i="33"/>
  <c r="AK51" i="33" s="1"/>
  <c r="BB52" i="33"/>
  <c r="AI53" i="33"/>
  <c r="AK53" i="33" s="1"/>
  <c r="AX54" i="33"/>
  <c r="AZ54" i="33" s="1"/>
  <c r="AI55" i="33"/>
  <c r="AK55" i="33" s="1"/>
  <c r="BB56" i="33"/>
  <c r="AI57" i="33"/>
  <c r="AK57" i="33" s="1"/>
  <c r="BB58" i="33"/>
  <c r="AM59" i="33"/>
  <c r="BC60" i="33"/>
  <c r="BE60" i="33" s="1"/>
  <c r="AM61" i="33"/>
  <c r="AW62" i="33"/>
  <c r="AM63" i="33"/>
  <c r="BC64" i="33"/>
  <c r="BE64" i="33" s="1"/>
  <c r="AR65" i="33"/>
  <c r="AD66" i="33"/>
  <c r="AF66" i="33" s="1"/>
  <c r="AS67" i="33"/>
  <c r="AH68" i="33"/>
  <c r="AX69" i="33"/>
  <c r="AZ69" i="33" s="1"/>
  <c r="AM70" i="33"/>
  <c r="BB71" i="33"/>
  <c r="AN72" i="33"/>
  <c r="BC73" i="33"/>
  <c r="BE73" i="33" s="1"/>
  <c r="AR74" i="33"/>
  <c r="AD75" i="33"/>
  <c r="AF75" i="33" s="1"/>
  <c r="AW76" i="33"/>
  <c r="AI77" i="33"/>
  <c r="AK77" i="33" s="1"/>
  <c r="AX78" i="33"/>
  <c r="AZ78" i="33" s="1"/>
  <c r="AM79" i="33"/>
  <c r="BC80" i="33"/>
  <c r="BE80" i="33" s="1"/>
  <c r="AR81" i="33"/>
  <c r="AD82" i="33"/>
  <c r="AF82" i="33" s="1"/>
  <c r="AR83" i="33"/>
  <c r="AD84" i="33"/>
  <c r="AF84" i="33" s="1"/>
  <c r="AS85" i="33"/>
  <c r="AH86" i="33"/>
  <c r="AW87" i="33"/>
  <c r="AD88" i="33"/>
  <c r="AF88" i="33" s="1"/>
  <c r="AS89" i="33"/>
  <c r="AD90" i="33"/>
  <c r="AF90" i="33" s="1"/>
  <c r="AS91" i="33"/>
  <c r="AD92" i="33"/>
  <c r="AF92" i="33" s="1"/>
  <c r="AR93" i="33"/>
  <c r="AS138" i="33"/>
  <c r="BC139" i="33"/>
  <c r="BE139" i="33" s="1"/>
  <c r="BB140" i="33"/>
  <c r="AH6" i="33"/>
  <c r="AD4" i="33"/>
  <c r="AF4" i="33" s="1"/>
  <c r="AR147" i="33"/>
  <c r="BC148" i="33"/>
  <c r="BE148" i="33" s="1"/>
  <c r="AC13" i="33"/>
  <c r="AR14" i="33"/>
  <c r="AM15" i="33"/>
  <c r="BB16" i="33"/>
  <c r="AI18" i="33"/>
  <c r="AK18" i="33" s="1"/>
  <c r="AS19" i="33"/>
  <c r="AS21" i="33"/>
  <c r="AN22" i="33"/>
  <c r="BB24" i="33"/>
  <c r="BB39" i="33"/>
  <c r="AN40" i="33"/>
  <c r="AD41" i="33"/>
  <c r="AF41" i="33" s="1"/>
  <c r="AC42" i="33"/>
  <c r="BC43" i="33"/>
  <c r="BE43" i="33" s="1"/>
  <c r="AN44" i="33"/>
  <c r="BC45" i="33"/>
  <c r="BE45" i="33" s="1"/>
  <c r="AN46" i="33"/>
  <c r="AC47" i="33"/>
  <c r="AS48" i="33"/>
  <c r="AH49" i="33"/>
  <c r="AX50" i="33"/>
  <c r="AZ50" i="33" s="1"/>
  <c r="AM51" i="33"/>
  <c r="BC52" i="33"/>
  <c r="BE52" i="33" s="1"/>
  <c r="AM53" i="33"/>
  <c r="BB54" i="33"/>
  <c r="AM55" i="33"/>
  <c r="BC56" i="33"/>
  <c r="BE56" i="33" s="1"/>
  <c r="AM57" i="33"/>
  <c r="BC58" i="33"/>
  <c r="BE58" i="33" s="1"/>
  <c r="AN59" i="33"/>
  <c r="AD60" i="33"/>
  <c r="AF60" i="33" s="1"/>
  <c r="AN61" i="33"/>
  <c r="AX62" i="33"/>
  <c r="AZ62" i="33" s="1"/>
  <c r="AN63" i="33"/>
  <c r="AC64" i="33"/>
  <c r="AS65" i="33"/>
  <c r="AH66" i="33"/>
  <c r="AW67" i="33"/>
  <c r="AI68" i="33"/>
  <c r="AK68" i="33" s="1"/>
  <c r="BB69" i="33"/>
  <c r="AN70" i="33"/>
  <c r="AC71" i="33"/>
  <c r="BC71" i="33"/>
  <c r="BE71" i="33" s="1"/>
  <c r="AC73" i="33"/>
  <c r="AS74" i="33"/>
  <c r="AH75" i="33"/>
  <c r="AX76" i="33"/>
  <c r="AZ76" i="33" s="1"/>
  <c r="BB78" i="33"/>
  <c r="AN79" i="33"/>
  <c r="AC80" i="33"/>
  <c r="AS81" i="33"/>
  <c r="AS83" i="33"/>
  <c r="AH84" i="33"/>
  <c r="AW85" i="33"/>
  <c r="AI86" i="33"/>
  <c r="AK86" i="33" s="1"/>
  <c r="AX87" i="33"/>
  <c r="AZ87" i="33" s="1"/>
  <c r="AH88" i="33"/>
  <c r="AW89" i="33"/>
  <c r="AH90" i="33"/>
  <c r="AW91" i="33"/>
  <c r="AS93" i="33"/>
  <c r="AD94" i="33"/>
  <c r="AF94" i="33" s="1"/>
  <c r="AS95" i="33"/>
  <c r="AD96" i="33"/>
  <c r="AF96" i="33" s="1"/>
  <c r="AR97" i="33"/>
  <c r="AC98" i="33"/>
  <c r="AR99" i="33"/>
  <c r="AC100" i="33"/>
  <c r="BC140" i="33"/>
  <c r="BE140" i="33" s="1"/>
  <c r="AH146" i="33"/>
  <c r="AM3" i="33"/>
  <c r="AM4" i="33"/>
  <c r="AC10" i="33"/>
  <c r="AC11" i="33"/>
  <c r="AN12" i="33"/>
  <c r="AD13" i="33"/>
  <c r="AF13" i="33" s="1"/>
  <c r="AS14" i="33"/>
  <c r="AN15" i="33"/>
  <c r="BC16" i="33"/>
  <c r="BE16" i="33" s="1"/>
  <c r="AM18" i="33"/>
  <c r="AW19" i="33"/>
  <c r="AM20" i="33"/>
  <c r="BB21" i="33"/>
  <c r="BB22" i="33"/>
  <c r="AW23" i="33"/>
  <c r="AC34" i="33"/>
  <c r="AD35" i="33"/>
  <c r="AF35" i="33" s="1"/>
  <c r="AD36" i="33"/>
  <c r="AF36" i="33" s="1"/>
  <c r="AC37" i="33"/>
  <c r="AS40" i="33"/>
  <c r="AH41" i="33"/>
  <c r="AD42" i="33"/>
  <c r="AF42" i="33" s="1"/>
  <c r="AR46" i="33"/>
  <c r="AH47" i="33"/>
  <c r="AW48" i="33"/>
  <c r="AI49" i="33"/>
  <c r="AK49" i="33" s="1"/>
  <c r="BB50" i="33"/>
  <c r="AN51" i="33"/>
  <c r="AN53" i="33"/>
  <c r="BC54" i="33"/>
  <c r="BE54" i="33" s="1"/>
  <c r="AN55" i="33"/>
  <c r="AC56" i="33"/>
  <c r="AN57" i="33"/>
  <c r="AS59" i="33"/>
  <c r="AR61" i="33"/>
  <c r="AC62" i="33"/>
  <c r="BB62" i="33"/>
  <c r="AD64" i="33"/>
  <c r="AF64" i="33" s="1"/>
  <c r="AW65" i="33"/>
  <c r="AI66" i="33"/>
  <c r="AK66" i="33" s="1"/>
  <c r="AX67" i="33"/>
  <c r="AZ67" i="33" s="1"/>
  <c r="AM68" i="33"/>
  <c r="BC69" i="33"/>
  <c r="BE69" i="33" s="1"/>
  <c r="AR70" i="33"/>
  <c r="AD71" i="33"/>
  <c r="AF71" i="33" s="1"/>
  <c r="AR72" i="33"/>
  <c r="AD73" i="33"/>
  <c r="AF73" i="33" s="1"/>
  <c r="AW74" i="33"/>
  <c r="AI75" i="33"/>
  <c r="AK75" i="33" s="1"/>
  <c r="BB76" i="33"/>
  <c r="AM77" i="33"/>
  <c r="BC78" i="33"/>
  <c r="BE78" i="33" s="1"/>
  <c r="AR79" i="33"/>
  <c r="AD80" i="33"/>
  <c r="AF80" i="33" s="1"/>
  <c r="AW81" i="33"/>
  <c r="AH82" i="33"/>
  <c r="AW83" i="33"/>
  <c r="AI84" i="33"/>
  <c r="AK84" i="33" s="1"/>
  <c r="AX85" i="33"/>
  <c r="AZ85" i="33" s="1"/>
  <c r="AM86" i="33"/>
  <c r="AI88" i="33"/>
  <c r="AK88" i="33" s="1"/>
  <c r="AX89" i="33"/>
  <c r="AZ89" i="33" s="1"/>
  <c r="AI90" i="33"/>
  <c r="AK90" i="33" s="1"/>
  <c r="AX91" i="33"/>
  <c r="AZ91" i="33" s="1"/>
  <c r="AH92" i="33"/>
  <c r="AW93" i="33"/>
  <c r="AH94" i="33"/>
  <c r="AW95" i="33"/>
  <c r="AH96" i="33"/>
  <c r="AS97" i="33"/>
  <c r="AC144" i="33"/>
  <c r="AC145" i="33"/>
  <c r="AI146" i="33"/>
  <c r="AK146" i="33" s="1"/>
  <c r="AR6" i="33"/>
  <c r="AN3" i="33"/>
  <c r="AN4" i="33"/>
  <c r="AD9" i="33"/>
  <c r="AF9" i="33" s="1"/>
  <c r="AD10" i="33"/>
  <c r="AF10" i="33" s="1"/>
  <c r="AD11" i="33"/>
  <c r="AF11" i="33" s="1"/>
  <c r="AR12" i="33"/>
  <c r="AM13" i="33"/>
  <c r="BB14" i="33"/>
  <c r="BC15" i="33"/>
  <c r="BE15" i="33" s="1"/>
  <c r="BB17" i="33"/>
  <c r="AS18" i="33"/>
  <c r="AX19" i="33"/>
  <c r="AZ19" i="33" s="1"/>
  <c r="AN20" i="33"/>
  <c r="BC21" i="33"/>
  <c r="BE21" i="33" s="1"/>
  <c r="BC22" i="33"/>
  <c r="BE22" i="33" s="1"/>
  <c r="AM32" i="33"/>
  <c r="AH33" i="33"/>
  <c r="AH34" i="33"/>
  <c r="AH36" i="33"/>
  <c r="AD37" i="33"/>
  <c r="AF37" i="33" s="1"/>
  <c r="AN41" i="33"/>
  <c r="AH42" i="33"/>
  <c r="AR44" i="33"/>
  <c r="AC45" i="33"/>
  <c r="AW46" i="33"/>
  <c r="AI47" i="33"/>
  <c r="AK47" i="33" s="1"/>
  <c r="AX48" i="33"/>
  <c r="AZ48" i="33" s="1"/>
  <c r="AM49" i="33"/>
  <c r="BC50" i="33"/>
  <c r="BE50" i="33" s="1"/>
  <c r="AC52" i="33"/>
  <c r="AR53" i="33"/>
  <c r="AR55" i="33"/>
  <c r="AD56" i="33"/>
  <c r="AF56" i="33" s="1"/>
  <c r="AR57" i="33"/>
  <c r="AD58" i="33"/>
  <c r="AF58" i="33" s="1"/>
  <c r="AW59" i="33"/>
  <c r="AH60" i="33"/>
  <c r="AS61" i="33"/>
  <c r="AD62" i="33"/>
  <c r="AF62" i="33" s="1"/>
  <c r="BC62" i="33"/>
  <c r="BE62" i="33" s="1"/>
  <c r="AR63" i="33"/>
  <c r="AH64" i="33"/>
  <c r="AX65" i="33"/>
  <c r="AZ65" i="33" s="1"/>
  <c r="AM66" i="33"/>
  <c r="BB67" i="33"/>
  <c r="AN68" i="33"/>
  <c r="AC69" i="33"/>
  <c r="AS70" i="33"/>
  <c r="AS72" i="33"/>
  <c r="AH73" i="33"/>
  <c r="AX74" i="33"/>
  <c r="AZ74" i="33" s="1"/>
  <c r="AM75" i="33"/>
  <c r="BC76" i="33"/>
  <c r="BE76" i="33" s="1"/>
  <c r="AN77" i="33"/>
  <c r="AC78" i="33"/>
  <c r="AS79" i="33"/>
  <c r="AH80" i="33"/>
  <c r="AX81" i="33"/>
  <c r="AZ81" i="33" s="1"/>
  <c r="AI82" i="33"/>
  <c r="AK82" i="33" s="1"/>
  <c r="AX83" i="33"/>
  <c r="AZ83" i="33" s="1"/>
  <c r="AM84" i="33"/>
  <c r="BB85" i="33"/>
  <c r="AD144" i="33"/>
  <c r="AF144" i="33" s="1"/>
  <c r="AI145" i="33"/>
  <c r="AK145" i="33" s="1"/>
  <c r="AM146" i="33"/>
  <c r="AS6" i="33"/>
  <c r="AR3" i="33"/>
  <c r="BC4" i="33"/>
  <c r="BE4" i="33" s="1"/>
  <c r="AH2" i="33"/>
  <c r="AC5" i="33"/>
  <c r="AH9" i="33"/>
  <c r="AR10" i="33"/>
  <c r="AS12" i="33"/>
  <c r="AN13" i="33"/>
  <c r="BC14" i="33"/>
  <c r="BE14" i="33" s="1"/>
  <c r="BC17" i="33"/>
  <c r="BE17" i="33" s="1"/>
  <c r="BC19" i="33"/>
  <c r="BE19" i="33" s="1"/>
  <c r="BC20" i="33"/>
  <c r="BE20" i="33" s="1"/>
  <c r="AC31" i="33"/>
  <c r="AN32" i="33"/>
  <c r="AR33" i="33"/>
  <c r="AI34" i="33"/>
  <c r="AK34" i="33" s="1"/>
  <c r="AN35" i="33"/>
  <c r="AI36" i="33"/>
  <c r="AK36" i="33" s="1"/>
  <c r="AM37" i="33"/>
  <c r="AW40" i="33"/>
  <c r="AR41" i="33"/>
  <c r="AM42" i="33"/>
  <c r="AC43" i="33"/>
  <c r="AS44" i="33"/>
  <c r="AH45" i="33"/>
  <c r="AX46" i="33"/>
  <c r="AZ46" i="33" s="1"/>
  <c r="AM47" i="33"/>
  <c r="BB48" i="33"/>
  <c r="AN49" i="33"/>
  <c r="AR51" i="33"/>
  <c r="AD52" i="33"/>
  <c r="AF52" i="33" s="1"/>
  <c r="AS53" i="33"/>
  <c r="AC54" i="33"/>
  <c r="AS55" i="33"/>
  <c r="AH56" i="33"/>
  <c r="AW57" i="33"/>
  <c r="AH58" i="33"/>
  <c r="AX59" i="33"/>
  <c r="AZ59" i="33" s="1"/>
  <c r="AI60" i="33"/>
  <c r="AK60" i="33" s="1"/>
  <c r="AW61" i="33"/>
  <c r="AS63" i="33"/>
  <c r="AI64" i="33"/>
  <c r="AK64" i="33" s="1"/>
  <c r="BB65" i="33"/>
  <c r="AN66" i="33"/>
  <c r="BC67" i="33"/>
  <c r="BE67" i="33" s="1"/>
  <c r="AR68" i="33"/>
  <c r="AD69" i="33"/>
  <c r="AF69" i="33" s="1"/>
  <c r="AW70" i="33"/>
  <c r="AH71" i="33"/>
  <c r="AW72" i="33"/>
  <c r="AI73" i="33"/>
  <c r="AK73" i="33" s="1"/>
  <c r="BB74" i="33"/>
  <c r="AN75" i="33"/>
  <c r="AC76" i="33"/>
  <c r="AR77" i="33"/>
  <c r="AD78" i="33"/>
  <c r="AF78" i="33" s="1"/>
  <c r="AW79" i="33"/>
  <c r="AI80" i="33"/>
  <c r="AK80" i="33" s="1"/>
  <c r="BB81" i="33"/>
  <c r="AM82" i="33"/>
  <c r="BB83" i="33"/>
  <c r="AN84" i="33"/>
  <c r="AD143" i="33"/>
  <c r="AF143" i="33" s="1"/>
  <c r="AM145" i="33"/>
  <c r="AR146" i="33"/>
  <c r="AW6" i="33"/>
  <c r="AX3" i="33"/>
  <c r="AZ3" i="33" s="1"/>
  <c r="AI2" i="33"/>
  <c r="AK2" i="33" s="1"/>
  <c r="AD5" i="33"/>
  <c r="AF5" i="33" s="1"/>
  <c r="AI9" i="33"/>
  <c r="AK9" i="33" s="1"/>
  <c r="AS10" i="33"/>
  <c r="AM11" i="33"/>
  <c r="BB12" i="33"/>
  <c r="BC13" i="33"/>
  <c r="BE13" i="33" s="1"/>
  <c r="AN30" i="33"/>
  <c r="AD31" i="33"/>
  <c r="AF31" i="33" s="1"/>
  <c r="AW33" i="33"/>
  <c r="AM34" i="33"/>
  <c r="AS35" i="33"/>
  <c r="AR36" i="33"/>
  <c r="AC38" i="33"/>
  <c r="BC40" i="33"/>
  <c r="BE40" i="33" s="1"/>
  <c r="AS41" i="33"/>
  <c r="AN42" i="33"/>
  <c r="AD43" i="33"/>
  <c r="AF43" i="33" s="1"/>
  <c r="AX44" i="33"/>
  <c r="AZ44" i="33" s="1"/>
  <c r="AI45" i="33"/>
  <c r="AK45" i="33" s="1"/>
  <c r="BB46" i="33"/>
  <c r="AN47" i="33"/>
  <c r="BC48" i="33"/>
  <c r="BE48" i="33" s="1"/>
  <c r="AR49" i="33"/>
  <c r="AC50" i="33"/>
  <c r="AS51" i="33"/>
  <c r="AH52" i="33"/>
  <c r="AW53" i="33"/>
  <c r="AD54" i="33"/>
  <c r="AF54" i="33" s="1"/>
  <c r="AW55" i="33"/>
  <c r="AX57" i="33"/>
  <c r="AZ57" i="33" s="1"/>
  <c r="AI58" i="33"/>
  <c r="AK58" i="33" s="1"/>
  <c r="BB59" i="33"/>
  <c r="AM60" i="33"/>
  <c r="AX61" i="33"/>
  <c r="AZ61" i="33" s="1"/>
  <c r="AH62" i="33"/>
  <c r="AW63" i="33"/>
  <c r="AM64" i="33"/>
  <c r="BC65" i="33"/>
  <c r="BE65" i="33" s="1"/>
  <c r="AC67" i="33"/>
  <c r="AS68" i="33"/>
  <c r="AH69" i="33"/>
  <c r="AX70" i="33"/>
  <c r="AZ70" i="33" s="1"/>
  <c r="AI71" i="33"/>
  <c r="AK71" i="33" s="1"/>
  <c r="AX72" i="33"/>
  <c r="AZ72" i="33" s="1"/>
  <c r="AM73" i="33"/>
  <c r="BC74" i="33"/>
  <c r="BE74" i="33" s="1"/>
  <c r="AR75" i="33"/>
  <c r="AD76" i="33"/>
  <c r="AF76" i="33" s="1"/>
  <c r="AS77" i="33"/>
  <c r="AH78" i="33"/>
  <c r="AX79" i="33"/>
  <c r="AZ79" i="33" s="1"/>
  <c r="AM80" i="33"/>
  <c r="BC81" i="33"/>
  <c r="BE81" i="33" s="1"/>
  <c r="AN82" i="33"/>
  <c r="BC83" i="33"/>
  <c r="BE83" i="33" s="1"/>
  <c r="AC85" i="33"/>
  <c r="AS86" i="33"/>
  <c r="AD87" i="33"/>
  <c r="AF87" i="33" s="1"/>
  <c r="AR88" i="33"/>
  <c r="AD142" i="33"/>
  <c r="AF142" i="33" s="1"/>
  <c r="AH143" i="33"/>
  <c r="AR144" i="33"/>
  <c r="AX145" i="33"/>
  <c r="AZ145" i="33" s="1"/>
  <c r="AS146" i="33"/>
  <c r="BB6" i="33"/>
  <c r="BB3" i="33"/>
  <c r="AM2" i="33"/>
  <c r="AS5" i="33"/>
  <c r="AR9" i="33"/>
  <c r="AW10" i="33"/>
  <c r="AN11" i="33"/>
  <c r="BC12" i="33"/>
  <c r="BE12" i="33" s="1"/>
  <c r="AC28" i="33"/>
  <c r="AC29" i="33"/>
  <c r="AR30" i="33"/>
  <c r="AM31" i="33"/>
  <c r="AW32" i="33"/>
  <c r="AX33" i="33"/>
  <c r="AZ33" i="33" s="1"/>
  <c r="AS34" i="33"/>
  <c r="AW35" i="33"/>
  <c r="AS36" i="33"/>
  <c r="AR37" i="33"/>
  <c r="AH38" i="33"/>
  <c r="BB41" i="33"/>
  <c r="AR42" i="33"/>
  <c r="AH43" i="33"/>
  <c r="AM45" i="33"/>
  <c r="BC46" i="33"/>
  <c r="BE46" i="33" s="1"/>
  <c r="AR47" i="33"/>
  <c r="AS49" i="33"/>
  <c r="AD50" i="33"/>
  <c r="AF50" i="33" s="1"/>
  <c r="AW51" i="33"/>
  <c r="AI52" i="33"/>
  <c r="AK52" i="33" s="1"/>
  <c r="AX53" i="33"/>
  <c r="AZ53" i="33" s="1"/>
  <c r="AH54" i="33"/>
  <c r="BB55" i="33"/>
  <c r="AM56" i="33"/>
  <c r="BB57" i="33"/>
  <c r="AM58" i="33"/>
  <c r="BC59" i="33"/>
  <c r="BE59" i="33" s="1"/>
  <c r="AN60" i="33"/>
  <c r="AI62" i="33"/>
  <c r="AK62" i="33" s="1"/>
  <c r="AX63" i="33"/>
  <c r="AZ63" i="33" s="1"/>
  <c r="AN64" i="33"/>
  <c r="AC65" i="33"/>
  <c r="AR66" i="33"/>
  <c r="AD67" i="33"/>
  <c r="AF67" i="33" s="1"/>
  <c r="AW68" i="33"/>
  <c r="AI69" i="33"/>
  <c r="AK69" i="33" s="1"/>
  <c r="BB70" i="33"/>
  <c r="AM71" i="33"/>
  <c r="BB72" i="33"/>
  <c r="AN73" i="33"/>
  <c r="AC74" i="33"/>
  <c r="AS75" i="33"/>
  <c r="AH76" i="33"/>
  <c r="AW77" i="33"/>
  <c r="AI78" i="33"/>
  <c r="AK78" i="33" s="1"/>
  <c r="BB79" i="33"/>
  <c r="AI143" i="33"/>
  <c r="AK143" i="33" s="1"/>
  <c r="AS144" i="33"/>
  <c r="BB145" i="33"/>
  <c r="BC6" i="33"/>
  <c r="BE6" i="33" s="1"/>
  <c r="AS2" i="33"/>
  <c r="AW5" i="33"/>
  <c r="AS9" i="33"/>
  <c r="BC10" i="33"/>
  <c r="BE10" i="33" s="1"/>
  <c r="BC11" i="33"/>
  <c r="BE11" i="33" s="1"/>
  <c r="AC27" i="33"/>
  <c r="AD29" i="33"/>
  <c r="AF29" i="33" s="1"/>
  <c r="AS30" i="33"/>
  <c r="AN31" i="33"/>
  <c r="AX32" i="33"/>
  <c r="AZ32" i="33" s="1"/>
  <c r="BB33" i="33"/>
  <c r="AW34" i="33"/>
  <c r="AX35" i="33"/>
  <c r="AZ35" i="33" s="1"/>
  <c r="BB36" i="33"/>
  <c r="AS37" i="33"/>
  <c r="AI38" i="33"/>
  <c r="AK38" i="33" s="1"/>
  <c r="AD39" i="33"/>
  <c r="AF39" i="33" s="1"/>
  <c r="AS42" i="33"/>
  <c r="AN43" i="33"/>
  <c r="BB44" i="33"/>
  <c r="AN45" i="33"/>
  <c r="AS47" i="33"/>
  <c r="AC48" i="33"/>
  <c r="AW49" i="33"/>
  <c r="AH50" i="33"/>
  <c r="AX51" i="33"/>
  <c r="AZ51" i="33" s="1"/>
  <c r="AM52" i="33"/>
  <c r="AM54" i="33"/>
  <c r="BC55" i="33"/>
  <c r="BE55" i="33" s="1"/>
  <c r="AN56" i="33"/>
  <c r="BC57" i="33"/>
  <c r="BE57" i="33" s="1"/>
  <c r="AN58" i="33"/>
  <c r="AR60" i="33"/>
  <c r="AC61" i="33"/>
  <c r="BB61" i="33"/>
  <c r="AM62" i="33"/>
  <c r="BB63" i="33"/>
  <c r="AR64" i="33"/>
  <c r="AD65" i="33"/>
  <c r="AF65" i="33" s="1"/>
  <c r="AS66" i="33"/>
  <c r="AH67" i="33"/>
  <c r="AX68" i="33"/>
  <c r="AZ68" i="33" s="1"/>
  <c r="AM69" i="33"/>
  <c r="BC70" i="33"/>
  <c r="BE70" i="33" s="1"/>
  <c r="AN71" i="33"/>
  <c r="AC72" i="33"/>
  <c r="BC72" i="33"/>
  <c r="BE72" i="33" s="1"/>
  <c r="AR73" i="33"/>
  <c r="AD74" i="33"/>
  <c r="AF74" i="33" s="1"/>
  <c r="AW75" i="33"/>
  <c r="AI76" i="33"/>
  <c r="AK76" i="33" s="1"/>
  <c r="AX77" i="33"/>
  <c r="AZ77" i="33" s="1"/>
  <c r="AM78" i="33"/>
  <c r="BC79" i="33"/>
  <c r="BE79" i="33" s="1"/>
  <c r="AR80" i="33"/>
  <c r="AD81" i="33"/>
  <c r="AF81" i="33" s="1"/>
  <c r="AS82" i="33"/>
  <c r="AD83" i="33"/>
  <c r="AF83" i="33" s="1"/>
  <c r="AW2" i="33"/>
  <c r="AW42" i="33"/>
  <c r="AR52" i="33"/>
  <c r="AC57" i="33"/>
  <c r="AC81" i="33"/>
  <c r="AW84" i="33"/>
  <c r="AW92" i="33"/>
  <c r="AX93" i="33"/>
  <c r="AZ93" i="33" s="1"/>
  <c r="AN94" i="33"/>
  <c r="AD95" i="33"/>
  <c r="AF95" i="33" s="1"/>
  <c r="BC97" i="33"/>
  <c r="BE97" i="33" s="1"/>
  <c r="AR98" i="33"/>
  <c r="AM99" i="33"/>
  <c r="BB101" i="33"/>
  <c r="AW103" i="33"/>
  <c r="AH104" i="33"/>
  <c r="AW105" i="33"/>
  <c r="AH106" i="33"/>
  <c r="AW107" i="33"/>
  <c r="AH108" i="33"/>
  <c r="AW109" i="33"/>
  <c r="AD110" i="33"/>
  <c r="AF110" i="33" s="1"/>
  <c r="AS111" i="33"/>
  <c r="AD112" i="33"/>
  <c r="AF112" i="33" s="1"/>
  <c r="AR113" i="33"/>
  <c r="AX114" i="33"/>
  <c r="AZ114" i="33" s="1"/>
  <c r="AH115" i="33"/>
  <c r="AS116" i="33"/>
  <c r="AD117" i="33"/>
  <c r="AF117" i="33" s="1"/>
  <c r="AS118" i="33"/>
  <c r="AD119" i="33"/>
  <c r="AF119" i="33" s="1"/>
  <c r="AR120" i="33"/>
  <c r="AC121" i="33"/>
  <c r="BC121" i="33"/>
  <c r="BE121" i="33" s="1"/>
  <c r="AN122" i="33"/>
  <c r="BC123" i="33"/>
  <c r="BE123" i="33" s="1"/>
  <c r="AN124" i="33"/>
  <c r="BB125" i="33"/>
  <c r="AM126" i="33"/>
  <c r="AX127" i="33"/>
  <c r="AZ127" i="33" s="1"/>
  <c r="AI128" i="33"/>
  <c r="AK128" i="33" s="1"/>
  <c r="AX129" i="33"/>
  <c r="AZ129" i="33" s="1"/>
  <c r="AH130" i="33"/>
  <c r="AS131" i="33"/>
  <c r="AD132" i="33"/>
  <c r="AF132" i="33" s="1"/>
  <c r="BC132" i="33"/>
  <c r="BE132" i="33" s="1"/>
  <c r="AN133" i="33"/>
  <c r="BC134" i="33"/>
  <c r="BE134" i="33" s="1"/>
  <c r="AN135" i="33"/>
  <c r="BC136" i="33"/>
  <c r="BE136" i="33" s="1"/>
  <c r="AN137" i="33"/>
  <c r="AC8" i="33"/>
  <c r="AC125" i="33"/>
  <c r="BC125" i="33"/>
  <c r="BE125" i="33" s="1"/>
  <c r="AN126" i="33"/>
  <c r="BB127" i="33"/>
  <c r="BB129" i="33"/>
  <c r="AI130" i="33"/>
  <c r="AK130" i="33" s="1"/>
  <c r="AW131" i="33"/>
  <c r="AH132" i="33"/>
  <c r="AR133" i="33"/>
  <c r="AC134" i="33"/>
  <c r="AR135" i="33"/>
  <c r="AR137" i="33"/>
  <c r="AD134" i="33"/>
  <c r="AF134" i="33" s="1"/>
  <c r="AS135" i="33"/>
  <c r="AS137" i="33"/>
  <c r="AR28" i="33"/>
  <c r="BC44" i="33"/>
  <c r="BE44" i="33" s="1"/>
  <c r="AN54" i="33"/>
  <c r="AR86" i="33"/>
  <c r="AM88" i="33"/>
  <c r="AD89" i="33"/>
  <c r="AF89" i="33" s="1"/>
  <c r="AC90" i="33"/>
  <c r="BC94" i="33"/>
  <c r="BE94" i="33" s="1"/>
  <c r="AN96" i="33"/>
  <c r="AX99" i="33"/>
  <c r="AZ99" i="33" s="1"/>
  <c r="AS102" i="33"/>
  <c r="AC103" i="33"/>
  <c r="AR104" i="33"/>
  <c r="AC105" i="33"/>
  <c r="AR106" i="33"/>
  <c r="AC107" i="33"/>
  <c r="AR108" i="33"/>
  <c r="AC140" i="33"/>
  <c r="AS142" i="33"/>
  <c r="AX144" i="33"/>
  <c r="AZ144" i="33" s="1"/>
  <c r="AC149" i="33"/>
  <c r="BC31" i="33"/>
  <c r="BE31" i="33" s="1"/>
  <c r="AW47" i="33"/>
  <c r="AH81" i="33"/>
  <c r="BC92" i="33"/>
  <c r="BE92" i="33" s="1"/>
  <c r="BB93" i="33"/>
  <c r="AR94" i="33"/>
  <c r="AH95" i="33"/>
  <c r="AC96" i="33"/>
  <c r="AS98" i="33"/>
  <c r="AN99" i="33"/>
  <c r="AD100" i="33"/>
  <c r="AF100" i="33" s="1"/>
  <c r="BC101" i="33"/>
  <c r="BE101" i="33" s="1"/>
  <c r="AM102" i="33"/>
  <c r="AX103" i="33"/>
  <c r="AZ103" i="33" s="1"/>
  <c r="AI104" i="33"/>
  <c r="AK104" i="33" s="1"/>
  <c r="AX105" i="33"/>
  <c r="AZ105" i="33" s="1"/>
  <c r="AI106" i="33"/>
  <c r="AK106" i="33" s="1"/>
  <c r="AX107" i="33"/>
  <c r="AZ107" i="33" s="1"/>
  <c r="AI108" i="33"/>
  <c r="AK108" i="33" s="1"/>
  <c r="AX109" i="33"/>
  <c r="AZ109" i="33" s="1"/>
  <c r="AH110" i="33"/>
  <c r="AW111" i="33"/>
  <c r="AH112" i="33"/>
  <c r="AS113" i="33"/>
  <c r="BB114" i="33"/>
  <c r="AI115" i="33"/>
  <c r="AK115" i="33" s="1"/>
  <c r="AW116" i="33"/>
  <c r="AH117" i="33"/>
  <c r="AW118" i="33"/>
  <c r="AH119" i="33"/>
  <c r="AS120" i="33"/>
  <c r="AD121" i="33"/>
  <c r="AF121" i="33" s="1"/>
  <c r="AR122" i="33"/>
  <c r="AC123" i="33"/>
  <c r="AR124" i="33"/>
  <c r="AM128" i="33"/>
  <c r="AC136" i="33"/>
  <c r="AD8" i="33"/>
  <c r="AF8" i="33" s="1"/>
  <c r="AD136" i="33"/>
  <c r="AF136" i="33" s="1"/>
  <c r="AC26" i="33"/>
  <c r="BB37" i="33"/>
  <c r="AC87" i="33"/>
  <c r="BC93" i="33"/>
  <c r="BE93" i="33" s="1"/>
  <c r="AS94" i="33"/>
  <c r="AN95" i="33"/>
  <c r="AI96" i="33"/>
  <c r="AK96" i="33" s="1"/>
  <c r="BB98" i="33"/>
  <c r="AS99" i="33"/>
  <c r="AH100" i="33"/>
  <c r="AN102" i="33"/>
  <c r="BB103" i="33"/>
  <c r="AM104" i="33"/>
  <c r="BB105" i="33"/>
  <c r="AM106" i="33"/>
  <c r="BB107" i="33"/>
  <c r="AM108" i="33"/>
  <c r="BB109" i="33"/>
  <c r="AI110" i="33"/>
  <c r="AK110" i="33" s="1"/>
  <c r="AX111" i="33"/>
  <c r="AZ111" i="33" s="1"/>
  <c r="AI112" i="33"/>
  <c r="AK112" i="33" s="1"/>
  <c r="AW113" i="33"/>
  <c r="AC114" i="33"/>
  <c r="BC114" i="33"/>
  <c r="BE114" i="33" s="1"/>
  <c r="AM115" i="33"/>
  <c r="AX116" i="33"/>
  <c r="AZ116" i="33" s="1"/>
  <c r="AI117" i="33"/>
  <c r="AK117" i="33" s="1"/>
  <c r="AX118" i="33"/>
  <c r="AZ118" i="33" s="1"/>
  <c r="AI119" i="33"/>
  <c r="AK119" i="33" s="1"/>
  <c r="AW120" i="33"/>
  <c r="AH121" i="33"/>
  <c r="AS122" i="33"/>
  <c r="AD123" i="33"/>
  <c r="AF123" i="33" s="1"/>
  <c r="AS124" i="33"/>
  <c r="AD125" i="33"/>
  <c r="AF125" i="33" s="1"/>
  <c r="AR126" i="33"/>
  <c r="AC127" i="33"/>
  <c r="BC127" i="33"/>
  <c r="BE127" i="33" s="1"/>
  <c r="AN128" i="33"/>
  <c r="BC129" i="33"/>
  <c r="BE129" i="33" s="1"/>
  <c r="AM130" i="33"/>
  <c r="AX131" i="33"/>
  <c r="AZ131" i="33" s="1"/>
  <c r="AI132" i="33"/>
  <c r="AK132" i="33" s="1"/>
  <c r="AS133" i="33"/>
  <c r="AH8" i="33"/>
  <c r="AX95" i="33"/>
  <c r="AZ95" i="33" s="1"/>
  <c r="AC101" i="33"/>
  <c r="AC44" i="33"/>
  <c r="AX49" i="33"/>
  <c r="AZ49" i="33" s="1"/>
  <c r="AC83" i="33"/>
  <c r="AN86" i="33"/>
  <c r="AH87" i="33"/>
  <c r="AC88" i="33"/>
  <c r="AC89" i="33"/>
  <c r="AW94" i="33"/>
  <c r="AR95" i="33"/>
  <c r="AM96" i="33"/>
  <c r="BC98" i="33"/>
  <c r="BE98" i="33" s="1"/>
  <c r="AW99" i="33"/>
  <c r="AI100" i="33"/>
  <c r="AK100" i="33" s="1"/>
  <c r="AR102" i="33"/>
  <c r="BC103" i="33"/>
  <c r="BE103" i="33" s="1"/>
  <c r="AN104" i="33"/>
  <c r="BC105" i="33"/>
  <c r="BE105" i="33" s="1"/>
  <c r="AN106" i="33"/>
  <c r="BC107" i="33"/>
  <c r="BE107" i="33" s="1"/>
  <c r="AN108" i="33"/>
  <c r="BC109" i="33"/>
  <c r="BE109" i="33" s="1"/>
  <c r="AM110" i="33"/>
  <c r="BB111" i="33"/>
  <c r="AM112" i="33"/>
  <c r="AX113" i="33"/>
  <c r="AZ113" i="33" s="1"/>
  <c r="AD114" i="33"/>
  <c r="AF114" i="33" s="1"/>
  <c r="AN115" i="33"/>
  <c r="BB116" i="33"/>
  <c r="AM117" i="33"/>
  <c r="BB118" i="33"/>
  <c r="AX120" i="33"/>
  <c r="AZ120" i="33" s="1"/>
  <c r="AI121" i="33"/>
  <c r="AK121" i="33" s="1"/>
  <c r="AW122" i="33"/>
  <c r="AH123" i="33"/>
  <c r="AW124" i="33"/>
  <c r="AH125" i="33"/>
  <c r="AS126" i="33"/>
  <c r="AD127" i="33"/>
  <c r="AF127" i="33" s="1"/>
  <c r="AR128" i="33"/>
  <c r="AC129" i="33"/>
  <c r="AN130" i="33"/>
  <c r="BB131" i="33"/>
  <c r="AW133" i="33"/>
  <c r="AH134" i="33"/>
  <c r="AW135" i="33"/>
  <c r="AH136" i="33"/>
  <c r="AW137" i="33"/>
  <c r="AI8" i="33"/>
  <c r="AK8" i="33" s="1"/>
  <c r="AI39" i="33"/>
  <c r="AK39" i="33" s="1"/>
  <c r="AC59" i="33"/>
  <c r="AN62" i="33"/>
  <c r="AH83" i="33"/>
  <c r="AI87" i="33"/>
  <c r="AK87" i="33" s="1"/>
  <c r="AM100" i="33"/>
  <c r="AC109" i="33"/>
  <c r="AC148" i="33"/>
  <c r="BB51" i="33"/>
  <c r="AR56" i="33"/>
  <c r="AS64" i="33"/>
  <c r="AW66" i="33"/>
  <c r="BB68" i="33"/>
  <c r="AC70" i="33"/>
  <c r="AD72" i="33"/>
  <c r="AF72" i="33" s="1"/>
  <c r="AH74" i="33"/>
  <c r="AM76" i="33"/>
  <c r="AN78" i="33"/>
  <c r="AN80" i="33"/>
  <c r="AW86" i="33"/>
  <c r="AM87" i="33"/>
  <c r="AN88" i="33"/>
  <c r="AH89" i="33"/>
  <c r="AM90" i="33"/>
  <c r="AC91" i="33"/>
  <c r="BB95" i="33"/>
  <c r="AR96" i="33"/>
  <c r="AC97" i="33"/>
  <c r="BB99" i="33"/>
  <c r="AN100" i="33"/>
  <c r="AD101" i="33"/>
  <c r="AF101" i="33" s="1"/>
  <c r="AW102" i="33"/>
  <c r="AD103" i="33"/>
  <c r="AF103" i="33" s="1"/>
  <c r="AS104" i="33"/>
  <c r="AD105" i="33"/>
  <c r="AF105" i="33" s="1"/>
  <c r="AS106" i="33"/>
  <c r="AD107" i="33"/>
  <c r="AF107" i="33" s="1"/>
  <c r="AS108" i="33"/>
  <c r="AD109" i="33"/>
  <c r="AF109" i="33" s="1"/>
  <c r="AR110" i="33"/>
  <c r="AC111" i="33"/>
  <c r="AR112" i="33"/>
  <c r="AH114" i="33"/>
  <c r="AS115" i="33"/>
  <c r="AD116" i="33"/>
  <c r="AF116" i="33" s="1"/>
  <c r="AR117" i="33"/>
  <c r="AC118" i="33"/>
  <c r="AN119" i="33"/>
  <c r="BC120" i="33"/>
  <c r="BE120" i="33" s="1"/>
  <c r="AN121" i="33"/>
  <c r="BB122" i="33"/>
  <c r="AM123" i="33"/>
  <c r="BB124" i="33"/>
  <c r="AM125" i="33"/>
  <c r="AH25" i="33"/>
  <c r="BB30" i="33"/>
  <c r="AC46" i="33"/>
  <c r="AD61" i="33"/>
  <c r="AF61" i="33" s="1"/>
  <c r="AS80" i="33"/>
  <c r="AD85" i="33"/>
  <c r="AF85" i="33" s="1"/>
  <c r="AX86" i="33"/>
  <c r="AZ86" i="33" s="1"/>
  <c r="AS88" i="33"/>
  <c r="AI89" i="33"/>
  <c r="AK89" i="33" s="1"/>
  <c r="AN90" i="33"/>
  <c r="AD91" i="33"/>
  <c r="AF91" i="33" s="1"/>
  <c r="AC92" i="33"/>
  <c r="BC95" i="33"/>
  <c r="BE95" i="33" s="1"/>
  <c r="AS96" i="33"/>
  <c r="AD97" i="33"/>
  <c r="AF97" i="33" s="1"/>
  <c r="BC99" i="33"/>
  <c r="BE99" i="33" s="1"/>
  <c r="AR100" i="33"/>
  <c r="AM101" i="33"/>
  <c r="AX102" i="33"/>
  <c r="AZ102" i="33" s="1"/>
  <c r="AH103" i="33"/>
  <c r="AW104" i="33"/>
  <c r="AH105" i="33"/>
  <c r="AW106" i="33"/>
  <c r="AH107" i="33"/>
  <c r="AW108" i="33"/>
  <c r="AH109" i="33"/>
  <c r="AS110" i="33"/>
  <c r="AD111" i="33"/>
  <c r="AF111" i="33" s="1"/>
  <c r="AS112" i="33"/>
  <c r="AC113" i="33"/>
  <c r="BB113" i="33"/>
  <c r="AI114" i="33"/>
  <c r="AK114" i="33" s="1"/>
  <c r="AW115" i="33"/>
  <c r="AH116" i="33"/>
  <c r="AS117" i="33"/>
  <c r="AD118" i="33"/>
  <c r="AF118" i="33" s="1"/>
  <c r="AR119" i="33"/>
  <c r="AC120" i="33"/>
  <c r="BC122" i="33"/>
  <c r="BE122" i="33" s="1"/>
  <c r="AN123" i="33"/>
  <c r="BC124" i="33"/>
  <c r="BE124" i="33" s="1"/>
  <c r="AN125" i="33"/>
  <c r="BB126" i="33"/>
  <c r="AM127" i="33"/>
  <c r="AX128" i="33"/>
  <c r="AZ128" i="33" s="1"/>
  <c r="AI129" i="33"/>
  <c r="AK129" i="33" s="1"/>
  <c r="AD131" i="33"/>
  <c r="AF131" i="33" s="1"/>
  <c r="AR132" i="33"/>
  <c r="BC133" i="33"/>
  <c r="BE133" i="33" s="1"/>
  <c r="AC139" i="33"/>
  <c r="AM141" i="33"/>
  <c r="BC145" i="33"/>
  <c r="BE145" i="33" s="1"/>
  <c r="AR43" i="33"/>
  <c r="AC53" i="33"/>
  <c r="AR82" i="33"/>
  <c r="AH85" i="33"/>
  <c r="BB86" i="33"/>
  <c r="BB87" i="33"/>
  <c r="AW88" i="33"/>
  <c r="AR89" i="33"/>
  <c r="AR90" i="33"/>
  <c r="AH91" i="33"/>
  <c r="AI92" i="33"/>
  <c r="AK92" i="33" s="1"/>
  <c r="AW96" i="33"/>
  <c r="AM97" i="33"/>
  <c r="AD98" i="33"/>
  <c r="AF98" i="33" s="1"/>
  <c r="AS100" i="33"/>
  <c r="AN101" i="33"/>
  <c r="BB102" i="33"/>
  <c r="AI103" i="33"/>
  <c r="AK103" i="33" s="1"/>
  <c r="AX104" i="33"/>
  <c r="AZ104" i="33" s="1"/>
  <c r="AI105" i="33"/>
  <c r="AK105" i="33" s="1"/>
  <c r="AX106" i="33"/>
  <c r="AZ106" i="33" s="1"/>
  <c r="AI107" i="33"/>
  <c r="AK107" i="33" s="1"/>
  <c r="AX108" i="33"/>
  <c r="AZ108" i="33" s="1"/>
  <c r="AI109" i="33"/>
  <c r="AK109" i="33" s="1"/>
  <c r="AW110" i="33"/>
  <c r="AH111" i="33"/>
  <c r="AW112" i="33"/>
  <c r="AD113" i="33"/>
  <c r="AF113" i="33" s="1"/>
  <c r="BC113" i="33"/>
  <c r="BE113" i="33" s="1"/>
  <c r="AM114" i="33"/>
  <c r="AX115" i="33"/>
  <c r="AZ115" i="33" s="1"/>
  <c r="AI116" i="33"/>
  <c r="AK116" i="33" s="1"/>
  <c r="AW117" i="33"/>
  <c r="AH118" i="33"/>
  <c r="AS119" i="33"/>
  <c r="AD120" i="33"/>
  <c r="AF120" i="33" s="1"/>
  <c r="AR121" i="33"/>
  <c r="AC122" i="33"/>
  <c r="AR123" i="33"/>
  <c r="AC124" i="33"/>
  <c r="AR125" i="33"/>
  <c r="BC126" i="33"/>
  <c r="BE126" i="33" s="1"/>
  <c r="AN127" i="33"/>
  <c r="BB128" i="33"/>
  <c r="AM129" i="33"/>
  <c r="AW130" i="33"/>
  <c r="AH131" i="33"/>
  <c r="AS132" i="33"/>
  <c r="AC133" i="33"/>
  <c r="AR134" i="33"/>
  <c r="AC135" i="33"/>
  <c r="AR136" i="33"/>
  <c r="AX5" i="33"/>
  <c r="AZ5" i="33" s="1"/>
  <c r="AD48" i="33"/>
  <c r="AF48" i="33" s="1"/>
  <c r="AW82" i="33"/>
  <c r="AI85" i="33"/>
  <c r="AK85" i="33" s="1"/>
  <c r="BC87" i="33"/>
  <c r="BE87" i="33" s="1"/>
  <c r="AX88" i="33"/>
  <c r="AZ88" i="33" s="1"/>
  <c r="BB89" i="33"/>
  <c r="AS90" i="33"/>
  <c r="AI91" i="33"/>
  <c r="AK91" i="33" s="1"/>
  <c r="AM92" i="33"/>
  <c r="AC93" i="33"/>
  <c r="AN97" i="33"/>
  <c r="AH98" i="33"/>
  <c r="BB100" i="33"/>
  <c r="AR101" i="33"/>
  <c r="AC102" i="33"/>
  <c r="BC102" i="33"/>
  <c r="BE102" i="33" s="1"/>
  <c r="AM103" i="33"/>
  <c r="BB104" i="33"/>
  <c r="AM105" i="33"/>
  <c r="BB106" i="33"/>
  <c r="AM107" i="33"/>
  <c r="BB108" i="33"/>
  <c r="AM109" i="33"/>
  <c r="AX110" i="33"/>
  <c r="AZ110" i="33" s="1"/>
  <c r="AI111" i="33"/>
  <c r="AK111" i="33" s="1"/>
  <c r="AX112" i="33"/>
  <c r="AZ112" i="33" s="1"/>
  <c r="AH113" i="33"/>
  <c r="AN114" i="33"/>
  <c r="BB115" i="33"/>
  <c r="AX117" i="33"/>
  <c r="AZ117" i="33" s="1"/>
  <c r="AI118" i="33"/>
  <c r="AK118" i="33" s="1"/>
  <c r="AW119" i="33"/>
  <c r="AH120" i="33"/>
  <c r="AS121" i="33"/>
  <c r="AD122" i="33"/>
  <c r="AF122" i="33" s="1"/>
  <c r="AS123" i="33"/>
  <c r="AD124" i="33"/>
  <c r="AF124" i="33" s="1"/>
  <c r="AS125" i="33"/>
  <c r="AD27" i="33"/>
  <c r="AF27" i="33" s="1"/>
  <c r="AM38" i="33"/>
  <c r="BB53" i="33"/>
  <c r="AR58" i="33"/>
  <c r="BC61" i="33"/>
  <c r="BE61" i="33" s="1"/>
  <c r="BC85" i="33"/>
  <c r="BE85" i="33" s="1"/>
  <c r="BC89" i="33"/>
  <c r="BE89" i="33" s="1"/>
  <c r="AW90" i="33"/>
  <c r="AR91" i="33"/>
  <c r="AN92" i="33"/>
  <c r="AD93" i="33"/>
  <c r="AF93" i="33" s="1"/>
  <c r="AC94" i="33"/>
  <c r="BB96" i="33"/>
  <c r="AW97" i="33"/>
  <c r="AI98" i="33"/>
  <c r="AK98" i="33" s="1"/>
  <c r="BC100" i="33"/>
  <c r="BE100" i="33" s="1"/>
  <c r="AS101" i="33"/>
  <c r="AD102" i="33"/>
  <c r="AF102" i="33" s="1"/>
  <c r="AN103" i="33"/>
  <c r="BC104" i="33"/>
  <c r="BE104" i="33" s="1"/>
  <c r="AN105" i="33"/>
  <c r="BC106" i="33"/>
  <c r="BE106" i="33" s="1"/>
  <c r="AN107" i="33"/>
  <c r="BC108" i="33"/>
  <c r="BE108" i="33" s="1"/>
  <c r="AN109" i="33"/>
  <c r="BB110" i="33"/>
  <c r="AM111" i="33"/>
  <c r="AI113" i="33"/>
  <c r="AK113" i="33" s="1"/>
  <c r="AR114" i="33"/>
  <c r="BC115" i="33"/>
  <c r="BE115" i="33" s="1"/>
  <c r="AM116" i="33"/>
  <c r="BB117" i="33"/>
  <c r="AM118" i="33"/>
  <c r="AX119" i="33"/>
  <c r="AZ119" i="33" s="1"/>
  <c r="AI120" i="33"/>
  <c r="AK120" i="33" s="1"/>
  <c r="AW121" i="33"/>
  <c r="AH122" i="33"/>
  <c r="AW123" i="33"/>
  <c r="AH124" i="33"/>
  <c r="AD126" i="33"/>
  <c r="AF126" i="33" s="1"/>
  <c r="AR127" i="33"/>
  <c r="AI50" i="33"/>
  <c r="AK50" i="33" s="1"/>
  <c r="AR84" i="33"/>
  <c r="AX90" i="33"/>
  <c r="AZ90" i="33" s="1"/>
  <c r="BB91" i="33"/>
  <c r="AR92" i="33"/>
  <c r="AH93" i="33"/>
  <c r="AI94" i="33"/>
  <c r="AK94" i="33" s="1"/>
  <c r="BC96" i="33"/>
  <c r="BE96" i="33" s="1"/>
  <c r="AX97" i="33"/>
  <c r="AZ97" i="33" s="1"/>
  <c r="AM98" i="33"/>
  <c r="AC99" i="33"/>
  <c r="AW101" i="33"/>
  <c r="AH102" i="33"/>
  <c r="AR103" i="33"/>
  <c r="AC104" i="33"/>
  <c r="AR105" i="33"/>
  <c r="AC106" i="33"/>
  <c r="AR107" i="33"/>
  <c r="AC108" i="33"/>
  <c r="AR109" i="33"/>
  <c r="BC110" i="33"/>
  <c r="BE110" i="33" s="1"/>
  <c r="AN111" i="33"/>
  <c r="BB112" i="33"/>
  <c r="AM113" i="33"/>
  <c r="AS114" i="33"/>
  <c r="AC115" i="33"/>
  <c r="AN116" i="33"/>
  <c r="BC117" i="33"/>
  <c r="BE117" i="33" s="1"/>
  <c r="AN118" i="33"/>
  <c r="BB119" i="33"/>
  <c r="AM120" i="33"/>
  <c r="AX121" i="33"/>
  <c r="AZ121" i="33" s="1"/>
  <c r="AI122" i="33"/>
  <c r="AK122" i="33" s="1"/>
  <c r="AX123" i="33"/>
  <c r="AZ123" i="33" s="1"/>
  <c r="AI124" i="33"/>
  <c r="AK124" i="33" s="1"/>
  <c r="AW125" i="33"/>
  <c r="AH126" i="33"/>
  <c r="AS127" i="33"/>
  <c r="AD128" i="33"/>
  <c r="AF128" i="33" s="1"/>
  <c r="AS129" i="33"/>
  <c r="AD130" i="33"/>
  <c r="AF130" i="33" s="1"/>
  <c r="BC130" i="33"/>
  <c r="BE130" i="33" s="1"/>
  <c r="AN131" i="33"/>
  <c r="AI133" i="33"/>
  <c r="AK133" i="33" s="1"/>
  <c r="AX134" i="33"/>
  <c r="AZ134" i="33" s="1"/>
  <c r="AI135" i="33"/>
  <c r="AK135" i="33" s="1"/>
  <c r="AX136" i="33"/>
  <c r="AZ136" i="33" s="1"/>
  <c r="AI137" i="33"/>
  <c r="AK137" i="33" s="1"/>
  <c r="BB8" i="33"/>
  <c r="AH65" i="33"/>
  <c r="AD106" i="33"/>
  <c r="AF106" i="33" s="1"/>
  <c r="AR111" i="33"/>
  <c r="BC118" i="33"/>
  <c r="BE118" i="33" s="1"/>
  <c r="AM121" i="33"/>
  <c r="AM124" i="33"/>
  <c r="AC128" i="33"/>
  <c r="AH129" i="33"/>
  <c r="AR130" i="33"/>
  <c r="AI131" i="33"/>
  <c r="AK131" i="33" s="1"/>
  <c r="AN132" i="33"/>
  <c r="AM133" i="33"/>
  <c r="AS134" i="33"/>
  <c r="AX135" i="33"/>
  <c r="AZ135" i="33" s="1"/>
  <c r="AS136" i="33"/>
  <c r="AM137" i="33"/>
  <c r="AS8" i="33"/>
  <c r="BC111" i="33"/>
  <c r="BE111" i="33" s="1"/>
  <c r="BB121" i="33"/>
  <c r="AX124" i="33"/>
  <c r="AZ124" i="33" s="1"/>
  <c r="AN129" i="33"/>
  <c r="AS130" i="33"/>
  <c r="AM131" i="33"/>
  <c r="AX133" i="33"/>
  <c r="AZ133" i="33" s="1"/>
  <c r="BB135" i="33"/>
  <c r="AW136" i="33"/>
  <c r="AW8" i="33"/>
  <c r="AN93" i="33"/>
  <c r="AC110" i="33"/>
  <c r="AI123" i="33"/>
  <c r="AK123" i="33" s="1"/>
  <c r="AM94" i="33"/>
  <c r="AH137" i="33"/>
  <c r="AH128" i="33"/>
  <c r="AW132" i="33"/>
  <c r="AW134" i="33"/>
  <c r="AX137" i="33"/>
  <c r="AZ137" i="33" s="1"/>
  <c r="AN120" i="33"/>
  <c r="AX101" i="33"/>
  <c r="AZ101" i="33" s="1"/>
  <c r="BC91" i="33"/>
  <c r="BE91" i="33" s="1"/>
  <c r="AD108" i="33"/>
  <c r="AF108" i="33" s="1"/>
  <c r="AW114" i="33"/>
  <c r="AH127" i="33"/>
  <c r="AS128" i="33"/>
  <c r="AR129" i="33"/>
  <c r="AR131" i="33"/>
  <c r="AX132" i="33"/>
  <c r="AZ132" i="33" s="1"/>
  <c r="BB133" i="33"/>
  <c r="BB134" i="33"/>
  <c r="BC135" i="33"/>
  <c r="BE135" i="33" s="1"/>
  <c r="BB136" i="33"/>
  <c r="BB137" i="33"/>
  <c r="AX8" i="33"/>
  <c r="AZ8" i="33" s="1"/>
  <c r="BB132" i="33"/>
  <c r="BC8" i="33"/>
  <c r="BE8" i="33" s="1"/>
  <c r="AN117" i="33"/>
  <c r="BB130" i="33"/>
  <c r="AR115" i="33"/>
  <c r="AD129" i="33"/>
  <c r="AF129" i="33" s="1"/>
  <c r="AC131" i="33"/>
  <c r="AM135" i="33"/>
  <c r="AN136" i="33"/>
  <c r="AM29" i="33"/>
  <c r="AN98" i="33"/>
  <c r="AS103" i="33"/>
  <c r="AC117" i="33"/>
  <c r="AI127" i="33"/>
  <c r="AK127" i="33" s="1"/>
  <c r="AW128" i="33"/>
  <c r="AW129" i="33"/>
  <c r="AX130" i="33"/>
  <c r="AZ130" i="33" s="1"/>
  <c r="BC131" i="33"/>
  <c r="BE131" i="33" s="1"/>
  <c r="BC137" i="33"/>
  <c r="BE137" i="33" s="1"/>
  <c r="BC128" i="33"/>
  <c r="BE128" i="33" s="1"/>
  <c r="AR118" i="33"/>
  <c r="AS60" i="33"/>
  <c r="AC126" i="33"/>
  <c r="AN134" i="33"/>
  <c r="AC79" i="33"/>
  <c r="AS105" i="33"/>
  <c r="AN110" i="33"/>
  <c r="AN113" i="33"/>
  <c r="BB120" i="33"/>
  <c r="BB123" i="33"/>
  <c r="AI126" i="33"/>
  <c r="AK126" i="33" s="1"/>
  <c r="AW127" i="33"/>
  <c r="AC95" i="33"/>
  <c r="AC116" i="33"/>
  <c r="AR45" i="33"/>
  <c r="BB77" i="33"/>
  <c r="AI102" i="33"/>
  <c r="AK102" i="33" s="1"/>
  <c r="AW126" i="33"/>
  <c r="AM122" i="33"/>
  <c r="AX75" i="33"/>
  <c r="AZ75" i="33" s="1"/>
  <c r="AS107" i="33"/>
  <c r="AR116" i="33"/>
  <c r="AC119" i="33"/>
  <c r="AX126" i="33"/>
  <c r="AZ126" i="33" s="1"/>
  <c r="BB97" i="33"/>
  <c r="AC112" i="33"/>
  <c r="BC116" i="33"/>
  <c r="BE116" i="33" s="1"/>
  <c r="AI125" i="33"/>
  <c r="AK125" i="33" s="1"/>
  <c r="AR8" i="33"/>
  <c r="AS73" i="33"/>
  <c r="AS84" i="33"/>
  <c r="AM119" i="33"/>
  <c r="AR71" i="33"/>
  <c r="AS92" i="33"/>
  <c r="AS109" i="33"/>
  <c r="AN112" i="33"/>
  <c r="BC119" i="33"/>
  <c r="BE119" i="33" s="1"/>
  <c r="AX122" i="33"/>
  <c r="AZ122" i="33" s="1"/>
  <c r="AX125" i="33"/>
  <c r="AZ125" i="33" s="1"/>
  <c r="AI134" i="33"/>
  <c r="AK134" i="33" s="1"/>
  <c r="AD135" i="33"/>
  <c r="AF135" i="33" s="1"/>
  <c r="AI136" i="33"/>
  <c r="AK136" i="33" s="1"/>
  <c r="AC137" i="33"/>
  <c r="AM8" i="33"/>
  <c r="AC132" i="33"/>
  <c r="AH135" i="33"/>
  <c r="AI67" i="33"/>
  <c r="AK67" i="33" s="1"/>
  <c r="AH133" i="33"/>
  <c r="AN69" i="33"/>
  <c r="AD99" i="33"/>
  <c r="AF99" i="33" s="1"/>
  <c r="AD104" i="33"/>
  <c r="AF104" i="33" s="1"/>
  <c r="BC112" i="33"/>
  <c r="BE112" i="33" s="1"/>
  <c r="AD115" i="33"/>
  <c r="AF115" i="33" s="1"/>
  <c r="AC130" i="33"/>
  <c r="AD133" i="33"/>
  <c r="AF133" i="33" s="1"/>
  <c r="AM134" i="33"/>
  <c r="AM136" i="33"/>
  <c r="AD137" i="33"/>
  <c r="AF137" i="33" s="1"/>
  <c r="AN8" i="33"/>
  <c r="AM132" i="33"/>
  <c r="AR7" i="33"/>
  <c r="AC7" i="33"/>
  <c r="AG211" i="2"/>
  <c r="AD211" i="2"/>
  <c r="AD15" i="2"/>
  <c r="AG15" i="2"/>
  <c r="AJ15" i="2"/>
  <c r="AA16" i="2"/>
  <c r="AJ44" i="2"/>
  <c r="AG44" i="2"/>
  <c r="AD44" i="2"/>
  <c r="AA45" i="2"/>
  <c r="AG72" i="2"/>
  <c r="AJ72" i="2"/>
  <c r="AD72" i="2"/>
  <c r="AA73" i="2"/>
  <c r="AG101" i="2"/>
  <c r="AJ101" i="2"/>
  <c r="AD101" i="2"/>
  <c r="AA102" i="2"/>
  <c r="AA212" i="2"/>
  <c r="K13" i="15"/>
  <c r="I13" i="15"/>
  <c r="AU103" i="33" l="1"/>
  <c r="AP103" i="33"/>
  <c r="AU20" i="33"/>
  <c r="AP20" i="33"/>
  <c r="AP8" i="33"/>
  <c r="AU8" i="33"/>
  <c r="AP12" i="33"/>
  <c r="AU12" i="33"/>
  <c r="AU28" i="33"/>
  <c r="AP28" i="33"/>
  <c r="AU70" i="33"/>
  <c r="AP70" i="33"/>
  <c r="AU18" i="33"/>
  <c r="AP18" i="33"/>
  <c r="AU146" i="33"/>
  <c r="AP146" i="33"/>
  <c r="AP9" i="33"/>
  <c r="AU9" i="33"/>
  <c r="AU88" i="33"/>
  <c r="AP88" i="33"/>
  <c r="AU11" i="33"/>
  <c r="AP11" i="33"/>
  <c r="AP113" i="33"/>
  <c r="AU113" i="33"/>
  <c r="AP41" i="33"/>
  <c r="AU41" i="33"/>
  <c r="AU72" i="33"/>
  <c r="AP72" i="33"/>
  <c r="AP48" i="33"/>
  <c r="AU48" i="33"/>
  <c r="AP23" i="33"/>
  <c r="AU23" i="33"/>
  <c r="AU147" i="33"/>
  <c r="AP147" i="33"/>
  <c r="AU74" i="33"/>
  <c r="AP74" i="33"/>
  <c r="AP26" i="33"/>
  <c r="AU26" i="33"/>
  <c r="AU56" i="33"/>
  <c r="AP56" i="33"/>
  <c r="AP142" i="33"/>
  <c r="AU142" i="33"/>
  <c r="AU117" i="33"/>
  <c r="AP117" i="33"/>
  <c r="AU114" i="33"/>
  <c r="AP114" i="33"/>
  <c r="AP96" i="33"/>
  <c r="AU96" i="33"/>
  <c r="AU44" i="33"/>
  <c r="AP44" i="33"/>
  <c r="AP16" i="33"/>
  <c r="AU16" i="33"/>
  <c r="AU37" i="33"/>
  <c r="AP37" i="33"/>
  <c r="AP10" i="33"/>
  <c r="AU10" i="33"/>
  <c r="AU24" i="33"/>
  <c r="AP24" i="33"/>
  <c r="AP38" i="33"/>
  <c r="AU38" i="33"/>
  <c r="AU52" i="33"/>
  <c r="AP52" i="33"/>
  <c r="AU143" i="33"/>
  <c r="AP143" i="33"/>
  <c r="AU119" i="33"/>
  <c r="AP119" i="33"/>
  <c r="AP14" i="33"/>
  <c r="AU14" i="33"/>
  <c r="AU84" i="33"/>
  <c r="AP84" i="33"/>
  <c r="AU65" i="33"/>
  <c r="AP65" i="33"/>
  <c r="AP2" i="33"/>
  <c r="AU2" i="33"/>
  <c r="AU129" i="33"/>
  <c r="AP129" i="33"/>
  <c r="AU46" i="33"/>
  <c r="AP46" i="33"/>
  <c r="AP110" i="33"/>
  <c r="AU110" i="33"/>
  <c r="AU131" i="33"/>
  <c r="AP131" i="33"/>
  <c r="AU80" i="33"/>
  <c r="AP80" i="33"/>
  <c r="AU108" i="33"/>
  <c r="AP108" i="33"/>
  <c r="AP137" i="33"/>
  <c r="AU137" i="33"/>
  <c r="AU64" i="33"/>
  <c r="AP64" i="33"/>
  <c r="AU83" i="33"/>
  <c r="AP83" i="33"/>
  <c r="AP87" i="33"/>
  <c r="AU87" i="33"/>
  <c r="AP76" i="33"/>
  <c r="AU76" i="33"/>
  <c r="AP29" i="33"/>
  <c r="AU29" i="33"/>
  <c r="AP139" i="33"/>
  <c r="AU139" i="33"/>
  <c r="AP145" i="33"/>
  <c r="AU145" i="33"/>
  <c r="AU112" i="33"/>
  <c r="AP112" i="33"/>
  <c r="AP3" i="33"/>
  <c r="AU3" i="33"/>
  <c r="AP125" i="33"/>
  <c r="AU125" i="33"/>
  <c r="AU53" i="33"/>
  <c r="AP53" i="33"/>
  <c r="AP111" i="33"/>
  <c r="AU111" i="33"/>
  <c r="AU102" i="33"/>
  <c r="AP102" i="33"/>
  <c r="AP68" i="33"/>
  <c r="AU68" i="33"/>
  <c r="AP109" i="33"/>
  <c r="AU109" i="33"/>
  <c r="AP100" i="33"/>
  <c r="AU100" i="33"/>
  <c r="AU78" i="33"/>
  <c r="AP78" i="33"/>
  <c r="AP99" i="33"/>
  <c r="AU99" i="33"/>
  <c r="AU77" i="33"/>
  <c r="AP77" i="33"/>
  <c r="AU79" i="33"/>
  <c r="AP79" i="33"/>
  <c r="AP21" i="33"/>
  <c r="AU21" i="33"/>
  <c r="AU91" i="33"/>
  <c r="AP91" i="33"/>
  <c r="AP67" i="33"/>
  <c r="AU67" i="33"/>
  <c r="AU39" i="33"/>
  <c r="AP39" i="33"/>
  <c r="AP94" i="33"/>
  <c r="AU94" i="33"/>
  <c r="AU61" i="33"/>
  <c r="AP61" i="33"/>
  <c r="AP132" i="33"/>
  <c r="AU132" i="33"/>
  <c r="AU85" i="33"/>
  <c r="AP85" i="33"/>
  <c r="AU32" i="33"/>
  <c r="AP32" i="33"/>
  <c r="AP134" i="33"/>
  <c r="AU134" i="33"/>
  <c r="AU93" i="33"/>
  <c r="AP93" i="33"/>
  <c r="AP118" i="33"/>
  <c r="AU118" i="33"/>
  <c r="AU107" i="33"/>
  <c r="AP107" i="33"/>
  <c r="AU127" i="33"/>
  <c r="AP127" i="33"/>
  <c r="AP106" i="33"/>
  <c r="AU106" i="33"/>
  <c r="AU95" i="33"/>
  <c r="AP95" i="33"/>
  <c r="AP135" i="33"/>
  <c r="AU135" i="33"/>
  <c r="AP124" i="33"/>
  <c r="AU124" i="33"/>
  <c r="AU66" i="33"/>
  <c r="AP66" i="33"/>
  <c r="AU13" i="33"/>
  <c r="AP13" i="33"/>
  <c r="AP19" i="33"/>
  <c r="AU19" i="33"/>
  <c r="AU5" i="33"/>
  <c r="AP5" i="33"/>
  <c r="AU33" i="33"/>
  <c r="AP33" i="33"/>
  <c r="AP43" i="33"/>
  <c r="AU43" i="33"/>
  <c r="AU51" i="33"/>
  <c r="AP51" i="33"/>
  <c r="AP98" i="33"/>
  <c r="AU98" i="33"/>
  <c r="AP92" i="33"/>
  <c r="AU92" i="33"/>
  <c r="AU90" i="33"/>
  <c r="AP90" i="33"/>
  <c r="AP130" i="33"/>
  <c r="AU130" i="33"/>
  <c r="AU73" i="33"/>
  <c r="AP73" i="33"/>
  <c r="AP60" i="33"/>
  <c r="AU60" i="33"/>
  <c r="AP47" i="33"/>
  <c r="AU47" i="33"/>
  <c r="AP57" i="33"/>
  <c r="AU57" i="33"/>
  <c r="AP40" i="33"/>
  <c r="AU40" i="33"/>
  <c r="AU140" i="33"/>
  <c r="AP140" i="33"/>
  <c r="AU81" i="33"/>
  <c r="AP81" i="33"/>
  <c r="AP89" i="33"/>
  <c r="AU89" i="33"/>
  <c r="AU144" i="33"/>
  <c r="AP144" i="33"/>
  <c r="AP36" i="33"/>
  <c r="AU36" i="33"/>
  <c r="AU25" i="33"/>
  <c r="AP25" i="33"/>
  <c r="AP59" i="33"/>
  <c r="AU59" i="33"/>
  <c r="AP123" i="33"/>
  <c r="AU123" i="33"/>
  <c r="AU116" i="33"/>
  <c r="AP116" i="33"/>
  <c r="AU105" i="33"/>
  <c r="AP105" i="33"/>
  <c r="AP97" i="33"/>
  <c r="AU97" i="33"/>
  <c r="AU104" i="33"/>
  <c r="AP104" i="33"/>
  <c r="AU86" i="33"/>
  <c r="AP86" i="33"/>
  <c r="AU133" i="33"/>
  <c r="AP133" i="33"/>
  <c r="AP122" i="33"/>
  <c r="AU122" i="33"/>
  <c r="AP71" i="33"/>
  <c r="AU71" i="33"/>
  <c r="AP45" i="33"/>
  <c r="AU45" i="33"/>
  <c r="AP31" i="33"/>
  <c r="AU31" i="33"/>
  <c r="AU15" i="33"/>
  <c r="AP15" i="33"/>
  <c r="AU63" i="33"/>
  <c r="AP63" i="33"/>
  <c r="AP17" i="33"/>
  <c r="AU17" i="33"/>
  <c r="AP50" i="33"/>
  <c r="AU50" i="33"/>
  <c r="AP141" i="33"/>
  <c r="AU141" i="33"/>
  <c r="AU6" i="33"/>
  <c r="AP6" i="33"/>
  <c r="AU149" i="33"/>
  <c r="AP149" i="33"/>
  <c r="AP82" i="33"/>
  <c r="AU82" i="33"/>
  <c r="AP22" i="33"/>
  <c r="AU22" i="33"/>
  <c r="AU126" i="33"/>
  <c r="AP126" i="33"/>
  <c r="AU42" i="33"/>
  <c r="AP42" i="33"/>
  <c r="AU148" i="33"/>
  <c r="AP148" i="33"/>
  <c r="AU69" i="33"/>
  <c r="AP69" i="33"/>
  <c r="AP136" i="33"/>
  <c r="AU136" i="33"/>
  <c r="AP120" i="33"/>
  <c r="AU120" i="33"/>
  <c r="AP101" i="33"/>
  <c r="AU101" i="33"/>
  <c r="AU121" i="33"/>
  <c r="AP121" i="33"/>
  <c r="AU62" i="33"/>
  <c r="AP62" i="33"/>
  <c r="AU115" i="33"/>
  <c r="AP115" i="33"/>
  <c r="AU128" i="33"/>
  <c r="AP128" i="33"/>
  <c r="AU54" i="33"/>
  <c r="AP54" i="33"/>
  <c r="AP58" i="33"/>
  <c r="AU58" i="33"/>
  <c r="AU30" i="33"/>
  <c r="AP30" i="33"/>
  <c r="AU75" i="33"/>
  <c r="AP75" i="33"/>
  <c r="AU49" i="33"/>
  <c r="AP49" i="33"/>
  <c r="AU35" i="33"/>
  <c r="AP35" i="33"/>
  <c r="AP4" i="33"/>
  <c r="AU4" i="33"/>
  <c r="AP55" i="33"/>
  <c r="AU55" i="33"/>
  <c r="AP138" i="33"/>
  <c r="AU138" i="33"/>
  <c r="AU27" i="33"/>
  <c r="AP27" i="33"/>
  <c r="AP34" i="33"/>
  <c r="AU34" i="33"/>
  <c r="AD16" i="2"/>
  <c r="AJ16" i="2"/>
  <c r="AG16" i="2"/>
  <c r="AA17" i="2"/>
  <c r="AD45" i="2"/>
  <c r="AJ45" i="2"/>
  <c r="AG45" i="2"/>
  <c r="AA46" i="2"/>
  <c r="AG73" i="2"/>
  <c r="AD73" i="2"/>
  <c r="AJ73" i="2"/>
  <c r="AA74" i="2"/>
  <c r="AD102" i="2"/>
  <c r="AG102" i="2"/>
  <c r="AJ102" i="2"/>
  <c r="AA103" i="2"/>
  <c r="AA213" i="2"/>
  <c r="AJ212" i="2"/>
  <c r="AG212" i="2"/>
  <c r="AD212" i="2"/>
  <c r="C13" i="15"/>
  <c r="I16"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N11" i="39" l="1"/>
  <c r="O11" i="39" s="1"/>
  <c r="B13" i="46"/>
  <c r="AD17" i="2"/>
  <c r="AJ17" i="2"/>
  <c r="AG17" i="2"/>
  <c r="AA18" i="2"/>
  <c r="AG46" i="2"/>
  <c r="AD46" i="2"/>
  <c r="AJ46" i="2"/>
  <c r="AA47" i="2"/>
  <c r="AG74" i="2"/>
  <c r="AD74" i="2"/>
  <c r="AJ74" i="2"/>
  <c r="AA75" i="2"/>
  <c r="AA104" i="2"/>
  <c r="AG103" i="2"/>
  <c r="AJ103" i="2"/>
  <c r="AD103" i="2"/>
  <c r="AG213" i="2"/>
  <c r="AJ213" i="2"/>
  <c r="AD213" i="2"/>
  <c r="AA214" i="2"/>
  <c r="I10" i="15"/>
  <c r="I12" i="15"/>
  <c r="I11" i="15"/>
  <c r="I15" i="15"/>
  <c r="AG18" i="2" l="1"/>
  <c r="AD18" i="2"/>
  <c r="AJ18" i="2"/>
  <c r="AA19" i="2"/>
  <c r="AJ47" i="2"/>
  <c r="AG47" i="2"/>
  <c r="AD47" i="2"/>
  <c r="AA48" i="2"/>
  <c r="AJ75" i="2"/>
  <c r="AG75" i="2"/>
  <c r="AD75" i="2"/>
  <c r="AA76" i="2"/>
  <c r="AD104" i="2"/>
  <c r="AJ104" i="2"/>
  <c r="AG104" i="2"/>
  <c r="AA105" i="2"/>
  <c r="AJ214" i="2"/>
  <c r="AG214" i="2"/>
  <c r="AD214" i="2"/>
  <c r="AA215" i="2"/>
  <c r="K15" i="15"/>
  <c r="AG19" i="2" l="1"/>
  <c r="AD19" i="2"/>
  <c r="AJ19" i="2"/>
  <c r="AA20" i="2"/>
  <c r="AJ48" i="2"/>
  <c r="AG48" i="2"/>
  <c r="AD48" i="2"/>
  <c r="AA49" i="2"/>
  <c r="AD76" i="2"/>
  <c r="AG76" i="2"/>
  <c r="AJ76" i="2"/>
  <c r="AA77" i="2"/>
  <c r="AJ105" i="2"/>
  <c r="AD105" i="2"/>
  <c r="AG105" i="2"/>
  <c r="AA106" i="2"/>
  <c r="AA216" i="2"/>
  <c r="AJ215" i="2"/>
  <c r="AG215" i="2"/>
  <c r="AD215" i="2"/>
  <c r="C15" i="15"/>
  <c r="B15" i="46" s="1"/>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2" i="15"/>
  <c r="C12" i="15"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S2" i="21" l="1"/>
  <c r="B12" i="46"/>
  <c r="N14" i="39"/>
  <c r="O14" i="39" s="1"/>
  <c r="H140" i="33"/>
  <c r="H143" i="33"/>
  <c r="H146" i="33"/>
  <c r="BB7" i="33"/>
  <c r="AW7" i="33"/>
  <c r="AH7" i="33"/>
  <c r="AM7"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0" i="15"/>
  <c r="K31" i="15"/>
  <c r="I31" i="15"/>
  <c r="K32" i="15"/>
  <c r="I32" i="15"/>
  <c r="I38" i="15"/>
  <c r="K36" i="15"/>
  <c r="K16" i="15"/>
  <c r="K24" i="15"/>
  <c r="K22" i="15"/>
  <c r="K23" i="15"/>
  <c r="I36" i="15"/>
  <c r="I33" i="15"/>
  <c r="K40" i="15"/>
  <c r="I22" i="15"/>
  <c r="K26" i="15"/>
  <c r="I23" i="15"/>
  <c r="K25" i="15"/>
  <c r="C27" i="15"/>
  <c r="I24" i="15"/>
  <c r="I35" i="15"/>
  <c r="K44" i="15"/>
  <c r="I41"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38" i="15"/>
  <c r="I39" i="15"/>
  <c r="I21" i="15"/>
  <c r="I20" i="15"/>
  <c r="K34" i="15"/>
  <c r="I19" i="15"/>
  <c r="I51" i="15"/>
  <c r="K33" i="15"/>
  <c r="K21" i="15"/>
  <c r="K20" i="15"/>
  <c r="K19" i="15"/>
  <c r="I34" i="15"/>
  <c r="G344" i="2"/>
  <c r="D338" i="2"/>
  <c r="D339" i="2"/>
  <c r="G345" i="2"/>
  <c r="E344" i="2"/>
  <c r="E345" i="2"/>
  <c r="G338" i="2"/>
  <c r="G339" i="2"/>
  <c r="E338" i="2"/>
  <c r="E339" i="2"/>
  <c r="K59" i="15"/>
  <c r="K69" i="15"/>
  <c r="I48" i="15"/>
  <c r="K71" i="15"/>
  <c r="K57" i="15"/>
  <c r="K47" i="15"/>
  <c r="K45" i="15"/>
  <c r="I74" i="15"/>
  <c r="I72" i="15"/>
  <c r="I62" i="15"/>
  <c r="I60" i="15"/>
  <c r="I50" i="15"/>
  <c r="K37" i="15"/>
  <c r="K35" i="15"/>
  <c r="K70" i="15"/>
  <c r="K58" i="15"/>
  <c r="K46" i="15"/>
  <c r="I73" i="15"/>
  <c r="I61" i="15"/>
  <c r="I49" i="15"/>
  <c r="K68" i="15"/>
  <c r="K56" i="15"/>
  <c r="I71" i="15"/>
  <c r="I59" i="15"/>
  <c r="I47" i="15"/>
  <c r="K67" i="15"/>
  <c r="K55" i="15"/>
  <c r="K43" i="15"/>
  <c r="I70" i="15"/>
  <c r="I58" i="15"/>
  <c r="I46" i="15"/>
  <c r="K78" i="15"/>
  <c r="K66" i="15"/>
  <c r="K54" i="15"/>
  <c r="K42" i="15"/>
  <c r="I69" i="15"/>
  <c r="I57" i="15"/>
  <c r="I45" i="15"/>
  <c r="I14" i="15"/>
  <c r="K77" i="15"/>
  <c r="K65" i="15"/>
  <c r="K53" i="15"/>
  <c r="I68" i="15"/>
  <c r="I56" i="15"/>
  <c r="I44" i="15"/>
  <c r="K76" i="15"/>
  <c r="K64" i="15"/>
  <c r="K52" i="15"/>
  <c r="I67" i="15"/>
  <c r="I55" i="15"/>
  <c r="I43" i="15"/>
  <c r="K75" i="15"/>
  <c r="K63" i="15"/>
  <c r="K51" i="15"/>
  <c r="I78" i="15"/>
  <c r="I66" i="15"/>
  <c r="I54" i="15"/>
  <c r="I42" i="15"/>
  <c r="K74" i="15"/>
  <c r="K62" i="15"/>
  <c r="K50" i="15"/>
  <c r="I77" i="15"/>
  <c r="I53" i="15"/>
  <c r="K73" i="15"/>
  <c r="K61" i="15"/>
  <c r="K49" i="15"/>
  <c r="K18" i="15"/>
  <c r="I76" i="15"/>
  <c r="I64" i="15"/>
  <c r="I52" i="15"/>
  <c r="I37" i="15"/>
  <c r="K72" i="15"/>
  <c r="K60" i="15"/>
  <c r="K48" i="15"/>
  <c r="K17" i="15"/>
  <c r="I75" i="15"/>
  <c r="I63" i="15"/>
  <c r="AE146" i="33" l="1"/>
  <c r="BD146" i="33"/>
  <c r="AO146" i="33"/>
  <c r="AY146" i="33"/>
  <c r="AT146" i="33"/>
  <c r="AJ146" i="33"/>
  <c r="I146" i="33"/>
  <c r="AE143" i="33"/>
  <c r="I143" i="33"/>
  <c r="BD143" i="33"/>
  <c r="AY143" i="33"/>
  <c r="AJ143" i="33"/>
  <c r="AT143" i="33"/>
  <c r="AO143" i="33"/>
  <c r="AE140" i="33"/>
  <c r="AJ140" i="33"/>
  <c r="I140" i="33"/>
  <c r="AT140" i="33"/>
  <c r="BD140" i="33"/>
  <c r="AO140" i="33"/>
  <c r="AY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16" i="15"/>
  <c r="C77" i="15"/>
  <c r="C36" i="15"/>
  <c r="C24" i="15"/>
  <c r="C32" i="15"/>
  <c r="C56" i="15"/>
  <c r="C31" i="15"/>
  <c r="C75" i="15"/>
  <c r="C28" i="15"/>
  <c r="C67" i="15"/>
  <c r="C52" i="15"/>
  <c r="C66" i="15"/>
  <c r="C49" i="15"/>
  <c r="C53" i="15"/>
  <c r="C58" i="15"/>
  <c r="C74" i="15"/>
  <c r="X47" i="16"/>
  <c r="C45" i="15"/>
  <c r="C63" i="15"/>
  <c r="C73" i="15"/>
  <c r="C64" i="15"/>
  <c r="C54" i="15"/>
  <c r="C21" i="15"/>
  <c r="B21" i="46" s="1"/>
  <c r="C78" i="15"/>
  <c r="C71" i="15"/>
  <c r="X25" i="16"/>
  <c r="C34" i="15"/>
  <c r="C37" i="15"/>
  <c r="C57" i="15"/>
  <c r="C35" i="15"/>
  <c r="C42" i="15"/>
  <c r="C69" i="15"/>
  <c r="C48" i="15"/>
  <c r="C29" i="15"/>
  <c r="C76" i="15"/>
  <c r="C59" i="15"/>
  <c r="C50" i="15"/>
  <c r="C23" i="15"/>
  <c r="C47" i="15"/>
  <c r="C68" i="15"/>
  <c r="C60" i="15"/>
  <c r="C38" i="15"/>
  <c r="C62" i="15"/>
  <c r="C51" i="15"/>
  <c r="C22" i="15"/>
  <c r="B22" i="46" s="1"/>
  <c r="C30" i="15"/>
  <c r="C46" i="15"/>
  <c r="C72" i="15"/>
  <c r="C19" i="15"/>
  <c r="C44" i="15"/>
  <c r="C43" i="15"/>
  <c r="R4" i="16"/>
  <c r="C33" i="15"/>
  <c r="AD17" i="16" s="1"/>
  <c r="C55" i="15"/>
  <c r="C70" i="15"/>
  <c r="C61" i="15"/>
  <c r="C20" i="15"/>
  <c r="B20" i="46" s="1"/>
  <c r="H350" i="2"/>
  <c r="H272" i="2"/>
  <c r="H275" i="2"/>
  <c r="H266" i="2"/>
  <c r="H274" i="2"/>
  <c r="H269" i="2"/>
  <c r="H268" i="2"/>
  <c r="H325" i="2"/>
  <c r="H329" i="2"/>
  <c r="H347" i="2"/>
  <c r="H246" i="2"/>
  <c r="F309" i="2"/>
  <c r="I40" i="15"/>
  <c r="C40" i="15" s="1"/>
  <c r="K39" i="15"/>
  <c r="I18" i="15"/>
  <c r="C18" i="15" s="1"/>
  <c r="B18" i="46" s="1"/>
  <c r="K41" i="15"/>
  <c r="C41" i="15" s="1"/>
  <c r="I65" i="15"/>
  <c r="C65" i="15" s="1"/>
  <c r="I17" i="15"/>
  <c r="I26" i="15"/>
  <c r="I25" i="15"/>
  <c r="F91" i="2" s="1"/>
  <c r="K10" i="15"/>
  <c r="K11" i="15"/>
  <c r="K9" i="15"/>
  <c r="H234" i="2"/>
  <c r="H225" i="2"/>
  <c r="H241" i="2"/>
  <c r="H249" i="2"/>
  <c r="H247" i="2"/>
  <c r="H245" i="2"/>
  <c r="K14" i="15"/>
  <c r="H259" i="2" s="1"/>
  <c r="I9"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7" i="39" l="1"/>
  <c r="O7" i="39" s="1"/>
  <c r="B16" i="46"/>
  <c r="H6" i="33"/>
  <c r="AB4" i="16"/>
  <c r="B19" i="46"/>
  <c r="N41" i="39"/>
  <c r="O41" i="39" s="1"/>
  <c r="N43" i="39"/>
  <c r="O43" i="39" s="1"/>
  <c r="N20" i="39"/>
  <c r="O20" i="39" s="1"/>
  <c r="N33" i="39"/>
  <c r="O33" i="39" s="1"/>
  <c r="N24" i="39"/>
  <c r="O24" i="39" s="1"/>
  <c r="O2" i="39"/>
  <c r="AL27" i="16"/>
  <c r="Z2" i="16"/>
  <c r="AB18" i="16"/>
  <c r="R5" i="16"/>
  <c r="R13" i="16"/>
  <c r="T4" i="16"/>
  <c r="AD34" i="16"/>
  <c r="Z50" i="16"/>
  <c r="X51" i="16"/>
  <c r="R51" i="16"/>
  <c r="AB54"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0" i="16"/>
  <c r="T16" i="16"/>
  <c r="AL4" i="16"/>
  <c r="AF48" i="16"/>
  <c r="AD13" i="16"/>
  <c r="V3" i="16"/>
  <c r="AJ47" i="16"/>
  <c r="R37" i="16"/>
  <c r="T36" i="16"/>
  <c r="X10" i="16"/>
  <c r="X17" i="16"/>
  <c r="AD24" i="16"/>
  <c r="AB34" i="16"/>
  <c r="AB45" i="16"/>
  <c r="X29" i="16"/>
  <c r="AF31" i="16"/>
  <c r="AB44" i="16"/>
  <c r="Z43" i="16"/>
  <c r="AJ22" i="16"/>
  <c r="AL13" i="16"/>
  <c r="AL8" i="16"/>
  <c r="AF49" i="16"/>
  <c r="AL19" i="16"/>
  <c r="AH23" i="16"/>
  <c r="Z20" i="16"/>
  <c r="R32" i="16"/>
  <c r="AL16" i="16"/>
  <c r="R48" i="16"/>
  <c r="T2" i="16"/>
  <c r="AF33" i="16"/>
  <c r="AF50" i="16"/>
  <c r="Z16" i="16"/>
  <c r="AJ26" i="16"/>
  <c r="AB35" i="16"/>
  <c r="AD51" i="16"/>
  <c r="AJ17" i="16"/>
  <c r="T31" i="16"/>
  <c r="T32" i="16"/>
  <c r="AH54" i="16"/>
  <c r="AD33" i="16"/>
  <c r="AJ29" i="16"/>
  <c r="AL5" i="16"/>
  <c r="AD37" i="16"/>
  <c r="T10" i="16"/>
  <c r="AB25" i="16"/>
  <c r="T15" i="16"/>
  <c r="AL45" i="16"/>
  <c r="AB16" i="16"/>
  <c r="C25" i="15"/>
  <c r="F178" i="2"/>
  <c r="F179" i="2"/>
  <c r="F180" i="2"/>
  <c r="F181" i="2"/>
  <c r="F177" i="2"/>
  <c r="F182" i="2"/>
  <c r="C26" i="15"/>
  <c r="F209" i="2"/>
  <c r="F206" i="2"/>
  <c r="F210" i="2"/>
  <c r="F207" i="2"/>
  <c r="F211" i="2"/>
  <c r="F208" i="2"/>
  <c r="F147" i="2"/>
  <c r="AH11" i="16"/>
  <c r="AF45" i="16"/>
  <c r="V12" i="16"/>
  <c r="AL37" i="16"/>
  <c r="AB47" i="16"/>
  <c r="T37" i="16"/>
  <c r="Z45" i="16"/>
  <c r="V6" i="16"/>
  <c r="T35" i="16"/>
  <c r="Z25" i="16"/>
  <c r="V50" i="16"/>
  <c r="AL44" i="16"/>
  <c r="AJ50" i="16"/>
  <c r="AH17" i="16"/>
  <c r="AF29" i="16"/>
  <c r="Z44" i="16"/>
  <c r="AF54" i="16"/>
  <c r="Z47" i="16"/>
  <c r="Z22" i="16"/>
  <c r="R24" i="16"/>
  <c r="V54" i="16"/>
  <c r="X22" i="16"/>
  <c r="AD29" i="16"/>
  <c r="AJ21" i="16"/>
  <c r="V8" i="16"/>
  <c r="T49" i="16"/>
  <c r="Z3" i="16"/>
  <c r="V23" i="16"/>
  <c r="AL7" i="16"/>
  <c r="R29" i="16"/>
  <c r="AL32" i="16"/>
  <c r="AJ28" i="16"/>
  <c r="AH35" i="16"/>
  <c r="AB21" i="16"/>
  <c r="AJ11" i="16"/>
  <c r="R47" i="16"/>
  <c r="X2" i="16"/>
  <c r="AJ41" i="16"/>
  <c r="V48" i="16"/>
  <c r="Z36" i="16"/>
  <c r="AL50" i="16"/>
  <c r="AD11" i="16"/>
  <c r="AD25" i="16"/>
  <c r="AB13" i="16"/>
  <c r="X41" i="16"/>
  <c r="Z12" i="16"/>
  <c r="AJ15" i="16"/>
  <c r="AB37" i="16"/>
  <c r="R41" i="16"/>
  <c r="X20" i="16"/>
  <c r="AD23" i="16"/>
  <c r="AL10" i="16"/>
  <c r="AD35" i="16"/>
  <c r="AJ38" i="16"/>
  <c r="AJ12" i="16"/>
  <c r="X11" i="16"/>
  <c r="T51" i="16"/>
  <c r="T42" i="16"/>
  <c r="AD40" i="16"/>
  <c r="R25" i="16"/>
  <c r="AL9" i="16"/>
  <c r="AD26" i="16"/>
  <c r="X3" i="16"/>
  <c r="AD38" i="16"/>
  <c r="AH6" i="16"/>
  <c r="T33" i="16"/>
  <c r="AJ2" i="16"/>
  <c r="Z35" i="16"/>
  <c r="R49" i="16"/>
  <c r="X26" i="16"/>
  <c r="T9" i="16"/>
  <c r="X38" i="16"/>
  <c r="AH18" i="16"/>
  <c r="V45" i="16"/>
  <c r="T19" i="16"/>
  <c r="X36" i="16"/>
  <c r="AJ14" i="16"/>
  <c r="V7" i="16"/>
  <c r="R26" i="16"/>
  <c r="T7" i="16"/>
  <c r="T40" i="16"/>
  <c r="AJ18" i="16"/>
  <c r="R46" i="16"/>
  <c r="AJ9" i="16"/>
  <c r="AD32" i="16"/>
  <c r="F312" i="2"/>
  <c r="F271" i="2"/>
  <c r="F266" i="2"/>
  <c r="F293" i="2"/>
  <c r="F278" i="2"/>
  <c r="F330" i="2"/>
  <c r="F310" i="2"/>
  <c r="F315" i="2"/>
  <c r="F302" i="2"/>
  <c r="F323" i="2"/>
  <c r="F283" i="2"/>
  <c r="F282" i="2"/>
  <c r="F299" i="2"/>
  <c r="F269" i="2"/>
  <c r="F313" i="2"/>
  <c r="F333" i="2"/>
  <c r="F328" i="2"/>
  <c r="F281" i="2"/>
  <c r="F272" i="2"/>
  <c r="F298" i="2"/>
  <c r="F304" i="2"/>
  <c r="F290" i="2"/>
  <c r="F327" i="2"/>
  <c r="F350" i="2"/>
  <c r="X39" i="16"/>
  <c r="F276" i="2"/>
  <c r="F273" i="2"/>
  <c r="F292" i="2"/>
  <c r="F318" i="2"/>
  <c r="F332" i="2"/>
  <c r="F291" i="2"/>
  <c r="F348" i="2"/>
  <c r="AB22" i="16"/>
  <c r="R31" i="16"/>
  <c r="F294" i="2"/>
  <c r="F265" i="2"/>
  <c r="F275" i="2"/>
  <c r="F306" i="2"/>
  <c r="F286" i="2"/>
  <c r="F287" i="2"/>
  <c r="F347" i="2"/>
  <c r="V18" i="16"/>
  <c r="R36" i="16"/>
  <c r="AB49" i="16"/>
  <c r="Z54" i="16"/>
  <c r="V33" i="16"/>
  <c r="R23" i="16"/>
  <c r="AJ16" i="16"/>
  <c r="AF46" i="16"/>
  <c r="AF27" i="16"/>
  <c r="AL3" i="16"/>
  <c r="T45" i="16"/>
  <c r="AL51" i="16"/>
  <c r="T30" i="16"/>
  <c r="AF3" i="16"/>
  <c r="AL22" i="16"/>
  <c r="AD15" i="16"/>
  <c r="AH43" i="16"/>
  <c r="AL26" i="16"/>
  <c r="AH33" i="16"/>
  <c r="X23" i="16"/>
  <c r="AD41" i="16"/>
  <c r="X6" i="16"/>
  <c r="AF12" i="16"/>
  <c r="Z8" i="16"/>
  <c r="Z13" i="16"/>
  <c r="AJ32" i="16"/>
  <c r="T54" i="16"/>
  <c r="T34" i="16"/>
  <c r="Z48" i="16"/>
  <c r="AD16" i="16"/>
  <c r="T46" i="16"/>
  <c r="Z27" i="16"/>
  <c r="AH7" i="16"/>
  <c r="AD46" i="16"/>
  <c r="AF51" i="16"/>
  <c r="AH31" i="16"/>
  <c r="AL33" i="16"/>
  <c r="Z23" i="16"/>
  <c r="X15" i="16"/>
  <c r="Z5" i="16"/>
  <c r="AJ27" i="16"/>
  <c r="AF37" i="16"/>
  <c r="T25" i="16"/>
  <c r="T13" i="16"/>
  <c r="AL47" i="16"/>
  <c r="AJ20" i="16"/>
  <c r="R2" i="16"/>
  <c r="R35" i="16"/>
  <c r="AL25" i="16"/>
  <c r="X16" i="16"/>
  <c r="AD47" i="16"/>
  <c r="T27" i="16"/>
  <c r="R45" i="16"/>
  <c r="Z51" i="16"/>
  <c r="AB43" i="16"/>
  <c r="AJ34" i="16"/>
  <c r="AH24" i="16"/>
  <c r="AH16" i="16"/>
  <c r="T43" i="16"/>
  <c r="AH28" i="16"/>
  <c r="AD45" i="16"/>
  <c r="X32" i="16"/>
  <c r="AF39" i="16"/>
  <c r="T21" i="16"/>
  <c r="AF34" i="16"/>
  <c r="AJ42" i="16"/>
  <c r="AL46" i="16"/>
  <c r="T50" i="16"/>
  <c r="AH30" i="16"/>
  <c r="AL20" i="16"/>
  <c r="AH42" i="16"/>
  <c r="AJ46" i="16"/>
  <c r="AH27" i="16"/>
  <c r="AL43" i="16"/>
  <c r="X21" i="16"/>
  <c r="R38" i="16"/>
  <c r="AF30" i="16"/>
  <c r="T8" i="16"/>
  <c r="AB12" i="16"/>
  <c r="X8" i="16"/>
  <c r="AJ45" i="16"/>
  <c r="AD50" i="16"/>
  <c r="Z37" i="16"/>
  <c r="AH32" i="16"/>
  <c r="AB17" i="16"/>
  <c r="R34" i="16"/>
  <c r="X24" i="16"/>
  <c r="AD28" i="16"/>
  <c r="AL34" i="16"/>
  <c r="AJ48" i="16"/>
  <c r="AJ54" i="16"/>
  <c r="AF36" i="16"/>
  <c r="AH25" i="16"/>
  <c r="V16" i="16"/>
  <c r="AD30" i="16"/>
  <c r="V49" i="16"/>
  <c r="T41" i="16"/>
  <c r="AB41" i="16"/>
  <c r="AF26" i="16"/>
  <c r="R30" i="16"/>
  <c r="T48" i="16"/>
  <c r="Z10" i="16"/>
  <c r="Z46" i="16"/>
  <c r="AJ51" i="16"/>
  <c r="Z30" i="16"/>
  <c r="AH10" i="16"/>
  <c r="Z21" i="16"/>
  <c r="X14" i="16"/>
  <c r="Z42" i="16"/>
  <c r="Z11" i="16"/>
  <c r="X46" i="16"/>
  <c r="AB27" i="16"/>
  <c r="X9" i="16"/>
  <c r="AH22" i="16"/>
  <c r="AH39" i="16"/>
  <c r="X30" i="16"/>
  <c r="T12" i="16"/>
  <c r="AJ6" i="16"/>
  <c r="AL6" i="16"/>
  <c r="X45" i="16"/>
  <c r="X50" i="16"/>
  <c r="AJ44" i="16"/>
  <c r="AH14" i="16"/>
  <c r="V17" i="16"/>
  <c r="AL36" i="16"/>
  <c r="AL49" i="16"/>
  <c r="X28" i="16"/>
  <c r="AJ35" i="16"/>
  <c r="V24" i="16"/>
  <c r="AD54" i="16"/>
  <c r="AH37" i="16"/>
  <c r="V25" i="16"/>
  <c r="AL17" i="16"/>
  <c r="AL38" i="16"/>
  <c r="R39" i="16"/>
  <c r="AB42" i="16"/>
  <c r="AD27" i="16"/>
  <c r="AL21" i="16"/>
  <c r="T39" i="16"/>
  <c r="AH15" i="16"/>
  <c r="AL31" i="16"/>
  <c r="AH47" i="16"/>
  <c r="V27" i="16"/>
  <c r="X31" i="16"/>
  <c r="AJ10" i="16"/>
  <c r="V22" i="16"/>
  <c r="AB39" i="16"/>
  <c r="AJ5" i="16"/>
  <c r="AD6" i="16"/>
  <c r="Z6" i="16"/>
  <c r="AH12" i="16"/>
  <c r="AF9" i="16"/>
  <c r="AH46" i="16"/>
  <c r="R50" i="16"/>
  <c r="AF42" i="16"/>
  <c r="X4" i="16"/>
  <c r="X44" i="16"/>
  <c r="AB14" i="16"/>
  <c r="AL2" i="16"/>
  <c r="AJ13" i="16"/>
  <c r="Z49" i="16"/>
  <c r="R28" i="16"/>
  <c r="AH36" i="16"/>
  <c r="AJ49" i="16"/>
  <c r="X54" i="16"/>
  <c r="V37" i="16"/>
  <c r="Z32" i="16"/>
  <c r="AF17" i="16"/>
  <c r="AD39" i="16"/>
  <c r="AJ39" i="16"/>
  <c r="R43" i="16"/>
  <c r="AD43" i="16"/>
  <c r="AB28" i="16"/>
  <c r="AF24" i="16"/>
  <c r="AB15" i="16"/>
  <c r="AF43" i="16"/>
  <c r="AB33" i="16"/>
  <c r="V47" i="16"/>
  <c r="AL28" i="16"/>
  <c r="X5" i="16"/>
  <c r="AF23" i="16"/>
  <c r="V39" i="16"/>
  <c r="AD19" i="16"/>
  <c r="AD12" i="16"/>
  <c r="T6" i="16"/>
  <c r="AL18" i="16"/>
  <c r="AL11" i="16"/>
  <c r="V46" i="16"/>
  <c r="AH51" i="16"/>
  <c r="X42" i="16"/>
  <c r="V10" i="16"/>
  <c r="AH21" i="16"/>
  <c r="V14" i="16"/>
  <c r="X13" i="16"/>
  <c r="AF32" i="16"/>
  <c r="AH29" i="16"/>
  <c r="AH13" i="16"/>
  <c r="X49" i="16"/>
  <c r="R54" i="16"/>
  <c r="AF44" i="16"/>
  <c r="AL14" i="16"/>
  <c r="Z17" i="16"/>
  <c r="AJ33" i="16"/>
  <c r="V2" i="16"/>
  <c r="AH40" i="16"/>
  <c r="AH19" i="16"/>
  <c r="AL24" i="16"/>
  <c r="AB38" i="16"/>
  <c r="V15" i="16"/>
  <c r="X19" i="16"/>
  <c r="Z34" i="16"/>
  <c r="AB24" i="16"/>
  <c r="AF28" i="16"/>
  <c r="Z33" i="16"/>
  <c r="T23" i="16"/>
  <c r="AL40" i="16"/>
  <c r="X43" i="16"/>
  <c r="Z18" i="16"/>
  <c r="X12" i="16"/>
  <c r="X18" i="16"/>
  <c r="AJ8" i="16"/>
  <c r="AF10" i="16"/>
  <c r="AF47" i="16"/>
  <c r="AB51" i="16"/>
  <c r="AJ19" i="16"/>
  <c r="AJ7" i="16"/>
  <c r="V21" i="16"/>
  <c r="AL15" i="16"/>
  <c r="AH20" i="16"/>
  <c r="AH26" i="16"/>
  <c r="AB29" i="16"/>
  <c r="V13" i="16"/>
  <c r="AB32" i="16"/>
  <c r="T44" i="16"/>
  <c r="AF14" i="16"/>
  <c r="T17" i="16"/>
  <c r="AF13" i="16"/>
  <c r="AJ37" i="16"/>
  <c r="AF41" i="16"/>
  <c r="Z7" i="16"/>
  <c r="AB40" i="16"/>
  <c r="X40" i="16"/>
  <c r="X35" i="16"/>
  <c r="AL23" i="16"/>
  <c r="Z28" i="16"/>
  <c r="X34" i="16"/>
  <c r="AB48" i="16"/>
  <c r="AF40" i="16"/>
  <c r="V19" i="16"/>
  <c r="T18" i="16"/>
  <c r="AF8" i="16"/>
  <c r="AL12" i="16"/>
  <c r="AH8" i="16"/>
  <c r="X33" i="16"/>
  <c r="T47" i="16"/>
  <c r="V51" i="16"/>
  <c r="AD31" i="16"/>
  <c r="AJ3" i="16"/>
  <c r="AF22" i="16"/>
  <c r="AF15" i="16"/>
  <c r="AJ4" i="16"/>
  <c r="V20" i="16"/>
  <c r="AB26" i="16"/>
  <c r="V29" i="16"/>
  <c r="AF20" i="16"/>
  <c r="AH50" i="16"/>
  <c r="Z9" i="16"/>
  <c r="AD21" i="16"/>
  <c r="Z14" i="16"/>
  <c r="AJ30" i="16"/>
  <c r="AF21" i="16"/>
  <c r="AL39" i="16"/>
  <c r="AD42" i="16"/>
  <c r="R33" i="16"/>
  <c r="V31" i="16"/>
  <c r="V41" i="16"/>
  <c r="AD48" i="16"/>
  <c r="AF16" i="16"/>
  <c r="V36" i="16"/>
  <c r="AD49" i="16"/>
  <c r="T28" i="16"/>
  <c r="V35" i="16"/>
  <c r="AL48" i="16"/>
  <c r="Z40" i="16"/>
  <c r="AD8" i="16"/>
  <c r="AF6" i="16"/>
  <c r="V34" i="16"/>
  <c r="Z24" i="16"/>
  <c r="AL54" i="16"/>
  <c r="V5" i="16"/>
  <c r="T22" i="16"/>
  <c r="Z15" i="16"/>
  <c r="AH45" i="16"/>
  <c r="V26" i="16"/>
  <c r="AB50" i="16"/>
  <c r="AF11" i="16"/>
  <c r="R21" i="16"/>
  <c r="T14" i="16"/>
  <c r="AB30" i="16"/>
  <c r="AB23" i="16"/>
  <c r="Z4" i="16"/>
  <c r="AF19" i="16"/>
  <c r="X37" i="16"/>
  <c r="R19" i="16"/>
  <c r="Z41" i="16"/>
  <c r="V30" i="16"/>
  <c r="AH3" i="16"/>
  <c r="R44" i="16"/>
  <c r="V11" i="16"/>
  <c r="R27" i="16"/>
  <c r="AB19" i="16"/>
  <c r="AB31" i="16"/>
  <c r="Z38" i="16"/>
  <c r="T24" i="16"/>
  <c r="V9" i="16"/>
  <c r="AH48" i="16"/>
  <c r="AH41" i="16"/>
  <c r="V42" i="16"/>
  <c r="AH38" i="16"/>
  <c r="AH34" i="16"/>
  <c r="AF38" i="16"/>
  <c r="X48" i="16"/>
  <c r="AJ24" i="16"/>
  <c r="AD20" i="16"/>
  <c r="AL35" i="16"/>
  <c r="Z26" i="16"/>
  <c r="AJ31" i="16"/>
  <c r="X27" i="16"/>
  <c r="T29" i="16"/>
  <c r="AL29" i="16"/>
  <c r="T11" i="16"/>
  <c r="X7" i="16"/>
  <c r="AD36" i="16"/>
  <c r="AJ36" i="16"/>
  <c r="V44" i="16"/>
  <c r="Z19" i="16"/>
  <c r="V28" i="16"/>
  <c r="AD44" i="16"/>
  <c r="R22" i="16"/>
  <c r="AH49" i="16"/>
  <c r="Z31" i="16"/>
  <c r="V38" i="16"/>
  <c r="AL42" i="16"/>
  <c r="R40" i="16"/>
  <c r="T5" i="16"/>
  <c r="T38" i="16"/>
  <c r="Z29" i="16"/>
  <c r="V32" i="16"/>
  <c r="AF35" i="16"/>
  <c r="V43" i="16"/>
  <c r="AH44" i="16"/>
  <c r="AB46" i="16"/>
  <c r="R11" i="16"/>
  <c r="Z39" i="16"/>
  <c r="AD22" i="16"/>
  <c r="V40" i="16"/>
  <c r="R20" i="16"/>
  <c r="AJ40" i="16"/>
  <c r="AJ43" i="16"/>
  <c r="AF25" i="16"/>
  <c r="AH9" i="16"/>
  <c r="AB36" i="16"/>
  <c r="AL30" i="16"/>
  <c r="AJ25" i="16"/>
  <c r="AL41" i="16"/>
  <c r="R42" i="16"/>
  <c r="T26" i="16"/>
  <c r="AJ23" i="16"/>
  <c r="R16" i="16"/>
  <c r="AF52" i="16"/>
  <c r="AF53" i="16"/>
  <c r="F176" i="2"/>
  <c r="C14" i="15"/>
  <c r="C10" i="15"/>
  <c r="B10" i="46" s="1"/>
  <c r="R17" i="16"/>
  <c r="AD10" i="16"/>
  <c r="C11" i="15"/>
  <c r="C17" i="15"/>
  <c r="F205" i="2"/>
  <c r="C9" i="15"/>
  <c r="R15" i="16"/>
  <c r="R10" i="16"/>
  <c r="F232" i="2"/>
  <c r="AF5" i="16"/>
  <c r="R9" i="16"/>
  <c r="R18" i="16"/>
  <c r="AB11" i="16"/>
  <c r="C39" i="15"/>
  <c r="T20"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13" i="39" l="1"/>
  <c r="O13" i="39" s="1"/>
  <c r="B14" i="46"/>
  <c r="H2" i="33"/>
  <c r="AT2" i="33" s="1"/>
  <c r="B9" i="46"/>
  <c r="N6" i="39"/>
  <c r="O6" i="39" s="1"/>
  <c r="B11" i="46"/>
  <c r="AO6" i="33"/>
  <c r="BD6" i="33"/>
  <c r="AT6" i="33"/>
  <c r="AY6" i="33"/>
  <c r="I6" i="33"/>
  <c r="AE6" i="33"/>
  <c r="AJ6" i="33"/>
  <c r="N48" i="39"/>
  <c r="O48" i="39" s="1"/>
  <c r="B17" i="46"/>
  <c r="N25" i="39"/>
  <c r="O25" i="39" s="1"/>
  <c r="N16" i="39"/>
  <c r="O16" i="39" s="1"/>
  <c r="N50" i="39"/>
  <c r="O50" i="39" s="1"/>
  <c r="N29" i="39"/>
  <c r="O29" i="39" s="1"/>
  <c r="N42" i="39"/>
  <c r="O42" i="39" s="1"/>
  <c r="N28" i="39"/>
  <c r="O28" i="39" s="1"/>
  <c r="N53" i="39"/>
  <c r="O53" i="39" s="1"/>
  <c r="N55" i="39"/>
  <c r="O55" i="39" s="1"/>
  <c r="N58" i="39"/>
  <c r="O58" i="39" s="1"/>
  <c r="N32" i="39"/>
  <c r="O32" i="39" s="1"/>
  <c r="N35" i="39"/>
  <c r="O35" i="39" s="1"/>
  <c r="N49" i="39"/>
  <c r="O49" i="39" s="1"/>
  <c r="N52" i="39"/>
  <c r="O52" i="39" s="1"/>
  <c r="N39" i="39"/>
  <c r="O39" i="39" s="1"/>
  <c r="N38" i="39"/>
  <c r="O38" i="39" s="1"/>
  <c r="N36" i="39"/>
  <c r="O36" i="39" s="1"/>
  <c r="N56" i="39"/>
  <c r="O56" i="39" s="1"/>
  <c r="N30" i="39"/>
  <c r="O30" i="39" s="1"/>
  <c r="N51" i="39"/>
  <c r="O51" i="39" s="1"/>
  <c r="N31" i="39"/>
  <c r="O31" i="39" s="1"/>
  <c r="N46" i="39"/>
  <c r="O46" i="39" s="1"/>
  <c r="N19" i="39"/>
  <c r="O19" i="39" s="1"/>
  <c r="N17" i="39"/>
  <c r="O17" i="39" s="1"/>
  <c r="AF7" i="16"/>
  <c r="N34" i="39"/>
  <c r="O34" i="39" s="1"/>
  <c r="N22" i="39"/>
  <c r="O22" i="39" s="1"/>
  <c r="N59" i="39"/>
  <c r="O59" i="39" s="1"/>
  <c r="N23" i="39"/>
  <c r="O23" i="39" s="1"/>
  <c r="N37" i="39"/>
  <c r="O37" i="39" s="1"/>
  <c r="N40" i="39"/>
  <c r="O40" i="39" s="1"/>
  <c r="N15" i="39"/>
  <c r="O15" i="39" s="1"/>
  <c r="N44" i="39"/>
  <c r="O44" i="39" s="1"/>
  <c r="N26" i="39"/>
  <c r="O26" i="39" s="1"/>
  <c r="N18" i="39"/>
  <c r="O18" i="39" s="1"/>
  <c r="N21" i="39"/>
  <c r="O21" i="39" s="1"/>
  <c r="N54" i="39"/>
  <c r="O54" i="39" s="1"/>
  <c r="N27" i="39"/>
  <c r="O27" i="39" s="1"/>
  <c r="N57" i="39"/>
  <c r="O57" i="39" s="1"/>
  <c r="N45" i="39"/>
  <c r="O45" i="39" s="1"/>
  <c r="N47" i="39"/>
  <c r="O47" i="39" s="1"/>
  <c r="BD2" i="33"/>
  <c r="I2" i="33"/>
  <c r="AY2" i="33"/>
  <c r="AO2" i="33"/>
  <c r="AE2" i="33"/>
  <c r="AD7" i="16"/>
  <c r="H5" i="33"/>
  <c r="AY5" i="33" s="1"/>
  <c r="N5" i="39"/>
  <c r="O5" i="39" s="1"/>
  <c r="AB10" i="16"/>
  <c r="N9" i="39"/>
  <c r="O9" i="39" s="1"/>
  <c r="N12" i="39"/>
  <c r="O12" i="39" s="1"/>
  <c r="H15" i="33"/>
  <c r="BD15" i="33" s="1"/>
  <c r="N10" i="39"/>
  <c r="O10" i="39" s="1"/>
  <c r="Z11" i="33"/>
  <c r="W11" i="33"/>
  <c r="Q11" i="33"/>
  <c r="T11" i="33"/>
  <c r="T21" i="33"/>
  <c r="T18" i="33"/>
  <c r="T22" i="33"/>
  <c r="T19" i="33"/>
  <c r="T20" i="33"/>
  <c r="AD9" i="16"/>
  <c r="H13" i="33"/>
  <c r="AO13" i="33" s="1"/>
  <c r="H14" i="33"/>
  <c r="AB9" i="16"/>
  <c r="W20" i="33"/>
  <c r="W21" i="33"/>
  <c r="W22" i="33"/>
  <c r="W19" i="33"/>
  <c r="W18" i="33"/>
  <c r="Q21" i="33"/>
  <c r="Q18" i="33"/>
  <c r="Q22" i="33"/>
  <c r="Q19" i="33"/>
  <c r="Q20" i="33"/>
  <c r="Z19" i="33"/>
  <c r="Z20" i="33"/>
  <c r="Z21" i="33"/>
  <c r="Z18" i="33"/>
  <c r="Z22" i="33"/>
  <c r="N18" i="33"/>
  <c r="N20" i="33"/>
  <c r="N19" i="33"/>
  <c r="N21" i="33"/>
  <c r="N22" i="33"/>
  <c r="Q14" i="33"/>
  <c r="Q15" i="33"/>
  <c r="Z16" i="33"/>
  <c r="Z17" i="33"/>
  <c r="W15" i="33"/>
  <c r="W14" i="33"/>
  <c r="Q16" i="33"/>
  <c r="Q17" i="33"/>
  <c r="W17" i="33"/>
  <c r="W16" i="33"/>
  <c r="T14" i="33"/>
  <c r="T15" i="33"/>
  <c r="N17" i="33"/>
  <c r="N16" i="33"/>
  <c r="T16" i="33"/>
  <c r="T17" i="33"/>
  <c r="N15" i="33"/>
  <c r="N14" i="33"/>
  <c r="Z14" i="33"/>
  <c r="Z15" i="33"/>
  <c r="T12" i="33"/>
  <c r="T13" i="33"/>
  <c r="Q12" i="33"/>
  <c r="Q13" i="33"/>
  <c r="W12" i="33"/>
  <c r="W13" i="33"/>
  <c r="Z12" i="33"/>
  <c r="Z13" i="33"/>
  <c r="N12" i="33"/>
  <c r="T9" i="33"/>
  <c r="T10" i="33"/>
  <c r="Z10" i="33"/>
  <c r="Z9" i="33"/>
  <c r="W9" i="33"/>
  <c r="W10" i="33"/>
  <c r="Q9" i="33"/>
  <c r="Q10" i="33"/>
  <c r="T5" i="33"/>
  <c r="Z5" i="33"/>
  <c r="W5" i="33"/>
  <c r="H149" i="33"/>
  <c r="H148" i="33"/>
  <c r="H147" i="33"/>
  <c r="Q149" i="33"/>
  <c r="Q148" i="33"/>
  <c r="Q147" i="33"/>
  <c r="Z2" i="33"/>
  <c r="W2" i="33"/>
  <c r="T2" i="33"/>
  <c r="Q2" i="33"/>
  <c r="W148" i="33"/>
  <c r="W147" i="33"/>
  <c r="W149" i="33"/>
  <c r="Z147" i="33"/>
  <c r="Z148" i="33"/>
  <c r="Z149" i="33"/>
  <c r="T149" i="33"/>
  <c r="T147" i="33"/>
  <c r="T148" i="33"/>
  <c r="N147" i="33"/>
  <c r="N148" i="33"/>
  <c r="N149" i="33"/>
  <c r="AF2" i="16"/>
  <c r="AH5" i="16"/>
  <c r="AD4" i="16"/>
  <c r="H3" i="33"/>
  <c r="H4" i="33"/>
  <c r="H139" i="33"/>
  <c r="H142" i="33"/>
  <c r="H145" i="33"/>
  <c r="H8" i="33"/>
  <c r="H138" i="33"/>
  <c r="H141" i="33"/>
  <c r="H144" i="33"/>
  <c r="Q144" i="33"/>
  <c r="Q146" i="33"/>
  <c r="Q142" i="33"/>
  <c r="Q139" i="33"/>
  <c r="Q140" i="33"/>
  <c r="Q145" i="33"/>
  <c r="Q138" i="33"/>
  <c r="Q143" i="33"/>
  <c r="Q141" i="33"/>
  <c r="Z4" i="33"/>
  <c r="Z3" i="33"/>
  <c r="Z8" i="33"/>
  <c r="Z6" i="33"/>
  <c r="W4" i="33"/>
  <c r="W3" i="33"/>
  <c r="W141" i="33"/>
  <c r="W143" i="33"/>
  <c r="W146" i="33"/>
  <c r="W139" i="33"/>
  <c r="W144" i="33"/>
  <c r="W142" i="33"/>
  <c r="W140" i="33"/>
  <c r="W145" i="33"/>
  <c r="W138" i="33"/>
  <c r="Q3" i="33"/>
  <c r="Q4" i="33"/>
  <c r="Z138" i="33"/>
  <c r="Z143" i="33"/>
  <c r="Z141" i="33"/>
  <c r="Z145" i="33"/>
  <c r="Z146" i="33"/>
  <c r="Z139" i="33"/>
  <c r="Z140" i="33"/>
  <c r="Z144" i="33"/>
  <c r="Z142" i="33"/>
  <c r="T4" i="33"/>
  <c r="T3" i="33"/>
  <c r="T8" i="33"/>
  <c r="T6" i="33"/>
  <c r="T146" i="33"/>
  <c r="T139" i="33"/>
  <c r="T144" i="33"/>
  <c r="T142" i="33"/>
  <c r="T140" i="33"/>
  <c r="T145" i="33"/>
  <c r="T138" i="33"/>
  <c r="T143" i="33"/>
  <c r="T141" i="33"/>
  <c r="N142" i="33"/>
  <c r="N140" i="33"/>
  <c r="N145" i="33"/>
  <c r="N138" i="33"/>
  <c r="N144" i="33"/>
  <c r="N143" i="33"/>
  <c r="N141" i="33"/>
  <c r="N146" i="33"/>
  <c r="N139" i="33"/>
  <c r="W8" i="33"/>
  <c r="W6" i="33"/>
  <c r="T7" i="33"/>
  <c r="W7" i="33"/>
  <c r="Z7"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2" i="16"/>
  <c r="B254" i="2"/>
  <c r="B256" i="2"/>
  <c r="B235" i="2"/>
  <c r="B317" i="2"/>
  <c r="B339" i="2"/>
  <c r="B281" i="2"/>
  <c r="B332" i="2"/>
  <c r="B309" i="2"/>
  <c r="AL53" i="16"/>
  <c r="AD53" i="16"/>
  <c r="B237" i="2"/>
  <c r="B341" i="2"/>
  <c r="B244" i="2"/>
  <c r="B322" i="2"/>
  <c r="B296" i="2"/>
  <c r="B260" i="2"/>
  <c r="B292" i="2"/>
  <c r="B340" i="2"/>
  <c r="B333" i="2"/>
  <c r="B172" i="2"/>
  <c r="B165" i="2"/>
  <c r="B103" i="2"/>
  <c r="B116" i="2"/>
  <c r="B97" i="2"/>
  <c r="B135" i="2"/>
  <c r="B128" i="2"/>
  <c r="B79" i="2"/>
  <c r="B62" i="2"/>
  <c r="B77" i="2"/>
  <c r="B259" i="2"/>
  <c r="T52" i="16"/>
  <c r="B282" i="2"/>
  <c r="Z52" i="16"/>
  <c r="B257" i="2"/>
  <c r="AH53" i="16"/>
  <c r="AJ52" i="16"/>
  <c r="B280" i="2"/>
  <c r="B326" i="2"/>
  <c r="B335" i="2"/>
  <c r="B271" i="2"/>
  <c r="B285" i="2"/>
  <c r="B313" i="2"/>
  <c r="B241" i="2"/>
  <c r="B171" i="2"/>
  <c r="B175" i="2"/>
  <c r="B102" i="2"/>
  <c r="B93" i="2"/>
  <c r="B95" i="2"/>
  <c r="B133" i="2"/>
  <c r="B146" i="2"/>
  <c r="B68" i="2"/>
  <c r="B78" i="2"/>
  <c r="B87" i="2"/>
  <c r="B252" i="2"/>
  <c r="B320" i="2"/>
  <c r="B315" i="2"/>
  <c r="AB52" i="16"/>
  <c r="AB53" i="16"/>
  <c r="B345" i="2"/>
  <c r="B307" i="2"/>
  <c r="B277" i="2"/>
  <c r="B236" i="2"/>
  <c r="B274" i="2"/>
  <c r="B306" i="2"/>
  <c r="B325" i="2"/>
  <c r="B314" i="2"/>
  <c r="B159" i="2"/>
  <c r="B158" i="2"/>
  <c r="B111" i="2"/>
  <c r="B108" i="2"/>
  <c r="B105" i="2"/>
  <c r="B139" i="2"/>
  <c r="B85" i="2"/>
  <c r="B61" i="2"/>
  <c r="B80" i="2"/>
  <c r="R53" i="16"/>
  <c r="B327" i="2"/>
  <c r="V52" i="16"/>
  <c r="B262" i="2"/>
  <c r="B289" i="2"/>
  <c r="B278" i="2"/>
  <c r="B319" i="2"/>
  <c r="B270" i="2"/>
  <c r="B273" i="2"/>
  <c r="B247" i="2"/>
  <c r="B310" i="2"/>
  <c r="B312" i="2"/>
  <c r="B299" i="2"/>
  <c r="B147" i="2"/>
  <c r="B169" i="2"/>
  <c r="B164" i="2"/>
  <c r="B90" i="2"/>
  <c r="B96" i="2"/>
  <c r="B112" i="2"/>
  <c r="B134" i="2"/>
  <c r="B67" i="2"/>
  <c r="B72" i="2"/>
  <c r="B71" i="2"/>
  <c r="X53" i="16"/>
  <c r="B338" i="2"/>
  <c r="T53" i="16"/>
  <c r="B297" i="2"/>
  <c r="B279" i="2"/>
  <c r="B323" i="2"/>
  <c r="B295" i="2"/>
  <c r="B298" i="2"/>
  <c r="B266" i="2"/>
  <c r="B303" i="2"/>
  <c r="B334" i="2"/>
  <c r="B291" i="2"/>
  <c r="B272" i="2"/>
  <c r="B330" i="2"/>
  <c r="B246" i="2"/>
  <c r="B284" i="2"/>
  <c r="B157" i="2"/>
  <c r="B174" i="2"/>
  <c r="B104" i="2"/>
  <c r="B115" i="2"/>
  <c r="B144" i="2"/>
  <c r="B140" i="2"/>
  <c r="B88" i="2"/>
  <c r="B81" i="2"/>
  <c r="B23" i="2"/>
  <c r="Z53" i="16"/>
  <c r="X52"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3" i="16"/>
  <c r="V53" i="16"/>
  <c r="B350" i="2"/>
  <c r="R52" i="16"/>
  <c r="B248" i="2"/>
  <c r="B344" i="2"/>
  <c r="B324" i="2"/>
  <c r="B343" i="2"/>
  <c r="B294" i="2"/>
  <c r="B287" i="2"/>
  <c r="B283" i="2"/>
  <c r="B301" i="2"/>
  <c r="B150" i="2"/>
  <c r="B122" i="2"/>
  <c r="B166" i="2"/>
  <c r="B94" i="2"/>
  <c r="B106" i="2"/>
  <c r="B125" i="2"/>
  <c r="B130" i="2"/>
  <c r="B66" i="2"/>
  <c r="B60" i="2"/>
  <c r="B28" i="2"/>
  <c r="B348" i="2"/>
  <c r="B258" i="2"/>
  <c r="AH52" i="16"/>
  <c r="B349" i="2"/>
  <c r="B245" i="2"/>
  <c r="B336" i="2"/>
  <c r="B302" i="2"/>
  <c r="B269" i="2"/>
  <c r="B239" i="2"/>
  <c r="B149" i="2"/>
  <c r="B121" i="2"/>
  <c r="B162" i="2"/>
  <c r="B154" i="2"/>
  <c r="B89" i="2"/>
  <c r="B113" i="2"/>
  <c r="B136" i="2"/>
  <c r="B132" i="2"/>
  <c r="B73" i="2"/>
  <c r="B65" i="2"/>
  <c r="B30" i="2"/>
  <c r="B253" i="2"/>
  <c r="B234" i="2"/>
  <c r="B251" i="2"/>
  <c r="B261" i="2"/>
  <c r="AL52" i="16"/>
  <c r="B346" i="2"/>
  <c r="B249" i="2"/>
  <c r="B290" i="2"/>
  <c r="B265" i="2"/>
  <c r="B268" i="2"/>
  <c r="B120" i="2"/>
  <c r="B161" i="2"/>
  <c r="B160" i="2"/>
  <c r="B92" i="2"/>
  <c r="B109" i="2"/>
  <c r="B101" i="2"/>
  <c r="B142" i="2"/>
  <c r="B129" i="2"/>
  <c r="B86" i="2"/>
  <c r="B63" i="2"/>
  <c r="B82" i="2"/>
  <c r="B26" i="2"/>
  <c r="AB7" i="16"/>
  <c r="AD14"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8" i="16"/>
  <c r="N13" i="33" s="1"/>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8" i="16"/>
  <c r="AB3" i="16"/>
  <c r="R7" i="16"/>
  <c r="N11" i="33" s="1"/>
  <c r="AF18" i="16"/>
  <c r="R14" i="16"/>
  <c r="AH4" i="16"/>
  <c r="R12" i="16"/>
  <c r="AF4" i="16"/>
  <c r="T3" i="16"/>
  <c r="Q5" i="33" s="1"/>
  <c r="AD18" i="16"/>
  <c r="R3" i="16"/>
  <c r="AJ2" i="33" l="1"/>
  <c r="AJ5" i="33"/>
  <c r="I5" i="33"/>
  <c r="AE5" i="33"/>
  <c r="AO5" i="33"/>
  <c r="AT5" i="33"/>
  <c r="BD5" i="33"/>
  <c r="N2" i="33"/>
  <c r="AJ15" i="33"/>
  <c r="AO15" i="33"/>
  <c r="AY15" i="33"/>
  <c r="AE15" i="33"/>
  <c r="AT15" i="33"/>
  <c r="I15" i="33"/>
  <c r="AT13" i="33"/>
  <c r="BD13" i="33"/>
  <c r="AJ13" i="33"/>
  <c r="AY13" i="33"/>
  <c r="I13" i="33"/>
  <c r="AE13" i="33"/>
  <c r="AY14" i="33"/>
  <c r="AO14" i="33"/>
  <c r="AT14" i="33"/>
  <c r="BD14" i="33"/>
  <c r="AJ14" i="33"/>
  <c r="I14" i="33"/>
  <c r="AE14" i="33"/>
  <c r="N9" i="33"/>
  <c r="N10" i="33"/>
  <c r="AY149" i="33"/>
  <c r="I149" i="33"/>
  <c r="AJ149" i="33"/>
  <c r="AE149" i="33"/>
  <c r="BD149" i="33"/>
  <c r="AO149" i="33"/>
  <c r="AT149" i="33"/>
  <c r="AY147" i="33"/>
  <c r="AE147" i="33"/>
  <c r="I147" i="33"/>
  <c r="BD147" i="33"/>
  <c r="AO147" i="33"/>
  <c r="AT147" i="33"/>
  <c r="AJ147" i="33"/>
  <c r="AE148" i="33"/>
  <c r="BD148" i="33"/>
  <c r="AJ148" i="33"/>
  <c r="I148" i="33"/>
  <c r="AO148" i="33"/>
  <c r="AY148" i="33"/>
  <c r="AT148" i="33"/>
  <c r="N5" i="33"/>
  <c r="AE141" i="33"/>
  <c r="BD141" i="33"/>
  <c r="AT141" i="33"/>
  <c r="AO141" i="33"/>
  <c r="I141" i="33"/>
  <c r="AY141" i="33"/>
  <c r="AJ141" i="33"/>
  <c r="AE8" i="33"/>
  <c r="AT8" i="33"/>
  <c r="I8" i="33"/>
  <c r="BD8" i="33"/>
  <c r="AY8" i="33"/>
  <c r="AO8" i="33"/>
  <c r="AJ8" i="33"/>
  <c r="AE138" i="33"/>
  <c r="AT138" i="33"/>
  <c r="AY138" i="33"/>
  <c r="AJ138" i="33"/>
  <c r="I138" i="33"/>
  <c r="BD138" i="33"/>
  <c r="AO138" i="33"/>
  <c r="AE145" i="33"/>
  <c r="BD145" i="33"/>
  <c r="AT145" i="33"/>
  <c r="AO145" i="33"/>
  <c r="AY145" i="33"/>
  <c r="AJ145" i="33"/>
  <c r="I145" i="33"/>
  <c r="AE142" i="33"/>
  <c r="BD142" i="33"/>
  <c r="AO142" i="33"/>
  <c r="AY142" i="33"/>
  <c r="AJ142" i="33"/>
  <c r="I142" i="33"/>
  <c r="AT142" i="33"/>
  <c r="AE139" i="33"/>
  <c r="AT139" i="33"/>
  <c r="I139" i="33"/>
  <c r="AY139" i="33"/>
  <c r="AJ139" i="33"/>
  <c r="BD139" i="33"/>
  <c r="AO139" i="33"/>
  <c r="AE4" i="33"/>
  <c r="I4" i="33"/>
  <c r="AY4" i="33"/>
  <c r="AJ4" i="33"/>
  <c r="AO4" i="33"/>
  <c r="AT4" i="33"/>
  <c r="BD4" i="33"/>
  <c r="AT3" i="33"/>
  <c r="AE3" i="33"/>
  <c r="AO3" i="33"/>
  <c r="BD3" i="33"/>
  <c r="AJ3" i="33"/>
  <c r="AY3" i="33"/>
  <c r="I3" i="33"/>
  <c r="AE144" i="33"/>
  <c r="AJ144" i="33"/>
  <c r="I144" i="33"/>
  <c r="AY144" i="33"/>
  <c r="AT144" i="33"/>
  <c r="BD144" i="33"/>
  <c r="AO144" i="33"/>
  <c r="N6" i="33"/>
  <c r="N8" i="33"/>
  <c r="N3" i="33"/>
  <c r="N4" i="33"/>
  <c r="Q6" i="33"/>
  <c r="Q8" i="33"/>
  <c r="N7" i="33"/>
  <c r="Q7" i="33"/>
  <c r="AI7" i="33"/>
  <c r="AK7" i="33" s="1"/>
  <c r="AS7" i="33"/>
  <c r="AN7" i="33"/>
  <c r="AX7" i="33"/>
  <c r="AZ7" i="33" s="1"/>
  <c r="BC7" i="33"/>
  <c r="BE7" i="33" s="1"/>
  <c r="AD24" i="2"/>
  <c r="AJ24" i="2"/>
  <c r="AG24" i="2"/>
  <c r="AA25" i="2"/>
  <c r="AG53" i="2"/>
  <c r="AJ53" i="2"/>
  <c r="AD53" i="2"/>
  <c r="AA54" i="2"/>
  <c r="AG81" i="2"/>
  <c r="AD81" i="2"/>
  <c r="AJ81" i="2"/>
  <c r="AA82" i="2"/>
  <c r="AD110" i="2"/>
  <c r="AG110" i="2"/>
  <c r="AJ110" i="2"/>
  <c r="AA111" i="2"/>
  <c r="AJ220" i="2"/>
  <c r="AG220" i="2"/>
  <c r="AD220" i="2"/>
  <c r="AA221" i="2"/>
  <c r="AU7" i="33" l="1"/>
  <c r="AP7" i="33"/>
  <c r="AD7" i="33"/>
  <c r="AF7"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48"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7" i="33" l="1"/>
  <c r="AY7" i="33" l="1"/>
  <c r="I7" i="33"/>
  <c r="AT7" i="33"/>
  <c r="AE7" i="33"/>
  <c r="AO7" i="33"/>
  <c r="BD7" i="33"/>
  <c r="AJ7"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<sst xmlns="http://schemas.openxmlformats.org/spreadsheetml/2006/main" count="3934" uniqueCount="812">
  <si>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</si>
  <si>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</si>
  <si>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</si>
  <si>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</si>
  <si>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</si>
  <si>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</si>
  <si>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</si>
  <si>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</si>
  <si>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</si>
  <si>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</si>
  <si>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</si>
  <si>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</si>
  <si>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</si>
  <si>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</si>
  <si>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</si>
  <si>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</si>
  <si>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</si>
  <si>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</si>
  <si>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</si>
  <si>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</si>
  <si>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</si>
  <si>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</si>
  <si>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</si>
  <si>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</si>
  <si>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</si>
  <si>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</si>
  <si>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</si>
  <si>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</si>
  <si>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</si>
  <si>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</si>
  <si>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</si>
  <si>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</si>
  <si>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</si>
  <si>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</si>
  <si>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</si>
  <si>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</si>
  <si>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</si>
  <si>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</si>
  <si>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</si>
  <si>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</si>
  <si>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</si>
  <si>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</si>
  <si>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</si>
  <si>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</si>
  <si>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</si>
  <si>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</si>
  <si>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</si>
  <si>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</si>
  <si>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</si>
  <si>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</si>
  <si>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</si>
  <si>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</si>
  <si>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</si>
  <si>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</si>
  <si>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</si>
  <si>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</si>
  <si>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</si>
  <si>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</si>
  <si>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</si>
  <si>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</si>
  <si>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</si>
  <si>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</si>
  <si>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</si>
  <si>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</si>
  <si>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</si>
  <si>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</si>
  <si>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</si>
  <si>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</si>
  <si>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</si>
  <si>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</si>
  <si>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</si>
  <si>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</si>
  <si>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</si>
  <si>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</si>
  <si>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</si>
  <si>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</si>
  <si>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</si>
  <si>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</si>
  <si>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</si>
  <si>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</si>
  <si>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</si>
  <si>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</si>
  <si>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</si>
  <si>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</si>
  <si>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</si>
  <si>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</si>
  <si>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</si>
  <si>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</si>
  <si>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</si>
  <si>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</si>
  <si>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</si>
  <si>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</si>
  <si>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</si>
  <si>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</si>
  <si>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</si>
  <si>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</si>
  <si>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</si>
  <si>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</si>
  <si>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</si>
  <si>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</si>
  <si>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</si>
  <si>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</si>
  <si>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</si>
  <si>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</si>
  <si>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</si>
  <si>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</si>
  <si>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</si>
  <si>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</si>
  <si>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</si>
  <si>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</si>
  <si>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</si>
  <si>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</si>
  <si>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</si>
  <si>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</si>
  <si>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</si>
  <si>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</si>
  <si>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</si>
  <si>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</si>
  <si>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</si>
  <si>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</si>
  <si>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</si>
  <si>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</si>
  <si>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</si>
  <si>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</si>
  <si>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</si>
  <si>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</si>
  <si>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</si>
  <si>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</si>
  <si>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</si>
  <si>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</si>
  <si>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</si>
  <si>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</si>
  <si>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</si>
  <si>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</si>
  <si>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</si>
  <si>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</si>
  <si>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</si>
  <si>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</si>
  <si>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</si>
  <si>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</si>
  <si>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</si>
  <si>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</si>
  <si>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</si>
  <si>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</si>
  <si>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</si>
  <si>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</si>
  <si>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</si>
  <si>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</si>
  <si>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</si>
  <si>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</si>
  <si>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</si>
  <si>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</si>
  <si>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</si>
  <si>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</si>
  <si>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</si>
  <si>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</si>
  <si>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</si>
  <si>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</si>
  <si>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</si>
  <si>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</si>
  <si>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</si>
  <si>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</si>
  <si>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</si>
  <si>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</si>
  <si>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</si>
  <si>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</si>
  <si>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</si>
  <si>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</si>
  <si>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</si>
  <si>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</si>
  <si>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</si>
  <si>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</si>
  <si>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</si>
  <si>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</si>
  <si>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</si>
  <si>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</si>
  <si>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</si>
  <si>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</si>
  <si>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</si>
  <si>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</si>
  <si>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</si>
  <si>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</si>
  <si>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</si>
  <si>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</si>
  <si>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</si>
  <si>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</si>
  <si>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</si>
  <si>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</si>
  <si>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</si>
  <si>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</si>
  <si>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</si>
  <si>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</si>
  <si>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</si>
  <si>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</si>
  <si>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</si>
  <si>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</si>
  <si>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</si>
  <si>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</si>
  <si>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</si>
  <si>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</si>
  <si>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</si>
  <si>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</si>
  <si>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</si>
  <si>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</si>
  <si>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</si>
  <si>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</si>
  <si>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</si>
  <si>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</si>
  <si>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</si>
  <si>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</si>
  <si>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</si>
  <si>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</si>
  <si>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</si>
  <si>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</si>
  <si>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</si>
  <si>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</si>
  <si>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</si>
  <si>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</si>
  <si>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</si>
  <si>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</si>
  <si>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</si>
  <si>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</si>
  <si>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</si>
  <si>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</si>
  <si>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</si>
  <si>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</si>
  <si>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</si>
  <si>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</si>
  <si>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</si>
  <si>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</si>
  <si>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</si>
  <si>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</si>
  <si>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</si>
  <si>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</si>
  <si>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</si>
  <si>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</si>
  <si>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</si>
  <si>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</si>
  <si>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</si>
  <si>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</si>
  <si>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</si>
  <si>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</si>
  <si>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</si>
  <si>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</si>
  <si>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</si>
  <si>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</si>
  <si>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</si>
  <si>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</si>
  <si>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</si>
  <si>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</si>
  <si>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</si>
  <si>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</si>
  <si>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</si>
  <si>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</si>
  <si>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</si>
  <si>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</si>
  <si>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</si>
  <si>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</si>
  <si>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</si>
  <si>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</si>
  <si>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</si>
  <si>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</si>
  <si>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</si>
  <si>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</si>
  <si>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</si>
  <si>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</si>
  <si>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</si>
  <si>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</si>
  <si>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</si>
  <si>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</si>
  <si>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</si>
  <si>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</si>
  <si>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</si>
  <si>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</si>
  <si>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</si>
  <si>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</si>
  <si>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</si>
  <si>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</si>
  <si>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</si>
  <si>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</si>
  <si>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</si>
  <si>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</si>
  <si>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</si>
  <si>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</si>
  <si>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</si>
  <si>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</si>
  <si>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</si>
  <si>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</si>
  <si>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</si>
  <si>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</si>
  <si>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</si>
  <si>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</si>
  <si>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</si>
  <si>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</si>
  <si>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</si>
  <si>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</si>
  <si>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</si>
  <si>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</si>
  <si>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</si>
  <si>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</si>
  <si>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</si>
  <si>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</si>
  <si>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</si>
  <si>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</si>
  <si>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</si>
  <si>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</si>
  <si>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</si>
  <si>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</si>
  <si>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</si>
  <si>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</si>
  <si>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</si>
  <si>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</si>
  <si>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</si>
  <si>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</si>
  <si>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</si>
  <si>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</si>
  <si>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</si>
  <si>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</si>
  <si>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</si>
  <si>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</si>
  <si>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</si>
  <si>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</si>
  <si>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</si>
  <si>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</si>
  <si>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</si>
  <si>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</si>
  <si>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</si>
  <si>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</si>
  <si>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</si>
  <si>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</si>
  <si>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</si>
  <si>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</si>
  <si>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</si>
  <si>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</si>
  <si>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</si>
  <si>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</si>
  <si>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</si>
  <si>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</si>
  <si>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</si>
  <si>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</si>
  <si>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</si>
  <si>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</si>
  <si>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</si>
  <si>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</si>
  <si>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</si>
  <si>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</si>
  <si>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</si>
  <si>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</si>
  <si>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</si>
  <si>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</si>
  <si>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</si>
  <si>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</si>
  <si>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</si>
  <si>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</si>
  <si>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</si>
  <si>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</si>
  <si>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</si>
  <si>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</si>
  <si>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</si>
  <si>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</si>
  <si>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</si>
  <si>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</si>
  <si>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</si>
  <si>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</si>
  <si>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</si>
  <si>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</si>
  <si>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</si>
  <si>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</si>
  <si>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</si>
  <si>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</si>
  <si>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</si>
  <si>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</si>
  <si>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</si>
  <si>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</si>
  <si>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t>
  </si>
  <si>
    <t>Grain Processing &amp; Consumption</t>
  </si>
  <si>
    <t>Animal bedding_Emissions_C</t>
  </si>
  <si>
    <t>Animal bedding_Emissions_E</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</si>
  <si>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</si>
  <si>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</si>
  <si>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</si>
  <si>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</si>
  <si>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</si>
  <si>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</si>
  <si>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</si>
  <si>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</si>
  <si>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</si>
  <si>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</si>
  <si>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</si>
  <si>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</si>
  <si>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</si>
  <si>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</si>
  <si>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</si>
  <si>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</si>
  <si>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</si>
  <si>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</si>
  <si>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</si>
  <si>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</si>
  <si>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</si>
  <si>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</si>
  <si>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</si>
  <si>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</si>
  <si>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</si>
  <si>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</si>
  <si>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</si>
  <si>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</si>
  <si>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</si>
  <si>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</si>
  <si>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</si>
  <si>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</si>
  <si>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</si>
  <si>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</si>
  <si>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</si>
  <si>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</si>
  <si>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</si>
  <si>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</si>
  <si>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</si>
  <si>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</si>
  <si>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</si>
  <si>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</si>
  <si>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</si>
  <si>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</si>
  <si>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</si>
  <si>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</si>
  <si>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</si>
  <si>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</si>
  <si>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</si>
  <si>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</si>
  <si>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</si>
  <si>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</si>
  <si>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</si>
  <si>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</si>
  <si>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</si>
  <si>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</si>
  <si>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</si>
  <si>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</si>
  <si>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</si>
  <si>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</si>
  <si>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</si>
  <si>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</si>
  <si>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</si>
  <si>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</si>
  <si>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</si>
  <si>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</si>
  <si>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</si>
  <si>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</si>
  <si>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</si>
  <si>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</si>
  <si>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F_08_00</t>
  </si>
  <si>
    <t>Nr._Decay_Pools</t>
  </si>
  <si>
    <t>Pool_Name</t>
  </si>
  <si>
    <t>decay rate constant</t>
  </si>
  <si>
    <t>Pool_ID</t>
  </si>
  <si>
    <t>F_08_01</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</si>
  <si>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</si>
  <si>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</si>
  <si>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</si>
  <si>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</si>
  <si>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</si>
  <si>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</si>
  <si>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</si>
  <si>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</si>
  <si>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</si>
  <si>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</si>
  <si>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</si>
  <si>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</si>
  <si>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</si>
  <si>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</si>
  <si>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</si>
  <si>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TC_03_05</t>
  </si>
  <si>
    <t>Compostation &amp; Incorporation</t>
  </si>
  <si>
    <t>Lithosphere (C&amp;I)</t>
  </si>
  <si>
    <t>Lithosphere (DI)</t>
  </si>
  <si>
    <t>Direct Incorporation</t>
  </si>
  <si>
    <t>Straw_Compost</t>
  </si>
  <si>
    <t>Compost_Emissions_C</t>
  </si>
  <si>
    <t>Compost_Emissions_E</t>
  </si>
  <si>
    <t>Lithosphere(DI)_Emissions_C</t>
  </si>
  <si>
    <t>Lithosphere(DI)_Emissions_E</t>
  </si>
  <si>
    <t>Lithosphere(CI)_Emissions_C</t>
  </si>
  <si>
    <t>Lithosphere(CI)_Emissions_E</t>
  </si>
  <si>
    <t>Compost_lithosphere</t>
  </si>
  <si>
    <t>Straw C&amp;D</t>
  </si>
  <si>
    <t>F_10_00</t>
  </si>
  <si>
    <t>F_10_01</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</si>
  <si>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</si>
  <si>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</si>
  <si>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</si>
  <si>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</si>
  <si>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</si>
  <si>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</si>
  <si>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</si>
  <si>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</si>
  <si>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</si>
  <si>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</si>
  <si>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High_Recycling</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</si>
  <si>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</si>
  <si>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</si>
  <si>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</si>
  <si>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</si>
  <si>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</si>
  <si>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</si>
  <si>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</si>
  <si>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</si>
  <si>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</si>
  <si>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</si>
  <si>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</si>
  <si>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</si>
  <si>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</si>
  <si>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</si>
  <si>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</si>
  <si>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</si>
  <si>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</si>
  <si>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</si>
  <si>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</si>
  <si>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</si>
  <si>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</si>
  <si>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</si>
  <si>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</si>
  <si>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</si>
  <si>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</si>
  <si>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</si>
  <si>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</si>
  <si>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</si>
  <si>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</si>
  <si>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</si>
  <si>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</si>
  <si>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</si>
  <si>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</si>
  <si>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Selected_Scenario_1</t>
  </si>
  <si>
    <t>N/A</t>
  </si>
  <si>
    <t>First scenario name to analyze</t>
  </si>
  <si>
    <t>Selected_Scenario_2</t>
  </si>
  <si>
    <t>Second scenario name to analyze</t>
  </si>
  <si>
    <t>Selected_Scenario_3</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</si>
  <si>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</si>
  <si>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</si>
  <si>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</si>
  <si>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</si>
  <si>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</si>
  <si>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</si>
  <si>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</si>
  <si>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</si>
  <si>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</si>
  <si>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</si>
  <si>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</si>
  <si>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</si>
  <si>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</si>
  <si>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</si>
  <si>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</si>
  <si>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</si>
  <si>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</si>
  <si>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</si>
  <si>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</si>
  <si>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</si>
  <si>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</si>
  <si>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</si>
  <si>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</si>
  <si>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</si>
  <si>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</si>
  <si>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</si>
  <si>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</si>
  <si>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</si>
  <si>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</si>
  <si>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</si>
  <si>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</si>
  <si>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</si>
  <si>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</si>
  <si>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</si>
  <si>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</si>
  <si>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</si>
  <si>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</si>
  <si>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</si>
  <si>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</si>
  <si>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</si>
  <si>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</si>
  <si>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</si>
  <si>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</si>
  <si>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</si>
  <si>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</si>
  <si>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</si>
  <si>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</si>
  <si>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</si>
  <si>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</si>
  <si>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</si>
  <si>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</si>
  <si>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</si>
  <si>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</si>
  <si>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</si>
  <si>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</si>
  <si>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</si>
  <si>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</si>
  <si>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</si>
  <si>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</si>
  <si>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</si>
  <si>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</si>
  <si>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</si>
  <si>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</si>
  <si>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</si>
  <si>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</si>
  <si>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</si>
  <si>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</si>
  <si>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</si>
  <si>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</si>
  <si>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</si>
  <si>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</si>
  <si>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</si>
  <si>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</si>
  <si>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</si>
  <si>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</si>
  <si>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</si>
  <si>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</si>
  <si>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</si>
  <si>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</si>
  <si>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</si>
  <si>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</si>
  <si>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</si>
  <si>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</si>
  <si>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</si>
  <si>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</si>
  <si>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</si>
  <si>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</si>
  <si>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</si>
  <si>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</si>
  <si>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</si>
  <si>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</si>
  <si>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</si>
  <si>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</si>
  <si>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</si>
  <si>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</si>
  <si>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</si>
  <si>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</si>
  <si>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</si>
  <si>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</si>
  <si>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</si>
  <si>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</si>
  <si>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</si>
  <si>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</si>
  <si>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</si>
  <si>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</si>
  <si>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</si>
  <si>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</si>
  <si>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</si>
  <si>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</si>
  <si>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</si>
  <si>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</si>
  <si>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</si>
  <si>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</si>
  <si>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</si>
  <si>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</si>
  <si>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</si>
  <si>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</si>
  <si>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</si>
  <si>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</si>
  <si>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</si>
  <si>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</si>
  <si>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</si>
  <si>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</si>
  <si>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</si>
  <si>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</si>
  <si>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</si>
  <si>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</si>
  <si>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</si>
  <si>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</si>
  <si>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</si>
  <si>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</si>
  <si>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</si>
  <si>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</si>
  <si>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</si>
  <si>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</si>
  <si>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</si>
  <si>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</si>
  <si>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</si>
  <si>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</si>
  <si>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</si>
  <si>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</si>
  <si>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</si>
  <si>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</si>
  <si>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</si>
  <si>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</si>
  <si>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</si>
  <si>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</si>
  <si>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</si>
  <si>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</si>
  <si>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</si>
  <si>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</si>
  <si>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</si>
  <si>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</si>
  <si>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</si>
  <si>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</si>
  <si>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</si>
  <si>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</si>
  <si>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</si>
  <si>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</si>
  <si>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</si>
  <si>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</si>
  <si>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</si>
  <si>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</si>
  <si>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</si>
  <si>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</si>
  <si>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</si>
  <si>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</si>
  <si>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</si>
  <si>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</si>
  <si>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</si>
  <si>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</si>
  <si>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</si>
  <si>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</si>
  <si>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</si>
  <si>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</si>
  <si>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</si>
  <si>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</si>
  <si>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</si>
  <si>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</si>
  <si>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</si>
  <si>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</si>
  <si>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</si>
  <si>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</si>
  <si>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</si>
  <si>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</si>
  <si>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</si>
  <si>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</si>
  <si>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</si>
  <si>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</si>
  <si>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</si>
  <si>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</si>
  <si>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</si>
  <si>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</si>
  <si>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</si>
  <si>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</si>
  <si>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</si>
  <si>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</si>
  <si>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</si>
  <si>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</si>
  <si>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</si>
  <si>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</si>
  <si>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</si>
  <si>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</si>
  <si>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</si>
  <si>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</si>
  <si>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</si>
  <si>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</si>
  <si>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</si>
  <si>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</si>
  <si>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</si>
  <si>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</si>
  <si>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</si>
  <si>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</si>
  <si>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</si>
  <si>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</si>
  <si>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</si>
  <si>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</si>
  <si>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</si>
  <si>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</si>
  <si>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</si>
  <si>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</si>
  <si>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</si>
  <si>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</si>
  <si>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</si>
  <si>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</si>
  <si>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</si>
  <si>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</si>
  <si>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</si>
  <si>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</si>
  <si>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</si>
  <si>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</si>
  <si>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</si>
  <si>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 Instructions:</t>
  </si>
  <si>
    <t># Flow_Color: Hex color codes</t>
  </si>
  <si>
    <t># Flow_Opacity: 0.0 to 1.0 (transparent to opaque)</t>
  </si>
  <si>
    <t># Flow_Width_Multiplier: 0.1 to 3.0 (relative to flow value)</t>
  </si>
  <si>
    <t># Flow_Style: Solid, Dashed, Dotted</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</si>
  <si>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</si>
  <si>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</si>
  <si>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</si>
  <si>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</si>
  <si>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</si>
  <si>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</si>
  <si>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</si>
  <si>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</si>
  <si>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</si>
  <si>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</si>
  <si>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</si>
  <si>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</si>
  <si>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</si>
  <si>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</si>
  <si>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</si>
  <si>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</si>
  <si>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</si>
  <si>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</si>
  <si>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</si>
  <si>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</si>
  <si>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</si>
  <si>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</si>
  <si>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</si>
  <si>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</si>
  <si>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</si>
  <si>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</si>
  <si>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</si>
  <si>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</si>
  <si>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</si>
  <si>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</si>
  <si>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</si>
  <si>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</si>
  <si>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</si>
  <si>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</si>
  <si>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</si>
  <si>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</si>
  <si>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</si>
  <si>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</si>
  <si>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</si>
  <si>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Water_Compost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</si>
</sst>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7">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5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dotted">
        <color auto="1"/>
      </top>
      <bottom style="medium">
        <color rgb="FF000000"/>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91">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6" borderId="16" xfId="4" applyBorder="1">
      <protection locked="0"/>
    </xf>
    <xf numFmtId="9" fontId="5" fillId="6" borderId="12" xfId="1" applyFont="1" applyFill="1" applyBorder="1" applyProtection="1">
      <protection locked="0"/>
    </xf>
    <xf numFmtId="164" fontId="5" fillId="5" borderId="13" xfId="8" applyNumberFormat="1" applyBorder="1"/>
    <xf numFmtId="164" fontId="0" fillId="0" borderId="0" xfId="1" applyNumberFormat="1" applyFont="1"/>
    <xf numFmtId="9" fontId="0" fillId="0" borderId="0" xfId="0" applyNumberFormat="1"/>
    <xf numFmtId="0" fontId="0" fillId="0" borderId="0" xfId="0" applyAlignment="1">
      <alignment horizontal="center"/>
    </xf>
    <xf numFmtId="10" fontId="0" fillId="0" borderId="0" xfId="0" applyNumberFormat="1"/>
    <xf numFmtId="10" fontId="5" fillId="6" borderId="12" xfId="4" applyNumberFormat="1" applyProtection="1"/>
    <xf numFmtId="0" fontId="5" fillId="6" borderId="12" xfId="4" applyProtection="1"/>
    <xf numFmtId="166" fontId="0" fillId="0" borderId="0" xfId="0" applyNumberFormat="1"/>
    <xf numFmtId="0" fontId="5" fillId="36" borderId="45" xfId="3" applyBorder="1"/>
    <xf numFmtId="0" fontId="5" fillId="36" borderId="46" xfId="3" applyBorder="1"/>
    <xf numFmtId="0" fontId="5" fillId="6" borderId="46" xfId="4" applyBorder="1">
      <protection locked="0"/>
    </xf>
    <xf numFmtId="0" fontId="5" fillId="36" borderId="13" xfId="3" applyBorder="1" applyAlignment="1">
      <alignment textRotation="90" wrapText="1"/>
    </xf>
    <xf numFmtId="0" fontId="5" fillId="36" borderId="15" xfId="3" applyBorder="1" applyAlignment="1">
      <alignment textRotation="90" wrapText="1"/>
    </xf>
    <xf numFmtId="0" fontId="5" fillId="36" borderId="47" xfId="3" applyBorder="1"/>
    <xf numFmtId="0" fontId="6" fillId="8" borderId="42" xfId="5" applyBorder="1">
      <protection locked="0"/>
    </xf>
    <xf numFmtId="0" fontId="6" fillId="8" borderId="46" xfId="5" applyBorder="1">
      <protection locked="0"/>
    </xf>
    <xf numFmtId="0" fontId="6" fillId="8" borderId="48" xfId="5" applyBorder="1">
      <protection locked="0"/>
    </xf>
    <xf numFmtId="0" fontId="6" fillId="8" borderId="14" xfId="5" applyBorder="1">
      <protection locked="0"/>
    </xf>
    <xf numFmtId="0" fontId="6" fillId="8" borderId="16" xfId="5" applyBorder="1">
      <protection locked="0"/>
    </xf>
    <xf numFmtId="0" fontId="6" fillId="8" borderId="17" xfId="5" applyBorder="1">
      <protection locked="0"/>
    </xf>
    <xf numFmtId="0" fontId="6" fillId="8" borderId="19" xfId="5" applyBorder="1">
      <protection locked="0"/>
    </xf>
    <xf numFmtId="0" fontId="5" fillId="24" borderId="43" xfId="10" applyBorder="1">
      <alignment horizontal="left"/>
    </xf>
    <xf numFmtId="0" fontId="5" fillId="7" borderId="12" xfId="7" applyProtection="1"/>
    <xf numFmtId="0" fontId="5" fillId="36" borderId="44" xfId="3" applyBorder="1"/>
    <xf numFmtId="0" fontId="5" fillId="7" borderId="44" xfId="7" applyBorder="1" applyProtection="1"/>
    <xf numFmtId="0" fontId="5" fillId="24" borderId="0" xfId="10" applyBorder="1">
      <alignment horizontal="left"/>
    </xf>
    <xf numFmtId="0" fontId="6" fillId="8" borderId="12" xfId="5" applyProtection="1">
      <extLst>
        <ext xmlns:xfpb="http://schemas.microsoft.com/office/spreadsheetml/2022/featurepropertybag" uri="{C7286773-470A-42A8-94C5-96B5CB345126}">
          <xfpb:xfComplement i="0"/>
        </ext>
      </extLst>
    </xf>
    <xf numFmtId="0" fontId="6" fillId="8" borderId="44" xfId="5" applyBorder="1" applyProtection="1">
      <extLst>
        <ext xmlns:xfpb="http://schemas.microsoft.com/office/spreadsheetml/2022/featurepropertybag" uri="{C7286773-470A-42A8-94C5-96B5CB345126}">
          <xfpb:xfComplement i="0"/>
        </ext>
      </extLst>
    </xf>
    <xf numFmtId="0" fontId="5" fillId="7" borderId="0" xfId="7" applyBorder="1" applyProtection="1"/>
    <xf numFmtId="0" fontId="14" fillId="0" borderId="32" xfId="0" applyFont="1" applyBorder="1" applyAlignment="1">
      <alignment horizontal="center" vertical="top"/>
    </xf>
    <xf numFmtId="0" fontId="14" fillId="0" borderId="49" xfId="0" applyFont="1" applyBorder="1" applyAlignment="1">
      <alignment horizontal="center" vertical="top"/>
    </xf>
    <xf numFmtId="0" fontId="0" fillId="0" borderId="0" xfId="0" applyAlignment="1">
      <alignment horizontal="left" wrapText="1"/>
    </xf>
    <xf numFmtId="0" fontId="0" fillId="0" borderId="0" xfId="0" applyAlignment="1">
      <alignment horizont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0" fillId="0" borderId="4" xfId="0" applyBorder="1" applyAlignment="1">
      <alignment horizont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33">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border diagonalUp="0" diagonalDown="0">
        <left/>
        <right/>
        <top style="dotted">
          <color auto="1"/>
        </top>
        <bottom style="dotted">
          <color auto="1"/>
        </bottom>
        <vertical/>
        <horizontal/>
      </border>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21</xdr:col>
          <xdr:colOff>281608</xdr:colOff>
          <xdr:row>11</xdr:row>
          <xdr:rowOff>74544</xdr:rowOff>
        </xdr:from>
        <xdr:to>
          <xdr:col>25</xdr:col>
          <xdr:colOff>227771</xdr:colOff>
          <xdr:row>14</xdr:row>
          <xdr:rowOff>141219</xdr:rowOff>
        </xdr:to>
        <xdr:pic>
          <xdr:nvPicPr>
            <xdr:cNvPr id="2" name="Picture 1">
              <a:extLst>
                <a:ext uri="{FF2B5EF4-FFF2-40B4-BE49-F238E27FC236}">
                  <a16:creationId xmlns:a16="http://schemas.microsoft.com/office/drawing/2014/main" id="{E07FD229-698C-9B22-5BD2-B0F09F088E44}"/>
                </a:ext>
              </a:extLst>
            </xdr:cNvPr>
            <xdr:cNvPicPr>
              <a:picLocks noChangeAspect="1" noChangeArrowheads="1"/>
              <a:extLst>
                <a:ext uri="{84589F7E-364E-4C9E-8A38-B11213B215E9}">
                  <a14:cameraTool cellRange="'PX - Template (2)'!$A$58:$B$60" spid="_x0000_s9219"/>
                </a:ext>
              </a:extLst>
            </xdr:cNvPicPr>
          </xdr:nvPicPr>
          <xdr:blipFill>
            <a:blip xmlns:r="http://schemas.openxmlformats.org/officeDocument/2006/relationships" r:embed="rId1"/>
            <a:srcRect/>
            <a:stretch>
              <a:fillRect/>
            </a:stretch>
          </xdr:blipFill>
          <xdr:spPr bwMode="auto">
            <a:xfrm>
              <a:off x="18039521" y="2170044"/>
              <a:ext cx="2828511" cy="63817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9" totalsRowShown="0" headerRowCellStyle="05_Header">
  <autoFilter ref="A1:V79" xr:uid="{DA5E02B4-C3D5-4EC6-A468-E6098B9805CF}"/>
  <tableColumns count="22">
    <tableColumn id="13" xr3:uid="{660990D7-F8E8-451E-A19A-9F23873E1903}" name="Complete?" dataDxfId="132" dataCellStyle="04_Comments"/>
    <tableColumn id="1" xr3:uid="{23E8F131-81B2-4705-927A-A42C393BEDCE}" name="ID" dataDxfId="131">
      <calculatedColumnFormula>ROW()-1</calculatedColumnFormula>
    </tableColumn>
    <tableColumn id="2" xr3:uid="{D694ED25-71D4-4BD1-B627-FBE0FAE9FC8B}" name="Flow_ID" dataDxfId="130">
      <calculatedColumnFormula>"F_"&amp;LEFT(I2,2)&amp;"_"&amp;LEFT(K2,2)</calculatedColumnFormula>
    </tableColumn>
    <tableColumn id="3" xr3:uid="{CA1C6FA9-65CA-47E1-94EA-BBB750256C84}" name="Name(EN)" dataDxfId="129"/>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28">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27"/>
    <tableColumn id="22" xr3:uid="{ABA27704-56CF-4C30-88CB-BB6E944F7F08}" name="WC_source" dataDxfId="126"/>
    <tableColumn id="23" xr3:uid="{5CA0D08F-32C9-451C-A223-78F9E163EE87}" name="DM" dataDxfId="125"/>
    <tableColumn id="19" xr3:uid="{B3649430-F3A4-4F10-84D0-61D5F3B7C06D}" name="DM_source"/>
    <tableColumn id="20" xr3:uid="{826B197D-7E74-49DB-8367-DD0E48B963C3}" name="CC_DM[%]" dataDxfId="124"/>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23"/>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22">
      <calculatedColumnFormula>_xlfn.XLOOKUP(C2,Tab_Def_Flows[Name(EN)],Tab_Def_Flows[Process_ID_I],,0,)</calculatedColumnFormula>
    </tableColumn>
    <tableColumn id="34" xr3:uid="{1EF5EFE9-B149-4960-A691-8F1B8725DE37}" name="TC?" dataDxfId="121">
      <calculatedColumnFormula>_xlfn.XLOOKUP(C2,Tab_Def_Flows[Name(EN)],#REF!,,0,)</calculatedColumnFormula>
    </tableColumn>
    <tableColumn id="30" xr3:uid="{F13B49C3-7111-4C57-A913-01AB03549B56}" name="WC?" dataDxfId="120">
      <calculatedColumnFormula>_xlfn.XLOOKUP(C2,Tab_Def_Flows[Name(EN)],Tab_Def_Flows[WC?],,0,)</calculatedColumnFormula>
    </tableColumn>
    <tableColumn id="31" xr3:uid="{24B36152-385D-4D3C-A274-72EA56B6819A}" name="DM?" dataDxfId="119">
      <calculatedColumnFormula>_xlfn.XLOOKUP(C2,Tab_Def_Flows[Name(EN)],Tab_Def_Flows[DM?],,0,)</calculatedColumnFormula>
    </tableColumn>
    <tableColumn id="32" xr3:uid="{A086924B-597B-4B7A-B9B2-8397025FD97B}" name="CC?" dataDxfId="118">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17"/>
    <tableColumn id="10" xr3:uid="{830F5101-5C33-4F82-BC56-E2BC7AF81364}" name="UoM_Source"/>
    <tableColumn id="11" xr3:uid="{4CDA8F79-829B-47EF-ADFC-3E43B62F90A4}" name="Name_Source"/>
    <tableColumn id="26" xr3:uid="{5682EF5B-30C4-46B4-B5FF-A174139B9E8A}" name="AVV" dataDxfId="116">
      <calculatedColumnFormula>INDEX(#REF!,MATCH(Tab_Data_Flows[[#This Row],[Name(EN)]],#REF!,0),12)</calculatedColumnFormula>
    </tableColumn>
    <tableColumn id="27" xr3:uid="{0FD99FBB-FEDB-4B73-A541-FB8A676D64E7}" name="Titel_Source" dataDxfId="115">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114"/>
    <tableColumn id="25" xr3:uid="{94996270-9A62-4B8C-B04B-D56A7F9FDE30}" name="Name_CF" dataDxfId="113">
      <calculatedColumnFormula>#REF!</calculatedColumnFormula>
    </tableColumn>
    <tableColumn id="17" xr3:uid="{E761CF85-B508-4386-AFDF-6ABE121824EE}" name="Flow_Py" dataDxfId="112"/>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4" totalsRowShown="0" headerRowCellStyle="05_Header">
  <autoFilter ref="A1:AL54" xr:uid="{CEDB6F7C-CFD3-4534-80A6-FB20E3898B22}"/>
  <tableColumns count="38">
    <tableColumn id="39" xr3:uid="{488AB972-9613-4DA9-9600-5BFBE3896251}" name="Complete?" dataDxfId="111" dataCellStyle="04_Comments"/>
    <tableColumn id="1" xr3:uid="{A63F92FA-2376-4B5A-A2DF-588878E604E1}" name="ID" dataDxfId="110">
      <calculatedColumnFormula>ROW()-1</calculatedColumnFormula>
    </tableColumn>
    <tableColumn id="2" xr3:uid="{6D346BEA-29CA-401C-8ABB-6C62791A731A}" name="Process_ID" dataDxfId="109">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108"/>
    <tableColumn id="14" xr3:uid="{334FD543-CE98-4427-87D5-A79F68872B3C}" name="Input_Flow_I_1" dataDxfId="107"/>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106">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105">
      <calculatedColumnFormula>_xlfn.XLOOKUP(AK2,Tab_Def_Flows[Name(EN)],Tab_Def_Flows[Flow_ID],,0,)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59" totalsRowShown="0" tableBorderDxfId="104" headerRowCellStyle="05_Header">
  <autoFilter ref="A1:U59" xr:uid="{7602A998-85E6-499A-B1A3-C584F22BB41F}"/>
  <tableColumns count="21">
    <tableColumn id="33" xr3:uid="{2E104FB0-3B3F-413B-B1B0-969D126AA7B1}" name="Complete?" dataDxfId="103" dataCellStyle="04_Comments"/>
    <tableColumn id="1" xr3:uid="{B9E05773-FB7F-407B-8FB3-BE93F6BB50D9}" name="ID" dataDxfId="102">
      <calculatedColumnFormula>ROW()-1</calculatedColumnFormula>
    </tableColumn>
    <tableColumn id="2" xr3:uid="{4324CFF4-5791-4829-80A7-8BA4CF2CD799}" name="Process_ID" dataDxfId="101">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100">
      <calculatedColumnFormula>_xlfn.XLOOKUP($D2,Tab_Def_Processes[Name(EN)],Tab_Def_Processes[Initial_Stock?],,0,)</calculatedColumnFormula>
    </tableColumn>
    <tableColumn id="12" xr3:uid="{1AEDC949-1281-46C8-9543-F9AB0A724F08}" name="DSM?" dataDxfId="99">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98" headerRowCellStyle="05_Header">
  <autoFilter ref="A1:U63" xr:uid="{7602A998-85E6-499A-B1A3-C584F22BB41F}"/>
  <tableColumns count="21">
    <tableColumn id="24" xr3:uid="{799CF049-9A74-47E4-BCE6-68EB92DFEDD4}" name="Complete?" dataDxfId="97" dataCellStyle="04_Comments"/>
    <tableColumn id="1" xr3:uid="{75AB9428-C675-46D8-B904-74A952E29611}" name="ID" dataDxfId="96">
      <calculatedColumnFormula>ROW()-1</calculatedColumnFormula>
    </tableColumn>
    <tableColumn id="22" xr3:uid="{055CB3E4-C1DF-486D-9F8E-E65039E95278}" name="Stock_ID" dataDxfId="95">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94"/>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49" totalsRowShown="0" headerRowDxfId="93" headerRowBorderDxfId="92" tableBorderDxfId="91">
  <autoFilter ref="A1:BL149" xr:uid="{7602A998-85E6-499A-B1A3-C584F22BB41F}"/>
  <sortState xmlns:xlrd2="http://schemas.microsoft.com/office/spreadsheetml/2017/richdata2" ref="A2:BL149">
    <sortCondition ref="D1:D149"/>
  </sortState>
  <tableColumns count="64">
    <tableColumn id="33" xr3:uid="{8D32234C-9537-417C-B55D-065038402726}" name="Complete?" dataDxfId="90" dataCellStyle="04_Comments"/>
    <tableColumn id="1" xr3:uid="{CE7CE076-C32F-4791-85A9-C6321A66E672}" name="ID" dataDxfId="89">
      <calculatedColumnFormula>ROW()-1</calculatedColumnFormula>
    </tableColumn>
    <tableColumn id="2" xr3:uid="{F7259AFD-9D16-4ACC-BDB2-8D0DCC203B92}" name="Process_ID" dataDxfId="88"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87"/>
    <tableColumn id="57" xr3:uid="{D3D78B03-02F6-42CA-BD33-6A54DF04FE86}" name="Column1"/>
    <tableColumn id="11" xr3:uid="{D4C9F650-44B6-4DD5-875E-10DEE39F6D03}" name="Input_Flow_I_1" dataDxfId="86">
      <calculatedColumnFormula>_xlfn.XLOOKUP($D2,Tab_Def_Processes[Name(EN)],Tab_Def_Processes[Input_Flow_I_1],,0,)</calculatedColumnFormula>
    </tableColumn>
    <tableColumn id="12" xr3:uid="{5D9673E4-4F5C-4A02-8FE3-DAF7E360A271}" name="Flow_ID_I_1" dataDxfId="85">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84">
      <calculatedColumnFormula>_xlfn.XLOOKUP($D2,Tab_Def_Processes[Name(EN)],Tab_Def_Processes[Input_Flow_I_2],,0,)</calculatedColumnFormula>
    </tableColumn>
    <tableColumn id="14" xr3:uid="{39DCAF4C-C94E-4F6B-9473-486EB368D1A4}" name="Flow_ID_I_3" dataDxfId="83">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82">
      <calculatedColumnFormula>_xlfn.XLOOKUP($D2,Tab_Def_Processes[Name(EN)],Tab_Def_Processes[Input_Flow_I_3],,0,)</calculatedColumnFormula>
    </tableColumn>
    <tableColumn id="16" xr3:uid="{59EB2AB7-4406-48E2-A12E-175CA457D434}" name="Flow ID I_3" dataDxfId="81">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80">
      <calculatedColumnFormula>_xlfn.XLOOKUP($D2,Tab_Def_Processes[Name(EN)],Tab_Def_Processes[Input_Flow_I_4],,0,)</calculatedColumnFormula>
    </tableColumn>
    <tableColumn id="18" xr3:uid="{6B6A8FB7-CFFD-4E02-B4C2-DA33227D2D15}" name="Flow ID I_4" dataDxfId="79">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78">
      <calculatedColumnFormula>_xlfn.XLOOKUP($D2,Tab_Def_Processes[Name(EN)],Tab_Def_Processes[Input_Flow_I_5],,0,)</calculatedColumnFormula>
    </tableColumn>
    <tableColumn id="20" xr3:uid="{4DEF4D28-396A-452E-A2BA-F6E3F074F47C}" name="Flow ID I_5" dataDxfId="77">
      <calculatedColumnFormula>_xlfn.XLOOKUP($D2,Tab_Def_Processes[Name(EN)],Tab_Def_Processes[Flow_ID_I_5],,0,)</calculatedColumnFormula>
    </tableColumn>
    <tableColumn id="39" xr3:uid="{31A505D2-1052-4114-89A3-0125D2AEA2C0}" name="Flow_TC_I_5_[%]"/>
    <tableColumn id="34" xr3:uid="{87220065-CDDC-4D7C-BE11-D9EA0B3FF3E5}" name="Sum_TC_I" dataDxfId="76">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75">
      <calculatedColumnFormula>_xlfn.XLOOKUP($D2,#REF!,#REF!,,0,)</calculatedColumnFormula>
    </tableColumn>
    <tableColumn id="22" xr3:uid="{B381C1D4-C8F7-4BE4-A024-4BBD1B417D36}" name="Flow_ID_O_1" dataDxfId="74">
      <calculatedColumnFormula>_xlfn.XLOOKUP($D2,#REF!,#REF!,,0,)</calculatedColumnFormula>
    </tableColumn>
    <tableColumn id="63" xr3:uid="{C44CA027-9688-45B0-88EB-F14F3A7BECB8}" name="TC_ID_O_1_Year" dataDxfId="73">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72"/>
    <tableColumn id="23" xr3:uid="{B25FB2F6-238F-410A-AF2E-782A213D011A}" name="Output_Flow_O_2" dataDxfId="71">
      <calculatedColumnFormula>_xlfn.XLOOKUP($D2,#REF!,#REF!,,0,)</calculatedColumnFormula>
    </tableColumn>
    <tableColumn id="24" xr3:uid="{97798FE5-868B-45C0-AE3B-C29AF4C86E8E}" name="Flow_ID_O_2" dataDxfId="70">
      <calculatedColumnFormula>_xlfn.XLOOKUP($D2,#REF!,#REF!,,0,)</calculatedColumnFormula>
    </tableColumn>
    <tableColumn id="64" xr3:uid="{3679F173-262B-4D42-9125-71B27049FF31}" name="TC_ID_O_2_Year" dataDxfId="69">
      <calculatedColumnFormula>Tab_Process_TCs2527[[#This Row],[Flow_ID]]</calculatedColumnFormula>
    </tableColumn>
    <tableColumn id="54" xr3:uid="{59052527-1CA5-4A17-978F-E10A4CF13AAE}" name="TC_ID_O_2" dataDxfId="68">
      <calculatedColumnFormula>"TC"&amp;"_"&amp;RIGHT(AI2,5)</calculatedColumnFormula>
    </tableColumn>
    <tableColumn id="41" xr3:uid="{7F915D49-034F-4E82-9BAA-B8ED5CA4F335}" name="TC_O_2_[%]" dataDxfId="67" dataCellStyle="Percent"/>
    <tableColumn id="25" xr3:uid="{5714904F-F57E-48CA-BFAA-826C1CEFD309}" name="Output_Flow_O_3" dataDxfId="66">
      <calculatedColumnFormula>_xlfn.XLOOKUP($D2,#REF!,#REF!,,0,)</calculatedColumnFormula>
    </tableColumn>
    <tableColumn id="26" xr3:uid="{BF841E8C-9EB2-40B0-BD1F-8C768DE188AD}" name="Flow_ID_O_3" dataDxfId="65">
      <calculatedColumnFormula>_xlfn.XLOOKUP($D2,#REF!,#REF!,,0,)</calculatedColumnFormula>
    </tableColumn>
    <tableColumn id="65" xr3:uid="{40F24D12-78F3-4E2A-85F5-F634958096FD}" name="TC_ID_O_3_Year" dataDxfId="64">
      <calculatedColumnFormula>Tab_Process_TCs2527[[#This Row],[Flow_ID]]</calculatedColumnFormula>
    </tableColumn>
    <tableColumn id="42" xr3:uid="{231A0501-9932-43B0-A3F9-EB8BB036203D}" name="TC_ID_O_3" dataDxfId="63">
      <calculatedColumnFormula>"TC"&amp;"_"&amp;RIGHT(AN2,5)</calculatedColumnFormula>
    </tableColumn>
    <tableColumn id="27" xr3:uid="{25A11679-9BF9-4DEC-B798-B8A275D3B8AC}" name="TC_O_3_[%]" dataDxfId="62" dataCellStyle="Percent"/>
    <tableColumn id="28" xr3:uid="{67E45B1E-4E5D-4D83-A664-45983FD6F9D1}" name="Output_Flow_O_4" dataDxfId="61">
      <calculatedColumnFormula>_xlfn.XLOOKUP($D2,#REF!,#REF!,,0,)</calculatedColumnFormula>
    </tableColumn>
    <tableColumn id="43" xr3:uid="{C5680328-8545-431B-B943-966088B5B85B}" name="Flow_ID_O_4" dataDxfId="60">
      <calculatedColumnFormula>_xlfn.XLOOKUP($D2,#REF!,#REF!,,0,)</calculatedColumnFormula>
    </tableColumn>
    <tableColumn id="66" xr3:uid="{3C939FEA-060E-42BF-AC8F-37677818A9F4}" name="TC_ID_O_4_Year" dataDxfId="59">
      <calculatedColumnFormula>Tab_Process_TCs2527[[#This Row],[Flow_ID]]</calculatedColumnFormula>
    </tableColumn>
    <tableColumn id="29" xr3:uid="{5B8610D8-109C-4CC7-9DE9-5EF61CC39BD7}" name="TC_ID_O_4" dataDxfId="58">
      <calculatedColumnFormula>"TC"&amp;"_"&amp;RIGHT(AN2,5)</calculatedColumnFormula>
    </tableColumn>
    <tableColumn id="30" xr3:uid="{8DFBA5BB-ECEC-455D-9C69-3FF71622F2AC}" name="TC_O_4_[%]" dataDxfId="57" dataCellStyle="Percent"/>
    <tableColumn id="44" xr3:uid="{5785B5EE-01FF-44CB-9D74-9D2780652646}" name="Output_Flow_O_5" dataDxfId="56">
      <calculatedColumnFormula>_xlfn.XLOOKUP($D2,#REF!,#REF!,,0,)</calculatedColumnFormula>
    </tableColumn>
    <tableColumn id="31" xr3:uid="{54C02504-99D3-419C-9253-1DA532111E60}" name="Flow_ID_O_5" dataDxfId="55">
      <calculatedColumnFormula>_xlfn.XLOOKUP($D2,#REF!,#REF!,,0,)</calculatedColumnFormula>
    </tableColumn>
    <tableColumn id="67" xr3:uid="{770D2E29-F077-423A-9DDE-B86470FADA38}" name="TC_ID_O_5_Year" dataDxfId="54">
      <calculatedColumnFormula>Tab_Process_TCs2527[[#This Row],[Flow_ID]]</calculatedColumnFormula>
    </tableColumn>
    <tableColumn id="46" xr3:uid="{CBB535D2-9A64-4C2F-AF19-4CF0A79C6798}" name="TC_ID_O_5" dataDxfId="53">
      <calculatedColumnFormula>"TC"&amp;"_"&amp;RIGHT(AX2,5)</calculatedColumnFormula>
    </tableColumn>
    <tableColumn id="45" xr3:uid="{43E42E8C-202D-4522-9E50-CB3B80F8EE29}" name="TC O_5_[%]" dataDxfId="52" dataCellStyle="Percent"/>
    <tableColumn id="32" xr3:uid="{FD3810B5-3F37-4777-8ACB-D2CAAFA5C5EB}" name="Output_Flow_O_6" dataDxfId="51">
      <calculatedColumnFormula>_xlfn.XLOOKUP($D2,#REF!,#REF!,,0,)</calculatedColumnFormula>
    </tableColumn>
    <tableColumn id="48" xr3:uid="{EF811571-9CC9-41DC-BFA4-320CD8D9C0C6}" name="Flow_ID_O_6" dataDxfId="50">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49">
      <calculatedColumnFormula>"TC"&amp;"_"&amp;RIGHT(BC2,5)</calculatedColumnFormula>
    </tableColumn>
    <tableColumn id="50" xr3:uid="{5AF5E9BC-3B3E-4244-A22E-AC3284E0E97C}" name="TC O_6_[%]" dataDxfId="48" dataCellStyle="Percent"/>
    <tableColumn id="51" xr3:uid="{B76A3DEE-BBAC-4CE1-BE1D-2941B928DB78}" name="Sum_TC_O" dataDxfId="47"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46" dataDxfId="45" tableBorderDxfId="44">
  <autoFilter ref="A1:R51" xr:uid="{258723AD-03F6-4700-9C12-0435A55E108D}"/>
  <tableColumns count="18">
    <tableColumn id="1" xr3:uid="{33B8EF63-7663-4BA6-9B91-D446C0C9C276}" name="Complete?" dataCellStyle="04_Comments"/>
    <tableColumn id="2" xr3:uid="{6589C290-508A-4E8E-8896-B6E09EB1B594}" name="ID" dataDxfId="43">
      <calculatedColumnFormula>ROW()-1</calculatedColumnFormula>
    </tableColumn>
    <tableColumn id="4" xr3:uid="{F4E33EB8-7313-4BD5-8A0A-D0E18A2A18E9}" name="Process_ID" dataDxfId="42">
      <calculatedColumnFormula>_xlfn.XLOOKUP($D2,Tab_Def_Processes[Name(EN)],Tab_Def_Processes[Process_ID],,0,)</calculatedColumnFormula>
    </tableColumn>
    <tableColumn id="5" xr3:uid="{E9F30AE4-3733-473D-B124-CDB1D225C217}" name="Name(EN)" dataDxfId="41"/>
    <tableColumn id="6" xr3:uid="{8636F935-6448-4819-ADDF-71DFA45559FA}" name="Process_Type" dataDxfId="40">
      <calculatedColumnFormula>_xlfn.XLOOKUP($D2,Tab_Def_Processes[Name(EN)],Tab_Def_Processes[Process_Type],,0,)</calculatedColumnFormula>
    </tableColumn>
    <tableColumn id="11" xr3:uid="{60B3771B-3986-46D1-B5BA-CE7814BD4A11}" name="TC?" dataDxfId="39">
      <calculatedColumnFormula>_xlfn.XLOOKUP($D2,Tab_Def_Processes[Name(EN)],Tab_Def_Processes[TC?],,0,)</calculatedColumnFormula>
    </tableColumn>
    <tableColumn id="12" xr3:uid="{A2F17CD8-5CAE-47C5-88AC-65F98D1E04A7}" name="Dyn_TC?" dataDxfId="38">
      <calculatedColumnFormula>_xlfn.XLOOKUP($D2,Tab_Def_Processes[Name(EN)],Tab_Def_Processes[Dyn_TC?],,0,)</calculatedColumnFormula>
    </tableColumn>
    <tableColumn id="13" xr3:uid="{AAC3F32E-5E29-4B43-870A-6E7FC451D4C7}" name="Stock?" dataDxfId="37">
      <calculatedColumnFormula>_xlfn.XLOOKUP($D2,Tab_Def_Processes[Name(EN)],Tab_Def_Processes[Stock?],,0,)</calculatedColumnFormula>
    </tableColumn>
    <tableColumn id="14" xr3:uid="{46AA84AB-D3F4-4DFC-AFA9-73ECA93071B0}" name="Initial_Stock?" dataDxfId="36">
      <calculatedColumnFormula>_xlfn.XLOOKUP($D2,Tab_Def_Processes[Name(EN)],Tab_Def_Processes[Initial_Stock?],,0,)</calculatedColumnFormula>
    </tableColumn>
    <tableColumn id="7" xr3:uid="{4D982150-569B-49F8-B2ED-A59759BD8284}" name="DSM?" dataDxfId="35"/>
    <tableColumn id="8" xr3:uid="{722B87D6-F9E5-415C-984B-850168F8B4C0}" name="FOMP?" dataDxfId="34"/>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33" tableBorderDxfId="32" headerRowCellStyle="05_Header">
  <autoFilter ref="A1:Q41" xr:uid="{258723AD-03F6-4700-9C12-0435A55E108D}"/>
  <tableColumns count="17">
    <tableColumn id="1" xr3:uid="{45321D18-7A58-4FFA-814A-4BFE5587094A}" name="Complete?" dataCellStyle="04_Comments"/>
    <tableColumn id="2" xr3:uid="{EC881CBD-180B-4D64-9A86-8AA6EC24B7F6}" name="ID" dataDxfId="31">
      <calculatedColumnFormula>ROW()-1</calculatedColumnFormula>
    </tableColumn>
    <tableColumn id="4" xr3:uid="{844E5006-9125-4DE3-A7C3-7D82AE3725EE}" name="Process_ID" dataDxfId="30">
      <calculatedColumnFormula>_xlfn.XLOOKUP($D2,Tab_Def_Processes[Name(EN)],Tab_Def_Processes[Process_ID],,0,)</calculatedColumnFormula>
    </tableColumn>
    <tableColumn id="5" xr3:uid="{0A9A4390-230F-4C39-9AF5-D72E04524EC5}" name="Name(EN)" dataDxfId="29"/>
    <tableColumn id="6" xr3:uid="{27F8000C-3015-4447-BAA8-364798FFAAFF}" name="Process_Type" dataDxfId="28">
      <calculatedColumnFormula>_xlfn.XLOOKUP($D2,Tab_Def_Processes[Name(EN)],Tab_Def_Processes[Process_Type],,0,)</calculatedColumnFormula>
    </tableColumn>
    <tableColumn id="11" xr3:uid="{CC767FA8-EDF4-482B-B626-0EE382C271A5}" name="TC?" dataDxfId="27">
      <calculatedColumnFormula>_xlfn.XLOOKUP($D2,Tab_Def_Processes[Name(EN)],Tab_Def_Processes[TC?],,0,)</calculatedColumnFormula>
    </tableColumn>
    <tableColumn id="12" xr3:uid="{E84B3ABE-4E12-4E6F-A681-7D39D8B20B42}" name="Dyn_TC?" dataDxfId="26">
      <calculatedColumnFormula>_xlfn.XLOOKUP($D2,Tab_Def_Processes[Name(EN)],Tab_Def_Processes[Dyn_TC?],,0,)</calculatedColumnFormula>
    </tableColumn>
    <tableColumn id="13" xr3:uid="{981DEE9B-FA47-4F47-8F80-39B1E8690449}" name="Stock?" dataDxfId="25">
      <calculatedColumnFormula>_xlfn.XLOOKUP($D2,Tab_Def_Processes[Name(EN)],Tab_Def_Processes[Stock?],,0,)</calculatedColumnFormula>
    </tableColumn>
    <tableColumn id="14" xr3:uid="{69989678-F20B-45BE-B37C-4E9CE9AA75DC}" name="Initial_Stock?" dataDxfId="24">
      <calculatedColumnFormula>_xlfn.XLOOKUP($D2,Tab_Def_Processes[Name(EN)],Tab_Def_Processes[Initial_Stock?],,0,)</calculatedColumnFormula>
    </tableColumn>
    <tableColumn id="7" xr3:uid="{3CFB9275-BB11-4A48-A179-F10B662CD314}" name="DSM?" dataDxfId="23">
      <calculatedColumnFormula>_xlfn.XLOOKUP($D2,Tab_Def_Processes[Name(EN)],Tab_Def_Processes[DSM?],,0,)</calculatedColumnFormula>
    </tableColumn>
    <tableColumn id="8" xr3:uid="{10C6F948-DB35-488A-BBCF-1C22C3F74E52}" name="FOMP?" dataDxfId="22">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59" totalsRowShown="0" tableBorderDxfId="21">
  <autoFilter ref="A1:P59" xr:uid="{FF9E0B7D-0B53-4192-BACF-A733D16BD97E}"/>
  <tableColumns count="16">
    <tableColumn id="1" xr3:uid="{AEAC6F38-4A16-4B89-B940-1815E01565C6}" name="Complete?" dataDxfId="20" dataCellStyle="04_Comments"/>
    <tableColumn id="2" xr3:uid="{974E84B3-B7E5-4EAB-BE6D-E4CA3B941720}" name="ID" dataDxfId="19" dataCellStyle="03_Auto_Calcaulation">
      <calculatedColumnFormula>ROW()-1</calculatedColumnFormula>
    </tableColumn>
    <tableColumn id="3" xr3:uid="{C80F74B1-CB58-477D-916E-9E36937DCC7C}" name="Process_ID" dataDxfId="18" dataCellStyle="03_Auto_Calcaulation">
      <calculatedColumnFormula>_xlfn.XLOOKUP($D2,Tab_Def_Processes[Name(EN)],Tab_Def_Processes[ID],,0,)</calculatedColumnFormula>
    </tableColumn>
    <tableColumn id="4" xr3:uid="{3B5A389D-DBD4-440A-B4C9-D7D490F921D1}" name="Name(EN)" dataDxfId="17" dataCellStyle="02_Data_Input (DD)"/>
    <tableColumn id="12" xr3:uid="{41BA6A81-81C1-4463-8311-87562C351952}" name="Color_Category" dataDxfId="16" dataCellStyle="02_Data_Input (DD)"/>
    <tableColumn id="11" xr3:uid="{A6B3115D-C460-49E4-B156-47D34854C0D6}" name="Node_Color" dataDxfId="15"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tableColumn id="18" xr3:uid="{2E57A6C6-B3EF-4634-AAF9-87A6ECBCB804}" name="Y_Position_Material"/>
    <tableColumn id="15" xr3:uid="{62ECE32F-D685-470C-A01A-248F35573A19}" name="X_Position_WC"/>
    <tableColumn id="16" xr3:uid="{9BC5D25F-216C-4D47-AEBA-A7531D662034}" name="Y_Position_WC"/>
    <tableColumn id="13" xr3:uid="{933D7E13-AD29-4E2C-8093-404376884124}" name="X_Position_DM"/>
    <tableColumn id="14" xr3:uid="{82B5D442-49D5-446C-9D48-84D32D76F9B1}" name="Y_Position_DM"/>
    <tableColumn id="7" xr3:uid="{8EAF1E3F-5E3F-4E4C-A3CE-FE20E6CB89A6}" name="X_Position_CC"/>
    <tableColumn id="8" xr3:uid="{E450BC7E-840A-485B-854D-9457E679EDB3}" name="Y_Position_CC"/>
    <tableColumn id="10" xr3:uid="{68ADE31A-53B3-4C7C-A750-8379D68C63F8}" name="Descriptio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14">
  <autoFilter ref="A1:F51" xr:uid="{C3FEF386-C709-41D8-A84A-E296EE975D12}"/>
  <tableColumns count="6">
    <tableColumn id="1" xr3:uid="{B6E6225C-23E8-433A-835E-8BB33C78FBC1}" name="ID" dataDxfId="13" dataCellStyle="03_Auto_Calcaulation">
      <calculatedColumnFormula>ROW()-1</calculatedColumnFormula>
    </tableColumn>
    <tableColumn id="2" xr3:uid="{D19AA7EE-8012-4211-95D9-A412AE73FEA7}" name="Flow_ID" dataDxfId="12"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11" headerRowBorderDxfId="10" tableBorderDxfId="9">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8" headerRowBorderDxfId="7" tableBorderDxfId="6">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5" headerRowBorderDxfId="4" tableBorderDxfId="3">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 headerRowBorderDxfId="1" tableBorderDxfId="0">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6.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2" sqref="E42"/>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22" zoomScaleNormal="130" zoomScalePageLayoutView="130" workbookViewId="0">
      <selection activeCell="J68" sqref="J68"/>
    </sheetView>
  </sheetViews>
  <sheetFormatPr defaultColWidth="9.140625" defaultRowHeight="15" x14ac:dyDescent="0.25"/>
  <sheetData>
    <row r="2" spans="2:20" x14ac:dyDescent="0.25">
      <c r="B2" t="s">
        <v>263</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336</v>
      </c>
      <c r="T7">
        <v>2026</v>
      </c>
    </row>
    <row r="8" spans="2:20" x14ac:dyDescent="0.25">
      <c r="C8" t="s">
        <v>28</v>
      </c>
      <c r="F8" t="s">
        <v>10</v>
      </c>
      <c r="N8" s="11" t="s">
        <v>337</v>
      </c>
      <c r="O8" s="11"/>
      <c r="T8">
        <v>2027</v>
      </c>
    </row>
    <row r="9" spans="2:20" x14ac:dyDescent="0.25">
      <c r="F9" t="s">
        <v>9</v>
      </c>
      <c r="N9" s="189" t="s">
        <v>338</v>
      </c>
      <c r="O9" s="189"/>
      <c r="T9">
        <v>2028</v>
      </c>
    </row>
    <row r="10" spans="2:20" x14ac:dyDescent="0.25">
      <c r="N10" s="9" t="s">
        <v>339</v>
      </c>
      <c r="O10" s="9"/>
      <c r="T10">
        <v>2029</v>
      </c>
    </row>
    <row r="11" spans="2:20" x14ac:dyDescent="0.25">
      <c r="N11" s="37" t="s">
        <v>340</v>
      </c>
      <c r="O11" s="37"/>
      <c r="T11">
        <v>2030</v>
      </c>
    </row>
    <row r="12" spans="2:20" x14ac:dyDescent="0.25">
      <c r="B12" s="230" t="s">
        <v>29</v>
      </c>
      <c r="C12" s="230"/>
      <c r="D12" s="230"/>
      <c r="E12" s="230"/>
      <c r="F12" s="230"/>
      <c r="G12" s="230"/>
      <c r="H12" s="230"/>
      <c r="I12" s="230"/>
      <c r="J12" s="230"/>
      <c r="K12" s="230"/>
      <c r="L12" s="230"/>
      <c r="M12" s="230"/>
      <c r="T12">
        <v>2031</v>
      </c>
    </row>
    <row r="13" spans="2:20" x14ac:dyDescent="0.25">
      <c r="B13" s="230"/>
      <c r="C13" s="230"/>
      <c r="D13" s="230"/>
      <c r="E13" s="230"/>
      <c r="F13" s="230"/>
      <c r="G13" s="230"/>
      <c r="H13" s="230"/>
      <c r="I13" s="230"/>
      <c r="J13" s="230"/>
      <c r="K13" s="230"/>
      <c r="L13" s="230"/>
      <c r="M13" s="230"/>
      <c r="T13">
        <v>2032</v>
      </c>
    </row>
    <row r="14" spans="2:20" x14ac:dyDescent="0.25">
      <c r="B14" s="230"/>
      <c r="C14" s="230"/>
      <c r="D14" s="230"/>
      <c r="E14" s="230"/>
      <c r="F14" s="230"/>
      <c r="G14" s="230"/>
      <c r="H14" s="230"/>
      <c r="I14" s="230"/>
      <c r="J14" s="230"/>
      <c r="K14" s="230"/>
      <c r="L14" s="230"/>
      <c r="M14" s="230"/>
      <c r="T14">
        <v>2033</v>
      </c>
    </row>
    <row r="15" spans="2:20" x14ac:dyDescent="0.25">
      <c r="B15" s="231" t="s">
        <v>30</v>
      </c>
      <c r="C15" s="231"/>
      <c r="D15" s="231"/>
      <c r="E15" s="231"/>
      <c r="F15" s="231"/>
      <c r="G15" s="231"/>
      <c r="H15" s="231"/>
      <c r="I15" s="231"/>
      <c r="J15" s="231"/>
      <c r="K15" s="231"/>
      <c r="L15" s="231"/>
      <c r="T15">
        <v>2034</v>
      </c>
    </row>
    <row r="16" spans="2:20" x14ac:dyDescent="0.25">
      <c r="B16" s="231"/>
      <c r="C16" s="231"/>
      <c r="D16" s="231"/>
      <c r="E16" s="231"/>
      <c r="F16" s="231"/>
      <c r="G16" s="231"/>
      <c r="H16" s="231"/>
      <c r="I16" s="231"/>
      <c r="J16" s="231"/>
      <c r="K16" s="231"/>
      <c r="L16" s="231"/>
      <c r="T16">
        <v>2035</v>
      </c>
    </row>
    <row r="17" spans="2:20" x14ac:dyDescent="0.25">
      <c r="B17" s="231"/>
      <c r="C17" s="231"/>
      <c r="D17" s="231"/>
      <c r="E17" s="231"/>
      <c r="F17" s="231"/>
      <c r="G17" s="231"/>
      <c r="H17" s="231"/>
      <c r="I17" s="231"/>
      <c r="J17" s="231"/>
      <c r="K17" s="231"/>
      <c r="L17" s="231"/>
      <c r="T17">
        <v>2036</v>
      </c>
    </row>
    <row r="18" spans="2:20" x14ac:dyDescent="0.25">
      <c r="B18" s="231"/>
      <c r="C18" s="231"/>
      <c r="D18" s="231"/>
      <c r="E18" s="231"/>
      <c r="F18" s="231"/>
      <c r="G18" s="231"/>
      <c r="H18" s="231"/>
      <c r="I18" s="231"/>
      <c r="J18" s="231"/>
      <c r="K18" s="231"/>
      <c r="L18" s="231"/>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268</v>
      </c>
      <c r="C40" t="s">
        <v>269</v>
      </c>
    </row>
    <row r="41" spans="1:3" x14ac:dyDescent="0.25">
      <c r="C41" t="s">
        <v>270</v>
      </c>
    </row>
    <row r="45" spans="1:3" ht="18.75" x14ac:dyDescent="0.3">
      <c r="A45" s="195" t="s">
        <v>383</v>
      </c>
    </row>
    <row r="47" spans="1:3" ht="15.75" x14ac:dyDescent="0.25">
      <c r="A47" s="196" t="s">
        <v>384</v>
      </c>
    </row>
    <row r="48" spans="1:3" x14ac:dyDescent="0.25">
      <c r="A48" t="s">
        <v>385</v>
      </c>
    </row>
    <row r="49" spans="1:1" x14ac:dyDescent="0.25">
      <c r="A49" t="s">
        <v>386</v>
      </c>
    </row>
    <row r="50" spans="1:1" x14ac:dyDescent="0.25">
      <c r="A50" t="s">
        <v>387</v>
      </c>
    </row>
    <row r="51" spans="1:1" x14ac:dyDescent="0.25">
      <c r="A51" t="s">
        <v>388</v>
      </c>
    </row>
    <row r="52" spans="1:1" x14ac:dyDescent="0.25">
      <c r="A52" t="s">
        <v>389</v>
      </c>
    </row>
    <row r="53" spans="1:1" x14ac:dyDescent="0.25">
      <c r="A53" t="s">
        <v>390</v>
      </c>
    </row>
    <row r="54" spans="1:1" x14ac:dyDescent="0.25">
      <c r="A54" t="s">
        <v>391</v>
      </c>
    </row>
    <row r="55" spans="1:1" x14ac:dyDescent="0.25">
      <c r="A55" t="s">
        <v>392</v>
      </c>
    </row>
    <row r="56" spans="1:1" x14ac:dyDescent="0.25">
      <c r="A56" t="s">
        <v>393</v>
      </c>
    </row>
    <row r="57" spans="1:1" x14ac:dyDescent="0.25">
      <c r="A57" t="s">
        <v>394</v>
      </c>
    </row>
    <row r="59" spans="1:1" ht="15.75" x14ac:dyDescent="0.25">
      <c r="A59" s="196" t="s">
        <v>395</v>
      </c>
    </row>
    <row r="60" spans="1:1" x14ac:dyDescent="0.25">
      <c r="A60" t="s">
        <v>396</v>
      </c>
    </row>
    <row r="61" spans="1:1" x14ac:dyDescent="0.25">
      <c r="A61" t="s">
        <v>397</v>
      </c>
    </row>
    <row r="62" spans="1:1" x14ac:dyDescent="0.25">
      <c r="A62" t="s">
        <v>398</v>
      </c>
    </row>
    <row r="63" spans="1:1" x14ac:dyDescent="0.25">
      <c r="A63" t="s">
        <v>399</v>
      </c>
    </row>
    <row r="64" spans="1:1" x14ac:dyDescent="0.25">
      <c r="A64" t="s">
        <v>400</v>
      </c>
    </row>
    <row r="65" spans="1:1" x14ac:dyDescent="0.25">
      <c r="A65" t="s">
        <v>401</v>
      </c>
    </row>
    <row r="66" spans="1:1" ht="15.75" x14ac:dyDescent="0.25">
      <c r="A66" s="196"/>
    </row>
    <row r="67" spans="1:1" x14ac:dyDescent="0.25">
      <c r="A67" t="s">
        <v>402</v>
      </c>
    </row>
    <row r="68" spans="1:1" x14ac:dyDescent="0.25">
      <c r="A68" t="s">
        <v>403</v>
      </c>
    </row>
    <row r="69" spans="1:1" x14ac:dyDescent="0.25">
      <c r="A69" t="s">
        <v>404</v>
      </c>
    </row>
    <row r="70" spans="1:1" x14ac:dyDescent="0.25">
      <c r="A70" t="s">
        <v>405</v>
      </c>
    </row>
    <row r="71" spans="1:1" ht="15.75" x14ac:dyDescent="0.25">
      <c r="A71" s="196" t="s">
        <v>406</v>
      </c>
    </row>
    <row r="73" spans="1:1" x14ac:dyDescent="0.25">
      <c r="A73" t="s">
        <v>407</v>
      </c>
    </row>
    <row r="74" spans="1:1" x14ac:dyDescent="0.25">
      <c r="A74" t="s">
        <v>408</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E37" sqref="E37"/>
    </sheetView>
  </sheetViews>
  <sheetFormatPr defaultColWidth="10.85546875" defaultRowHeight="15" x14ac:dyDescent="0.25"/>
  <sheetData>
    <row r="1" spans="1:2" x14ac:dyDescent="0.25">
      <c r="A1">
        <v>1</v>
      </c>
      <c r="B1" t="s">
        <v>352</v>
      </c>
    </row>
    <row r="2" spans="1:2" x14ac:dyDescent="0.25">
      <c r="A2" s="191" t="s">
        <v>353</v>
      </c>
      <c r="B2" t="s">
        <v>354</v>
      </c>
    </row>
    <row r="3" spans="1:2" x14ac:dyDescent="0.25">
      <c r="A3" t="s">
        <v>355</v>
      </c>
      <c r="B3" t="s">
        <v>356</v>
      </c>
    </row>
    <row r="4" spans="1:2" x14ac:dyDescent="0.25">
      <c r="A4">
        <v>2</v>
      </c>
      <c r="B4" t="s">
        <v>357</v>
      </c>
    </row>
    <row r="5" spans="1:2" x14ac:dyDescent="0.25">
      <c r="A5" t="s">
        <v>358</v>
      </c>
      <c r="B5" t="s">
        <v>359</v>
      </c>
    </row>
    <row r="6" spans="1:2" x14ac:dyDescent="0.25">
      <c r="A6" t="s">
        <v>360</v>
      </c>
      <c r="B6" t="s">
        <v>364</v>
      </c>
    </row>
    <row r="7" spans="1:2" x14ac:dyDescent="0.25">
      <c r="A7" t="s">
        <v>361</v>
      </c>
    </row>
    <row r="8" spans="1:2" x14ac:dyDescent="0.25">
      <c r="A8" t="s">
        <v>362</v>
      </c>
      <c r="B8" t="s">
        <v>363</v>
      </c>
    </row>
    <row r="9" spans="1:2" x14ac:dyDescent="0.25">
      <c r="A9" t="s">
        <v>365</v>
      </c>
      <c r="B9" t="s">
        <v>366</v>
      </c>
    </row>
    <row r="10" spans="1:2" x14ac:dyDescent="0.25">
      <c r="A10">
        <v>3</v>
      </c>
      <c r="B10" t="s">
        <v>367</v>
      </c>
    </row>
    <row r="11" spans="1:2" x14ac:dyDescent="0.25">
      <c r="A11" t="s">
        <v>368</v>
      </c>
      <c r="B11" t="s">
        <v>369</v>
      </c>
    </row>
    <row r="12" spans="1:2" x14ac:dyDescent="0.25">
      <c r="A12" t="s">
        <v>370</v>
      </c>
      <c r="B12" t="s">
        <v>371</v>
      </c>
    </row>
    <row r="13" spans="1:2" x14ac:dyDescent="0.25">
      <c r="A13">
        <v>4</v>
      </c>
      <c r="B13" t="s">
        <v>372</v>
      </c>
    </row>
    <row r="14" spans="1:2" x14ac:dyDescent="0.25">
      <c r="A14" t="s">
        <v>373</v>
      </c>
      <c r="B14" t="s">
        <v>372</v>
      </c>
    </row>
    <row r="17" spans="1:1" ht="15.75" x14ac:dyDescent="0.25">
      <c r="A17" s="196" t="s">
        <v>384</v>
      </c>
    </row>
    <row r="18" spans="1:1" x14ac:dyDescent="0.25">
      <c r="A18" t="s">
        <v>385</v>
      </c>
    </row>
    <row r="19" spans="1:1" x14ac:dyDescent="0.25">
      <c r="A19" t="s">
        <v>386</v>
      </c>
    </row>
    <row r="20" spans="1:1" x14ac:dyDescent="0.25">
      <c r="A20" t="s">
        <v>387</v>
      </c>
    </row>
    <row r="21" spans="1:1" x14ac:dyDescent="0.25">
      <c r="A21" t="s">
        <v>388</v>
      </c>
    </row>
    <row r="22" spans="1:1" x14ac:dyDescent="0.25">
      <c r="A22" t="s">
        <v>389</v>
      </c>
    </row>
    <row r="23" spans="1:1" x14ac:dyDescent="0.25">
      <c r="A23" t="s">
        <v>390</v>
      </c>
    </row>
    <row r="24" spans="1:1" x14ac:dyDescent="0.25">
      <c r="A24" t="s">
        <v>391</v>
      </c>
    </row>
    <row r="25" spans="1:1" x14ac:dyDescent="0.25">
      <c r="A25" t="s">
        <v>392</v>
      </c>
    </row>
    <row r="26" spans="1:1" x14ac:dyDescent="0.25">
      <c r="A26" t="s">
        <v>393</v>
      </c>
    </row>
    <row r="27" spans="1:1" x14ac:dyDescent="0.25">
      <c r="A27" t="s">
        <v>394</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N17" sqref="N17"/>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613</v>
      </c>
      <c r="B1" t="s">
        <v>500</v>
      </c>
      <c r="C1" t="s">
        <v>297</v>
      </c>
      <c r="D1" t="s">
        <v>6</v>
      </c>
      <c r="E1" t="s">
        <v>501</v>
      </c>
      <c r="F1" t="s">
        <v>502</v>
      </c>
    </row>
    <row r="2" spans="1:6" x14ac:dyDescent="0.25">
      <c r="A2" s="207" t="s">
        <v>499</v>
      </c>
      <c r="B2" s="208" t="s">
        <v>503</v>
      </c>
      <c r="C2" s="209">
        <v>2025</v>
      </c>
      <c r="D2" s="214" t="s">
        <v>504</v>
      </c>
      <c r="E2" s="214" t="s">
        <v>505</v>
      </c>
      <c r="F2" s="215" t="s">
        <v>506</v>
      </c>
    </row>
    <row r="3" spans="1:6" ht="15" customHeight="1" x14ac:dyDescent="0.25">
      <c r="A3" s="210"/>
      <c r="B3" s="9" t="s">
        <v>507</v>
      </c>
      <c r="C3" s="11">
        <v>2050</v>
      </c>
      <c r="D3" s="37" t="s">
        <v>508</v>
      </c>
      <c r="E3" s="37" t="s">
        <v>505</v>
      </c>
      <c r="F3" s="216" t="s">
        <v>506</v>
      </c>
    </row>
    <row r="4" spans="1:6" x14ac:dyDescent="0.25">
      <c r="A4" s="210"/>
      <c r="B4" s="9" t="s">
        <v>509</v>
      </c>
      <c r="C4" s="11" t="s">
        <v>410</v>
      </c>
      <c r="D4" s="37" t="s">
        <v>510</v>
      </c>
      <c r="E4" s="37" t="s">
        <v>505</v>
      </c>
      <c r="F4" s="216" t="s">
        <v>506</v>
      </c>
    </row>
    <row r="5" spans="1:6" x14ac:dyDescent="0.25">
      <c r="A5" s="210"/>
      <c r="B5" s="9" t="s">
        <v>511</v>
      </c>
      <c r="C5" s="11" t="s">
        <v>512</v>
      </c>
      <c r="D5" s="37" t="s">
        <v>513</v>
      </c>
      <c r="E5" s="37" t="s">
        <v>505</v>
      </c>
      <c r="F5" s="216" t="s">
        <v>506</v>
      </c>
    </row>
    <row r="6" spans="1:6" ht="15.75" thickBot="1" x14ac:dyDescent="0.3">
      <c r="A6" s="211"/>
      <c r="B6" s="19" t="s">
        <v>514</v>
      </c>
      <c r="C6" s="197" t="s">
        <v>409</v>
      </c>
      <c r="D6" s="217" t="s">
        <v>515</v>
      </c>
      <c r="E6" s="217" t="s">
        <v>505</v>
      </c>
      <c r="F6" s="218" t="s">
        <v>506</v>
      </c>
    </row>
    <row r="7" spans="1:6" x14ac:dyDescent="0.25">
      <c r="A7" s="207" t="s">
        <v>516</v>
      </c>
      <c r="B7" s="208" t="s">
        <v>517</v>
      </c>
      <c r="C7" s="209" t="b">
        <v>0</v>
      </c>
      <c r="D7" s="214" t="s">
        <v>518</v>
      </c>
      <c r="E7" s="214" t="s">
        <v>519</v>
      </c>
      <c r="F7" s="215" t="s">
        <v>506</v>
      </c>
    </row>
    <row r="8" spans="1:6" ht="15" customHeight="1" x14ac:dyDescent="0.25">
      <c r="A8" s="16"/>
      <c r="B8" s="9" t="s">
        <v>520</v>
      </c>
      <c r="C8" s="11" t="b">
        <v>1</v>
      </c>
      <c r="D8" s="37" t="s">
        <v>521</v>
      </c>
      <c r="E8" s="37" t="s">
        <v>519</v>
      </c>
      <c r="F8" s="216" t="s">
        <v>506</v>
      </c>
    </row>
    <row r="9" spans="1:6" x14ac:dyDescent="0.25">
      <c r="A9" s="16"/>
      <c r="B9" s="9" t="s">
        <v>614</v>
      </c>
      <c r="C9" s="11" t="b">
        <v>1</v>
      </c>
      <c r="D9" s="37" t="s">
        <v>522</v>
      </c>
      <c r="E9" s="37" t="s">
        <v>519</v>
      </c>
      <c r="F9" s="216" t="s">
        <v>523</v>
      </c>
    </row>
    <row r="10" spans="1:6" ht="15.75" thickBot="1" x14ac:dyDescent="0.3">
      <c r="A10" s="18"/>
      <c r="B10" s="19" t="s">
        <v>524</v>
      </c>
      <c r="C10" s="197">
        <v>25</v>
      </c>
      <c r="D10" s="217" t="s">
        <v>525</v>
      </c>
      <c r="E10" s="217" t="s">
        <v>519</v>
      </c>
      <c r="F10" s="218" t="s">
        <v>523</v>
      </c>
    </row>
    <row r="11" spans="1:6" ht="15" customHeight="1" x14ac:dyDescent="0.25">
      <c r="A11" s="207" t="s">
        <v>526</v>
      </c>
      <c r="B11" s="208" t="s">
        <v>497</v>
      </c>
      <c r="C11" s="209" t="b">
        <v>0</v>
      </c>
      <c r="D11" s="214" t="s">
        <v>527</v>
      </c>
      <c r="E11" s="214" t="s">
        <v>528</v>
      </c>
      <c r="F11" s="215" t="s">
        <v>523</v>
      </c>
    </row>
    <row r="12" spans="1:6" x14ac:dyDescent="0.25">
      <c r="A12" s="16"/>
      <c r="B12" s="9" t="s">
        <v>529</v>
      </c>
      <c r="C12" s="11" t="s">
        <v>495</v>
      </c>
      <c r="D12" s="37" t="s">
        <v>531</v>
      </c>
      <c r="E12" s="37" t="s">
        <v>528</v>
      </c>
      <c r="F12" s="216" t="s">
        <v>523</v>
      </c>
    </row>
    <row r="13" spans="1:6" x14ac:dyDescent="0.25">
      <c r="A13" s="16"/>
      <c r="B13" s="9" t="s">
        <v>532</v>
      </c>
      <c r="C13" s="11" t="s">
        <v>498</v>
      </c>
      <c r="D13" s="37" t="s">
        <v>533</v>
      </c>
      <c r="E13" s="37" t="s">
        <v>528</v>
      </c>
      <c r="F13" s="216" t="s">
        <v>523</v>
      </c>
    </row>
    <row r="14" spans="1:6" x14ac:dyDescent="0.25">
      <c r="A14" s="16"/>
      <c r="B14" s="9" t="s">
        <v>534</v>
      </c>
      <c r="C14" s="11" t="s">
        <v>530</v>
      </c>
      <c r="D14" s="37" t="s">
        <v>535</v>
      </c>
      <c r="E14" s="37" t="s">
        <v>528</v>
      </c>
      <c r="F14" s="216" t="s">
        <v>523</v>
      </c>
    </row>
    <row r="15" spans="1:6" ht="15.75" thickBot="1" x14ac:dyDescent="0.3">
      <c r="A15" s="18"/>
      <c r="B15" s="19" t="s">
        <v>536</v>
      </c>
      <c r="C15" s="197" t="s">
        <v>537</v>
      </c>
      <c r="D15" s="217" t="s">
        <v>538</v>
      </c>
      <c r="E15" s="217" t="s">
        <v>528</v>
      </c>
      <c r="F15" s="218" t="s">
        <v>523</v>
      </c>
    </row>
    <row r="16" spans="1:6" x14ac:dyDescent="0.25">
      <c r="A16" s="207" t="s">
        <v>589</v>
      </c>
      <c r="B16" s="208" t="s">
        <v>590</v>
      </c>
      <c r="C16" s="209" t="b">
        <v>1</v>
      </c>
      <c r="D16" s="214" t="s">
        <v>591</v>
      </c>
      <c r="E16" s="214" t="s">
        <v>592</v>
      </c>
      <c r="F16" s="215" t="s">
        <v>506</v>
      </c>
    </row>
    <row r="17" spans="1:6" x14ac:dyDescent="0.25">
      <c r="A17" s="16"/>
      <c r="B17" s="9" t="s">
        <v>593</v>
      </c>
      <c r="C17" s="11" t="b">
        <v>1</v>
      </c>
      <c r="D17" s="37" t="s">
        <v>594</v>
      </c>
      <c r="E17" s="37" t="s">
        <v>592</v>
      </c>
      <c r="F17" s="216" t="s">
        <v>506</v>
      </c>
    </row>
    <row r="18" spans="1:6" x14ac:dyDescent="0.25">
      <c r="A18" s="16"/>
      <c r="B18" s="9" t="s">
        <v>595</v>
      </c>
      <c r="C18" s="11" t="b">
        <v>1</v>
      </c>
      <c r="D18" s="37" t="s">
        <v>596</v>
      </c>
      <c r="E18" s="37" t="s">
        <v>592</v>
      </c>
      <c r="F18" s="216" t="s">
        <v>506</v>
      </c>
    </row>
    <row r="19" spans="1:6" ht="15.75" thickBot="1" x14ac:dyDescent="0.3">
      <c r="A19" s="18"/>
      <c r="B19" s="19" t="s">
        <v>597</v>
      </c>
      <c r="C19" s="197">
        <v>1E-3</v>
      </c>
      <c r="D19" s="217" t="s">
        <v>598</v>
      </c>
      <c r="E19" s="217" t="s">
        <v>592</v>
      </c>
      <c r="F19" s="218" t="s">
        <v>523</v>
      </c>
    </row>
    <row r="20" spans="1:6" x14ac:dyDescent="0.25">
      <c r="A20" s="207" t="s">
        <v>539</v>
      </c>
      <c r="B20" s="208" t="s">
        <v>540</v>
      </c>
      <c r="C20" s="209">
        <v>0.1</v>
      </c>
      <c r="D20" s="214" t="s">
        <v>541</v>
      </c>
      <c r="E20" s="214" t="s">
        <v>542</v>
      </c>
      <c r="F20" s="215" t="s">
        <v>506</v>
      </c>
    </row>
    <row r="21" spans="1:6" x14ac:dyDescent="0.25">
      <c r="A21" s="16"/>
      <c r="B21" s="9" t="s">
        <v>543</v>
      </c>
      <c r="C21" s="11" t="b">
        <v>0</v>
      </c>
      <c r="D21" s="37" t="s">
        <v>544</v>
      </c>
      <c r="E21" s="37" t="s">
        <v>542</v>
      </c>
      <c r="F21" s="216" t="s">
        <v>523</v>
      </c>
    </row>
    <row r="22" spans="1:6" x14ac:dyDescent="0.25">
      <c r="A22" s="16"/>
      <c r="B22" s="9" t="s">
        <v>545</v>
      </c>
      <c r="C22" s="11" t="s">
        <v>546</v>
      </c>
      <c r="D22" s="37" t="s">
        <v>547</v>
      </c>
      <c r="E22" s="37" t="s">
        <v>542</v>
      </c>
      <c r="F22" s="216" t="s">
        <v>523</v>
      </c>
    </row>
    <row r="23" spans="1:6" x14ac:dyDescent="0.25">
      <c r="A23" s="16"/>
      <c r="B23" s="9" t="s">
        <v>548</v>
      </c>
      <c r="C23" s="11" t="s">
        <v>549</v>
      </c>
      <c r="D23" s="37" t="s">
        <v>550</v>
      </c>
      <c r="E23" s="37" t="s">
        <v>542</v>
      </c>
      <c r="F23" s="216" t="s">
        <v>523</v>
      </c>
    </row>
    <row r="24" spans="1:6" x14ac:dyDescent="0.25">
      <c r="A24" s="16"/>
      <c r="B24" s="9" t="s">
        <v>551</v>
      </c>
      <c r="C24" s="11" t="b">
        <v>1</v>
      </c>
      <c r="D24" s="37" t="s">
        <v>552</v>
      </c>
      <c r="E24" s="37" t="s">
        <v>542</v>
      </c>
      <c r="F24" s="216" t="s">
        <v>523</v>
      </c>
    </row>
    <row r="25" spans="1:6" ht="15.75" thickBot="1" x14ac:dyDescent="0.3">
      <c r="A25" s="18"/>
      <c r="B25" s="19" t="s">
        <v>553</v>
      </c>
      <c r="C25" s="197" t="s">
        <v>546</v>
      </c>
      <c r="D25" s="217" t="s">
        <v>554</v>
      </c>
      <c r="E25" s="217" t="s">
        <v>542</v>
      </c>
      <c r="F25" s="218" t="s">
        <v>523</v>
      </c>
    </row>
    <row r="26" spans="1:6" x14ac:dyDescent="0.25">
      <c r="A26" s="207" t="s">
        <v>555</v>
      </c>
      <c r="B26" s="208" t="s">
        <v>556</v>
      </c>
      <c r="C26" s="209" t="s">
        <v>411</v>
      </c>
      <c r="D26" s="214" t="s">
        <v>557</v>
      </c>
      <c r="E26" s="214" t="s">
        <v>558</v>
      </c>
      <c r="F26" s="215" t="s">
        <v>506</v>
      </c>
    </row>
    <row r="27" spans="1:6" x14ac:dyDescent="0.25">
      <c r="A27" s="16"/>
      <c r="B27" s="9" t="s">
        <v>559</v>
      </c>
      <c r="C27" s="11" t="b">
        <v>1</v>
      </c>
      <c r="D27" s="37" t="s">
        <v>560</v>
      </c>
      <c r="E27" s="37" t="s">
        <v>558</v>
      </c>
      <c r="F27" s="216" t="s">
        <v>523</v>
      </c>
    </row>
    <row r="28" spans="1:6" x14ac:dyDescent="0.25">
      <c r="A28" s="16"/>
      <c r="B28" s="9" t="s">
        <v>561</v>
      </c>
      <c r="C28" s="11" t="s">
        <v>562</v>
      </c>
      <c r="D28" s="37" t="s">
        <v>563</v>
      </c>
      <c r="E28" s="37" t="s">
        <v>558</v>
      </c>
      <c r="F28" s="216" t="s">
        <v>523</v>
      </c>
    </row>
    <row r="29" spans="1:6" x14ac:dyDescent="0.25">
      <c r="A29" s="16"/>
      <c r="B29" s="9" t="s">
        <v>564</v>
      </c>
      <c r="C29" s="11" t="b">
        <v>1</v>
      </c>
      <c r="D29" s="37" t="s">
        <v>565</v>
      </c>
      <c r="E29" s="37" t="s">
        <v>558</v>
      </c>
      <c r="F29" s="216" t="s">
        <v>523</v>
      </c>
    </row>
    <row r="30" spans="1:6" ht="15.75" thickBot="1" x14ac:dyDescent="0.3">
      <c r="A30" s="212"/>
      <c r="B30" s="185" t="s">
        <v>566</v>
      </c>
      <c r="C30" s="186" t="s">
        <v>567</v>
      </c>
      <c r="D30" s="213" t="s">
        <v>568</v>
      </c>
      <c r="E30" s="213" t="s">
        <v>558</v>
      </c>
      <c r="F30" s="219" t="s">
        <v>523</v>
      </c>
    </row>
    <row r="31" spans="1:6" x14ac:dyDescent="0.25">
      <c r="A31" s="207" t="s">
        <v>569</v>
      </c>
      <c r="B31" s="208" t="s">
        <v>570</v>
      </c>
      <c r="C31" s="209">
        <v>1E-3</v>
      </c>
      <c r="D31" s="214" t="s">
        <v>571</v>
      </c>
      <c r="E31" s="214" t="s">
        <v>572</v>
      </c>
      <c r="F31" s="215" t="s">
        <v>573</v>
      </c>
    </row>
    <row r="32" spans="1:6" x14ac:dyDescent="0.25">
      <c r="A32" s="16"/>
      <c r="B32" s="9" t="s">
        <v>574</v>
      </c>
      <c r="C32" s="11" t="s">
        <v>412</v>
      </c>
      <c r="D32" s="37" t="s">
        <v>575</v>
      </c>
      <c r="E32" s="37" t="s">
        <v>572</v>
      </c>
      <c r="F32" s="216" t="s">
        <v>573</v>
      </c>
    </row>
    <row r="33" spans="1:6" x14ac:dyDescent="0.25">
      <c r="A33" s="16"/>
      <c r="B33" s="9" t="s">
        <v>576</v>
      </c>
      <c r="C33" s="11" t="s">
        <v>577</v>
      </c>
      <c r="D33" s="37" t="s">
        <v>578</v>
      </c>
      <c r="E33" s="37" t="s">
        <v>572</v>
      </c>
      <c r="F33" s="216" t="s">
        <v>573</v>
      </c>
    </row>
    <row r="34" spans="1:6" x14ac:dyDescent="0.25">
      <c r="A34" s="16"/>
      <c r="B34" s="9" t="s">
        <v>579</v>
      </c>
      <c r="C34" s="11" t="b">
        <v>0</v>
      </c>
      <c r="D34" s="37" t="s">
        <v>580</v>
      </c>
      <c r="E34" s="37" t="s">
        <v>572</v>
      </c>
      <c r="F34" s="216" t="s">
        <v>573</v>
      </c>
    </row>
    <row r="35" spans="1:6" x14ac:dyDescent="0.25">
      <c r="A35" s="16"/>
      <c r="B35" s="9" t="s">
        <v>581</v>
      </c>
      <c r="C35" s="11" t="b">
        <v>0</v>
      </c>
      <c r="D35" s="37" t="s">
        <v>582</v>
      </c>
      <c r="E35" s="37" t="s">
        <v>572</v>
      </c>
      <c r="F35" s="216" t="s">
        <v>573</v>
      </c>
    </row>
    <row r="36" spans="1:6" x14ac:dyDescent="0.25">
      <c r="A36" s="16"/>
      <c r="B36" s="9" t="s">
        <v>583</v>
      </c>
      <c r="C36" s="11" t="b">
        <v>1</v>
      </c>
      <c r="D36" s="37" t="s">
        <v>584</v>
      </c>
      <c r="E36" s="37" t="s">
        <v>572</v>
      </c>
      <c r="F36" s="216" t="s">
        <v>573</v>
      </c>
    </row>
    <row r="37" spans="1:6" x14ac:dyDescent="0.25">
      <c r="A37" s="16"/>
      <c r="B37" s="9" t="s">
        <v>585</v>
      </c>
      <c r="C37" s="11" t="b">
        <v>0</v>
      </c>
      <c r="D37" s="37" t="s">
        <v>586</v>
      </c>
      <c r="E37" s="37" t="s">
        <v>572</v>
      </c>
      <c r="F37" s="216" t="s">
        <v>573</v>
      </c>
    </row>
    <row r="38" spans="1:6" ht="15.75" thickBot="1" x14ac:dyDescent="0.3">
      <c r="A38" s="18"/>
      <c r="B38" s="19" t="s">
        <v>587</v>
      </c>
      <c r="C38" s="197" t="b">
        <v>1</v>
      </c>
      <c r="D38" s="217" t="s">
        <v>588</v>
      </c>
      <c r="E38" s="217" t="s">
        <v>572</v>
      </c>
      <c r="F38" s="218" t="s">
        <v>573</v>
      </c>
    </row>
    <row r="39" spans="1:6" x14ac:dyDescent="0.25">
      <c r="A39" s="207" t="s">
        <v>599</v>
      </c>
      <c r="B39" s="208" t="s">
        <v>600</v>
      </c>
      <c r="C39" s="209">
        <v>15</v>
      </c>
      <c r="D39" s="214" t="s">
        <v>601</v>
      </c>
      <c r="E39" s="214" t="s">
        <v>602</v>
      </c>
      <c r="F39" s="215" t="s">
        <v>506</v>
      </c>
    </row>
    <row r="40" spans="1:6" x14ac:dyDescent="0.25">
      <c r="A40" s="16"/>
      <c r="B40" s="9" t="s">
        <v>603</v>
      </c>
      <c r="C40" s="11">
        <v>1E-4</v>
      </c>
      <c r="D40" s="37" t="s">
        <v>604</v>
      </c>
      <c r="E40" s="37" t="s">
        <v>602</v>
      </c>
      <c r="F40" s="216" t="s">
        <v>506</v>
      </c>
    </row>
    <row r="41" spans="1:6" x14ac:dyDescent="0.25">
      <c r="A41" s="16"/>
      <c r="B41" s="9" t="s">
        <v>605</v>
      </c>
      <c r="C41" s="11" t="s">
        <v>606</v>
      </c>
      <c r="D41" s="37" t="s">
        <v>607</v>
      </c>
      <c r="E41" s="37" t="s">
        <v>602</v>
      </c>
      <c r="F41" s="216" t="s">
        <v>523</v>
      </c>
    </row>
    <row r="42" spans="1:6" x14ac:dyDescent="0.25">
      <c r="A42" s="16"/>
      <c r="B42" s="9" t="s">
        <v>608</v>
      </c>
      <c r="C42" s="11" t="s">
        <v>609</v>
      </c>
      <c r="D42" s="37" t="s">
        <v>610</v>
      </c>
      <c r="E42" s="37" t="s">
        <v>602</v>
      </c>
      <c r="F42" s="216" t="s">
        <v>523</v>
      </c>
    </row>
    <row r="43" spans="1:6" ht="15.75" thickBot="1" x14ac:dyDescent="0.3">
      <c r="A43" s="18"/>
      <c r="B43" s="19" t="s">
        <v>611</v>
      </c>
      <c r="C43" s="197" t="b">
        <v>1</v>
      </c>
      <c r="D43" s="217" t="s">
        <v>612</v>
      </c>
      <c r="E43" s="217" t="s">
        <v>602</v>
      </c>
      <c r="F43" s="218" t="s">
        <v>523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9"/>
  <sheetViews>
    <sheetView zoomScaleNormal="100" workbookViewId="0">
      <pane xSplit="4" ySplit="16" topLeftCell="H17" activePane="bottomRight" state="frozen"/>
      <selection pane="topRight" activeCell="E1" sqref="E1"/>
      <selection pane="bottomLeft" activeCell="A14" sqref="A14"/>
      <selection pane="bottomRight" activeCell="D18" sqref="D18"/>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3"/>
    <col min="19" max="19" width="15.28515625" customWidth="1"/>
    <col min="20" max="20" width="15.42578125" customWidth="1"/>
    <col min="21" max="21" width="13" customWidth="1"/>
    <col min="22" max="22" width="15.7109375" customWidth="1"/>
  </cols>
  <sheetData>
    <row r="1" spans="1:24" x14ac:dyDescent="0.25">
      <c r="A1" s="193" t="s">
        <v>88</v>
      </c>
      <c r="B1" s="193" t="s">
        <v>32</v>
      </c>
      <c r="C1" s="193" t="s">
        <v>41</v>
      </c>
      <c r="D1" s="193" t="s">
        <v>90</v>
      </c>
      <c r="E1" s="193" t="s">
        <v>37</v>
      </c>
      <c r="F1" s="193" t="s">
        <v>42</v>
      </c>
      <c r="G1" s="193" t="s">
        <v>43</v>
      </c>
      <c r="H1" s="193" t="s">
        <v>44</v>
      </c>
      <c r="I1" s="193" t="s">
        <v>45</v>
      </c>
      <c r="J1" s="193" t="s">
        <v>46</v>
      </c>
      <c r="K1" s="193" t="s">
        <v>47</v>
      </c>
      <c r="L1" s="193" t="s">
        <v>106</v>
      </c>
      <c r="M1" s="193" t="s">
        <v>108</v>
      </c>
      <c r="N1" s="193" t="s">
        <v>107</v>
      </c>
      <c r="O1" s="193" t="s">
        <v>188</v>
      </c>
      <c r="P1" s="193" t="s">
        <v>110</v>
      </c>
      <c r="Q1" s="193" t="s">
        <v>189</v>
      </c>
      <c r="R1" s="193" t="s">
        <v>112</v>
      </c>
      <c r="S1" s="193" t="s">
        <v>142</v>
      </c>
      <c r="T1" s="193" t="s">
        <v>143</v>
      </c>
      <c r="U1" s="193" t="s">
        <v>190</v>
      </c>
      <c r="V1" s="193" t="s">
        <v>141</v>
      </c>
    </row>
    <row r="2" spans="1:24" x14ac:dyDescent="0.25">
      <c r="A2" s="194" t="b">
        <v>1</v>
      </c>
      <c r="B2" s="43">
        <f t="shared" ref="B2:B61" si="0">ROW()-1</f>
        <v>1</v>
      </c>
      <c r="C2" s="9" t="str">
        <f t="shared" ref="C2:C8" si="1">"F_"&amp;LEFT(I2,2)&amp;"_"&amp;LEFT(K2,2)</f>
        <v>F_00_02</v>
      </c>
      <c r="D2" s="11" t="s">
        <v>278</v>
      </c>
      <c r="E2" s="37"/>
      <c r="F2" s="37"/>
      <c r="G2" s="37"/>
      <c r="H2" s="189" t="s">
        <v>446</v>
      </c>
      <c r="I2" s="9" t="str">
        <f>_xlfn.XLOOKUP(H2,Tab_Def_Processes[Name(EN)],Tab_Def_Processes[Process_ID],,0,)</f>
        <v>00</v>
      </c>
      <c r="J2" s="189" t="s">
        <v>191</v>
      </c>
      <c r="K2" s="17" t="str">
        <f>_xlfn.XLOOKUP(J2,Tab_Def_Processes[Name(EN)],Tab_Def_Processes[Process_ID],,0,)</f>
        <v>02</v>
      </c>
      <c r="L2" s="189" t="s">
        <v>7</v>
      </c>
      <c r="M2" s="189" t="s">
        <v>7</v>
      </c>
      <c r="N2" s="189" t="s">
        <v>7</v>
      </c>
      <c r="O2" s="183">
        <v>0</v>
      </c>
      <c r="P2" s="55" t="s">
        <v>192</v>
      </c>
      <c r="Q2" s="183">
        <v>1</v>
      </c>
      <c r="R2" s="55" t="s">
        <v>192</v>
      </c>
      <c r="S2" s="183">
        <v>1</v>
      </c>
      <c r="T2" s="55" t="s">
        <v>192</v>
      </c>
      <c r="U2" s="190">
        <f>Tab_Def_Flows[[#This Row],[CC_DM'[%']]]*Tab_Def_Flows[[#This Row],[DM]]</f>
        <v>1</v>
      </c>
      <c r="V2" s="11" t="s">
        <v>193</v>
      </c>
    </row>
    <row r="3" spans="1:24" x14ac:dyDescent="0.25">
      <c r="A3" s="194" t="b">
        <v>1</v>
      </c>
      <c r="B3" s="43">
        <f t="shared" si="0"/>
        <v>2</v>
      </c>
      <c r="C3" s="9" t="str">
        <f t="shared" si="1"/>
        <v>F_01_02</v>
      </c>
      <c r="D3" s="11" t="s">
        <v>279</v>
      </c>
      <c r="E3" s="37"/>
      <c r="F3" s="37"/>
      <c r="G3" s="37"/>
      <c r="H3" s="189" t="s">
        <v>447</v>
      </c>
      <c r="I3" s="9" t="str">
        <f>_xlfn.XLOOKUP(H3,Tab_Def_Processes[Name(EN)],Tab_Def_Processes[Process_ID],,0,)</f>
        <v>01</v>
      </c>
      <c r="J3" s="189" t="s">
        <v>191</v>
      </c>
      <c r="K3" s="17" t="str">
        <f>_xlfn.XLOOKUP(J3,Tab_Def_Processes[Name(EN)],Tab_Def_Processes[Process_ID],,0,)</f>
        <v>02</v>
      </c>
      <c r="L3" s="189" t="s">
        <v>7</v>
      </c>
      <c r="M3" s="189" t="s">
        <v>7</v>
      </c>
      <c r="N3" s="189" t="s">
        <v>7</v>
      </c>
      <c r="O3" s="183">
        <v>0.23841961794348115</v>
      </c>
      <c r="P3" s="55" t="s">
        <v>192</v>
      </c>
      <c r="Q3" s="183">
        <v>0.76158038205651879</v>
      </c>
      <c r="R3" s="55" t="s">
        <v>192</v>
      </c>
      <c r="S3" s="183">
        <v>0</v>
      </c>
      <c r="T3" s="55" t="s">
        <v>192</v>
      </c>
      <c r="U3" s="190">
        <f>Tab_Def_Flows[[#This Row],[CC_DM'[%']]]*Tab_Def_Flows[[#This Row],[DM]]</f>
        <v>0</v>
      </c>
      <c r="V3" s="11" t="s">
        <v>193</v>
      </c>
    </row>
    <row r="4" spans="1:24" x14ac:dyDescent="0.25">
      <c r="A4" s="194" t="b">
        <v>1</v>
      </c>
      <c r="B4" s="43">
        <f t="shared" si="0"/>
        <v>3</v>
      </c>
      <c r="C4" s="9" t="str">
        <f t="shared" si="1"/>
        <v>F_02_03</v>
      </c>
      <c r="D4" s="11" t="s">
        <v>271</v>
      </c>
      <c r="E4" s="37"/>
      <c r="F4" s="37"/>
      <c r="G4" s="37"/>
      <c r="H4" s="189" t="s">
        <v>191</v>
      </c>
      <c r="I4" s="9" t="str">
        <f>_xlfn.XLOOKUP(H4,Tab_Def_Processes[Name(EN)],Tab_Def_Processes[Process_ID],,0,)</f>
        <v>02</v>
      </c>
      <c r="J4" s="189" t="s">
        <v>298</v>
      </c>
      <c r="K4" s="17" t="str">
        <f>_xlfn.XLOOKUP(J4,Tab_Def_Processes[Name(EN)],Tab_Def_Processes[Process_ID],,0,)</f>
        <v>03</v>
      </c>
      <c r="L4" s="189" t="s">
        <v>7</v>
      </c>
      <c r="M4" s="189" t="s">
        <v>7</v>
      </c>
      <c r="N4" s="189" t="s">
        <v>7</v>
      </c>
      <c r="O4" s="183">
        <v>0.14000000000000001</v>
      </c>
      <c r="P4" s="55" t="s">
        <v>192</v>
      </c>
      <c r="Q4" s="183">
        <v>0.86</v>
      </c>
      <c r="R4" s="55" t="s">
        <v>192</v>
      </c>
      <c r="S4" s="183">
        <v>0.48</v>
      </c>
      <c r="T4" s="55" t="s">
        <v>192</v>
      </c>
      <c r="U4" s="190">
        <f>Tab_Def_Flows[[#This Row],[CC_DM'[%']]]*Tab_Def_Flows[[#This Row],[DM]]</f>
        <v>0.4128</v>
      </c>
      <c r="V4" s="11" t="s">
        <v>193</v>
      </c>
      <c r="X4" s="203"/>
    </row>
    <row r="5" spans="1:24" x14ac:dyDescent="0.25">
      <c r="A5" s="194" t="b">
        <v>1</v>
      </c>
      <c r="B5" s="43">
        <f t="shared" si="0"/>
        <v>4</v>
      </c>
      <c r="C5" s="9" t="str">
        <f t="shared" si="1"/>
        <v>F_03_04</v>
      </c>
      <c r="D5" s="11" t="s">
        <v>272</v>
      </c>
      <c r="E5" s="37"/>
      <c r="F5" s="37"/>
      <c r="G5" s="37"/>
      <c r="H5" s="189" t="s">
        <v>298</v>
      </c>
      <c r="I5" s="9" t="str">
        <f>_xlfn.XLOOKUP(H5,Tab_Def_Processes[Name(EN)],Tab_Def_Processes[Process_ID],,0,)</f>
        <v>03</v>
      </c>
      <c r="J5" s="189" t="s">
        <v>375</v>
      </c>
      <c r="K5" s="17" t="str">
        <f>_xlfn.XLOOKUP(J5,Tab_Def_Processes[Name(EN)],Tab_Def_Processes[Process_ID],,0,)</f>
        <v>04</v>
      </c>
      <c r="L5" s="189" t="s">
        <v>7</v>
      </c>
      <c r="M5" s="189" t="s">
        <v>7</v>
      </c>
      <c r="N5" s="189" t="s">
        <v>7</v>
      </c>
      <c r="O5" s="183">
        <v>0.14000000000000001</v>
      </c>
      <c r="P5" s="55" t="s">
        <v>192</v>
      </c>
      <c r="Q5" s="183">
        <v>0.86</v>
      </c>
      <c r="R5" s="55" t="s">
        <v>192</v>
      </c>
      <c r="S5" s="183">
        <v>0.48</v>
      </c>
      <c r="T5" s="55" t="s">
        <v>192</v>
      </c>
      <c r="U5" s="190">
        <f>Tab_Def_Flows[[#This Row],[CC_DM'[%']]]*Tab_Def_Flows[[#This Row],[DM]]</f>
        <v>0.4128</v>
      </c>
      <c r="V5" s="11" t="s">
        <v>193</v>
      </c>
    </row>
    <row r="6" spans="1:24" x14ac:dyDescent="0.25">
      <c r="A6" s="194" t="b">
        <v>1</v>
      </c>
      <c r="B6" s="43">
        <f t="shared" si="0"/>
        <v>5</v>
      </c>
      <c r="C6" s="9" t="str">
        <f t="shared" si="1"/>
        <v>F_03_05</v>
      </c>
      <c r="D6" s="11" t="s">
        <v>273</v>
      </c>
      <c r="E6" s="37"/>
      <c r="F6" s="37"/>
      <c r="G6" s="37"/>
      <c r="H6" s="189" t="s">
        <v>298</v>
      </c>
      <c r="I6" s="9" t="str">
        <f>_xlfn.XLOOKUP(H6,Tab_Def_Processes[Name(EN)],Tab_Def_Processes[Process_ID],,0,)</f>
        <v>03</v>
      </c>
      <c r="J6" s="189" t="s">
        <v>482</v>
      </c>
      <c r="K6" s="17" t="str">
        <f>_xlfn.XLOOKUP(J6,Tab_Def_Processes[Name(EN)],Tab_Def_Processes[Process_ID],,0,)</f>
        <v>05</v>
      </c>
      <c r="L6" s="189" t="s">
        <v>7</v>
      </c>
      <c r="M6" s="189" t="s">
        <v>7</v>
      </c>
      <c r="N6" s="189" t="s">
        <v>7</v>
      </c>
      <c r="O6" s="183">
        <v>0.14000000000000001</v>
      </c>
      <c r="P6" s="55" t="s">
        <v>192</v>
      </c>
      <c r="Q6" s="183">
        <v>0.86</v>
      </c>
      <c r="R6" s="55" t="s">
        <v>192</v>
      </c>
      <c r="S6" s="183">
        <v>0.48</v>
      </c>
      <c r="T6" s="55" t="s">
        <v>192</v>
      </c>
      <c r="U6" s="190">
        <f>Tab_Def_Flows[[#This Row],[CC_DM'[%']]]*Tab_Def_Flows[[#This Row],[DM]]</f>
        <v>0.4128</v>
      </c>
      <c r="V6" s="11" t="s">
        <v>193</v>
      </c>
    </row>
    <row r="7" spans="1:24" x14ac:dyDescent="0.25">
      <c r="A7" s="194" t="b">
        <v>1</v>
      </c>
      <c r="B7" s="43">
        <f t="shared" si="0"/>
        <v>6</v>
      </c>
      <c r="C7" s="9" t="str">
        <f t="shared" si="1"/>
        <v>F_04_00</v>
      </c>
      <c r="D7" s="11" t="s">
        <v>274</v>
      </c>
      <c r="E7" s="37"/>
      <c r="F7" s="37"/>
      <c r="G7" s="37"/>
      <c r="H7" s="189" t="s">
        <v>375</v>
      </c>
      <c r="I7" s="9" t="str">
        <f>_xlfn.XLOOKUP(H7,Tab_Def_Processes[Name(EN)],Tab_Def_Processes[Process_ID],,0,)</f>
        <v>04</v>
      </c>
      <c r="J7" s="189" t="s">
        <v>446</v>
      </c>
      <c r="K7" s="17" t="str">
        <f>_xlfn.XLOOKUP(J7,Tab_Def_Processes[Name(EN)],Tab_Def_Processes[Process_ID],,0,)</f>
        <v>00</v>
      </c>
      <c r="L7" s="189" t="s">
        <v>7</v>
      </c>
      <c r="M7" s="189" t="s">
        <v>7</v>
      </c>
      <c r="N7" s="189" t="s">
        <v>7</v>
      </c>
      <c r="O7" s="183">
        <v>0</v>
      </c>
      <c r="P7" s="55" t="s">
        <v>192</v>
      </c>
      <c r="Q7" s="183">
        <v>1</v>
      </c>
      <c r="R7" s="55" t="s">
        <v>192</v>
      </c>
      <c r="S7" s="183">
        <v>1</v>
      </c>
      <c r="T7" s="55" t="s">
        <v>192</v>
      </c>
      <c r="U7" s="190">
        <f>Tab_Def_Flows[[#This Row],[CC_DM'[%']]]*Tab_Def_Flows[[#This Row],[DM]]</f>
        <v>1</v>
      </c>
      <c r="V7" s="11" t="s">
        <v>193</v>
      </c>
    </row>
    <row r="8" spans="1:24" x14ac:dyDescent="0.25">
      <c r="A8" s="194" t="b">
        <v>1</v>
      </c>
      <c r="B8" s="43">
        <f t="shared" si="0"/>
        <v>7</v>
      </c>
      <c r="C8" s="9" t="str">
        <f t="shared" si="1"/>
        <v>F_04_01</v>
      </c>
      <c r="D8" s="11" t="s">
        <v>275</v>
      </c>
      <c r="E8" s="37"/>
      <c r="F8" s="37"/>
      <c r="G8" s="37"/>
      <c r="H8" s="189" t="s">
        <v>375</v>
      </c>
      <c r="I8" s="9" t="str">
        <f>_xlfn.XLOOKUP(H8,Tab_Def_Processes[Name(EN)],Tab_Def_Processes[Process_ID],,0,)</f>
        <v>04</v>
      </c>
      <c r="J8" s="189" t="s">
        <v>447</v>
      </c>
      <c r="K8" s="17" t="str">
        <f>_xlfn.XLOOKUP(J8,Tab_Def_Processes[Name(EN)],Tab_Def_Processes[Process_ID],,0,)</f>
        <v>01</v>
      </c>
      <c r="L8" s="189" t="s">
        <v>7</v>
      </c>
      <c r="M8" s="189" t="s">
        <v>7</v>
      </c>
      <c r="N8" s="189" t="s">
        <v>7</v>
      </c>
      <c r="O8" s="183">
        <v>0.23841961794348115</v>
      </c>
      <c r="P8" s="55" t="s">
        <v>192</v>
      </c>
      <c r="Q8" s="183">
        <v>0.76158038205651879</v>
      </c>
      <c r="R8" s="55" t="s">
        <v>192</v>
      </c>
      <c r="S8" s="183">
        <v>0</v>
      </c>
      <c r="T8" s="55" t="s">
        <v>192</v>
      </c>
      <c r="U8" s="190">
        <f>Tab_Def_Flows[[#This Row],[CC_DM'[%']]]*Tab_Def_Flows[[#This Row],[DM]]</f>
        <v>0</v>
      </c>
      <c r="V8" s="11" t="s">
        <v>193</v>
      </c>
    </row>
    <row r="9" spans="1:24" x14ac:dyDescent="0.25">
      <c r="A9" s="194" t="b">
        <v>1</v>
      </c>
      <c r="B9" s="43">
        <f t="shared" si="0"/>
        <v>8</v>
      </c>
      <c r="C9" s="9" t="str">
        <f t="shared" ref="C9:C68" si="2">"F_"&amp;LEFT(I9,2)&amp;"_"&amp;LEFT(K9,2)</f>
        <v>F_05_06</v>
      </c>
      <c r="D9" s="11" t="s">
        <v>382</v>
      </c>
      <c r="E9" s="37"/>
      <c r="F9" s="37"/>
      <c r="G9" s="37"/>
      <c r="H9" s="189" t="s">
        <v>482</v>
      </c>
      <c r="I9" s="9" t="str">
        <f>_xlfn.XLOOKUP(H9,Tab_Def_Processes[Name(EN)],Tab_Def_Processes[Process_ID],,0,)</f>
        <v>05</v>
      </c>
      <c r="J9" s="189" t="s">
        <v>473</v>
      </c>
      <c r="K9" s="17" t="str">
        <f>_xlfn.XLOOKUP(J9,Tab_Def_Processes[Name(EN)],Tab_Def_Processes[Process_ID],,0,)</f>
        <v>06</v>
      </c>
      <c r="L9" s="189" t="s">
        <v>7</v>
      </c>
      <c r="M9" s="189" t="s">
        <v>7</v>
      </c>
      <c r="N9" s="189" t="s">
        <v>7</v>
      </c>
      <c r="O9" s="183">
        <v>0.14000000000000001</v>
      </c>
      <c r="P9" s="55" t="s">
        <v>192</v>
      </c>
      <c r="Q9" s="183">
        <v>0.86</v>
      </c>
      <c r="R9" s="55" t="s">
        <v>192</v>
      </c>
      <c r="S9" s="183">
        <v>0.48</v>
      </c>
      <c r="T9" s="55" t="s">
        <v>192</v>
      </c>
      <c r="U9" s="190">
        <f>Tab_Def_Flows[[#This Row],[CC_DM'[%']]]*Tab_Def_Flows[[#This Row],[DM]]</f>
        <v>0.4128</v>
      </c>
      <c r="V9" s="11" t="s">
        <v>193</v>
      </c>
    </row>
    <row r="10" spans="1:24" x14ac:dyDescent="0.25">
      <c r="A10" s="194" t="b">
        <v>1</v>
      </c>
      <c r="B10" s="43">
        <f t="shared" si="0"/>
        <v>9</v>
      </c>
      <c r="C10" s="9" t="str">
        <f t="shared" si="2"/>
        <v>F_06_08</v>
      </c>
      <c r="D10" s="11" t="s">
        <v>381</v>
      </c>
      <c r="E10" s="37"/>
      <c r="F10" s="37"/>
      <c r="G10" s="37"/>
      <c r="H10" s="189" t="s">
        <v>473</v>
      </c>
      <c r="I10" s="9" t="str">
        <f>_xlfn.XLOOKUP(H10,Tab_Def_Processes[Name(EN)],Tab_Def_Processes[Process_ID],,0,)</f>
        <v>06</v>
      </c>
      <c r="J10" s="189" t="s">
        <v>472</v>
      </c>
      <c r="K10" s="17" t="str">
        <f>_xlfn.XLOOKUP(J10,Tab_Def_Processes[Name(EN)],Tab_Def_Processes[Process_ID],,0,)</f>
        <v>08</v>
      </c>
      <c r="L10" s="189" t="s">
        <v>7</v>
      </c>
      <c r="M10" s="189" t="s">
        <v>7</v>
      </c>
      <c r="N10" s="189" t="s">
        <v>7</v>
      </c>
      <c r="O10" s="183">
        <v>0.14000000000000001</v>
      </c>
      <c r="P10" s="55" t="s">
        <v>192</v>
      </c>
      <c r="Q10" s="183">
        <v>0.86</v>
      </c>
      <c r="R10" s="55" t="s">
        <v>192</v>
      </c>
      <c r="S10" s="183">
        <v>0.48</v>
      </c>
      <c r="T10" s="55" t="s">
        <v>192</v>
      </c>
      <c r="U10" s="190">
        <f>Tab_Def_Flows[[#This Row],[CC_DM'[%']]]*Tab_Def_Flows[[#This Row],[DM]]</f>
        <v>0.4128</v>
      </c>
      <c r="V10" s="11" t="s">
        <v>193</v>
      </c>
    </row>
    <row r="11" spans="1:24" x14ac:dyDescent="0.25">
      <c r="A11" s="194" t="b">
        <v>1</v>
      </c>
      <c r="B11" s="43">
        <f t="shared" si="0"/>
        <v>10</v>
      </c>
      <c r="C11" s="9" t="str">
        <f t="shared" si="2"/>
        <v>F_05_07</v>
      </c>
      <c r="D11" s="11" t="s">
        <v>380</v>
      </c>
      <c r="E11" s="37"/>
      <c r="F11" s="37"/>
      <c r="G11" s="37"/>
      <c r="H11" s="189" t="s">
        <v>482</v>
      </c>
      <c r="I11" s="9" t="str">
        <f>_xlfn.XLOOKUP(H11,Tab_Def_Processes[Name(EN)],Tab_Def_Processes[Process_ID],,0,)</f>
        <v>05</v>
      </c>
      <c r="J11" s="189" t="s">
        <v>374</v>
      </c>
      <c r="K11" s="17" t="str">
        <f>_xlfn.XLOOKUP(J11,Tab_Def_Processes[Name(EN)],Tab_Def_Processes[Process_ID],,0,)</f>
        <v>07</v>
      </c>
      <c r="L11" s="189" t="s">
        <v>7</v>
      </c>
      <c r="M11" s="189" t="s">
        <v>7</v>
      </c>
      <c r="N11" s="189" t="s">
        <v>7</v>
      </c>
      <c r="O11" s="183">
        <v>0.14000000000000001</v>
      </c>
      <c r="P11" s="55" t="s">
        <v>192</v>
      </c>
      <c r="Q11" s="183">
        <v>0.86</v>
      </c>
      <c r="R11" s="55" t="s">
        <v>192</v>
      </c>
      <c r="S11" s="183">
        <v>0.48</v>
      </c>
      <c r="T11" s="55" t="s">
        <v>192</v>
      </c>
      <c r="U11" s="190">
        <f>Tab_Def_Flows[[#This Row],[CC_DM'[%']]]*Tab_Def_Flows[[#This Row],[DM]]</f>
        <v>0.4128</v>
      </c>
      <c r="V11" s="11" t="s">
        <v>193</v>
      </c>
    </row>
    <row r="12" spans="1:24" x14ac:dyDescent="0.25">
      <c r="A12" s="194" t="b">
        <v>0</v>
      </c>
      <c r="B12" s="43">
        <f t="shared" si="0"/>
        <v>11</v>
      </c>
      <c r="C12" s="9" t="str">
        <f t="shared" si="2"/>
        <v>F_07_00</v>
      </c>
      <c r="D12" s="11" t="s">
        <v>376</v>
      </c>
      <c r="E12" s="37"/>
      <c r="F12" s="37"/>
      <c r="G12" s="37"/>
      <c r="H12" s="189" t="s">
        <v>374</v>
      </c>
      <c r="I12" s="9" t="str">
        <f>_xlfn.XLOOKUP(H12,Tab_Def_Processes[Name(EN)],Tab_Def_Processes[Process_ID],,0,)</f>
        <v>07</v>
      </c>
      <c r="J12" s="189" t="s">
        <v>446</v>
      </c>
      <c r="K12" s="17" t="str">
        <f>_xlfn.XLOOKUP(J12,Tab_Def_Processes[Name(EN)],Tab_Def_Processes[Process_ID],,0,)</f>
        <v>00</v>
      </c>
      <c r="L12" s="189" t="s">
        <v>7</v>
      </c>
      <c r="M12" s="189" t="s">
        <v>7</v>
      </c>
      <c r="N12" s="189" t="s">
        <v>7</v>
      </c>
      <c r="O12" s="183">
        <v>0</v>
      </c>
      <c r="P12" s="55" t="s">
        <v>192</v>
      </c>
      <c r="Q12" s="183">
        <v>1</v>
      </c>
      <c r="R12" s="55" t="s">
        <v>192</v>
      </c>
      <c r="S12" s="183">
        <v>1</v>
      </c>
      <c r="T12" s="55" t="s">
        <v>192</v>
      </c>
      <c r="U12" s="190">
        <f>Tab_Def_Flows[[#This Row],[CC_DM'[%']]]*Tab_Def_Flows[[#This Row],[DM]]</f>
        <v>1</v>
      </c>
      <c r="V12" s="11" t="s">
        <v>193</v>
      </c>
    </row>
    <row r="13" spans="1:24" x14ac:dyDescent="0.25">
      <c r="A13" s="194" t="b">
        <v>0</v>
      </c>
      <c r="B13" s="43">
        <f t="shared" si="0"/>
        <v>12</v>
      </c>
      <c r="C13" s="9" t="str">
        <f t="shared" si="2"/>
        <v>F_07_01</v>
      </c>
      <c r="D13" s="11" t="s">
        <v>377</v>
      </c>
      <c r="E13" s="37"/>
      <c r="F13" s="37"/>
      <c r="G13" s="37"/>
      <c r="H13" s="189" t="s">
        <v>374</v>
      </c>
      <c r="I13" s="9" t="str">
        <f>_xlfn.XLOOKUP(H13,Tab_Def_Processes[Name(EN)],Tab_Def_Processes[Process_ID],,0,)</f>
        <v>07</v>
      </c>
      <c r="J13" s="189" t="s">
        <v>447</v>
      </c>
      <c r="K13" s="17" t="str">
        <f>_xlfn.XLOOKUP(J13,Tab_Def_Processes[Name(EN)],Tab_Def_Processes[Process_ID],,0,)</f>
        <v>01</v>
      </c>
      <c r="L13" s="189" t="s">
        <v>7</v>
      </c>
      <c r="M13" s="189" t="s">
        <v>7</v>
      </c>
      <c r="N13" s="189" t="s">
        <v>7</v>
      </c>
      <c r="O13" s="183">
        <v>0.23841961794348115</v>
      </c>
      <c r="P13" s="55" t="s">
        <v>192</v>
      </c>
      <c r="Q13" s="183">
        <v>0.76158038205651879</v>
      </c>
      <c r="R13" s="55" t="s">
        <v>192</v>
      </c>
      <c r="S13" s="183">
        <v>0</v>
      </c>
      <c r="T13" s="55" t="s">
        <v>192</v>
      </c>
      <c r="U13" s="190">
        <f>Tab_Def_Flows[[#This Row],[CC_DM'[%']]]*Tab_Def_Flows[[#This Row],[DM]]</f>
        <v>0</v>
      </c>
      <c r="V13" s="11" t="s">
        <v>193</v>
      </c>
    </row>
    <row r="14" spans="1:24" x14ac:dyDescent="0.25">
      <c r="A14" s="194" t="b">
        <v>0</v>
      </c>
      <c r="B14" s="43">
        <f t="shared" si="0"/>
        <v>13</v>
      </c>
      <c r="C14" s="9" t="str">
        <f t="shared" si="2"/>
        <v>F_08_00</v>
      </c>
      <c r="D14" s="11" t="s">
        <v>477</v>
      </c>
      <c r="E14" s="37"/>
      <c r="F14" s="37"/>
      <c r="G14" s="37"/>
      <c r="H14" s="189" t="s">
        <v>472</v>
      </c>
      <c r="I14" s="9" t="str">
        <f>_xlfn.XLOOKUP(H14,Tab_Def_Processes[Name(EN)],Tab_Def_Processes[Process_ID],,0,)</f>
        <v>08</v>
      </c>
      <c r="J14" s="189" t="s">
        <v>446</v>
      </c>
      <c r="K14" s="17" t="str">
        <f>_xlfn.XLOOKUP(J14,Tab_Def_Processes[Name(EN)],Tab_Def_Processes[Process_ID],,0,)</f>
        <v>00</v>
      </c>
      <c r="L14" s="189" t="s">
        <v>7</v>
      </c>
      <c r="M14" s="189" t="s">
        <v>7</v>
      </c>
      <c r="N14" s="189" t="s">
        <v>7</v>
      </c>
      <c r="O14" s="183">
        <v>0</v>
      </c>
      <c r="P14" s="55" t="s">
        <v>192</v>
      </c>
      <c r="Q14" s="183">
        <v>1</v>
      </c>
      <c r="R14" s="55" t="s">
        <v>192</v>
      </c>
      <c r="S14" s="183">
        <v>1</v>
      </c>
      <c r="T14" s="55" t="s">
        <v>192</v>
      </c>
      <c r="U14" s="190">
        <f>Tab_Def_Flows[[#This Row],[CC_DM'[%']]]*Tab_Def_Flows[[#This Row],[DM]]</f>
        <v>1</v>
      </c>
      <c r="V14" s="11" t="s">
        <v>193</v>
      </c>
    </row>
    <row r="15" spans="1:24" x14ac:dyDescent="0.25">
      <c r="A15" s="194" t="b">
        <v>0</v>
      </c>
      <c r="B15" s="43">
        <f t="shared" si="0"/>
        <v>14</v>
      </c>
      <c r="C15" s="9" t="str">
        <f t="shared" si="2"/>
        <v>F_08_01</v>
      </c>
      <c r="D15" s="11" t="s">
        <v>478</v>
      </c>
      <c r="E15" s="37"/>
      <c r="F15" s="37"/>
      <c r="G15" s="37"/>
      <c r="H15" s="189" t="s">
        <v>472</v>
      </c>
      <c r="I15" s="9" t="str">
        <f>_xlfn.XLOOKUP(H15,Tab_Def_Processes[Name(EN)],Tab_Def_Processes[Process_ID],,0,)</f>
        <v>08</v>
      </c>
      <c r="J15" s="189" t="s">
        <v>447</v>
      </c>
      <c r="K15" s="17" t="str">
        <f>_xlfn.XLOOKUP(J15,Tab_Def_Processes[Name(EN)],Tab_Def_Processes[Process_ID],,0,)</f>
        <v>01</v>
      </c>
      <c r="L15" s="189" t="s">
        <v>7</v>
      </c>
      <c r="M15" s="189" t="s">
        <v>7</v>
      </c>
      <c r="N15" s="189" t="s">
        <v>7</v>
      </c>
      <c r="O15" s="183">
        <v>0.23841961794348115</v>
      </c>
      <c r="P15" s="55" t="s">
        <v>192</v>
      </c>
      <c r="Q15" s="183">
        <v>0.76158038205651879</v>
      </c>
      <c r="R15" s="55" t="s">
        <v>192</v>
      </c>
      <c r="S15" s="183">
        <v>0</v>
      </c>
      <c r="T15" s="55" t="s">
        <v>192</v>
      </c>
      <c r="U15" s="190">
        <f>Tab_Def_Flows[[#This Row],[CC_DM'[%']]]*Tab_Def_Flows[[#This Row],[DM]]</f>
        <v>0</v>
      </c>
      <c r="V15" s="11" t="s">
        <v>193</v>
      </c>
    </row>
    <row r="16" spans="1:24" x14ac:dyDescent="0.25">
      <c r="A16" s="194" t="b">
        <v>1</v>
      </c>
      <c r="B16" s="43">
        <f t="shared" si="0"/>
        <v>15</v>
      </c>
      <c r="C16" s="9" t="str">
        <f t="shared" si="2"/>
        <v>F_05_09</v>
      </c>
      <c r="D16" s="11" t="s">
        <v>474</v>
      </c>
      <c r="E16" s="37"/>
      <c r="F16" s="37"/>
      <c r="G16" s="37"/>
      <c r="H16" s="189" t="s">
        <v>482</v>
      </c>
      <c r="I16" s="9" t="str">
        <f>_xlfn.XLOOKUP(H16,Tab_Def_Processes[Name(EN)],Tab_Def_Processes[Process_ID],,0,)</f>
        <v>05</v>
      </c>
      <c r="J16" s="189" t="s">
        <v>470</v>
      </c>
      <c r="K16" s="17" t="str">
        <f>_xlfn.XLOOKUP(J16,Tab_Def_Processes[Name(EN)],Tab_Def_Processes[Process_ID],,0,)</f>
        <v>09</v>
      </c>
      <c r="L16" s="189" t="s">
        <v>7</v>
      </c>
      <c r="M16" s="189" t="s">
        <v>7</v>
      </c>
      <c r="N16" s="189" t="s">
        <v>7</v>
      </c>
      <c r="O16" s="183">
        <v>0.14000000000000001</v>
      </c>
      <c r="P16" s="55" t="s">
        <v>192</v>
      </c>
      <c r="Q16" s="183">
        <v>0.86</v>
      </c>
      <c r="R16" s="55" t="s">
        <v>192</v>
      </c>
      <c r="S16" s="183">
        <v>0.48</v>
      </c>
      <c r="T16" s="55" t="s">
        <v>192</v>
      </c>
      <c r="U16" s="190">
        <f>Tab_Def_Flows[[#This Row],[CC_DM'[%']]]*Tab_Def_Flows[[#This Row],[DM]]</f>
        <v>0.4128</v>
      </c>
      <c r="V16" s="11" t="s">
        <v>193</v>
      </c>
    </row>
    <row r="17" spans="1:22" x14ac:dyDescent="0.25">
      <c r="A17" s="194" t="b">
        <v>0</v>
      </c>
      <c r="B17" s="43">
        <f t="shared" si="0"/>
        <v>16</v>
      </c>
      <c r="C17" s="9" t="str">
        <f t="shared" si="2"/>
        <v>F_09_00</v>
      </c>
      <c r="D17" s="11" t="s">
        <v>475</v>
      </c>
      <c r="E17" s="37"/>
      <c r="F17" s="37"/>
      <c r="G17" s="37"/>
      <c r="H17" s="189" t="s">
        <v>470</v>
      </c>
      <c r="I17" s="9" t="str">
        <f>_xlfn.XLOOKUP(H17,Tab_Def_Processes[Name(EN)],Tab_Def_Processes[Process_ID],,0,)</f>
        <v>09</v>
      </c>
      <c r="J17" s="189" t="s">
        <v>446</v>
      </c>
      <c r="K17" s="17" t="str">
        <f>_xlfn.XLOOKUP(J17,Tab_Def_Processes[Name(EN)],Tab_Def_Processes[Process_ID],,0,)</f>
        <v>00</v>
      </c>
      <c r="L17" s="189" t="s">
        <v>7</v>
      </c>
      <c r="M17" s="189" t="s">
        <v>7</v>
      </c>
      <c r="N17" s="189" t="s">
        <v>7</v>
      </c>
      <c r="O17" s="183">
        <v>0</v>
      </c>
      <c r="P17" s="55" t="s">
        <v>192</v>
      </c>
      <c r="Q17" s="183">
        <v>1</v>
      </c>
      <c r="R17" s="55" t="s">
        <v>192</v>
      </c>
      <c r="S17" s="183">
        <v>1</v>
      </c>
      <c r="T17" s="55" t="s">
        <v>192</v>
      </c>
      <c r="U17" s="190">
        <f>Tab_Def_Flows[[#This Row],[CC_DM'[%']]]*Tab_Def_Flows[[#This Row],[DM]]</f>
        <v>1</v>
      </c>
      <c r="V17" s="11" t="s">
        <v>193</v>
      </c>
    </row>
    <row r="18" spans="1:22" x14ac:dyDescent="0.25">
      <c r="A18" s="194" t="b">
        <v>0</v>
      </c>
      <c r="B18" s="43">
        <f t="shared" si="0"/>
        <v>17</v>
      </c>
      <c r="C18" s="9" t="str">
        <f t="shared" si="2"/>
        <v>F_09_01</v>
      </c>
      <c r="D18" s="11" t="s">
        <v>476</v>
      </c>
      <c r="E18" s="37"/>
      <c r="F18" s="37"/>
      <c r="G18" s="37"/>
      <c r="H18" s="189" t="s">
        <v>470</v>
      </c>
      <c r="I18" s="9" t="str">
        <f>_xlfn.XLOOKUP(H18,Tab_Def_Processes[Name(EN)],Tab_Def_Processes[Process_ID],,0,)</f>
        <v>09</v>
      </c>
      <c r="J18" s="189" t="s">
        <v>447</v>
      </c>
      <c r="K18" s="17" t="str">
        <f>_xlfn.XLOOKUP(J18,Tab_Def_Processes[Name(EN)],Tab_Def_Processes[Process_ID],,0,)</f>
        <v>01</v>
      </c>
      <c r="L18" s="189" t="s">
        <v>7</v>
      </c>
      <c r="M18" s="189" t="s">
        <v>7</v>
      </c>
      <c r="N18" s="189" t="s">
        <v>7</v>
      </c>
      <c r="O18" s="183">
        <v>0</v>
      </c>
      <c r="P18" s="55" t="s">
        <v>192</v>
      </c>
      <c r="Q18" s="183">
        <v>1</v>
      </c>
      <c r="R18" s="55" t="s">
        <v>192</v>
      </c>
      <c r="S18" s="183">
        <v>0</v>
      </c>
      <c r="T18" s="55" t="s">
        <v>192</v>
      </c>
      <c r="U18" s="190">
        <f>Tab_Def_Flows[[#This Row],[CC_DM'[%']]]*Tab_Def_Flows[[#This Row],[DM]]</f>
        <v>0</v>
      </c>
      <c r="V18" s="11" t="s">
        <v>193</v>
      </c>
    </row>
    <row r="19" spans="1:22" x14ac:dyDescent="0.25">
      <c r="A19" s="194" t="b">
        <v>0</v>
      </c>
      <c r="B19" s="43">
        <f t="shared" si="0"/>
        <v>18</v>
      </c>
      <c r="C19" s="9" t="str">
        <f t="shared" si="2"/>
        <v>F_10_00</v>
      </c>
      <c r="D19" s="11" t="s">
        <v>479</v>
      </c>
      <c r="E19" s="37"/>
      <c r="F19" s="37"/>
      <c r="G19" s="37"/>
      <c r="H19" s="189" t="s">
        <v>471</v>
      </c>
      <c r="I19" s="9" t="str">
        <f>_xlfn.XLOOKUP(H19,Tab_Def_Processes[Name(EN)],Tab_Def_Processes[Process_ID],,0,)</f>
        <v>10</v>
      </c>
      <c r="J19" s="189" t="s">
        <v>446</v>
      </c>
      <c r="K19" s="17" t="str">
        <f>_xlfn.XLOOKUP(J19,Tab_Def_Processes[Name(EN)],Tab_Def_Processes[Process_ID],,0,)</f>
        <v>00</v>
      </c>
      <c r="L19" s="189" t="s">
        <v>7</v>
      </c>
      <c r="M19" s="189" t="s">
        <v>7</v>
      </c>
      <c r="N19" s="189" t="s">
        <v>7</v>
      </c>
      <c r="O19" s="183">
        <v>0</v>
      </c>
      <c r="P19" s="55" t="s">
        <v>192</v>
      </c>
      <c r="Q19" s="183">
        <v>1</v>
      </c>
      <c r="R19" s="55" t="s">
        <v>192</v>
      </c>
      <c r="S19" s="183">
        <v>1</v>
      </c>
      <c r="T19" s="55" t="s">
        <v>192</v>
      </c>
      <c r="U19" s="190">
        <f>Tab_Def_Flows[[#This Row],[CC_DM'[%']]]*Tab_Def_Flows[[#This Row],[DM]]</f>
        <v>1</v>
      </c>
      <c r="V19" s="11" t="s">
        <v>193</v>
      </c>
    </row>
    <row r="20" spans="1:22" x14ac:dyDescent="0.25">
      <c r="A20" s="194" t="b">
        <v>0</v>
      </c>
      <c r="B20" s="43">
        <f t="shared" si="0"/>
        <v>19</v>
      </c>
      <c r="C20" s="9" t="str">
        <f t="shared" si="2"/>
        <v>F_10_01</v>
      </c>
      <c r="D20" s="11" t="s">
        <v>480</v>
      </c>
      <c r="E20" s="37"/>
      <c r="F20" s="37"/>
      <c r="G20" s="37"/>
      <c r="H20" s="189" t="s">
        <v>471</v>
      </c>
      <c r="I20" s="9" t="str">
        <f>_xlfn.XLOOKUP(H20,Tab_Def_Processes[Name(EN)],Tab_Def_Processes[Process_ID],,0,)</f>
        <v>10</v>
      </c>
      <c r="J20" s="189" t="s">
        <v>447</v>
      </c>
      <c r="K20" s="17" t="str">
        <f>_xlfn.XLOOKUP(J20,Tab_Def_Processes[Name(EN)],Tab_Def_Processes[Process_ID],,0,)</f>
        <v>01</v>
      </c>
      <c r="L20" s="189" t="s">
        <v>7</v>
      </c>
      <c r="M20" s="189" t="s">
        <v>7</v>
      </c>
      <c r="N20" s="189" t="s">
        <v>7</v>
      </c>
      <c r="O20" s="183">
        <v>0.23841961794348115</v>
      </c>
      <c r="P20" s="55" t="s">
        <v>192</v>
      </c>
      <c r="Q20" s="183">
        <v>0.76158038205651879</v>
      </c>
      <c r="R20" s="55" t="s">
        <v>192</v>
      </c>
      <c r="S20" s="183">
        <v>0</v>
      </c>
      <c r="T20" s="55" t="s">
        <v>192</v>
      </c>
      <c r="U20" s="190">
        <f>Tab_Def_Flows[[#This Row],[CC_DM'[%']]]*Tab_Def_Flows[[#This Row],[DM]]</f>
        <v>0</v>
      </c>
      <c r="V20" s="11" t="s">
        <v>193</v>
      </c>
    </row>
    <row r="21" spans="1:22" x14ac:dyDescent="0.25">
      <c r="A21" s="194" t="b">
        <v>0</v>
      </c>
      <c r="B21" s="43">
        <f t="shared" si="0"/>
        <v>20</v>
      </c>
      <c r="C21" s="9" t="str">
        <f t="shared" si="2"/>
        <v>F_09_10</v>
      </c>
      <c r="D21" s="11" t="s">
        <v>481</v>
      </c>
      <c r="E21" s="37"/>
      <c r="F21" s="37"/>
      <c r="G21" s="37"/>
      <c r="H21" s="189" t="s">
        <v>470</v>
      </c>
      <c r="I21" s="9" t="str">
        <f>_xlfn.XLOOKUP(H21,Tab_Def_Processes[Name(EN)],Tab_Def_Processes[Process_ID],,0,)</f>
        <v>09</v>
      </c>
      <c r="J21" s="189" t="s">
        <v>471</v>
      </c>
      <c r="K21" s="17" t="str">
        <f>_xlfn.XLOOKUP(J21,Tab_Def_Processes[Name(EN)],Tab_Def_Processes[Process_ID],,0,)</f>
        <v>10</v>
      </c>
      <c r="L21" s="189" t="s">
        <v>7</v>
      </c>
      <c r="M21" s="189" t="s">
        <v>7</v>
      </c>
      <c r="N21" s="189" t="s">
        <v>7</v>
      </c>
      <c r="O21" s="183">
        <v>0.5</v>
      </c>
      <c r="P21" s="55" t="s">
        <v>192</v>
      </c>
      <c r="Q21" s="183">
        <v>0.5</v>
      </c>
      <c r="R21" s="55" t="s">
        <v>192</v>
      </c>
      <c r="S21" s="183">
        <v>0.52</v>
      </c>
      <c r="T21" s="55" t="s">
        <v>192</v>
      </c>
      <c r="U21" s="190">
        <f>Tab_Def_Flows[[#This Row],[CC_DM'[%']]]*Tab_Def_Flows[[#This Row],[DM]]</f>
        <v>0.26</v>
      </c>
      <c r="V21" s="11" t="s">
        <v>193</v>
      </c>
    </row>
    <row r="22" spans="1:22" x14ac:dyDescent="0.25">
      <c r="A22" s="194" t="b">
        <v>0</v>
      </c>
      <c r="B22" s="43">
        <f t="shared" si="0"/>
        <v>21</v>
      </c>
      <c r="C22" s="9" t="str">
        <f t="shared" si="2"/>
        <v>F_01_09</v>
      </c>
      <c r="D22" s="11" t="s">
        <v>811</v>
      </c>
      <c r="E22" s="37"/>
      <c r="F22" s="37"/>
      <c r="G22" s="37"/>
      <c r="H22" s="189" t="s">
        <v>447</v>
      </c>
      <c r="I22" s="9" t="str">
        <f>_xlfn.XLOOKUP(H22,Tab_Def_Processes[Name(EN)],Tab_Def_Processes[Process_ID],,0,)</f>
        <v>01</v>
      </c>
      <c r="J22" s="189" t="s">
        <v>470</v>
      </c>
      <c r="K22" s="17" t="str">
        <f>_xlfn.XLOOKUP(J22,Tab_Def_Processes[Name(EN)],Tab_Def_Processes[Process_ID],,0,)</f>
        <v>09</v>
      </c>
      <c r="L22" s="189" t="s">
        <v>7</v>
      </c>
      <c r="M22" s="189" t="s">
        <v>7</v>
      </c>
      <c r="N22" s="189" t="s">
        <v>7</v>
      </c>
      <c r="O22" s="183">
        <v>1</v>
      </c>
      <c r="P22" s="55" t="s">
        <v>192</v>
      </c>
      <c r="Q22" s="183">
        <v>0</v>
      </c>
      <c r="R22" s="55" t="s">
        <v>192</v>
      </c>
      <c r="S22" s="183">
        <v>0</v>
      </c>
      <c r="T22" s="55" t="s">
        <v>192</v>
      </c>
      <c r="U22" s="190">
        <f>Tab_Def_Flows[[#This Row],[CC_DM'[%']]]*Tab_Def_Flows[[#This Row],[DM]]</f>
        <v>0</v>
      </c>
      <c r="V22" s="11" t="s">
        <v>193</v>
      </c>
    </row>
    <row r="23" spans="1:22" x14ac:dyDescent="0.25">
      <c r="A23" s="194" t="b">
        <v>0</v>
      </c>
      <c r="B23" s="43">
        <f t="shared" si="0"/>
        <v>22</v>
      </c>
      <c r="C23" s="9" t="str">
        <f t="shared" si="2"/>
        <v>F_11_11</v>
      </c>
      <c r="D23" s="11"/>
      <c r="E23" s="37"/>
      <c r="F23" s="37"/>
      <c r="G23" s="37"/>
      <c r="H23" s="189"/>
      <c r="I23" s="9" t="str">
        <f>_xlfn.XLOOKUP(H23,Tab_Def_Processes[Name(EN)],Tab_Def_Processes[Process_ID],,0,)</f>
        <v>11</v>
      </c>
      <c r="J23" s="189"/>
      <c r="K23" s="17" t="str">
        <f>_xlfn.XLOOKUP(J23,Tab_Def_Processes[Name(EN)],Tab_Def_Processes[Process_ID],,0,)</f>
        <v>11</v>
      </c>
      <c r="L23" s="189"/>
      <c r="M23" s="189"/>
      <c r="N23" s="189"/>
      <c r="O23" s="183"/>
      <c r="P23" s="55"/>
      <c r="R23" s="55"/>
      <c r="S23" s="183"/>
      <c r="T23" s="55"/>
      <c r="U23" s="190">
        <f>Tab_Def_Flows[[#This Row],[CC_DM'[%']]]*Tab_Def_Flows[[#This Row],[DM]]</f>
        <v>0</v>
      </c>
      <c r="V23" s="11" t="s">
        <v>193</v>
      </c>
    </row>
    <row r="24" spans="1:22" x14ac:dyDescent="0.25">
      <c r="A24" s="194" t="b">
        <v>0</v>
      </c>
      <c r="B24" s="43">
        <f t="shared" si="0"/>
        <v>23</v>
      </c>
      <c r="C24" s="9" t="str">
        <f t="shared" si="2"/>
        <v>F_11_11</v>
      </c>
      <c r="D24" s="11"/>
      <c r="E24" s="37"/>
      <c r="F24" s="37"/>
      <c r="G24" s="37"/>
      <c r="H24" s="189"/>
      <c r="I24" s="9" t="str">
        <f>_xlfn.XLOOKUP(H24,Tab_Def_Processes[Name(EN)],Tab_Def_Processes[Process_ID],,0,)</f>
        <v>11</v>
      </c>
      <c r="J24" s="189"/>
      <c r="K24" s="17" t="str">
        <f>_xlfn.XLOOKUP(J24,Tab_Def_Processes[Name(EN)],Tab_Def_Processes[Process_ID],,0,)</f>
        <v>11</v>
      </c>
      <c r="L24" s="189"/>
      <c r="M24" s="189"/>
      <c r="N24" s="189"/>
      <c r="O24" s="183"/>
      <c r="P24" s="55"/>
      <c r="R24" s="55"/>
      <c r="S24" s="183"/>
      <c r="T24" s="55"/>
      <c r="U24" s="190">
        <f>Tab_Def_Flows[[#This Row],[CC_DM'[%']]]*Tab_Def_Flows[[#This Row],[DM]]</f>
        <v>0</v>
      </c>
      <c r="V24" s="11" t="s">
        <v>193</v>
      </c>
    </row>
    <row r="25" spans="1:22" x14ac:dyDescent="0.25">
      <c r="A25" s="194" t="b">
        <v>0</v>
      </c>
      <c r="B25" s="43">
        <f t="shared" si="0"/>
        <v>24</v>
      </c>
      <c r="C25" s="9" t="str">
        <f t="shared" si="2"/>
        <v>F_11_11</v>
      </c>
      <c r="D25" s="11"/>
      <c r="E25" s="37"/>
      <c r="F25" s="37"/>
      <c r="G25" s="37"/>
      <c r="H25" s="189"/>
      <c r="I25" s="9" t="str">
        <f>_xlfn.XLOOKUP(H25,Tab_Def_Processes[Name(EN)],Tab_Def_Processes[Process_ID],,0,)</f>
        <v>11</v>
      </c>
      <c r="J25" s="189"/>
      <c r="K25" s="17" t="str">
        <f>_xlfn.XLOOKUP(J25,Tab_Def_Processes[Name(EN)],Tab_Def_Processes[Process_ID],,0,)</f>
        <v>11</v>
      </c>
      <c r="L25" s="189"/>
      <c r="M25" s="189"/>
      <c r="N25" s="189"/>
      <c r="O25" s="183"/>
      <c r="P25" s="55"/>
      <c r="R25" s="55"/>
      <c r="S25" s="183"/>
      <c r="T25" s="55"/>
      <c r="U25" s="190">
        <f>Tab_Def_Flows[[#This Row],[CC_DM'[%']]]*Tab_Def_Flows[[#This Row],[DM]]</f>
        <v>0</v>
      </c>
      <c r="V25" s="11" t="s">
        <v>193</v>
      </c>
    </row>
    <row r="26" spans="1:22" x14ac:dyDescent="0.25">
      <c r="A26" s="194" t="b">
        <v>0</v>
      </c>
      <c r="B26" s="43">
        <f t="shared" si="0"/>
        <v>25</v>
      </c>
      <c r="C26" s="9" t="str">
        <f t="shared" si="2"/>
        <v>F_11_11</v>
      </c>
      <c r="D26" s="11"/>
      <c r="E26" s="37"/>
      <c r="F26" s="37"/>
      <c r="G26" s="37"/>
      <c r="H26" s="189"/>
      <c r="I26" s="9" t="str">
        <f>_xlfn.XLOOKUP(H26,Tab_Def_Processes[Name(EN)],Tab_Def_Processes[Process_ID],,0,)</f>
        <v>11</v>
      </c>
      <c r="J26" s="189"/>
      <c r="K26" s="17" t="str">
        <f>_xlfn.XLOOKUP(J26,Tab_Def_Processes[Name(EN)],Tab_Def_Processes[Process_ID],,0,)</f>
        <v>11</v>
      </c>
      <c r="L26" s="189"/>
      <c r="M26" s="189"/>
      <c r="N26" s="189"/>
      <c r="O26" s="183"/>
      <c r="P26" s="55"/>
      <c r="R26" s="55"/>
      <c r="S26" s="183"/>
      <c r="T26" s="55"/>
      <c r="U26" s="190">
        <f>Tab_Def_Flows[[#This Row],[CC_DM'[%']]]*Tab_Def_Flows[[#This Row],[DM]]</f>
        <v>0</v>
      </c>
      <c r="V26" s="11" t="s">
        <v>193</v>
      </c>
    </row>
    <row r="27" spans="1:22" x14ac:dyDescent="0.25">
      <c r="A27" s="194" t="b">
        <v>0</v>
      </c>
      <c r="B27" s="43">
        <f t="shared" si="0"/>
        <v>26</v>
      </c>
      <c r="C27" s="9" t="str">
        <f t="shared" si="2"/>
        <v>F_11_11</v>
      </c>
      <c r="D27" s="11"/>
      <c r="E27" s="37"/>
      <c r="F27" s="37"/>
      <c r="G27" s="37"/>
      <c r="H27" s="189"/>
      <c r="I27" s="9" t="str">
        <f>_xlfn.XLOOKUP(H27,Tab_Def_Processes[Name(EN)],Tab_Def_Processes[Process_ID],,0,)</f>
        <v>11</v>
      </c>
      <c r="J27" s="189"/>
      <c r="K27" s="17" t="str">
        <f>_xlfn.XLOOKUP(J27,Tab_Def_Processes[Name(EN)],Tab_Def_Processes[Process_ID],,0,)</f>
        <v>11</v>
      </c>
      <c r="L27" s="189"/>
      <c r="M27" s="189"/>
      <c r="N27" s="189"/>
      <c r="O27" s="183"/>
      <c r="P27" s="55"/>
      <c r="R27" s="55"/>
      <c r="S27" s="183"/>
      <c r="T27" s="55"/>
      <c r="U27" s="190">
        <f>Tab_Def_Flows[[#This Row],[CC_DM'[%']]]*Tab_Def_Flows[[#This Row],[DM]]</f>
        <v>0</v>
      </c>
      <c r="V27" s="11" t="s">
        <v>193</v>
      </c>
    </row>
    <row r="28" spans="1:22" x14ac:dyDescent="0.25">
      <c r="A28" s="194" t="b">
        <v>0</v>
      </c>
      <c r="B28" s="43">
        <f t="shared" si="0"/>
        <v>27</v>
      </c>
      <c r="C28" s="9" t="str">
        <f t="shared" si="2"/>
        <v>F_11_11</v>
      </c>
      <c r="D28" s="11"/>
      <c r="E28" s="37"/>
      <c r="F28" s="37"/>
      <c r="G28" s="37"/>
      <c r="H28" s="189"/>
      <c r="I28" s="9" t="str">
        <f>_xlfn.XLOOKUP(H28,Tab_Def_Processes[Name(EN)],Tab_Def_Processes[Process_ID],,0,)</f>
        <v>11</v>
      </c>
      <c r="J28" s="189"/>
      <c r="K28" s="17" t="str">
        <f>_xlfn.XLOOKUP(J28,Tab_Def_Processes[Name(EN)],Tab_Def_Processes[Process_ID],,0,)</f>
        <v>11</v>
      </c>
      <c r="L28" s="189"/>
      <c r="M28" s="189"/>
      <c r="N28" s="189"/>
      <c r="O28" s="183"/>
      <c r="P28" s="55"/>
      <c r="R28" s="55"/>
      <c r="S28" s="183"/>
      <c r="T28" s="55"/>
      <c r="U28" s="190">
        <f>Tab_Def_Flows[[#This Row],[CC_DM'[%']]]*Tab_Def_Flows[[#This Row],[DM]]</f>
        <v>0</v>
      </c>
      <c r="V28" s="11" t="s">
        <v>193</v>
      </c>
    </row>
    <row r="29" spans="1:22" x14ac:dyDescent="0.25">
      <c r="A29" s="194" t="b">
        <v>0</v>
      </c>
      <c r="B29" s="43">
        <f t="shared" si="0"/>
        <v>28</v>
      </c>
      <c r="C29" s="9" t="str">
        <f t="shared" si="2"/>
        <v>F_11_11</v>
      </c>
      <c r="D29" s="11"/>
      <c r="E29" s="37"/>
      <c r="F29" s="37"/>
      <c r="G29" s="37"/>
      <c r="H29" s="189"/>
      <c r="I29" s="9" t="str">
        <f>_xlfn.XLOOKUP(H29,Tab_Def_Processes[Name(EN)],Tab_Def_Processes[Process_ID],,0,)</f>
        <v>11</v>
      </c>
      <c r="J29" s="189"/>
      <c r="K29" s="17" t="str">
        <f>_xlfn.XLOOKUP(J29,Tab_Def_Processes[Name(EN)],Tab_Def_Processes[Process_ID],,0,)</f>
        <v>11</v>
      </c>
      <c r="L29" s="189"/>
      <c r="M29" s="189"/>
      <c r="N29" s="189"/>
      <c r="O29" s="183"/>
      <c r="P29" s="55"/>
      <c r="R29" s="55"/>
      <c r="S29" s="183"/>
      <c r="T29" s="55"/>
      <c r="U29" s="190">
        <f>Tab_Def_Flows[[#This Row],[CC_DM'[%']]]*Tab_Def_Flows[[#This Row],[DM]]</f>
        <v>0</v>
      </c>
      <c r="V29" s="11" t="s">
        <v>193</v>
      </c>
    </row>
    <row r="30" spans="1:22" x14ac:dyDescent="0.25">
      <c r="A30" s="194" t="b">
        <v>0</v>
      </c>
      <c r="B30" s="43">
        <f t="shared" si="0"/>
        <v>29</v>
      </c>
      <c r="C30" s="9" t="str">
        <f t="shared" si="2"/>
        <v>F_11_11</v>
      </c>
      <c r="D30" s="11"/>
      <c r="E30" s="37"/>
      <c r="F30" s="37"/>
      <c r="G30" s="37"/>
      <c r="H30" s="189"/>
      <c r="I30" s="9" t="str">
        <f>_xlfn.XLOOKUP(H30,Tab_Def_Processes[Name(EN)],Tab_Def_Processes[Process_ID],,0,)</f>
        <v>11</v>
      </c>
      <c r="J30" s="189"/>
      <c r="K30" s="17" t="str">
        <f>_xlfn.XLOOKUP(J30,Tab_Def_Processes[Name(EN)],Tab_Def_Processes[Process_ID],,0,)</f>
        <v>11</v>
      </c>
      <c r="L30" s="189"/>
      <c r="M30" s="189"/>
      <c r="N30" s="189"/>
      <c r="O30" s="183"/>
      <c r="P30" s="55"/>
      <c r="R30" s="55"/>
      <c r="S30" s="183"/>
      <c r="T30" s="55"/>
      <c r="U30" s="190">
        <f>Tab_Def_Flows[[#This Row],[CC_DM'[%']]]*Tab_Def_Flows[[#This Row],[DM]]</f>
        <v>0</v>
      </c>
      <c r="V30" s="11"/>
    </row>
    <row r="31" spans="1:22" x14ac:dyDescent="0.25">
      <c r="A31" s="194" t="b">
        <v>0</v>
      </c>
      <c r="B31" s="43">
        <f t="shared" si="0"/>
        <v>30</v>
      </c>
      <c r="C31" s="9" t="str">
        <f t="shared" si="2"/>
        <v>F_11_11</v>
      </c>
      <c r="D31" s="11"/>
      <c r="E31" s="37"/>
      <c r="F31" s="37"/>
      <c r="G31" s="37"/>
      <c r="H31" s="189"/>
      <c r="I31" s="9" t="str">
        <f>_xlfn.XLOOKUP(H31,Tab_Def_Processes[Name(EN)],Tab_Def_Processes[Process_ID],,0,)</f>
        <v>11</v>
      </c>
      <c r="J31" s="189"/>
      <c r="K31" s="17" t="str">
        <f>_xlfn.XLOOKUP(J31,Tab_Def_Processes[Name(EN)],Tab_Def_Processes[Process_ID],,0,)</f>
        <v>11</v>
      </c>
      <c r="L31" s="189"/>
      <c r="M31" s="189"/>
      <c r="N31" s="189"/>
      <c r="O31" s="183"/>
      <c r="P31" s="55"/>
      <c r="R31" s="55"/>
      <c r="S31" s="183"/>
      <c r="T31" s="55"/>
      <c r="U31" s="190">
        <f>Tab_Def_Flows[[#This Row],[CC_DM'[%']]]*Tab_Def_Flows[[#This Row],[DM]]</f>
        <v>0</v>
      </c>
      <c r="V31" s="11"/>
    </row>
    <row r="32" spans="1:22" x14ac:dyDescent="0.25">
      <c r="A32" s="194" t="b">
        <v>0</v>
      </c>
      <c r="B32" s="43">
        <f t="shared" si="0"/>
        <v>31</v>
      </c>
      <c r="C32" s="9" t="str">
        <f t="shared" si="2"/>
        <v>F_11_11</v>
      </c>
      <c r="D32" s="11"/>
      <c r="E32" s="37"/>
      <c r="F32" s="37"/>
      <c r="G32" s="37"/>
      <c r="H32" s="189"/>
      <c r="I32" s="9" t="str">
        <f>_xlfn.XLOOKUP(H32,Tab_Def_Processes[Name(EN)],Tab_Def_Processes[Process_ID],,0,)</f>
        <v>11</v>
      </c>
      <c r="J32" s="189"/>
      <c r="K32" s="17" t="str">
        <f>_xlfn.XLOOKUP(J32,Tab_Def_Processes[Name(EN)],Tab_Def_Processes[Process_ID],,0,)</f>
        <v>11</v>
      </c>
      <c r="L32" s="189"/>
      <c r="M32" s="189"/>
      <c r="N32" s="189"/>
      <c r="O32" s="183"/>
      <c r="P32" s="55"/>
      <c r="R32" s="55"/>
      <c r="S32" s="183"/>
      <c r="T32" s="55"/>
      <c r="U32" s="190">
        <f>Tab_Def_Flows[[#This Row],[CC_DM'[%']]]*Tab_Def_Flows[[#This Row],[DM]]</f>
        <v>0</v>
      </c>
      <c r="V32" s="11"/>
    </row>
    <row r="33" spans="1:22" x14ac:dyDescent="0.25">
      <c r="A33" s="194" t="b">
        <v>0</v>
      </c>
      <c r="B33" s="43">
        <f t="shared" si="0"/>
        <v>32</v>
      </c>
      <c r="C33" s="9" t="str">
        <f t="shared" si="2"/>
        <v>F_11_11</v>
      </c>
      <c r="D33" s="11"/>
      <c r="E33" s="37"/>
      <c r="F33" s="37"/>
      <c r="G33" s="37"/>
      <c r="H33" s="189"/>
      <c r="I33" s="9" t="str">
        <f>_xlfn.XLOOKUP(H33,Tab_Def_Processes[Name(EN)],Tab_Def_Processes[Process_ID],,0,)</f>
        <v>11</v>
      </c>
      <c r="J33" s="189"/>
      <c r="K33" s="17" t="str">
        <f>_xlfn.XLOOKUP(J33,Tab_Def_Processes[Name(EN)],Tab_Def_Processes[Process_ID],,0,)</f>
        <v>11</v>
      </c>
      <c r="L33" s="189"/>
      <c r="M33" s="189"/>
      <c r="N33" s="189"/>
      <c r="O33" s="183"/>
      <c r="P33" s="40"/>
      <c r="R33" s="40"/>
      <c r="S33" s="183"/>
      <c r="T33" s="40"/>
      <c r="U33" s="190">
        <f>Tab_Def_Flows[[#This Row],[CC_DM'[%']]]*Tab_Def_Flows[[#This Row],[DM]]</f>
        <v>0</v>
      </c>
      <c r="V33" s="11"/>
    </row>
    <row r="34" spans="1:22" x14ac:dyDescent="0.25">
      <c r="A34" s="194" t="b">
        <v>0</v>
      </c>
      <c r="B34" s="43">
        <f t="shared" si="0"/>
        <v>33</v>
      </c>
      <c r="C34" s="9" t="str">
        <f t="shared" si="2"/>
        <v>F_11_11</v>
      </c>
      <c r="D34" s="11"/>
      <c r="E34" s="37"/>
      <c r="F34" s="37"/>
      <c r="G34" s="37"/>
      <c r="H34" s="189"/>
      <c r="I34" s="9" t="str">
        <f>_xlfn.XLOOKUP(H34,Tab_Def_Processes[Name(EN)],Tab_Def_Processes[Process_ID],,0,)</f>
        <v>11</v>
      </c>
      <c r="J34" s="189"/>
      <c r="K34" s="17" t="str">
        <f>_xlfn.XLOOKUP(J34,Tab_Def_Processes[Name(EN)],Tab_Def_Processes[Process_ID],,0,)</f>
        <v>11</v>
      </c>
      <c r="L34" s="189"/>
      <c r="M34" s="189"/>
      <c r="N34" s="189"/>
      <c r="O34" s="183"/>
      <c r="P34" s="40"/>
      <c r="R34" s="40"/>
      <c r="S34" s="183"/>
      <c r="T34" s="40"/>
      <c r="U34" s="190">
        <f>Tab_Def_Flows[[#This Row],[CC_DM'[%']]]*Tab_Def_Flows[[#This Row],[DM]]</f>
        <v>0</v>
      </c>
      <c r="V34" s="11"/>
    </row>
    <row r="35" spans="1:22" x14ac:dyDescent="0.25">
      <c r="A35" s="194" t="b">
        <v>0</v>
      </c>
      <c r="B35" s="43">
        <f t="shared" si="0"/>
        <v>34</v>
      </c>
      <c r="C35" s="9" t="str">
        <f t="shared" si="2"/>
        <v>F_11_11</v>
      </c>
      <c r="D35" s="11"/>
      <c r="E35" s="37"/>
      <c r="F35" s="37"/>
      <c r="G35" s="37"/>
      <c r="H35" s="189"/>
      <c r="I35" s="9" t="str">
        <f>_xlfn.XLOOKUP(H35,Tab_Def_Processes[Name(EN)],Tab_Def_Processes[Process_ID],,0,)</f>
        <v>11</v>
      </c>
      <c r="J35" s="189"/>
      <c r="K35" s="17" t="str">
        <f>_xlfn.XLOOKUP(J35,Tab_Def_Processes[Name(EN)],Tab_Def_Processes[Process_ID],,0,)</f>
        <v>11</v>
      </c>
      <c r="L35" s="189"/>
      <c r="M35" s="189"/>
      <c r="N35" s="189"/>
      <c r="O35" s="183"/>
      <c r="P35" s="40"/>
      <c r="R35" s="40"/>
      <c r="S35" s="183"/>
      <c r="T35" s="40"/>
      <c r="U35" s="190">
        <f>Tab_Def_Flows[[#This Row],[CC_DM'[%']]]*Tab_Def_Flows[[#This Row],[DM]]</f>
        <v>0</v>
      </c>
      <c r="V35" s="11"/>
    </row>
    <row r="36" spans="1:22" x14ac:dyDescent="0.25">
      <c r="A36" s="194" t="b">
        <v>0</v>
      </c>
      <c r="B36" s="43">
        <f t="shared" si="0"/>
        <v>35</v>
      </c>
      <c r="C36" s="9" t="str">
        <f t="shared" si="2"/>
        <v>F_11_11</v>
      </c>
      <c r="D36" s="11"/>
      <c r="E36" s="37"/>
      <c r="F36" s="37"/>
      <c r="G36" s="37"/>
      <c r="H36" s="189"/>
      <c r="I36" s="9" t="str">
        <f>_xlfn.XLOOKUP(H36,Tab_Def_Processes[Name(EN)],Tab_Def_Processes[Process_ID],,0,)</f>
        <v>11</v>
      </c>
      <c r="J36" s="189"/>
      <c r="K36" s="17" t="str">
        <f>_xlfn.XLOOKUP(J36,Tab_Def_Processes[Name(EN)],Tab_Def_Processes[Process_ID],,0,)</f>
        <v>11</v>
      </c>
      <c r="L36" s="189"/>
      <c r="M36" s="189"/>
      <c r="N36" s="189"/>
      <c r="O36" s="183"/>
      <c r="P36" s="40"/>
      <c r="R36" s="40"/>
      <c r="S36" s="183"/>
      <c r="T36" s="40"/>
      <c r="U36" s="190">
        <f>Tab_Def_Flows[[#This Row],[CC_DM'[%']]]*Tab_Def_Flows[[#This Row],[DM]]</f>
        <v>0</v>
      </c>
      <c r="V36" s="11"/>
    </row>
    <row r="37" spans="1:22" x14ac:dyDescent="0.25">
      <c r="A37" s="194" t="b">
        <v>0</v>
      </c>
      <c r="B37" s="43">
        <f t="shared" si="0"/>
        <v>36</v>
      </c>
      <c r="C37" s="9" t="str">
        <f t="shared" si="2"/>
        <v>F_11_11</v>
      </c>
      <c r="D37" s="11"/>
      <c r="E37" s="37"/>
      <c r="F37" s="37"/>
      <c r="G37" s="37"/>
      <c r="H37" s="189"/>
      <c r="I37" s="9" t="str">
        <f>_xlfn.XLOOKUP(H37,Tab_Def_Processes[Name(EN)],Tab_Def_Processes[Process_ID],,0,)</f>
        <v>11</v>
      </c>
      <c r="J37" s="189"/>
      <c r="K37" s="17" t="str">
        <f>_xlfn.XLOOKUP(J37,Tab_Def_Processes[Name(EN)],Tab_Def_Processes[Process_ID],,0,)</f>
        <v>11</v>
      </c>
      <c r="L37" s="189"/>
      <c r="M37" s="189"/>
      <c r="N37" s="189"/>
      <c r="O37" s="183"/>
      <c r="P37" s="40"/>
      <c r="R37" s="40"/>
      <c r="S37" s="183"/>
      <c r="T37" s="40"/>
      <c r="U37" s="190">
        <f>Tab_Def_Flows[[#This Row],[CC_DM'[%']]]*Tab_Def_Flows[[#This Row],[DM]]</f>
        <v>0</v>
      </c>
      <c r="V37" s="11"/>
    </row>
    <row r="38" spans="1:22" x14ac:dyDescent="0.25">
      <c r="A38" s="194" t="b">
        <v>0</v>
      </c>
      <c r="B38" s="43">
        <f t="shared" si="0"/>
        <v>37</v>
      </c>
      <c r="C38" s="9" t="str">
        <f t="shared" si="2"/>
        <v>F_11_11</v>
      </c>
      <c r="D38" s="11"/>
      <c r="E38" s="37"/>
      <c r="F38" s="37"/>
      <c r="G38" s="37"/>
      <c r="H38" s="189"/>
      <c r="I38" s="9" t="str">
        <f>_xlfn.XLOOKUP(H38,Tab_Def_Processes[Name(EN)],Tab_Def_Processes[Process_ID],,0,)</f>
        <v>11</v>
      </c>
      <c r="J38" s="189"/>
      <c r="K38" s="17" t="str">
        <f>_xlfn.XLOOKUP(J38,Tab_Def_Processes[Name(EN)],Tab_Def_Processes[Process_ID],,0,)</f>
        <v>11</v>
      </c>
      <c r="L38" s="189"/>
      <c r="M38" s="189"/>
      <c r="N38" s="189"/>
      <c r="O38" s="183"/>
      <c r="P38" s="40"/>
      <c r="R38" s="40"/>
      <c r="S38" s="183"/>
      <c r="T38" s="40"/>
      <c r="U38" s="190">
        <f>Tab_Def_Flows[[#This Row],[CC_DM'[%']]]*Tab_Def_Flows[[#This Row],[DM]]</f>
        <v>0</v>
      </c>
      <c r="V38" s="11"/>
    </row>
    <row r="39" spans="1:22" x14ac:dyDescent="0.25">
      <c r="A39" s="194" t="b">
        <v>0</v>
      </c>
      <c r="B39" s="43">
        <f t="shared" si="0"/>
        <v>38</v>
      </c>
      <c r="C39" s="9" t="str">
        <f t="shared" si="2"/>
        <v>F_11_11</v>
      </c>
      <c r="D39" s="11"/>
      <c r="E39" s="37"/>
      <c r="F39" s="37"/>
      <c r="G39" s="37"/>
      <c r="H39" s="189"/>
      <c r="I39" s="9" t="str">
        <f>_xlfn.XLOOKUP(H39,Tab_Def_Processes[Name(EN)],Tab_Def_Processes[Process_ID],,0,)</f>
        <v>11</v>
      </c>
      <c r="J39" s="189"/>
      <c r="K39" s="17" t="str">
        <f>_xlfn.XLOOKUP(J39,Tab_Def_Processes[Name(EN)],Tab_Def_Processes[Process_ID],,0,)</f>
        <v>11</v>
      </c>
      <c r="L39" s="189"/>
      <c r="M39" s="189"/>
      <c r="N39" s="189"/>
      <c r="O39" s="183"/>
      <c r="P39" s="40"/>
      <c r="R39" s="40"/>
      <c r="S39" s="183"/>
      <c r="T39" s="40"/>
      <c r="U39" s="190">
        <f>Tab_Def_Flows[[#This Row],[CC_DM'[%']]]*Tab_Def_Flows[[#This Row],[DM]]</f>
        <v>0</v>
      </c>
      <c r="V39" s="11"/>
    </row>
    <row r="40" spans="1:22" x14ac:dyDescent="0.25">
      <c r="A40" s="194" t="b">
        <v>0</v>
      </c>
      <c r="B40" s="43">
        <f t="shared" si="0"/>
        <v>39</v>
      </c>
      <c r="C40" s="9" t="str">
        <f t="shared" si="2"/>
        <v>F_11_11</v>
      </c>
      <c r="D40" s="11"/>
      <c r="E40" s="37"/>
      <c r="F40" s="37"/>
      <c r="G40" s="37"/>
      <c r="H40" s="189"/>
      <c r="I40" s="9" t="str">
        <f>_xlfn.XLOOKUP(H40,Tab_Def_Processes[Name(EN)],Tab_Def_Processes[Process_ID],,0,)</f>
        <v>11</v>
      </c>
      <c r="J40" s="189"/>
      <c r="K40" s="17" t="str">
        <f>_xlfn.XLOOKUP(J40,Tab_Def_Processes[Name(EN)],Tab_Def_Processes[Process_ID],,0,)</f>
        <v>11</v>
      </c>
      <c r="L40" s="189"/>
      <c r="M40" s="189"/>
      <c r="N40" s="189"/>
      <c r="O40" s="183"/>
      <c r="P40" s="40"/>
      <c r="R40" s="40"/>
      <c r="S40" s="183"/>
      <c r="T40" s="40"/>
      <c r="U40" s="190">
        <f>Tab_Def_Flows[[#This Row],[CC_DM'[%']]]*Tab_Def_Flows[[#This Row],[DM]]</f>
        <v>0</v>
      </c>
      <c r="V40" s="11"/>
    </row>
    <row r="41" spans="1:22" x14ac:dyDescent="0.25">
      <c r="A41" s="194" t="b">
        <v>0</v>
      </c>
      <c r="B41" s="43">
        <f t="shared" si="0"/>
        <v>40</v>
      </c>
      <c r="C41" s="9" t="str">
        <f t="shared" si="2"/>
        <v>F_11_11</v>
      </c>
      <c r="D41" s="11"/>
      <c r="E41" s="37"/>
      <c r="F41" s="37"/>
      <c r="G41" s="37"/>
      <c r="H41" s="189"/>
      <c r="I41" s="9" t="str">
        <f>_xlfn.XLOOKUP(H41,Tab_Def_Processes[Name(EN)],Tab_Def_Processes[Process_ID],,0,)</f>
        <v>11</v>
      </c>
      <c r="J41" s="189"/>
      <c r="K41" s="17" t="str">
        <f>_xlfn.XLOOKUP(J41,Tab_Def_Processes[Name(EN)],Tab_Def_Processes[Process_ID],,0,)</f>
        <v>11</v>
      </c>
      <c r="L41" s="189"/>
      <c r="M41" s="189"/>
      <c r="N41" s="189"/>
      <c r="O41" s="183"/>
      <c r="P41" s="40"/>
      <c r="R41" s="40"/>
      <c r="S41" s="183"/>
      <c r="T41" s="40"/>
      <c r="U41" s="190">
        <f>Tab_Def_Flows[[#This Row],[CC_DM'[%']]]*Tab_Def_Flows[[#This Row],[DM]]</f>
        <v>0</v>
      </c>
      <c r="V41" s="11"/>
    </row>
    <row r="42" spans="1:22" x14ac:dyDescent="0.25">
      <c r="A42" s="194" t="b">
        <v>0</v>
      </c>
      <c r="B42" s="43">
        <f t="shared" si="0"/>
        <v>41</v>
      </c>
      <c r="C42" s="9" t="str">
        <f t="shared" si="2"/>
        <v>F_11_11</v>
      </c>
      <c r="D42" s="11"/>
      <c r="E42" s="37"/>
      <c r="F42" s="37"/>
      <c r="G42" s="37"/>
      <c r="H42" s="189"/>
      <c r="I42" s="9" t="str">
        <f>_xlfn.XLOOKUP(H42,Tab_Def_Processes[Name(EN)],Tab_Def_Processes[Process_ID],,0,)</f>
        <v>11</v>
      </c>
      <c r="J42" s="189"/>
      <c r="K42" s="17" t="str">
        <f>_xlfn.XLOOKUP(J42,Tab_Def_Processes[Name(EN)],Tab_Def_Processes[Process_ID],,0,)</f>
        <v>11</v>
      </c>
      <c r="L42" s="189"/>
      <c r="M42" s="189"/>
      <c r="N42" s="189"/>
      <c r="O42" s="183"/>
      <c r="P42" s="40"/>
      <c r="R42" s="40"/>
      <c r="S42" s="183"/>
      <c r="T42" s="40"/>
      <c r="U42" s="190">
        <f>Tab_Def_Flows[[#This Row],[CC_DM'[%']]]*Tab_Def_Flows[[#This Row],[DM]]</f>
        <v>0</v>
      </c>
      <c r="V42" s="11"/>
    </row>
    <row r="43" spans="1:22" x14ac:dyDescent="0.25">
      <c r="A43" s="194" t="b">
        <v>0</v>
      </c>
      <c r="B43" s="43">
        <f t="shared" si="0"/>
        <v>42</v>
      </c>
      <c r="C43" s="9" t="str">
        <f t="shared" si="2"/>
        <v>F_11_11</v>
      </c>
      <c r="D43" s="11"/>
      <c r="E43" s="37"/>
      <c r="F43" s="37"/>
      <c r="G43" s="37"/>
      <c r="H43" s="189"/>
      <c r="I43" s="9" t="str">
        <f>_xlfn.XLOOKUP(H43,Tab_Def_Processes[Name(EN)],Tab_Def_Processes[Process_ID],,0,)</f>
        <v>11</v>
      </c>
      <c r="J43" s="189"/>
      <c r="K43" s="17" t="str">
        <f>_xlfn.XLOOKUP(J43,Tab_Def_Processes[Name(EN)],Tab_Def_Processes[Process_ID],,0,)</f>
        <v>11</v>
      </c>
      <c r="L43" s="189"/>
      <c r="M43" s="189"/>
      <c r="N43" s="189"/>
      <c r="O43" s="183"/>
      <c r="P43" s="40"/>
      <c r="R43" s="40"/>
      <c r="S43" s="183"/>
      <c r="T43" s="40"/>
      <c r="U43" s="190">
        <f>Tab_Def_Flows[[#This Row],[CC_DM'[%']]]*Tab_Def_Flows[[#This Row],[DM]]</f>
        <v>0</v>
      </c>
      <c r="V43" s="11"/>
    </row>
    <row r="44" spans="1:22" x14ac:dyDescent="0.25">
      <c r="A44" s="194" t="b">
        <v>0</v>
      </c>
      <c r="B44" s="43">
        <f t="shared" si="0"/>
        <v>43</v>
      </c>
      <c r="C44" s="9" t="str">
        <f t="shared" si="2"/>
        <v>F_11_11</v>
      </c>
      <c r="D44" s="11"/>
      <c r="E44" s="37"/>
      <c r="F44" s="37"/>
      <c r="G44" s="37"/>
      <c r="H44" s="189"/>
      <c r="I44" s="9" t="str">
        <f>_xlfn.XLOOKUP(H44,Tab_Def_Processes[Name(EN)],Tab_Def_Processes[Process_ID],,0,)</f>
        <v>11</v>
      </c>
      <c r="J44" s="189"/>
      <c r="K44" s="17" t="str">
        <f>_xlfn.XLOOKUP(J44,Tab_Def_Processes[Name(EN)],Tab_Def_Processes[Process_ID],,0,)</f>
        <v>11</v>
      </c>
      <c r="L44" s="189"/>
      <c r="M44" s="189"/>
      <c r="N44" s="189"/>
      <c r="O44" s="183"/>
      <c r="P44" s="40"/>
      <c r="R44" s="40"/>
      <c r="S44" s="183"/>
      <c r="T44" s="40"/>
      <c r="U44" s="190">
        <f>Tab_Def_Flows[[#This Row],[CC_DM'[%']]]*Tab_Def_Flows[[#This Row],[DM]]</f>
        <v>0</v>
      </c>
      <c r="V44" s="11"/>
    </row>
    <row r="45" spans="1:22" ht="15.75" customHeight="1" x14ac:dyDescent="0.25">
      <c r="A45" s="194" t="b">
        <v>0</v>
      </c>
      <c r="B45" s="43">
        <f t="shared" si="0"/>
        <v>44</v>
      </c>
      <c r="C45" s="9" t="str">
        <f t="shared" si="2"/>
        <v>F_11_11</v>
      </c>
      <c r="D45" s="11"/>
      <c r="E45" s="37"/>
      <c r="F45" s="37"/>
      <c r="G45" s="37"/>
      <c r="H45" s="189"/>
      <c r="I45" s="9" t="str">
        <f>_xlfn.XLOOKUP(H45,Tab_Def_Processes[Name(EN)],Tab_Def_Processes[Process_ID],,0,)</f>
        <v>11</v>
      </c>
      <c r="J45" s="189"/>
      <c r="K45" s="17" t="str">
        <f>_xlfn.XLOOKUP(J45,Tab_Def_Processes[Name(EN)],Tab_Def_Processes[Process_ID],,0,)</f>
        <v>11</v>
      </c>
      <c r="L45" s="189"/>
      <c r="M45" s="189"/>
      <c r="N45" s="189"/>
      <c r="O45" s="183"/>
      <c r="P45" s="40"/>
      <c r="R45" s="40"/>
      <c r="S45" s="183"/>
      <c r="T45" s="40"/>
      <c r="U45" s="190">
        <f>Tab_Def_Flows[[#This Row],[CC_DM'[%']]]*Tab_Def_Flows[[#This Row],[DM]]</f>
        <v>0</v>
      </c>
      <c r="V45" s="11"/>
    </row>
    <row r="46" spans="1:22" x14ac:dyDescent="0.25">
      <c r="A46" s="194" t="b">
        <v>0</v>
      </c>
      <c r="B46" s="43">
        <f t="shared" si="0"/>
        <v>45</v>
      </c>
      <c r="C46" s="9" t="str">
        <f t="shared" si="2"/>
        <v>F_11_11</v>
      </c>
      <c r="D46" s="11"/>
      <c r="E46" s="37"/>
      <c r="F46" s="37"/>
      <c r="G46" s="37"/>
      <c r="H46" s="189"/>
      <c r="I46" s="9" t="str">
        <f>_xlfn.XLOOKUP(H46,Tab_Def_Processes[Name(EN)],Tab_Def_Processes[Process_ID],,0,)</f>
        <v>11</v>
      </c>
      <c r="J46" s="189"/>
      <c r="K46" s="17" t="str">
        <f>_xlfn.XLOOKUP(J46,Tab_Def_Processes[Name(EN)],Tab_Def_Processes[Process_ID],,0,)</f>
        <v>11</v>
      </c>
      <c r="L46" s="189"/>
      <c r="M46" s="189"/>
      <c r="N46" s="189"/>
      <c r="O46" s="183"/>
      <c r="P46" s="40"/>
      <c r="R46" s="40"/>
      <c r="S46" s="183"/>
      <c r="T46" s="40"/>
      <c r="U46" s="190">
        <f>Tab_Def_Flows[[#This Row],[CC_DM'[%']]]*Tab_Def_Flows[[#This Row],[DM]]</f>
        <v>0</v>
      </c>
      <c r="V46" s="11"/>
    </row>
    <row r="47" spans="1:22" x14ac:dyDescent="0.25">
      <c r="A47" s="194" t="b">
        <v>0</v>
      </c>
      <c r="B47" s="43">
        <f t="shared" si="0"/>
        <v>46</v>
      </c>
      <c r="C47" s="9" t="str">
        <f t="shared" si="2"/>
        <v>F_11_11</v>
      </c>
      <c r="D47" s="11"/>
      <c r="E47" s="37"/>
      <c r="F47" s="37"/>
      <c r="G47" s="37"/>
      <c r="H47" s="189"/>
      <c r="I47" s="9" t="str">
        <f>_xlfn.XLOOKUP(H47,Tab_Def_Processes[Name(EN)],Tab_Def_Processes[Process_ID],,0,)</f>
        <v>11</v>
      </c>
      <c r="J47" s="189"/>
      <c r="K47" s="17" t="str">
        <f>_xlfn.XLOOKUP(J47,Tab_Def_Processes[Name(EN)],Tab_Def_Processes[Process_ID],,0,)</f>
        <v>11</v>
      </c>
      <c r="L47" s="189"/>
      <c r="M47" s="189"/>
      <c r="N47" s="189"/>
      <c r="O47" s="183"/>
      <c r="P47" s="40"/>
      <c r="R47" s="40"/>
      <c r="S47" s="183"/>
      <c r="T47" s="40"/>
      <c r="U47" s="190">
        <f>Tab_Def_Flows[[#This Row],[CC_DM'[%']]]*Tab_Def_Flows[[#This Row],[DM]]</f>
        <v>0</v>
      </c>
      <c r="V47" s="11"/>
    </row>
    <row r="48" spans="1:22" x14ac:dyDescent="0.25">
      <c r="A48" s="194" t="b">
        <v>0</v>
      </c>
      <c r="B48" s="43">
        <f t="shared" si="0"/>
        <v>47</v>
      </c>
      <c r="C48" s="9" t="str">
        <f t="shared" si="2"/>
        <v>F_11_11</v>
      </c>
      <c r="D48" s="11"/>
      <c r="E48" s="37"/>
      <c r="F48" s="37"/>
      <c r="G48" s="37"/>
      <c r="H48" s="189"/>
      <c r="I48" s="9" t="str">
        <f>_xlfn.XLOOKUP(H48,Tab_Def_Processes[Name(EN)],Tab_Def_Processes[Process_ID],,0,)</f>
        <v>11</v>
      </c>
      <c r="J48" s="189"/>
      <c r="K48" s="17" t="str">
        <f>_xlfn.XLOOKUP(J48,Tab_Def_Processes[Name(EN)],Tab_Def_Processes[Process_ID],,0,)</f>
        <v>11</v>
      </c>
      <c r="L48" s="189"/>
      <c r="M48" s="189"/>
      <c r="N48" s="189"/>
      <c r="O48" s="183"/>
      <c r="P48" s="40"/>
      <c r="R48" s="40"/>
      <c r="S48" s="183"/>
      <c r="T48" s="40"/>
      <c r="U48" s="190">
        <f>Tab_Def_Flows[[#This Row],[CC_DM'[%']]]*Tab_Def_Flows[[#This Row],[DM]]</f>
        <v>0</v>
      </c>
      <c r="V48" s="11"/>
    </row>
    <row r="49" spans="1:22" x14ac:dyDescent="0.25">
      <c r="A49" s="194" t="b">
        <v>0</v>
      </c>
      <c r="B49" s="43">
        <f t="shared" si="0"/>
        <v>48</v>
      </c>
      <c r="C49" s="9" t="str">
        <f t="shared" si="2"/>
        <v>F_11_11</v>
      </c>
      <c r="D49" s="11"/>
      <c r="E49" s="37"/>
      <c r="F49" s="37"/>
      <c r="G49" s="37"/>
      <c r="H49" s="189"/>
      <c r="I49" s="9" t="str">
        <f>_xlfn.XLOOKUP(H49,Tab_Def_Processes[Name(EN)],Tab_Def_Processes[Process_ID],,0,)</f>
        <v>11</v>
      </c>
      <c r="J49" s="189"/>
      <c r="K49" s="17" t="str">
        <f>_xlfn.XLOOKUP(J49,Tab_Def_Processes[Name(EN)],Tab_Def_Processes[Process_ID],,0,)</f>
        <v>11</v>
      </c>
      <c r="L49" s="189"/>
      <c r="M49" s="189"/>
      <c r="N49" s="189"/>
      <c r="O49" s="183"/>
      <c r="P49" s="40"/>
      <c r="R49" s="40"/>
      <c r="S49" s="183"/>
      <c r="T49" s="40"/>
      <c r="U49" s="190">
        <f>Tab_Def_Flows[[#This Row],[CC_DM'[%']]]*Tab_Def_Flows[[#This Row],[DM]]</f>
        <v>0</v>
      </c>
      <c r="V49" s="11"/>
    </row>
    <row r="50" spans="1:22" x14ac:dyDescent="0.25">
      <c r="A50" s="194" t="b">
        <v>0</v>
      </c>
      <c r="B50" s="43">
        <f t="shared" si="0"/>
        <v>49</v>
      </c>
      <c r="C50" s="9" t="str">
        <f t="shared" si="2"/>
        <v>F_11_11</v>
      </c>
      <c r="D50" s="11"/>
      <c r="E50" s="37"/>
      <c r="F50" s="37"/>
      <c r="G50" s="37"/>
      <c r="H50" s="189"/>
      <c r="I50" s="9" t="str">
        <f>_xlfn.XLOOKUP(H50,Tab_Def_Processes[Name(EN)],Tab_Def_Processes[Process_ID],,0,)</f>
        <v>11</v>
      </c>
      <c r="J50" s="189"/>
      <c r="K50" s="17" t="str">
        <f>_xlfn.XLOOKUP(J50,Tab_Def_Processes[Name(EN)],Tab_Def_Processes[Process_ID],,0,)</f>
        <v>11</v>
      </c>
      <c r="L50" s="189"/>
      <c r="M50" s="189"/>
      <c r="N50" s="189"/>
      <c r="O50" s="183"/>
      <c r="P50" s="40"/>
      <c r="R50" s="40"/>
      <c r="S50" s="183"/>
      <c r="T50" s="40"/>
      <c r="U50" s="190">
        <f>Tab_Def_Flows[[#This Row],[CC_DM'[%']]]*Tab_Def_Flows[[#This Row],[DM]]</f>
        <v>0</v>
      </c>
      <c r="V50" s="11"/>
    </row>
    <row r="51" spans="1:22" x14ac:dyDescent="0.25">
      <c r="A51" s="194" t="b">
        <v>0</v>
      </c>
      <c r="B51" s="43">
        <f t="shared" si="0"/>
        <v>50</v>
      </c>
      <c r="C51" s="9" t="str">
        <f t="shared" si="2"/>
        <v>F_11_11</v>
      </c>
      <c r="D51" s="11"/>
      <c r="E51" s="37"/>
      <c r="F51" s="37"/>
      <c r="G51" s="37"/>
      <c r="H51" s="189"/>
      <c r="I51" s="9" t="str">
        <f>_xlfn.XLOOKUP(H51,Tab_Def_Processes[Name(EN)],Tab_Def_Processes[Process_ID],,0,)</f>
        <v>11</v>
      </c>
      <c r="J51" s="189"/>
      <c r="K51" s="17" t="str">
        <f>_xlfn.XLOOKUP(J51,Tab_Def_Processes[Name(EN)],Tab_Def_Processes[Process_ID],,0,)</f>
        <v>11</v>
      </c>
      <c r="L51" s="189"/>
      <c r="M51" s="189"/>
      <c r="N51" s="189"/>
      <c r="O51" s="183"/>
      <c r="P51" s="40"/>
      <c r="R51" s="40"/>
      <c r="S51" s="183"/>
      <c r="T51" s="40"/>
      <c r="U51" s="190">
        <f>Tab_Def_Flows[[#This Row],[CC_DM'[%']]]*Tab_Def_Flows[[#This Row],[DM]]</f>
        <v>0</v>
      </c>
      <c r="V51" s="11"/>
    </row>
    <row r="52" spans="1:22" x14ac:dyDescent="0.25">
      <c r="A52" s="194" t="b">
        <v>0</v>
      </c>
      <c r="B52" s="43">
        <f t="shared" si="0"/>
        <v>51</v>
      </c>
      <c r="C52" s="9" t="str">
        <f t="shared" si="2"/>
        <v>F_11_11</v>
      </c>
      <c r="D52" s="11"/>
      <c r="E52" s="37"/>
      <c r="F52" s="37"/>
      <c r="G52" s="37"/>
      <c r="H52" s="189"/>
      <c r="I52" s="9" t="str">
        <f>_xlfn.XLOOKUP(H52,Tab_Def_Processes[Name(EN)],Tab_Def_Processes[Process_ID],,0,)</f>
        <v>11</v>
      </c>
      <c r="J52" s="189"/>
      <c r="K52" s="17" t="str">
        <f>_xlfn.XLOOKUP(J52,Tab_Def_Processes[Name(EN)],Tab_Def_Processes[Process_ID],,0,)</f>
        <v>11</v>
      </c>
      <c r="L52" s="189"/>
      <c r="M52" s="189"/>
      <c r="N52" s="189"/>
      <c r="O52" s="183"/>
      <c r="P52" s="40"/>
      <c r="R52" s="40"/>
      <c r="S52" s="183"/>
      <c r="T52" s="40"/>
      <c r="U52" s="190">
        <f>Tab_Def_Flows[[#This Row],[CC_DM'[%']]]*Tab_Def_Flows[[#This Row],[DM]]</f>
        <v>0</v>
      </c>
      <c r="V52" s="11"/>
    </row>
    <row r="53" spans="1:22" x14ac:dyDescent="0.25">
      <c r="A53" s="194" t="b">
        <v>0</v>
      </c>
      <c r="B53" s="43">
        <f t="shared" si="0"/>
        <v>52</v>
      </c>
      <c r="C53" s="9" t="str">
        <f t="shared" si="2"/>
        <v>F_11_11</v>
      </c>
      <c r="D53" s="11"/>
      <c r="E53" s="37"/>
      <c r="F53" s="37"/>
      <c r="G53" s="37"/>
      <c r="H53" s="189"/>
      <c r="I53" s="9" t="str">
        <f>_xlfn.XLOOKUP(H53,Tab_Def_Processes[Name(EN)],Tab_Def_Processes[Process_ID],,0,)</f>
        <v>11</v>
      </c>
      <c r="J53" s="189"/>
      <c r="K53" s="17" t="str">
        <f>_xlfn.XLOOKUP(J53,Tab_Def_Processes[Name(EN)],Tab_Def_Processes[Process_ID],,0,)</f>
        <v>11</v>
      </c>
      <c r="L53" s="189"/>
      <c r="M53" s="189"/>
      <c r="N53" s="189"/>
      <c r="O53" s="183"/>
      <c r="P53" s="40"/>
      <c r="R53" s="40"/>
      <c r="S53" s="183"/>
      <c r="T53" s="40"/>
      <c r="U53" s="190">
        <f>Tab_Def_Flows[[#This Row],[CC_DM'[%']]]*Tab_Def_Flows[[#This Row],[DM]]</f>
        <v>0</v>
      </c>
      <c r="V53" s="11"/>
    </row>
    <row r="54" spans="1:22" ht="15" customHeight="1" x14ac:dyDescent="0.25">
      <c r="A54" s="194" t="b">
        <v>0</v>
      </c>
      <c r="B54" s="43">
        <f t="shared" si="0"/>
        <v>53</v>
      </c>
      <c r="C54" s="9" t="str">
        <f t="shared" si="2"/>
        <v>F_11_11</v>
      </c>
      <c r="D54" s="11"/>
      <c r="E54" s="38"/>
      <c r="F54" s="37"/>
      <c r="G54" s="38"/>
      <c r="H54" s="189"/>
      <c r="I54" s="9" t="str">
        <f>_xlfn.XLOOKUP(H54,Tab_Def_Processes[Name(EN)],Tab_Def_Processes[Process_ID],,0,)</f>
        <v>11</v>
      </c>
      <c r="J54" s="189"/>
      <c r="K54" s="17" t="str">
        <f>_xlfn.XLOOKUP(J54,Tab_Def_Processes[Name(EN)],Tab_Def_Processes[Process_ID],,0,)</f>
        <v>11</v>
      </c>
      <c r="L54" s="189"/>
      <c r="M54" s="189"/>
      <c r="N54" s="189"/>
      <c r="O54" s="183"/>
      <c r="P54" s="40"/>
      <c r="R54" s="40"/>
      <c r="S54" s="183"/>
      <c r="T54" s="40"/>
      <c r="U54" s="190">
        <f>Tab_Def_Flows[[#This Row],[CC_DM'[%']]]*Tab_Def_Flows[[#This Row],[DM]]</f>
        <v>0</v>
      </c>
      <c r="V54" s="11"/>
    </row>
    <row r="55" spans="1:22" ht="15" customHeight="1" x14ac:dyDescent="0.25">
      <c r="A55" s="194" t="b">
        <v>0</v>
      </c>
      <c r="B55" s="43">
        <f t="shared" si="0"/>
        <v>54</v>
      </c>
      <c r="C55" s="9" t="str">
        <f t="shared" si="2"/>
        <v>F_11_11</v>
      </c>
      <c r="D55" s="11"/>
      <c r="E55" s="38"/>
      <c r="F55" s="37"/>
      <c r="G55" s="38"/>
      <c r="H55" s="189"/>
      <c r="I55" s="9" t="str">
        <f>_xlfn.XLOOKUP(H55,Tab_Def_Processes[Name(EN)],Tab_Def_Processes[Process_ID],,0,)</f>
        <v>11</v>
      </c>
      <c r="J55" s="189"/>
      <c r="K55" s="17" t="str">
        <f>_xlfn.XLOOKUP(J55,Tab_Def_Processes[Name(EN)],Tab_Def_Processes[Process_ID],,0,)</f>
        <v>11</v>
      </c>
      <c r="L55" s="189"/>
      <c r="M55" s="189"/>
      <c r="N55" s="189"/>
      <c r="O55" s="183"/>
      <c r="P55" s="40"/>
      <c r="R55" s="40"/>
      <c r="S55" s="183"/>
      <c r="T55" s="40"/>
      <c r="U55" s="190">
        <f>Tab_Def_Flows[[#This Row],[CC_DM'[%']]]*Tab_Def_Flows[[#This Row],[DM]]</f>
        <v>0</v>
      </c>
      <c r="V55" s="11"/>
    </row>
    <row r="56" spans="1:22" ht="15" customHeight="1" x14ac:dyDescent="0.25">
      <c r="A56" s="194" t="b">
        <v>0</v>
      </c>
      <c r="B56" s="43">
        <f t="shared" si="0"/>
        <v>55</v>
      </c>
      <c r="C56" s="9" t="str">
        <f t="shared" si="2"/>
        <v>F_11_11</v>
      </c>
      <c r="D56" s="11"/>
      <c r="E56" s="38"/>
      <c r="F56" s="37"/>
      <c r="G56" s="38"/>
      <c r="H56" s="189"/>
      <c r="I56" s="9" t="str">
        <f>_xlfn.XLOOKUP(H56,Tab_Def_Processes[Name(EN)],Tab_Def_Processes[Process_ID],,0,)</f>
        <v>11</v>
      </c>
      <c r="J56" s="189"/>
      <c r="K56" s="17" t="str">
        <f>_xlfn.XLOOKUP(J56,Tab_Def_Processes[Name(EN)],Tab_Def_Processes[Process_ID],,0,)</f>
        <v>11</v>
      </c>
      <c r="L56" s="189"/>
      <c r="M56" s="189"/>
      <c r="N56" s="189"/>
      <c r="O56" s="183"/>
      <c r="P56" s="40"/>
      <c r="R56" s="40"/>
      <c r="S56" s="183"/>
      <c r="T56" s="40"/>
      <c r="U56" s="190">
        <f>Tab_Def_Flows[[#This Row],[CC_DM'[%']]]*Tab_Def_Flows[[#This Row],[DM]]</f>
        <v>0</v>
      </c>
      <c r="V56" s="11"/>
    </row>
    <row r="57" spans="1:22" ht="15" customHeight="1" x14ac:dyDescent="0.25">
      <c r="A57" s="194" t="b">
        <v>0</v>
      </c>
      <c r="B57" s="43">
        <f t="shared" si="0"/>
        <v>56</v>
      </c>
      <c r="C57" s="9" t="str">
        <f t="shared" si="2"/>
        <v>F_11_11</v>
      </c>
      <c r="D57" s="11"/>
      <c r="E57" s="38"/>
      <c r="F57" s="37"/>
      <c r="G57" s="38"/>
      <c r="H57" s="189"/>
      <c r="I57" s="9" t="str">
        <f>_xlfn.XLOOKUP(H57,Tab_Def_Processes[Name(EN)],Tab_Def_Processes[Process_ID],,0,)</f>
        <v>11</v>
      </c>
      <c r="J57" s="189"/>
      <c r="K57" s="17" t="str">
        <f>_xlfn.XLOOKUP(J57,Tab_Def_Processes[Name(EN)],Tab_Def_Processes[Process_ID],,0,)</f>
        <v>11</v>
      </c>
      <c r="L57" s="189"/>
      <c r="M57" s="189"/>
      <c r="N57" s="189"/>
      <c r="O57" s="183"/>
      <c r="P57" s="40"/>
      <c r="R57" s="40"/>
      <c r="S57" s="183"/>
      <c r="T57" s="40"/>
      <c r="U57" s="190">
        <f>Tab_Def_Flows[[#This Row],[CC_DM'[%']]]*Tab_Def_Flows[[#This Row],[DM]]</f>
        <v>0</v>
      </c>
      <c r="V57" s="11"/>
    </row>
    <row r="58" spans="1:22" ht="15" customHeight="1" x14ac:dyDescent="0.25">
      <c r="A58" s="194" t="b">
        <v>0</v>
      </c>
      <c r="B58" s="43">
        <f t="shared" si="0"/>
        <v>57</v>
      </c>
      <c r="C58" s="9" t="str">
        <f t="shared" si="2"/>
        <v>F_11_11</v>
      </c>
      <c r="D58" s="11"/>
      <c r="E58" s="37"/>
      <c r="F58" s="37"/>
      <c r="G58" s="38"/>
      <c r="H58" s="189"/>
      <c r="I58" s="9" t="str">
        <f>_xlfn.XLOOKUP(H58,Tab_Def_Processes[Name(EN)],Tab_Def_Processes[Process_ID],,0,)</f>
        <v>11</v>
      </c>
      <c r="J58" s="189"/>
      <c r="K58" s="17" t="str">
        <f>_xlfn.XLOOKUP(J58,Tab_Def_Processes[Name(EN)],Tab_Def_Processes[Process_ID],,0,)</f>
        <v>11</v>
      </c>
      <c r="L58" s="189"/>
      <c r="M58" s="189"/>
      <c r="N58" s="189"/>
      <c r="O58" s="183"/>
      <c r="P58" s="40"/>
      <c r="R58" s="40"/>
      <c r="S58" s="183"/>
      <c r="T58" s="40"/>
      <c r="U58" s="190">
        <f>Tab_Def_Flows[[#This Row],[CC_DM'[%']]]*Tab_Def_Flows[[#This Row],[DM]]</f>
        <v>0</v>
      </c>
      <c r="V58" s="11"/>
    </row>
    <row r="59" spans="1:22" ht="15" customHeight="1" x14ac:dyDescent="0.25">
      <c r="A59" s="194" t="b">
        <v>0</v>
      </c>
      <c r="B59" s="43">
        <f t="shared" si="0"/>
        <v>58</v>
      </c>
      <c r="C59" s="9" t="str">
        <f t="shared" si="2"/>
        <v>F_11_11</v>
      </c>
      <c r="D59" s="11"/>
      <c r="E59" s="37"/>
      <c r="F59" s="37"/>
      <c r="G59" s="38"/>
      <c r="H59" s="189"/>
      <c r="I59" s="9" t="str">
        <f>_xlfn.XLOOKUP(H59,Tab_Def_Processes[Name(EN)],Tab_Def_Processes[Process_ID],,0,)</f>
        <v>11</v>
      </c>
      <c r="J59" s="189"/>
      <c r="K59" s="17" t="str">
        <f>_xlfn.XLOOKUP(J59,Tab_Def_Processes[Name(EN)],Tab_Def_Processes[Process_ID],,0,)</f>
        <v>11</v>
      </c>
      <c r="L59" s="189"/>
      <c r="M59" s="189"/>
      <c r="N59" s="189"/>
      <c r="O59" s="183"/>
      <c r="P59" s="40"/>
      <c r="R59" s="40"/>
      <c r="S59" s="183"/>
      <c r="T59" s="40"/>
      <c r="U59" s="190">
        <f>Tab_Def_Flows[[#This Row],[CC_DM'[%']]]*Tab_Def_Flows[[#This Row],[DM]]</f>
        <v>0</v>
      </c>
      <c r="V59" s="11"/>
    </row>
    <row r="60" spans="1:22" ht="15" customHeight="1" x14ac:dyDescent="0.25">
      <c r="A60" s="194" t="b">
        <v>0</v>
      </c>
      <c r="B60" s="43">
        <f t="shared" si="0"/>
        <v>59</v>
      </c>
      <c r="C60" s="9" t="str">
        <f t="shared" si="2"/>
        <v>F_11_11</v>
      </c>
      <c r="D60" s="11"/>
      <c r="E60" s="37"/>
      <c r="F60" s="37"/>
      <c r="G60" s="38"/>
      <c r="H60" s="189"/>
      <c r="I60" s="9" t="str">
        <f>_xlfn.XLOOKUP(H60,Tab_Def_Processes[Name(EN)],Tab_Def_Processes[Process_ID],,0,)</f>
        <v>11</v>
      </c>
      <c r="J60" s="189"/>
      <c r="K60" s="17" t="str">
        <f>_xlfn.XLOOKUP(J60,Tab_Def_Processes[Name(EN)],Tab_Def_Processes[Process_ID],,0,)</f>
        <v>11</v>
      </c>
      <c r="L60" s="189"/>
      <c r="M60" s="189"/>
      <c r="N60" s="189"/>
      <c r="O60" s="183"/>
      <c r="P60" s="40"/>
      <c r="R60" s="40"/>
      <c r="S60" s="183"/>
      <c r="T60" s="40"/>
      <c r="U60" s="190">
        <f>Tab_Def_Flows[[#This Row],[CC_DM'[%']]]*Tab_Def_Flows[[#This Row],[DM]]</f>
        <v>0</v>
      </c>
      <c r="V60" s="11"/>
    </row>
    <row r="61" spans="1:22" ht="15" customHeight="1" x14ac:dyDescent="0.25">
      <c r="A61" s="194" t="b">
        <v>0</v>
      </c>
      <c r="B61" s="43">
        <f t="shared" si="0"/>
        <v>60</v>
      </c>
      <c r="C61" s="9" t="str">
        <f t="shared" si="2"/>
        <v>F_11_11</v>
      </c>
      <c r="D61" s="11"/>
      <c r="E61" s="37"/>
      <c r="F61" s="37"/>
      <c r="G61" s="38"/>
      <c r="H61" s="189"/>
      <c r="I61" s="9" t="str">
        <f>_xlfn.XLOOKUP(H61,Tab_Def_Processes[Name(EN)],Tab_Def_Processes[Process_ID],,0,)</f>
        <v>11</v>
      </c>
      <c r="J61" s="189"/>
      <c r="K61" s="17" t="str">
        <f>_xlfn.XLOOKUP(J61,Tab_Def_Processes[Name(EN)],Tab_Def_Processes[Process_ID],,0,)</f>
        <v>11</v>
      </c>
      <c r="L61" s="189"/>
      <c r="M61" s="189"/>
      <c r="N61" s="189"/>
      <c r="O61" s="183"/>
      <c r="P61" s="40"/>
      <c r="R61" s="40"/>
      <c r="S61" s="183"/>
      <c r="T61" s="40"/>
      <c r="U61" s="190">
        <f>Tab_Def_Flows[[#This Row],[CC_DM'[%']]]*Tab_Def_Flows[[#This Row],[DM]]</f>
        <v>0</v>
      </c>
      <c r="V61" s="11"/>
    </row>
    <row r="62" spans="1:22" x14ac:dyDescent="0.25">
      <c r="A62" s="194" t="b">
        <v>0</v>
      </c>
      <c r="B62" s="43">
        <f t="shared" ref="B62:B79" si="3">ROW()-1</f>
        <v>61</v>
      </c>
      <c r="C62" s="9" t="str">
        <f t="shared" si="2"/>
        <v>F_11_11</v>
      </c>
      <c r="D62" s="11"/>
      <c r="E62" s="37"/>
      <c r="F62" s="37"/>
      <c r="G62" s="37"/>
      <c r="H62" s="189"/>
      <c r="I62" s="9" t="str">
        <f>_xlfn.XLOOKUP(H62,Tab_Def_Processes[Name(EN)],Tab_Def_Processes[Process_ID],,0,)</f>
        <v>11</v>
      </c>
      <c r="J62" s="189"/>
      <c r="K62" s="17" t="str">
        <f>_xlfn.XLOOKUP(J62,Tab_Def_Processes[Name(EN)],Tab_Def_Processes[Process_ID],,0,)</f>
        <v>11</v>
      </c>
      <c r="L62" s="189"/>
      <c r="M62" s="189"/>
      <c r="N62" s="189"/>
      <c r="O62" s="183"/>
      <c r="P62" s="40"/>
      <c r="R62" s="40"/>
      <c r="S62" s="183"/>
      <c r="T62" s="40"/>
      <c r="U62" s="190">
        <f>Tab_Def_Flows[[#This Row],[CC_DM'[%']]]*Tab_Def_Flows[[#This Row],[DM]]</f>
        <v>0</v>
      </c>
      <c r="V62" s="11"/>
    </row>
    <row r="63" spans="1:22" x14ac:dyDescent="0.25">
      <c r="A63" s="194" t="b">
        <v>0</v>
      </c>
      <c r="B63" s="43">
        <f t="shared" si="3"/>
        <v>62</v>
      </c>
      <c r="C63" s="9" t="str">
        <f t="shared" si="2"/>
        <v>F_11_11</v>
      </c>
      <c r="D63" s="11"/>
      <c r="E63" s="37"/>
      <c r="F63" s="37"/>
      <c r="G63" s="37"/>
      <c r="H63" s="189"/>
      <c r="I63" s="9" t="str">
        <f>_xlfn.XLOOKUP(H63,Tab_Def_Processes[Name(EN)],Tab_Def_Processes[Process_ID],,0,)</f>
        <v>11</v>
      </c>
      <c r="J63" s="189"/>
      <c r="K63" s="17" t="str">
        <f>_xlfn.XLOOKUP(J63,Tab_Def_Processes[Name(EN)],Tab_Def_Processes[Process_ID],,0,)</f>
        <v>11</v>
      </c>
      <c r="L63" s="189"/>
      <c r="M63" s="189"/>
      <c r="N63" s="189"/>
      <c r="O63" s="183"/>
      <c r="P63" s="40"/>
      <c r="R63" s="40"/>
      <c r="S63" s="183"/>
      <c r="T63" s="40"/>
      <c r="U63" s="190">
        <f>Tab_Def_Flows[[#This Row],[CC_DM'[%']]]*Tab_Def_Flows[[#This Row],[DM]]</f>
        <v>0</v>
      </c>
      <c r="V63" s="11"/>
    </row>
    <row r="64" spans="1:22" x14ac:dyDescent="0.25">
      <c r="A64" s="194" t="b">
        <v>0</v>
      </c>
      <c r="B64" s="43">
        <f t="shared" si="3"/>
        <v>63</v>
      </c>
      <c r="C64" s="9" t="str">
        <f t="shared" si="2"/>
        <v>F_11_11</v>
      </c>
      <c r="D64" s="11"/>
      <c r="E64" s="37"/>
      <c r="F64" s="37"/>
      <c r="G64" s="37"/>
      <c r="H64" s="189"/>
      <c r="I64" s="9" t="str">
        <f>_xlfn.XLOOKUP(H64,Tab_Def_Processes[Name(EN)],Tab_Def_Processes[Process_ID],,0,)</f>
        <v>11</v>
      </c>
      <c r="J64" s="189"/>
      <c r="K64" s="17" t="str">
        <f>_xlfn.XLOOKUP(J64,Tab_Def_Processes[Name(EN)],Tab_Def_Processes[Process_ID],,0,)</f>
        <v>11</v>
      </c>
      <c r="L64" s="189"/>
      <c r="M64" s="189"/>
      <c r="N64" s="189"/>
      <c r="O64" s="183"/>
      <c r="P64" s="40"/>
      <c r="R64" s="40"/>
      <c r="S64" s="183"/>
      <c r="T64" s="40"/>
      <c r="U64" s="190">
        <f>Tab_Def_Flows[[#This Row],[CC_DM'[%']]]*Tab_Def_Flows[[#This Row],[DM]]</f>
        <v>0</v>
      </c>
      <c r="V64" s="11"/>
    </row>
    <row r="65" spans="1:22" x14ac:dyDescent="0.25">
      <c r="A65" s="194" t="b">
        <v>0</v>
      </c>
      <c r="B65" s="43">
        <f t="shared" si="3"/>
        <v>64</v>
      </c>
      <c r="C65" s="9" t="str">
        <f t="shared" si="2"/>
        <v>F_11_11</v>
      </c>
      <c r="D65" s="11"/>
      <c r="E65" s="37"/>
      <c r="F65" s="37"/>
      <c r="G65" s="37"/>
      <c r="H65" s="189"/>
      <c r="I65" s="9" t="str">
        <f>_xlfn.XLOOKUP(H65,Tab_Def_Processes[Name(EN)],Tab_Def_Processes[Process_ID],,0,)</f>
        <v>11</v>
      </c>
      <c r="J65" s="189"/>
      <c r="K65" s="17" t="str">
        <f>_xlfn.XLOOKUP(J65,Tab_Def_Processes[Name(EN)],Tab_Def_Processes[Process_ID],,0,)</f>
        <v>11</v>
      </c>
      <c r="L65" s="189"/>
      <c r="M65" s="189"/>
      <c r="N65" s="189"/>
      <c r="O65" s="183"/>
      <c r="P65" s="40"/>
      <c r="R65" s="40"/>
      <c r="S65" s="183"/>
      <c r="T65" s="40"/>
      <c r="U65" s="190">
        <f>Tab_Def_Flows[[#This Row],[CC_DM'[%']]]*Tab_Def_Flows[[#This Row],[DM]]</f>
        <v>0</v>
      </c>
      <c r="V65" s="11"/>
    </row>
    <row r="66" spans="1:22" x14ac:dyDescent="0.25">
      <c r="A66" s="194" t="b">
        <v>0</v>
      </c>
      <c r="B66" s="43">
        <f t="shared" si="3"/>
        <v>65</v>
      </c>
      <c r="C66" s="9" t="str">
        <f t="shared" si="2"/>
        <v>F_11_11</v>
      </c>
      <c r="D66" s="11"/>
      <c r="E66" s="37"/>
      <c r="F66" s="37"/>
      <c r="G66" s="37"/>
      <c r="H66" s="189"/>
      <c r="I66" s="9" t="str">
        <f>_xlfn.XLOOKUP(H66,Tab_Def_Processes[Name(EN)],Tab_Def_Processes[Process_ID],,0,)</f>
        <v>11</v>
      </c>
      <c r="J66" s="189"/>
      <c r="K66" s="17" t="str">
        <f>_xlfn.XLOOKUP(J66,Tab_Def_Processes[Name(EN)],Tab_Def_Processes[Process_ID],,0,)</f>
        <v>11</v>
      </c>
      <c r="L66" s="189"/>
      <c r="M66" s="189"/>
      <c r="N66" s="189"/>
      <c r="O66" s="183"/>
      <c r="P66" s="40"/>
      <c r="R66" s="40"/>
      <c r="S66" s="183"/>
      <c r="T66" s="40"/>
      <c r="U66" s="190">
        <f>Tab_Def_Flows[[#This Row],[CC_DM'[%']]]*Tab_Def_Flows[[#This Row],[DM]]</f>
        <v>0</v>
      </c>
      <c r="V66" s="11"/>
    </row>
    <row r="67" spans="1:22" x14ac:dyDescent="0.25">
      <c r="A67" s="194" t="b">
        <v>0</v>
      </c>
      <c r="B67" s="43">
        <f t="shared" si="3"/>
        <v>66</v>
      </c>
      <c r="C67" s="9" t="str">
        <f t="shared" si="2"/>
        <v>F_11_11</v>
      </c>
      <c r="D67" s="11"/>
      <c r="E67" s="37"/>
      <c r="F67" s="37"/>
      <c r="G67" s="37"/>
      <c r="H67" s="189"/>
      <c r="I67" s="9" t="str">
        <f>_xlfn.XLOOKUP(H67,Tab_Def_Processes[Name(EN)],Tab_Def_Processes[Process_ID],,0,)</f>
        <v>11</v>
      </c>
      <c r="J67" s="189"/>
      <c r="K67" s="17" t="str">
        <f>_xlfn.XLOOKUP(J67,Tab_Def_Processes[Name(EN)],Tab_Def_Processes[Process_ID],,0,)</f>
        <v>11</v>
      </c>
      <c r="L67" s="189"/>
      <c r="M67" s="189"/>
      <c r="N67" s="189"/>
      <c r="O67" s="183"/>
      <c r="P67" s="40"/>
      <c r="R67" s="40"/>
      <c r="S67" s="183"/>
      <c r="T67" s="40"/>
      <c r="U67" s="190">
        <f>Tab_Def_Flows[[#This Row],[CC_DM'[%']]]*Tab_Def_Flows[[#This Row],[DM]]</f>
        <v>0</v>
      </c>
      <c r="V67" s="11"/>
    </row>
    <row r="68" spans="1:22" x14ac:dyDescent="0.25">
      <c r="A68" s="194" t="b">
        <v>0</v>
      </c>
      <c r="B68" s="43">
        <f t="shared" si="3"/>
        <v>67</v>
      </c>
      <c r="C68" s="9" t="str">
        <f t="shared" si="2"/>
        <v>F_11_11</v>
      </c>
      <c r="D68" s="11"/>
      <c r="E68" s="37"/>
      <c r="F68" s="37"/>
      <c r="G68" s="37"/>
      <c r="H68" s="189"/>
      <c r="I68" s="9" t="str">
        <f>_xlfn.XLOOKUP(H68,Tab_Def_Processes[Name(EN)],Tab_Def_Processes[Process_ID],,0,)</f>
        <v>11</v>
      </c>
      <c r="J68" s="189"/>
      <c r="K68" s="17" t="str">
        <f>_xlfn.XLOOKUP(J68,Tab_Def_Processes[Name(EN)],Tab_Def_Processes[Process_ID],,0,)</f>
        <v>11</v>
      </c>
      <c r="L68" s="189"/>
      <c r="M68" s="189"/>
      <c r="N68" s="189"/>
      <c r="O68" s="183"/>
      <c r="P68" s="40"/>
      <c r="R68" s="40"/>
      <c r="S68" s="183"/>
      <c r="T68" s="40"/>
      <c r="U68" s="190">
        <f>Tab_Def_Flows[[#This Row],[CC_DM'[%']]]*Tab_Def_Flows[[#This Row],[DM]]</f>
        <v>0</v>
      </c>
      <c r="V68" s="11"/>
    </row>
    <row r="69" spans="1:22" x14ac:dyDescent="0.25">
      <c r="A69" s="194" t="b">
        <v>0</v>
      </c>
      <c r="B69" s="43">
        <f t="shared" si="3"/>
        <v>68</v>
      </c>
      <c r="C69" s="9" t="str">
        <f t="shared" ref="C69:C78" si="4">"F_"&amp;LEFT(I69,2)&amp;"_"&amp;LEFT(K69,2)</f>
        <v>F_11_11</v>
      </c>
      <c r="D69" s="11"/>
      <c r="E69" s="37"/>
      <c r="F69" s="37"/>
      <c r="G69" s="37"/>
      <c r="H69" s="189"/>
      <c r="I69" s="9" t="str">
        <f>_xlfn.XLOOKUP(H69,Tab_Def_Processes[Name(EN)],Tab_Def_Processes[Process_ID],,0,)</f>
        <v>11</v>
      </c>
      <c r="J69" s="189"/>
      <c r="K69" s="17" t="str">
        <f>_xlfn.XLOOKUP(J69,Tab_Def_Processes[Name(EN)],Tab_Def_Processes[Process_ID],,0,)</f>
        <v>11</v>
      </c>
      <c r="L69" s="189"/>
      <c r="M69" s="189"/>
      <c r="N69" s="189"/>
      <c r="O69" s="183"/>
      <c r="P69" s="40"/>
      <c r="R69" s="40"/>
      <c r="S69" s="183"/>
      <c r="T69" s="40"/>
      <c r="U69" s="190">
        <f>Tab_Def_Flows[[#This Row],[CC_DM'[%']]]*Tab_Def_Flows[[#This Row],[DM]]</f>
        <v>0</v>
      </c>
      <c r="V69" s="11"/>
    </row>
    <row r="70" spans="1:22" x14ac:dyDescent="0.25">
      <c r="A70" s="194" t="b">
        <v>0</v>
      </c>
      <c r="B70" s="43">
        <f t="shared" si="3"/>
        <v>69</v>
      </c>
      <c r="C70" s="9" t="str">
        <f t="shared" si="4"/>
        <v>F_11_11</v>
      </c>
      <c r="D70" s="11"/>
      <c r="E70" s="37"/>
      <c r="F70" s="37"/>
      <c r="G70" s="37"/>
      <c r="H70" s="189"/>
      <c r="I70" s="9" t="str">
        <f>_xlfn.XLOOKUP(H70,Tab_Def_Processes[Name(EN)],Tab_Def_Processes[Process_ID],,0,)</f>
        <v>11</v>
      </c>
      <c r="J70" s="189"/>
      <c r="K70" s="17" t="str">
        <f>_xlfn.XLOOKUP(J70,Tab_Def_Processes[Name(EN)],Tab_Def_Processes[Process_ID],,0,)</f>
        <v>11</v>
      </c>
      <c r="L70" s="189"/>
      <c r="M70" s="189"/>
      <c r="N70" s="189"/>
      <c r="O70" s="183"/>
      <c r="P70" s="40"/>
      <c r="R70" s="40"/>
      <c r="S70" s="183"/>
      <c r="T70" s="40"/>
      <c r="U70" s="190">
        <f>Tab_Def_Flows[[#This Row],[CC_DM'[%']]]*Tab_Def_Flows[[#This Row],[DM]]</f>
        <v>0</v>
      </c>
      <c r="V70" s="11"/>
    </row>
    <row r="71" spans="1:22" x14ac:dyDescent="0.25">
      <c r="A71" s="194" t="b">
        <v>0</v>
      </c>
      <c r="B71" s="43">
        <f t="shared" si="3"/>
        <v>70</v>
      </c>
      <c r="C71" s="9" t="str">
        <f t="shared" si="4"/>
        <v>F_11_11</v>
      </c>
      <c r="D71" s="11"/>
      <c r="E71" s="37"/>
      <c r="F71" s="37"/>
      <c r="G71" s="37"/>
      <c r="H71" s="189"/>
      <c r="I71" s="9" t="str">
        <f>_xlfn.XLOOKUP(H71,Tab_Def_Processes[Name(EN)],Tab_Def_Processes[Process_ID],,0,)</f>
        <v>11</v>
      </c>
      <c r="J71" s="189"/>
      <c r="K71" s="17" t="str">
        <f>_xlfn.XLOOKUP(J71,Tab_Def_Processes[Name(EN)],Tab_Def_Processes[Process_ID],,0,)</f>
        <v>11</v>
      </c>
      <c r="L71" s="189"/>
      <c r="M71" s="189"/>
      <c r="N71" s="189"/>
      <c r="O71" s="183"/>
      <c r="P71" s="40"/>
      <c r="R71" s="40"/>
      <c r="S71" s="183"/>
      <c r="T71" s="40"/>
      <c r="U71" s="190">
        <f>Tab_Def_Flows[[#This Row],[CC_DM'[%']]]*Tab_Def_Flows[[#This Row],[DM]]</f>
        <v>0</v>
      </c>
      <c r="V71" s="11"/>
    </row>
    <row r="72" spans="1:22" x14ac:dyDescent="0.25">
      <c r="A72" s="194" t="b">
        <v>0</v>
      </c>
      <c r="B72" s="43">
        <f t="shared" si="3"/>
        <v>71</v>
      </c>
      <c r="C72" s="9" t="str">
        <f t="shared" si="4"/>
        <v>F_11_11</v>
      </c>
      <c r="D72" s="11"/>
      <c r="E72" s="37"/>
      <c r="F72" s="37"/>
      <c r="G72" s="37"/>
      <c r="H72" s="189"/>
      <c r="I72" s="9" t="str">
        <f>_xlfn.XLOOKUP(H72,Tab_Def_Processes[Name(EN)],Tab_Def_Processes[Process_ID],,0,)</f>
        <v>11</v>
      </c>
      <c r="J72" s="189"/>
      <c r="K72" s="17" t="str">
        <f>_xlfn.XLOOKUP(J72,Tab_Def_Processes[Name(EN)],Tab_Def_Processes[Process_ID],,0,)</f>
        <v>11</v>
      </c>
      <c r="L72" s="189"/>
      <c r="M72" s="189"/>
      <c r="N72" s="189"/>
      <c r="O72" s="183"/>
      <c r="P72" s="40"/>
      <c r="R72" s="40"/>
      <c r="S72" s="183"/>
      <c r="T72" s="40"/>
      <c r="U72" s="190">
        <f>Tab_Def_Flows[[#This Row],[CC_DM'[%']]]*Tab_Def_Flows[[#This Row],[DM]]</f>
        <v>0</v>
      </c>
      <c r="V72" s="11"/>
    </row>
    <row r="73" spans="1:22" x14ac:dyDescent="0.25">
      <c r="A73" s="194" t="b">
        <v>0</v>
      </c>
      <c r="B73" s="43">
        <f t="shared" si="3"/>
        <v>72</v>
      </c>
      <c r="C73" s="9" t="str">
        <f t="shared" si="4"/>
        <v>F_11_11</v>
      </c>
      <c r="D73" s="11"/>
      <c r="E73" s="37"/>
      <c r="F73" s="37"/>
      <c r="G73" s="37"/>
      <c r="H73" s="189"/>
      <c r="I73" s="9" t="str">
        <f>_xlfn.XLOOKUP(H73,Tab_Def_Processes[Name(EN)],Tab_Def_Processes[Process_ID],,0,)</f>
        <v>11</v>
      </c>
      <c r="J73" s="189"/>
      <c r="K73" s="17" t="str">
        <f>_xlfn.XLOOKUP(J73,Tab_Def_Processes[Name(EN)],Tab_Def_Processes[Process_ID],,0,)</f>
        <v>11</v>
      </c>
      <c r="L73" s="189"/>
      <c r="M73" s="189"/>
      <c r="N73" s="189"/>
      <c r="O73" s="183"/>
      <c r="P73" s="40"/>
      <c r="R73" s="40"/>
      <c r="S73" s="183"/>
      <c r="T73" s="40"/>
      <c r="U73" s="190">
        <f>Tab_Def_Flows[[#This Row],[CC_DM'[%']]]*Tab_Def_Flows[[#This Row],[DM]]</f>
        <v>0</v>
      </c>
      <c r="V73" s="11"/>
    </row>
    <row r="74" spans="1:22" x14ac:dyDescent="0.25">
      <c r="A74" s="194" t="b">
        <v>0</v>
      </c>
      <c r="B74" s="43">
        <f t="shared" si="3"/>
        <v>73</v>
      </c>
      <c r="C74" s="9" t="str">
        <f t="shared" si="4"/>
        <v>F_11_11</v>
      </c>
      <c r="D74" s="11"/>
      <c r="E74" s="37"/>
      <c r="F74" s="37"/>
      <c r="G74" s="37"/>
      <c r="H74" s="189"/>
      <c r="I74" s="9" t="str">
        <f>_xlfn.XLOOKUP(H74,Tab_Def_Processes[Name(EN)],Tab_Def_Processes[Process_ID],,0,)</f>
        <v>11</v>
      </c>
      <c r="J74" s="189"/>
      <c r="K74" s="17" t="str">
        <f>_xlfn.XLOOKUP(J74,Tab_Def_Processes[Name(EN)],Tab_Def_Processes[Process_ID],,0,)</f>
        <v>11</v>
      </c>
      <c r="L74" s="189"/>
      <c r="M74" s="189"/>
      <c r="N74" s="189"/>
      <c r="O74" s="183"/>
      <c r="P74" s="40"/>
      <c r="R74" s="40"/>
      <c r="S74" s="183"/>
      <c r="T74" s="40"/>
      <c r="U74" s="190">
        <f>Tab_Def_Flows[[#This Row],[CC_DM'[%']]]*Tab_Def_Flows[[#This Row],[DM]]</f>
        <v>0</v>
      </c>
      <c r="V74" s="11"/>
    </row>
    <row r="75" spans="1:22" x14ac:dyDescent="0.25">
      <c r="A75" s="194" t="b">
        <v>0</v>
      </c>
      <c r="B75" s="43">
        <f t="shared" si="3"/>
        <v>74</v>
      </c>
      <c r="C75" s="9" t="str">
        <f t="shared" si="4"/>
        <v>F_11_11</v>
      </c>
      <c r="D75" s="11"/>
      <c r="E75" s="37"/>
      <c r="F75" s="37"/>
      <c r="G75" s="37"/>
      <c r="H75" s="189"/>
      <c r="I75" s="9" t="str">
        <f>_xlfn.XLOOKUP(H75,Tab_Def_Processes[Name(EN)],Tab_Def_Processes[Process_ID],,0,)</f>
        <v>11</v>
      </c>
      <c r="J75" s="189"/>
      <c r="K75" s="17" t="str">
        <f>_xlfn.XLOOKUP(J75,Tab_Def_Processes[Name(EN)],Tab_Def_Processes[Process_ID],,0,)</f>
        <v>11</v>
      </c>
      <c r="L75" s="189"/>
      <c r="M75" s="189"/>
      <c r="N75" s="189"/>
      <c r="O75" s="183"/>
      <c r="P75" s="40"/>
      <c r="R75" s="40"/>
      <c r="S75" s="183"/>
      <c r="T75" s="40"/>
      <c r="U75" s="190">
        <f>Tab_Def_Flows[[#This Row],[CC_DM'[%']]]*Tab_Def_Flows[[#This Row],[DM]]</f>
        <v>0</v>
      </c>
      <c r="V75" s="11"/>
    </row>
    <row r="76" spans="1:22" x14ac:dyDescent="0.25">
      <c r="A76" s="194" t="b">
        <v>0</v>
      </c>
      <c r="B76" s="43">
        <f t="shared" si="3"/>
        <v>75</v>
      </c>
      <c r="C76" s="9" t="str">
        <f t="shared" si="4"/>
        <v>F_11_11</v>
      </c>
      <c r="D76" s="11"/>
      <c r="E76" s="37"/>
      <c r="F76" s="37"/>
      <c r="G76" s="37"/>
      <c r="H76" s="189"/>
      <c r="I76" s="9" t="str">
        <f>_xlfn.XLOOKUP(H76,Tab_Def_Processes[Name(EN)],Tab_Def_Processes[Process_ID],,0,)</f>
        <v>11</v>
      </c>
      <c r="J76" s="189"/>
      <c r="K76" s="17" t="str">
        <f>_xlfn.XLOOKUP(J76,Tab_Def_Processes[Name(EN)],Tab_Def_Processes[Process_ID],,0,)</f>
        <v>11</v>
      </c>
      <c r="L76" s="189"/>
      <c r="M76" s="189"/>
      <c r="N76" s="189"/>
      <c r="O76" s="183"/>
      <c r="P76" s="40"/>
      <c r="R76" s="40"/>
      <c r="S76" s="183"/>
      <c r="T76" s="40"/>
      <c r="U76" s="190">
        <f>Tab_Def_Flows[[#This Row],[CC_DM'[%']]]*Tab_Def_Flows[[#This Row],[DM]]</f>
        <v>0</v>
      </c>
      <c r="V76" s="11"/>
    </row>
    <row r="77" spans="1:22" x14ac:dyDescent="0.25">
      <c r="A77" s="194" t="b">
        <v>0</v>
      </c>
      <c r="B77" s="43">
        <f t="shared" si="3"/>
        <v>76</v>
      </c>
      <c r="C77" s="9" t="str">
        <f t="shared" si="4"/>
        <v>F_11_11</v>
      </c>
      <c r="D77" s="11"/>
      <c r="E77" s="37"/>
      <c r="F77" s="37"/>
      <c r="G77" s="37"/>
      <c r="H77" s="189"/>
      <c r="I77" s="9" t="str">
        <f>_xlfn.XLOOKUP(H77,Tab_Def_Processes[Name(EN)],Tab_Def_Processes[Process_ID],,0,)</f>
        <v>11</v>
      </c>
      <c r="J77" s="189"/>
      <c r="K77" s="17" t="str">
        <f>_xlfn.XLOOKUP(J77,Tab_Def_Processes[Name(EN)],Tab_Def_Processes[Process_ID],,0,)</f>
        <v>11</v>
      </c>
      <c r="L77" s="189"/>
      <c r="M77" s="189"/>
      <c r="N77" s="189"/>
      <c r="O77" s="183"/>
      <c r="P77" s="40"/>
      <c r="R77" s="40"/>
      <c r="S77" s="183"/>
      <c r="T77" s="40"/>
      <c r="U77" s="190">
        <f>Tab_Def_Flows[[#This Row],[CC_DM'[%']]]*Tab_Def_Flows[[#This Row],[DM]]</f>
        <v>0</v>
      </c>
      <c r="V77" s="11"/>
    </row>
    <row r="78" spans="1:22" x14ac:dyDescent="0.25">
      <c r="A78" s="194" t="b">
        <v>0</v>
      </c>
      <c r="B78" s="43">
        <f t="shared" si="3"/>
        <v>77</v>
      </c>
      <c r="C78" s="9" t="str">
        <f t="shared" si="4"/>
        <v>F_11_11</v>
      </c>
      <c r="D78" s="11"/>
      <c r="E78" s="37"/>
      <c r="F78" s="37"/>
      <c r="G78" s="37"/>
      <c r="H78" s="189"/>
      <c r="I78" s="9" t="str">
        <f>_xlfn.XLOOKUP(H78,Tab_Def_Processes[Name(EN)],Tab_Def_Processes[Process_ID],,0,)</f>
        <v>11</v>
      </c>
      <c r="J78" s="189"/>
      <c r="K78" s="17" t="str">
        <f>_xlfn.XLOOKUP(J78,Tab_Def_Processes[Name(EN)],Tab_Def_Processes[Process_ID],,0,)</f>
        <v>11</v>
      </c>
      <c r="L78" s="189"/>
      <c r="M78" s="189"/>
      <c r="N78" s="189"/>
      <c r="O78" s="183"/>
      <c r="P78" s="40"/>
      <c r="R78" s="40"/>
      <c r="S78" s="183"/>
      <c r="T78" s="40"/>
      <c r="U78" s="190">
        <f>Tab_Def_Flows[[#This Row],[CC_DM'[%']]]*Tab_Def_Flows[[#This Row],[DM]]</f>
        <v>0</v>
      </c>
      <c r="V78" s="11"/>
    </row>
    <row r="79" spans="1:22" x14ac:dyDescent="0.25">
      <c r="A79" s="194" t="b">
        <v>0</v>
      </c>
      <c r="B79" s="43">
        <f t="shared" si="3"/>
        <v>78</v>
      </c>
      <c r="C79" s="9" t="s">
        <v>35</v>
      </c>
      <c r="D79" s="11" t="s">
        <v>35</v>
      </c>
      <c r="E79" s="37"/>
      <c r="F79" s="37"/>
      <c r="G79" s="37"/>
      <c r="H79" s="189"/>
      <c r="I79" s="9"/>
      <c r="J79" s="189"/>
      <c r="K79" s="17"/>
      <c r="L79" s="189"/>
      <c r="M79" s="189"/>
      <c r="N79" s="189"/>
      <c r="O79" s="183"/>
      <c r="P79" s="40"/>
      <c r="R79" s="40"/>
      <c r="S79" s="183"/>
      <c r="T79" s="40"/>
      <c r="U79" s="190">
        <f>Tab_Def_Flows[[#This Row],[CC_DM'[%']]]*Tab_Def_Flows[[#This Row],[DM]]</f>
        <v>0</v>
      </c>
      <c r="V79"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T35:T79 L2:N79</xm:sqref>
        </x14:dataValidation>
        <x14:dataValidation type="list" allowBlank="1" showInputMessage="1" showErrorMessage="1" xr:uid="{4802C009-D5CD-4ED0-AC7A-55F162A86DD7}">
          <x14:formula1>
            <xm:f>'2_1_Definition_Processes'!$D$2:$D$54</xm:f>
          </x14:formula1>
          <xm:sqref>J2:J79 H2:H79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topLeftCell="A25" zoomScale="115" zoomScaleNormal="115" workbookViewId="0">
      <selection activeCell="O58" sqref="O58:O59"/>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3" t="s">
        <v>32</v>
      </c>
      <c r="B1" s="193" t="s">
        <v>41</v>
      </c>
      <c r="C1" s="193" t="s">
        <v>90</v>
      </c>
      <c r="D1" s="193" t="s">
        <v>42</v>
      </c>
      <c r="E1" s="193" t="s">
        <v>44</v>
      </c>
      <c r="F1" s="193" t="s">
        <v>45</v>
      </c>
      <c r="G1" s="193" t="s">
        <v>46</v>
      </c>
      <c r="H1" s="193" t="s">
        <v>47</v>
      </c>
      <c r="I1" s="193" t="s">
        <v>65</v>
      </c>
      <c r="J1" s="193" t="s">
        <v>106</v>
      </c>
      <c r="K1" s="193" t="s">
        <v>108</v>
      </c>
      <c r="L1" s="193" t="s">
        <v>107</v>
      </c>
      <c r="M1" s="193" t="s">
        <v>59</v>
      </c>
      <c r="N1" s="193" t="s">
        <v>58</v>
      </c>
      <c r="O1" s="193" t="s">
        <v>56</v>
      </c>
      <c r="P1" s="193" t="s">
        <v>57</v>
      </c>
      <c r="Q1" s="193" t="s">
        <v>48</v>
      </c>
      <c r="R1" s="193" t="s">
        <v>38</v>
      </c>
      <c r="S1" s="193" t="s">
        <v>49</v>
      </c>
      <c r="T1" s="193" t="s">
        <v>50</v>
      </c>
      <c r="U1" s="193" t="s">
        <v>51</v>
      </c>
      <c r="V1" s="193" t="s">
        <v>52</v>
      </c>
      <c r="W1" s="193" t="s">
        <v>5</v>
      </c>
      <c r="X1" s="193" t="s">
        <v>53</v>
      </c>
      <c r="Y1" s="193" t="s">
        <v>54</v>
      </c>
      <c r="Z1" s="193" t="s">
        <v>55</v>
      </c>
      <c r="AA1" s="193" t="s">
        <v>60</v>
      </c>
      <c r="AB1" s="193" t="s">
        <v>61</v>
      </c>
      <c r="AC1" s="193" t="s">
        <v>109</v>
      </c>
      <c r="AD1" s="193" t="s">
        <v>115</v>
      </c>
      <c r="AE1" s="193" t="s">
        <v>119</v>
      </c>
      <c r="AF1" s="193" t="s">
        <v>111</v>
      </c>
      <c r="AG1" s="193" t="s">
        <v>116</v>
      </c>
      <c r="AH1" s="193" t="s">
        <v>118</v>
      </c>
      <c r="AI1" s="193" t="s">
        <v>113</v>
      </c>
      <c r="AJ1" s="193" t="s">
        <v>120</v>
      </c>
      <c r="AK1" s="193" t="s">
        <v>117</v>
      </c>
    </row>
    <row r="2" spans="1:37" x14ac:dyDescent="0.25">
      <c r="A2" s="16">
        <f>ROW()-1</f>
        <v>1</v>
      </c>
      <c r="B2" s="9" t="str">
        <f>_xlfn.XLOOKUP(C2,Tab_Def_Flows[Name(EN)],Tab_Def_Flows[Flow_ID],,0,)</f>
        <v>F_00_02</v>
      </c>
      <c r="C2" s="11" t="s">
        <v>278</v>
      </c>
      <c r="D2" s="9">
        <f>_xlfn.XLOOKUP(C2,Tab_Def_Flows[Name(EN)],Tab_Def_Flows[Type_Biomass],,0,)</f>
        <v>0</v>
      </c>
      <c r="E2" s="9" t="str">
        <f>_xlfn.XLOOKUP(C2,Tab_Def_Flows[Name(EN)],Tab_Def_Flows[Output_Process],,0,)</f>
        <v>Atmosphere</v>
      </c>
      <c r="F2" s="9" t="str">
        <f>_xlfn.XLOOKUP(C2,Tab_Def_Flows[Name(EN)],Tab_Def_Flows[Process_ID_O],,0,)</f>
        <v>00</v>
      </c>
      <c r="G2" s="9" t="str">
        <f>_xlfn.XLOOKUP(C2,Tab_Def_Flows[Name(EN)],Tab_Def_Flows[Input_Process],,0,)</f>
        <v>Cultivation</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105</v>
      </c>
      <c r="O2" s="48">
        <v>297904.57</v>
      </c>
      <c r="P2" s="11"/>
      <c r="Q2" s="11" t="s">
        <v>114</v>
      </c>
      <c r="R2" s="11"/>
      <c r="S2" s="11"/>
      <c r="T2" s="11"/>
      <c r="U2" s="11"/>
      <c r="V2" s="11"/>
      <c r="W2" s="11"/>
      <c r="X2" s="11" t="s">
        <v>8</v>
      </c>
      <c r="Y2" s="41"/>
      <c r="Z2" s="11"/>
      <c r="AA2" s="35">
        <f>IF(X2="no",O2,O2*Y2)</f>
        <v>297904.57</v>
      </c>
      <c r="AB2" s="11" t="s">
        <v>276</v>
      </c>
      <c r="AC2" s="190">
        <f>INDEX(Tab_Def_Flows[[Flow_ID]:[CC_DM_source]],MATCH(Tab_Data_Flows[[#This Row],[Name(EN)]],Tab_Def_Flows[Name(EN)],0),13)</f>
        <v>0</v>
      </c>
      <c r="AD2" s="9">
        <f>IF(J2="Yes",AA2*Tab_Data_Flows[[#This Row],[WC_'[%']]],"N.A.")</f>
        <v>0</v>
      </c>
      <c r="AE2" s="9" t="str">
        <f>Tab_Data_Flows[[#This Row],[UoM_Flow_Py]]</f>
        <v>Mg</v>
      </c>
      <c r="AF2" s="190">
        <f>INDEX(Tab_Def_Flows[[Flow_ID]:[CC_DM_source]],MATCH(Tab_Data_Flows[[#This Row],[Name(EN)]],Tab_Def_Flows[Name(EN)],0),15)</f>
        <v>1</v>
      </c>
      <c r="AG2" s="9">
        <f>IF(K2="Yes",AF2*Tab_Data_Flows[[#This Row],[Flow_Py]],"N.A.")</f>
        <v>297904.57</v>
      </c>
      <c r="AH2" s="9" t="str">
        <f>Tab_Data_Flows[[#This Row],[UoM_Flow_Py]]</f>
        <v>Mg</v>
      </c>
      <c r="AI2" s="190">
        <f>INDEX(Tab_Def_Flows[[Flow_ID]:[CC_DM_source]],MATCH(Tab_Data_Flows[[#This Row],[Name(EN)]],Tab_Def_Flows[Name(EN)],0),17)</f>
        <v>1</v>
      </c>
      <c r="AJ2" s="9">
        <f>IF(L2="Yes",AI2*Tab_Data_Flows[[#This Row],[Flow_Py]]*Tab_Data_Flows[[#This Row],[DM_'[%']]],"N.A.")</f>
        <v>297904.57</v>
      </c>
      <c r="AK2" s="9" t="str">
        <f>Tab_Data_Flows[[#This Row],[UoM_Flow_Py]]</f>
        <v>Mg</v>
      </c>
    </row>
    <row r="3" spans="1:37" x14ac:dyDescent="0.25">
      <c r="A3" s="16">
        <f t="shared" ref="A3:A66" si="0">ROW()-1</f>
        <v>2</v>
      </c>
      <c r="B3" s="9" t="str">
        <f>_xlfn.XLOOKUP(C3,Tab_Def_Flows[Name(EN)],Tab_Def_Flows[Flow_ID],,0,)</f>
        <v>F_00_02</v>
      </c>
      <c r="C3" s="11" t="s">
        <v>278</v>
      </c>
      <c r="D3" s="9">
        <f>_xlfn.XLOOKUP(C3,Tab_Def_Flows[Name(EN)],Tab_Def_Flows[Type_Biomass],,0,)</f>
        <v>0</v>
      </c>
      <c r="E3" s="9" t="str">
        <f>_xlfn.XLOOKUP(C3,Tab_Def_Flows[Name(EN)],Tab_Def_Flows[Output_Process],,0,)</f>
        <v>Atmosphere</v>
      </c>
      <c r="F3" s="9" t="str">
        <f>_xlfn.XLOOKUP(C3,Tab_Def_Flows[Name(EN)],Tab_Def_Flows[Process_ID_O],,0,)</f>
        <v>00</v>
      </c>
      <c r="G3" s="9" t="str">
        <f>_xlfn.XLOOKUP(C3,Tab_Def_Flows[Name(EN)],Tab_Def_Flows[Input_Process],,0,)</f>
        <v>Cultivation</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105</v>
      </c>
      <c r="O3" s="48">
        <v>339142.51</v>
      </c>
      <c r="P3" s="11"/>
      <c r="Q3" s="11" t="s">
        <v>114</v>
      </c>
      <c r="R3" s="11"/>
      <c r="S3" s="11"/>
      <c r="T3" s="11"/>
      <c r="U3" s="11"/>
      <c r="V3" s="11"/>
      <c r="W3" s="11"/>
      <c r="X3" s="11" t="s">
        <v>8</v>
      </c>
      <c r="Y3" s="41"/>
      <c r="Z3" s="11"/>
      <c r="AA3" s="35">
        <f t="shared" ref="AA3:AA66" si="1">IF(X3="no",O3,O3*Y3)</f>
        <v>339142.51</v>
      </c>
      <c r="AB3" s="11" t="s">
        <v>276</v>
      </c>
      <c r="AC3" s="190">
        <f>INDEX(Tab_Def_Flows[[Flow_ID]:[CC_DM_source]],MATCH(Tab_Data_Flows[[#This Row],[Name(EN)]],Tab_Def_Flows[Name(EN)],0),13)</f>
        <v>0</v>
      </c>
      <c r="AD3" s="9">
        <f>IF(J3="Yes",AA3*Tab_Data_Flows[[#This Row],[WC_'[%']]],"N.A.")</f>
        <v>0</v>
      </c>
      <c r="AE3" s="9" t="str">
        <f>Tab_Data_Flows[[#This Row],[UoM_Flow_Py]]</f>
        <v>Mg</v>
      </c>
      <c r="AF3" s="190">
        <f>INDEX(Tab_Def_Flows[[Flow_ID]:[CC_DM_source]],MATCH(Tab_Data_Flows[[#This Row],[Name(EN)]],Tab_Def_Flows[Name(EN)],0),15)</f>
        <v>1</v>
      </c>
      <c r="AG3" s="9">
        <f>IF(K3="Yes",AF3*Tab_Data_Flows[[#This Row],[Flow_Py]],"N.A.")</f>
        <v>339142.51</v>
      </c>
      <c r="AH3" s="9" t="str">
        <f>Tab_Data_Flows[[#This Row],[UoM_Flow_Py]]</f>
        <v>Mg</v>
      </c>
      <c r="AI3" s="190">
        <f>INDEX(Tab_Def_Flows[[Flow_ID]:[CC_DM_source]],MATCH(Tab_Data_Flows[[#This Row],[Name(EN)]],Tab_Def_Flows[Name(EN)],0),17)</f>
        <v>1</v>
      </c>
      <c r="AJ3" s="9">
        <f>IF(L3="Yes",AI3*Tab_Data_Flows[[#This Row],[Flow_Py]]*Tab_Data_Flows[[#This Row],[DM_'[%']]],"N.A.")</f>
        <v>339142.51</v>
      </c>
      <c r="AK3" s="9" t="str">
        <f>Tab_Data_Flows[[#This Row],[UoM_Flow_Py]]</f>
        <v>Mg</v>
      </c>
    </row>
    <row r="4" spans="1:37" x14ac:dyDescent="0.25">
      <c r="A4" s="16">
        <f t="shared" si="0"/>
        <v>3</v>
      </c>
      <c r="B4" s="9" t="str">
        <f>_xlfn.XLOOKUP(C4,Tab_Def_Flows[Name(EN)],Tab_Def_Flows[Flow_ID],,0,)</f>
        <v>F_00_02</v>
      </c>
      <c r="C4" s="11" t="s">
        <v>278</v>
      </c>
      <c r="D4" s="9">
        <f>_xlfn.XLOOKUP(C4,Tab_Def_Flows[Name(EN)],Tab_Def_Flows[Type_Biomass],,0,)</f>
        <v>0</v>
      </c>
      <c r="E4" s="9" t="str">
        <f>_xlfn.XLOOKUP(C4,Tab_Def_Flows[Name(EN)],Tab_Def_Flows[Output_Process],,0,)</f>
        <v>Atmosphere</v>
      </c>
      <c r="F4" s="9" t="str">
        <f>_xlfn.XLOOKUP(C4,Tab_Def_Flows[Name(EN)],Tab_Def_Flows[Process_ID_O],,0,)</f>
        <v>00</v>
      </c>
      <c r="G4" s="9" t="str">
        <f>_xlfn.XLOOKUP(C4,Tab_Def_Flows[Name(EN)],Tab_Def_Flows[Input_Process],,0,)</f>
        <v>Cultivation</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105</v>
      </c>
      <c r="O4" s="48">
        <v>257050.15</v>
      </c>
      <c r="P4" s="11"/>
      <c r="Q4" s="11" t="s">
        <v>114</v>
      </c>
      <c r="R4" s="11"/>
      <c r="S4" s="11"/>
      <c r="T4" s="11"/>
      <c r="U4" s="11"/>
      <c r="V4" s="11"/>
      <c r="W4" s="11"/>
      <c r="X4" s="11" t="s">
        <v>8</v>
      </c>
      <c r="Y4" s="41"/>
      <c r="Z4" s="11"/>
      <c r="AA4" s="35">
        <f t="shared" si="1"/>
        <v>257050.15</v>
      </c>
      <c r="AB4" s="11" t="s">
        <v>276</v>
      </c>
      <c r="AC4" s="190">
        <f>INDEX(Tab_Def_Flows[[Flow_ID]:[CC_DM_source]],MATCH(Tab_Data_Flows[[#This Row],[Name(EN)]],Tab_Def_Flows[Name(EN)],0),13)</f>
        <v>0</v>
      </c>
      <c r="AD4" s="9">
        <f>IF(J4="Yes",AA4*Tab_Data_Flows[[#This Row],[WC_'[%']]],"N.A.")</f>
        <v>0</v>
      </c>
      <c r="AE4" s="9" t="str">
        <f>Tab_Data_Flows[[#This Row],[UoM_Flow_Py]]</f>
        <v>Mg</v>
      </c>
      <c r="AF4" s="190">
        <f>INDEX(Tab_Def_Flows[[Flow_ID]:[CC_DM_source]],MATCH(Tab_Data_Flows[[#This Row],[Name(EN)]],Tab_Def_Flows[Name(EN)],0),15)</f>
        <v>1</v>
      </c>
      <c r="AG4" s="9">
        <f>IF(K4="Yes",AF4*Tab_Data_Flows[[#This Row],[Flow_Py]],"N.A.")</f>
        <v>257050.15</v>
      </c>
      <c r="AH4" s="9" t="str">
        <f>Tab_Data_Flows[[#This Row],[UoM_Flow_Py]]</f>
        <v>Mg</v>
      </c>
      <c r="AI4" s="190">
        <f>INDEX(Tab_Def_Flows[[Flow_ID]:[CC_DM_source]],MATCH(Tab_Data_Flows[[#This Row],[Name(EN)]],Tab_Def_Flows[Name(EN)],0),17)</f>
        <v>1</v>
      </c>
      <c r="AJ4" s="9">
        <f>IF(L4="Yes",AI4*Tab_Data_Flows[[#This Row],[Flow_Py]]*Tab_Data_Flows[[#This Row],[DM_'[%']]],"N.A.")</f>
        <v>257050.15</v>
      </c>
      <c r="AK4" s="9" t="str">
        <f>Tab_Data_Flows[[#This Row],[UoM_Flow_Py]]</f>
        <v>Mg</v>
      </c>
    </row>
    <row r="5" spans="1:37" x14ac:dyDescent="0.25">
      <c r="A5" s="16">
        <f t="shared" si="0"/>
        <v>4</v>
      </c>
      <c r="B5" s="9" t="str">
        <f>_xlfn.XLOOKUP(C5,Tab_Def_Flows[Name(EN)],Tab_Def_Flows[Flow_ID],,0,)</f>
        <v>F_00_02</v>
      </c>
      <c r="C5" s="11" t="s">
        <v>278</v>
      </c>
      <c r="D5" s="9">
        <f>_xlfn.XLOOKUP(C5,Tab_Def_Flows[Name(EN)],Tab_Def_Flows[Type_Biomass],,0,)</f>
        <v>0</v>
      </c>
      <c r="E5" s="9" t="str">
        <f>_xlfn.XLOOKUP(C5,Tab_Def_Flows[Name(EN)],Tab_Def_Flows[Output_Process],,0,)</f>
        <v>Atmosphere</v>
      </c>
      <c r="F5" s="9" t="str">
        <f>_xlfn.XLOOKUP(C5,Tab_Def_Flows[Name(EN)],Tab_Def_Flows[Process_ID_O],,0,)</f>
        <v>00</v>
      </c>
      <c r="G5" s="9" t="str">
        <f>_xlfn.XLOOKUP(C5,Tab_Def_Flows[Name(EN)],Tab_Def_Flows[Input_Process],,0,)</f>
        <v>Cultivation</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105</v>
      </c>
      <c r="O5" s="48">
        <v>264047.96999999997</v>
      </c>
      <c r="P5" s="11"/>
      <c r="Q5" s="11" t="s">
        <v>114</v>
      </c>
      <c r="R5" s="11"/>
      <c r="S5" s="11"/>
      <c r="T5" s="11"/>
      <c r="U5" s="11"/>
      <c r="V5" s="11"/>
      <c r="W5" s="11"/>
      <c r="X5" s="11" t="s">
        <v>8</v>
      </c>
      <c r="Y5" s="41"/>
      <c r="Z5" s="11"/>
      <c r="AA5" s="35">
        <f t="shared" si="1"/>
        <v>264047.96999999997</v>
      </c>
      <c r="AB5" s="11" t="s">
        <v>276</v>
      </c>
      <c r="AC5" s="190">
        <f>INDEX(Tab_Def_Flows[[Flow_ID]:[CC_DM_source]],MATCH(Tab_Data_Flows[[#This Row],[Name(EN)]],Tab_Def_Flows[Name(EN)],0),13)</f>
        <v>0</v>
      </c>
      <c r="AD5" s="9">
        <f>IF(J5="Yes",AA5*Tab_Data_Flows[[#This Row],[WC_'[%']]],"N.A.")</f>
        <v>0</v>
      </c>
      <c r="AE5" s="9" t="str">
        <f>Tab_Data_Flows[[#This Row],[UoM_Flow_Py]]</f>
        <v>Mg</v>
      </c>
      <c r="AF5" s="190">
        <f>INDEX(Tab_Def_Flows[[Flow_ID]:[CC_DM_source]],MATCH(Tab_Data_Flows[[#This Row],[Name(EN)]],Tab_Def_Flows[Name(EN)],0),15)</f>
        <v>1</v>
      </c>
      <c r="AG5" s="9">
        <f>IF(K5="Yes",AF5*Tab_Data_Flows[[#This Row],[Flow_Py]],"N.A.")</f>
        <v>264047.96999999997</v>
      </c>
      <c r="AH5" s="9" t="str">
        <f>Tab_Data_Flows[[#This Row],[UoM_Flow_Py]]</f>
        <v>Mg</v>
      </c>
      <c r="AI5" s="190">
        <f>INDEX(Tab_Def_Flows[[Flow_ID]:[CC_DM_source]],MATCH(Tab_Data_Flows[[#This Row],[Name(EN)]],Tab_Def_Flows[Name(EN)],0),17)</f>
        <v>1</v>
      </c>
      <c r="AJ5" s="9">
        <f>IF(L5="Yes",AI5*Tab_Data_Flows[[#This Row],[Flow_Py]]*Tab_Data_Flows[[#This Row],[DM_'[%']]],"N.A.")</f>
        <v>264047.96999999997</v>
      </c>
      <c r="AK5" s="9" t="str">
        <f>Tab_Data_Flows[[#This Row],[UoM_Flow_Py]]</f>
        <v>Mg</v>
      </c>
    </row>
    <row r="6" spans="1:37" x14ac:dyDescent="0.25">
      <c r="A6" s="16">
        <f t="shared" si="0"/>
        <v>5</v>
      </c>
      <c r="B6" s="9" t="str">
        <f>_xlfn.XLOOKUP(C6,Tab_Def_Flows[Name(EN)],Tab_Def_Flows[Flow_ID],,0,)</f>
        <v>F_00_02</v>
      </c>
      <c r="C6" s="11" t="s">
        <v>278</v>
      </c>
      <c r="D6" s="9">
        <f>_xlfn.XLOOKUP(C6,Tab_Def_Flows[Name(EN)],Tab_Def_Flows[Type_Biomass],,0,)</f>
        <v>0</v>
      </c>
      <c r="E6" s="9" t="str">
        <f>_xlfn.XLOOKUP(C6,Tab_Def_Flows[Name(EN)],Tab_Def_Flows[Output_Process],,0,)</f>
        <v>Atmosphere</v>
      </c>
      <c r="F6" s="9" t="str">
        <f>_xlfn.XLOOKUP(C6,Tab_Def_Flows[Name(EN)],Tab_Def_Flows[Process_ID_O],,0,)</f>
        <v>00</v>
      </c>
      <c r="G6" s="9" t="str">
        <f>_xlfn.XLOOKUP(C6,Tab_Def_Flows[Name(EN)],Tab_Def_Flows[Input_Process],,0,)</f>
        <v>Cultivation</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105</v>
      </c>
      <c r="O6" s="48">
        <v>344153.42</v>
      </c>
      <c r="P6" s="11"/>
      <c r="Q6" s="11" t="s">
        <v>114</v>
      </c>
      <c r="R6" s="11"/>
      <c r="S6" s="11"/>
      <c r="T6" s="11"/>
      <c r="U6" s="11"/>
      <c r="V6" s="11"/>
      <c r="W6" s="11"/>
      <c r="X6" s="11" t="s">
        <v>8</v>
      </c>
      <c r="Y6" s="41"/>
      <c r="Z6" s="11"/>
      <c r="AA6" s="35">
        <f t="shared" si="1"/>
        <v>344153.42</v>
      </c>
      <c r="AB6" s="11" t="s">
        <v>276</v>
      </c>
      <c r="AC6" s="190">
        <f>INDEX(Tab_Def_Flows[[Flow_ID]:[CC_DM_source]],MATCH(Tab_Data_Flows[[#This Row],[Name(EN)]],Tab_Def_Flows[Name(EN)],0),13)</f>
        <v>0</v>
      </c>
      <c r="AD6" s="9">
        <f>IF(J6="Yes",AA6*Tab_Data_Flows[[#This Row],[WC_'[%']]],"N.A.")</f>
        <v>0</v>
      </c>
      <c r="AE6" s="9" t="str">
        <f>Tab_Data_Flows[[#This Row],[UoM_Flow_Py]]</f>
        <v>Mg</v>
      </c>
      <c r="AF6" s="190">
        <f>INDEX(Tab_Def_Flows[[Flow_ID]:[CC_DM_source]],MATCH(Tab_Data_Flows[[#This Row],[Name(EN)]],Tab_Def_Flows[Name(EN)],0),15)</f>
        <v>1</v>
      </c>
      <c r="AG6" s="9">
        <f>IF(K6="Yes",AF6*Tab_Data_Flows[[#This Row],[Flow_Py]],"N.A.")</f>
        <v>344153.42</v>
      </c>
      <c r="AH6" s="9" t="str">
        <f>Tab_Data_Flows[[#This Row],[UoM_Flow_Py]]</f>
        <v>Mg</v>
      </c>
      <c r="AI6" s="190">
        <f>INDEX(Tab_Def_Flows[[Flow_ID]:[CC_DM_source]],MATCH(Tab_Data_Flows[[#This Row],[Name(EN)]],Tab_Def_Flows[Name(EN)],0),17)</f>
        <v>1</v>
      </c>
      <c r="AJ6" s="9">
        <f>IF(L6="Yes",AI6*Tab_Data_Flows[[#This Row],[Flow_Py]]*Tab_Data_Flows[[#This Row],[DM_'[%']]],"N.A.")</f>
        <v>344153.42</v>
      </c>
      <c r="AK6" s="9" t="str">
        <f>Tab_Data_Flows[[#This Row],[UoM_Flow_Py]]</f>
        <v>Mg</v>
      </c>
    </row>
    <row r="7" spans="1:37" x14ac:dyDescent="0.25">
      <c r="A7" s="16">
        <f t="shared" si="0"/>
        <v>6</v>
      </c>
      <c r="B7" s="9" t="str">
        <f>_xlfn.XLOOKUP(C7,Tab_Def_Flows[Name(EN)],Tab_Def_Flows[Flow_ID],,0,)</f>
        <v>F_00_02</v>
      </c>
      <c r="C7" s="11" t="s">
        <v>278</v>
      </c>
      <c r="D7" s="9">
        <f>_xlfn.XLOOKUP(C7,Tab_Def_Flows[Name(EN)],Tab_Def_Flows[Type_Biomass],,0,)</f>
        <v>0</v>
      </c>
      <c r="E7" s="9" t="str">
        <f>_xlfn.XLOOKUP(C7,Tab_Def_Flows[Name(EN)],Tab_Def_Flows[Output_Process],,0,)</f>
        <v>Atmosphere</v>
      </c>
      <c r="F7" s="9" t="str">
        <f>_xlfn.XLOOKUP(C7,Tab_Def_Flows[Name(EN)],Tab_Def_Flows[Process_ID_O],,0,)</f>
        <v>00</v>
      </c>
      <c r="G7" s="9" t="str">
        <f>_xlfn.XLOOKUP(C7,Tab_Def_Flows[Name(EN)],Tab_Def_Flows[Input_Process],,0,)</f>
        <v>Cultivation</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105</v>
      </c>
      <c r="O7" s="48">
        <v>315342.38</v>
      </c>
      <c r="P7" s="11"/>
      <c r="Q7" s="11" t="s">
        <v>114</v>
      </c>
      <c r="R7" s="11"/>
      <c r="S7" s="11"/>
      <c r="T7" s="11"/>
      <c r="U7" s="11"/>
      <c r="V7" s="11"/>
      <c r="W7" s="11"/>
      <c r="X7" s="11" t="s">
        <v>8</v>
      </c>
      <c r="Y7" s="41"/>
      <c r="Z7" s="11"/>
      <c r="AA7" s="35">
        <f t="shared" si="1"/>
        <v>315342.38</v>
      </c>
      <c r="AB7" s="11" t="s">
        <v>276</v>
      </c>
      <c r="AC7" s="190">
        <f>INDEX(Tab_Def_Flows[[Flow_ID]:[CC_DM_source]],MATCH(Tab_Data_Flows[[#This Row],[Name(EN)]],Tab_Def_Flows[Name(EN)],0),13)</f>
        <v>0</v>
      </c>
      <c r="AD7" s="9">
        <f>IF(J7="Yes",AA7*Tab_Data_Flows[[#This Row],[WC_'[%']]],"N.A.")</f>
        <v>0</v>
      </c>
      <c r="AE7" s="9" t="str">
        <f>Tab_Data_Flows[[#This Row],[UoM_Flow_Py]]</f>
        <v>Mg</v>
      </c>
      <c r="AF7" s="190">
        <f>INDEX(Tab_Def_Flows[[Flow_ID]:[CC_DM_source]],MATCH(Tab_Data_Flows[[#This Row],[Name(EN)]],Tab_Def_Flows[Name(EN)],0),15)</f>
        <v>1</v>
      </c>
      <c r="AG7" s="9">
        <f>IF(K7="Yes",AF7*Tab_Data_Flows[[#This Row],[Flow_Py]],"N.A.")</f>
        <v>315342.38</v>
      </c>
      <c r="AH7" s="9" t="str">
        <f>Tab_Data_Flows[[#This Row],[UoM_Flow_Py]]</f>
        <v>Mg</v>
      </c>
      <c r="AI7" s="190">
        <f>INDEX(Tab_Def_Flows[[Flow_ID]:[CC_DM_source]],MATCH(Tab_Data_Flows[[#This Row],[Name(EN)]],Tab_Def_Flows[Name(EN)],0),17)</f>
        <v>1</v>
      </c>
      <c r="AJ7" s="9">
        <f>IF(L7="Yes",AI7*Tab_Data_Flows[[#This Row],[Flow_Py]]*Tab_Data_Flows[[#This Row],[DM_'[%']]],"N.A.")</f>
        <v>315342.38</v>
      </c>
      <c r="AK7" s="9" t="str">
        <f>Tab_Data_Flows[[#This Row],[UoM_Flow_Py]]</f>
        <v>Mg</v>
      </c>
    </row>
    <row r="8" spans="1:37" x14ac:dyDescent="0.25">
      <c r="A8" s="16">
        <f t="shared" si="0"/>
        <v>7</v>
      </c>
      <c r="B8" s="9" t="str">
        <f>_xlfn.XLOOKUP(C8,Tab_Def_Flows[Name(EN)],Tab_Def_Flows[Flow_ID],,0,)</f>
        <v>F_00_02</v>
      </c>
      <c r="C8" s="11" t="s">
        <v>278</v>
      </c>
      <c r="D8" s="9">
        <f>_xlfn.XLOOKUP(C8,Tab_Def_Flows[Name(EN)],Tab_Def_Flows[Type_Biomass],,0,)</f>
        <v>0</v>
      </c>
      <c r="E8" s="9" t="str">
        <f>_xlfn.XLOOKUP(C8,Tab_Def_Flows[Name(EN)],Tab_Def_Flows[Output_Process],,0,)</f>
        <v>Atmosphere</v>
      </c>
      <c r="F8" s="9" t="str">
        <f>_xlfn.XLOOKUP(C8,Tab_Def_Flows[Name(EN)],Tab_Def_Flows[Process_ID_O],,0,)</f>
        <v>00</v>
      </c>
      <c r="G8" s="9" t="str">
        <f>_xlfn.XLOOKUP(C8,Tab_Def_Flows[Name(EN)],Tab_Def_Flows[Input_Process],,0,)</f>
        <v>Cultivation</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105</v>
      </c>
      <c r="O8" s="48">
        <v>374614.06</v>
      </c>
      <c r="P8" s="11"/>
      <c r="Q8" s="11" t="s">
        <v>114</v>
      </c>
      <c r="R8" s="11"/>
      <c r="S8" s="11"/>
      <c r="T8" s="11"/>
      <c r="U8" s="11"/>
      <c r="V8" s="11"/>
      <c r="W8" s="11"/>
      <c r="X8" s="11" t="s">
        <v>8</v>
      </c>
      <c r="Y8" s="41"/>
      <c r="Z8" s="11"/>
      <c r="AA8" s="35">
        <f t="shared" si="1"/>
        <v>374614.06</v>
      </c>
      <c r="AB8" s="11" t="s">
        <v>276</v>
      </c>
      <c r="AC8" s="190">
        <f>INDEX(Tab_Def_Flows[[Flow_ID]:[CC_DM_source]],MATCH(Tab_Data_Flows[[#This Row],[Name(EN)]],Tab_Def_Flows[Name(EN)],0),13)</f>
        <v>0</v>
      </c>
      <c r="AD8" s="9">
        <f>IF(J8="Yes",AA8*Tab_Data_Flows[[#This Row],[WC_'[%']]],"N.A.")</f>
        <v>0</v>
      </c>
      <c r="AE8" s="9" t="str">
        <f>Tab_Data_Flows[[#This Row],[UoM_Flow_Py]]</f>
        <v>Mg</v>
      </c>
      <c r="AF8" s="190">
        <f>INDEX(Tab_Def_Flows[[Flow_ID]:[CC_DM_source]],MATCH(Tab_Data_Flows[[#This Row],[Name(EN)]],Tab_Def_Flows[Name(EN)],0),15)</f>
        <v>1</v>
      </c>
      <c r="AG8" s="9">
        <f>IF(K8="Yes",AF8*Tab_Data_Flows[[#This Row],[Flow_Py]],"N.A.")</f>
        <v>374614.06</v>
      </c>
      <c r="AH8" s="9" t="str">
        <f>Tab_Data_Flows[[#This Row],[UoM_Flow_Py]]</f>
        <v>Mg</v>
      </c>
      <c r="AI8" s="190">
        <f>INDEX(Tab_Def_Flows[[Flow_ID]:[CC_DM_source]],MATCH(Tab_Data_Flows[[#This Row],[Name(EN)]],Tab_Def_Flows[Name(EN)],0),17)</f>
        <v>1</v>
      </c>
      <c r="AJ8" s="9">
        <f>IF(L8="Yes",AI8*Tab_Data_Flows[[#This Row],[Flow_Py]]*Tab_Data_Flows[[#This Row],[DM_'[%']]],"N.A.")</f>
        <v>374614.06</v>
      </c>
      <c r="AK8" s="9" t="str">
        <f>Tab_Data_Flows[[#This Row],[UoM_Flow_Py]]</f>
        <v>Mg</v>
      </c>
    </row>
    <row r="9" spans="1:37" x14ac:dyDescent="0.25">
      <c r="A9" s="16">
        <f t="shared" si="0"/>
        <v>8</v>
      </c>
      <c r="B9" s="9" t="str">
        <f>_xlfn.XLOOKUP(C9,Tab_Def_Flows[Name(EN)],Tab_Def_Flows[Flow_ID],,0,)</f>
        <v>F_00_02</v>
      </c>
      <c r="C9" s="11" t="s">
        <v>278</v>
      </c>
      <c r="D9" s="9">
        <f>_xlfn.XLOOKUP(C9,Tab_Def_Flows[Name(EN)],Tab_Def_Flows[Type_Biomass],,0,)</f>
        <v>0</v>
      </c>
      <c r="E9" s="9" t="str">
        <f>_xlfn.XLOOKUP(C9,Tab_Def_Flows[Name(EN)],Tab_Def_Flows[Output_Process],,0,)</f>
        <v>Atmosphere</v>
      </c>
      <c r="F9" s="9" t="str">
        <f>_xlfn.XLOOKUP(C9,Tab_Def_Flows[Name(EN)],Tab_Def_Flows[Process_ID_O],,0,)</f>
        <v>00</v>
      </c>
      <c r="G9" s="9" t="str">
        <f>_xlfn.XLOOKUP(C9,Tab_Def_Flows[Name(EN)],Tab_Def_Flows[Input_Process],,0,)</f>
        <v>Cultivation</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105</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276</v>
      </c>
      <c r="AC9" s="190">
        <f>INDEX(Tab_Def_Flows[[Flow_ID]:[CC_DM_source]],MATCH(Tab_Data_Flows[[#This Row],[Name(EN)]],Tab_Def_Flows[Name(EN)],0),13)</f>
        <v>0</v>
      </c>
      <c r="AD9" s="9">
        <f>IF(J9="Yes",AA9*Tab_Data_Flows[[#This Row],[WC_'[%']]],"N.A.")</f>
        <v>0</v>
      </c>
      <c r="AE9" s="9" t="str">
        <f>Tab_Data_Flows[[#This Row],[UoM_Flow_Py]]</f>
        <v>Mg</v>
      </c>
      <c r="AF9" s="190">
        <f>INDEX(Tab_Def_Flows[[Flow_ID]:[CC_DM_source]],MATCH(Tab_Data_Flows[[#This Row],[Name(EN)]],Tab_Def_Flows[Name(EN)],0),15)</f>
        <v>1</v>
      </c>
      <c r="AG9" s="9">
        <f>IF(K9="Yes",AF9*Tab_Data_Flows[[#This Row],[Flow_Py]],"N.A.")</f>
        <v>353051.01</v>
      </c>
      <c r="AH9" s="9" t="str">
        <f>Tab_Data_Flows[[#This Row],[UoM_Flow_Py]]</f>
        <v>Mg</v>
      </c>
      <c r="AI9" s="190">
        <f>INDEX(Tab_Def_Flows[[Flow_ID]:[CC_DM_source]],MATCH(Tab_Data_Flows[[#This Row],[Name(EN)]],Tab_Def_Flows[Name(EN)],0),17)</f>
        <v>1</v>
      </c>
      <c r="AJ9" s="9">
        <f>IF(L9="Yes",AI9*Tab_Data_Flows[[#This Row],[Flow_Py]]*Tab_Data_Flows[[#This Row],[DM_'[%']]],"N.A.")</f>
        <v>353051.01</v>
      </c>
      <c r="AK9" s="9" t="str">
        <f>Tab_Data_Flows[[#This Row],[UoM_Flow_Py]]</f>
        <v>Mg</v>
      </c>
    </row>
    <row r="10" spans="1:37" x14ac:dyDescent="0.25">
      <c r="A10" s="16">
        <f t="shared" si="0"/>
        <v>9</v>
      </c>
      <c r="B10" s="9" t="str">
        <f>_xlfn.XLOOKUP(C10,Tab_Def_Flows[Name(EN)],Tab_Def_Flows[Flow_ID],,0,)</f>
        <v>F_00_02</v>
      </c>
      <c r="C10" s="11" t="s">
        <v>278</v>
      </c>
      <c r="D10" s="9">
        <f>_xlfn.XLOOKUP(C10,Tab_Def_Flows[Name(EN)],Tab_Def_Flows[Type_Biomass],,0,)</f>
        <v>0</v>
      </c>
      <c r="E10" s="9" t="str">
        <f>_xlfn.XLOOKUP(C10,Tab_Def_Flows[Name(EN)],Tab_Def_Flows[Output_Process],,0,)</f>
        <v>Atmosphere</v>
      </c>
      <c r="F10" s="9" t="str">
        <f>_xlfn.XLOOKUP(C10,Tab_Def_Flows[Name(EN)],Tab_Def_Flows[Process_ID_O],,0,)</f>
        <v>00</v>
      </c>
      <c r="G10" s="9" t="str">
        <f>_xlfn.XLOOKUP(C10,Tab_Def_Flows[Name(EN)],Tab_Def_Flows[Input_Process],,0,)</f>
        <v>Cultivation</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105</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276</v>
      </c>
      <c r="AC10" s="190">
        <f>INDEX(Tab_Def_Flows[[Flow_ID]:[CC_DM_source]],MATCH(Tab_Data_Flows[[#This Row],[Name(EN)]],Tab_Def_Flows[Name(EN)],0),13)</f>
        <v>0</v>
      </c>
      <c r="AD10" s="9">
        <f>IF(J10="Yes",AA10*Tab_Data_Flows[[#This Row],[WC_'[%']]],"N.A.")</f>
        <v>0</v>
      </c>
      <c r="AE10" s="9" t="str">
        <f>Tab_Data_Flows[[#This Row],[UoM_Flow_Py]]</f>
        <v>Mg</v>
      </c>
      <c r="AF10" s="190">
        <f>INDEX(Tab_Def_Flows[[Flow_ID]:[CC_DM_source]],MATCH(Tab_Data_Flows[[#This Row],[Name(EN)]],Tab_Def_Flows[Name(EN)],0),15)</f>
        <v>1</v>
      </c>
      <c r="AG10" s="9">
        <f>IF(K10="Yes",AF10*Tab_Data_Flows[[#This Row],[Flow_Py]],"N.A.")</f>
        <v>389483.15</v>
      </c>
      <c r="AH10" s="9" t="str">
        <f>Tab_Data_Flows[[#This Row],[UoM_Flow_Py]]</f>
        <v>Mg</v>
      </c>
      <c r="AI10" s="190">
        <f>INDEX(Tab_Def_Flows[[Flow_ID]:[CC_DM_source]],MATCH(Tab_Data_Flows[[#This Row],[Name(EN)]],Tab_Def_Flows[Name(EN)],0),17)</f>
        <v>1</v>
      </c>
      <c r="AJ10" s="9">
        <f>IF(L10="Yes",AI10*Tab_Data_Flows[[#This Row],[Flow_Py]]*Tab_Data_Flows[[#This Row],[DM_'[%']]],"N.A.")</f>
        <v>389483.15</v>
      </c>
      <c r="AK10" s="9" t="str">
        <f>Tab_Data_Flows[[#This Row],[UoM_Flow_Py]]</f>
        <v>Mg</v>
      </c>
    </row>
    <row r="11" spans="1:37" x14ac:dyDescent="0.25">
      <c r="A11" s="16">
        <f t="shared" si="0"/>
        <v>10</v>
      </c>
      <c r="B11" s="9" t="str">
        <f>_xlfn.XLOOKUP(C11,Tab_Def_Flows[Name(EN)],Tab_Def_Flows[Flow_ID],,0,)</f>
        <v>F_00_02</v>
      </c>
      <c r="C11" s="11" t="s">
        <v>278</v>
      </c>
      <c r="D11" s="9">
        <f>_xlfn.XLOOKUP(C11,Tab_Def_Flows[Name(EN)],Tab_Def_Flows[Type_Biomass],,0,)</f>
        <v>0</v>
      </c>
      <c r="E11" s="9" t="str">
        <f>_xlfn.XLOOKUP(C11,Tab_Def_Flows[Name(EN)],Tab_Def_Flows[Output_Process],,0,)</f>
        <v>Atmosphere</v>
      </c>
      <c r="F11" s="9" t="str">
        <f>_xlfn.XLOOKUP(C11,Tab_Def_Flows[Name(EN)],Tab_Def_Flows[Process_ID_O],,0,)</f>
        <v>00</v>
      </c>
      <c r="G11" s="9" t="str">
        <f>_xlfn.XLOOKUP(C11,Tab_Def_Flows[Name(EN)],Tab_Def_Flows[Input_Process],,0,)</f>
        <v>Cultivation</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105</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276</v>
      </c>
      <c r="AC11" s="190">
        <f>INDEX(Tab_Def_Flows[[Flow_ID]:[CC_DM_source]],MATCH(Tab_Data_Flows[[#This Row],[Name(EN)]],Tab_Def_Flows[Name(EN)],0),13)</f>
        <v>0</v>
      </c>
      <c r="AD11" s="9">
        <f>IF(J11="Yes",AA11*Tab_Data_Flows[[#This Row],[WC_'[%']]],"N.A.")</f>
        <v>0</v>
      </c>
      <c r="AE11" s="9" t="str">
        <f>Tab_Data_Flows[[#This Row],[UoM_Flow_Py]]</f>
        <v>Mg</v>
      </c>
      <c r="AF11" s="190">
        <f>INDEX(Tab_Def_Flows[[Flow_ID]:[CC_DM_source]],MATCH(Tab_Data_Flows[[#This Row],[Name(EN)]],Tab_Def_Flows[Name(EN)],0),15)</f>
        <v>1</v>
      </c>
      <c r="AG11" s="9">
        <f>IF(K11="Yes",AF11*Tab_Data_Flows[[#This Row],[Flow_Py]],"N.A.")</f>
        <v>341176.45</v>
      </c>
      <c r="AH11" s="9" t="str">
        <f>Tab_Data_Flows[[#This Row],[UoM_Flow_Py]]</f>
        <v>Mg</v>
      </c>
      <c r="AI11" s="190">
        <f>INDEX(Tab_Def_Flows[[Flow_ID]:[CC_DM_source]],MATCH(Tab_Data_Flows[[#This Row],[Name(EN)]],Tab_Def_Flows[Name(EN)],0),17)</f>
        <v>1</v>
      </c>
      <c r="AJ11" s="9">
        <f>IF(L11="Yes",AI11*Tab_Data_Flows[[#This Row],[Flow_Py]]*Tab_Data_Flows[[#This Row],[DM_'[%']]],"N.A.")</f>
        <v>341176.45</v>
      </c>
      <c r="AK11" s="9" t="str">
        <f>Tab_Data_Flows[[#This Row],[UoM_Flow_Py]]</f>
        <v>Mg</v>
      </c>
    </row>
    <row r="12" spans="1:37" x14ac:dyDescent="0.25">
      <c r="A12" s="16">
        <f t="shared" si="0"/>
        <v>11</v>
      </c>
      <c r="B12" s="9" t="str">
        <f>_xlfn.XLOOKUP(C12,Tab_Def_Flows[Name(EN)],Tab_Def_Flows[Flow_ID],,0,)</f>
        <v>F_00_02</v>
      </c>
      <c r="C12" s="11" t="s">
        <v>278</v>
      </c>
      <c r="D12" s="9">
        <f>_xlfn.XLOOKUP(C12,Tab_Def_Flows[Name(EN)],Tab_Def_Flows[Type_Biomass],,0,)</f>
        <v>0</v>
      </c>
      <c r="E12" s="9" t="str">
        <f>_xlfn.XLOOKUP(C12,Tab_Def_Flows[Name(EN)],Tab_Def_Flows[Output_Process],,0,)</f>
        <v>Atmosphere</v>
      </c>
      <c r="F12" s="9" t="str">
        <f>_xlfn.XLOOKUP(C12,Tab_Def_Flows[Name(EN)],Tab_Def_Flows[Process_ID_O],,0,)</f>
        <v>00</v>
      </c>
      <c r="G12" s="9" t="str">
        <f>_xlfn.XLOOKUP(C12,Tab_Def_Flows[Name(EN)],Tab_Def_Flows[Input_Process],,0,)</f>
        <v>Cultivation</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105</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276</v>
      </c>
      <c r="AC12" s="190">
        <f>INDEX(Tab_Def_Flows[[Flow_ID]:[CC_DM_source]],MATCH(Tab_Data_Flows[[#This Row],[Name(EN)]],Tab_Def_Flows[Name(EN)],0),13)</f>
        <v>0</v>
      </c>
      <c r="AD12" s="9">
        <f>IF(J12="Yes",AA12*Tab_Data_Flows[[#This Row],[WC_'[%']]],"N.A.")</f>
        <v>0</v>
      </c>
      <c r="AE12" s="9" t="str">
        <f>Tab_Data_Flows[[#This Row],[UoM_Flow_Py]]</f>
        <v>Mg</v>
      </c>
      <c r="AF12" s="190">
        <f>INDEX(Tab_Def_Flows[[Flow_ID]:[CC_DM_source]],MATCH(Tab_Data_Flows[[#This Row],[Name(EN)]],Tab_Def_Flows[Name(EN)],0),15)</f>
        <v>1</v>
      </c>
      <c r="AG12" s="9">
        <f>IF(K12="Yes",AF12*Tab_Data_Flows[[#This Row],[Flow_Py]],"N.A.")</f>
        <v>322450.14</v>
      </c>
      <c r="AH12" s="9" t="str">
        <f>Tab_Data_Flows[[#This Row],[UoM_Flow_Py]]</f>
        <v>Mg</v>
      </c>
      <c r="AI12" s="190">
        <f>INDEX(Tab_Def_Flows[[Flow_ID]:[CC_DM_source]],MATCH(Tab_Data_Flows[[#This Row],[Name(EN)]],Tab_Def_Flows[Name(EN)],0),17)</f>
        <v>1</v>
      </c>
      <c r="AJ12" s="9">
        <f>IF(L12="Yes",AI12*Tab_Data_Flows[[#This Row],[Flow_Py]]*Tab_Data_Flows[[#This Row],[DM_'[%']]],"N.A.")</f>
        <v>322450.14</v>
      </c>
      <c r="AK12" s="9" t="str">
        <f>Tab_Data_Flows[[#This Row],[UoM_Flow_Py]]</f>
        <v>Mg</v>
      </c>
    </row>
    <row r="13" spans="1:37" x14ac:dyDescent="0.25">
      <c r="A13" s="16">
        <f t="shared" si="0"/>
        <v>12</v>
      </c>
      <c r="B13" s="9" t="str">
        <f>_xlfn.XLOOKUP(C13,Tab_Def_Flows[Name(EN)],Tab_Def_Flows[Flow_ID],,0,)</f>
        <v>F_00_02</v>
      </c>
      <c r="C13" s="11" t="s">
        <v>278</v>
      </c>
      <c r="D13" s="9">
        <f>_xlfn.XLOOKUP(C13,Tab_Def_Flows[Name(EN)],Tab_Def_Flows[Type_Biomass],,0,)</f>
        <v>0</v>
      </c>
      <c r="E13" s="9" t="str">
        <f>_xlfn.XLOOKUP(C13,Tab_Def_Flows[Name(EN)],Tab_Def_Flows[Output_Process],,0,)</f>
        <v>Atmosphere</v>
      </c>
      <c r="F13" s="9" t="str">
        <f>_xlfn.XLOOKUP(C13,Tab_Def_Flows[Name(EN)],Tab_Def_Flows[Process_ID_O],,0,)</f>
        <v>00</v>
      </c>
      <c r="G13" s="9" t="str">
        <f>_xlfn.XLOOKUP(C13,Tab_Def_Flows[Name(EN)],Tab_Def_Flows[Input_Process],,0,)</f>
        <v>Cultivation</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105</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276</v>
      </c>
      <c r="AC13" s="190">
        <f>INDEX(Tab_Def_Flows[[Flow_ID]:[CC_DM_source]],MATCH(Tab_Data_Flows[[#This Row],[Name(EN)]],Tab_Def_Flows[Name(EN)],0),13)</f>
        <v>0</v>
      </c>
      <c r="AD13" s="9">
        <f>IF(J13="Yes",AA13*Tab_Data_Flows[[#This Row],[WC_'[%']]],"N.A.")</f>
        <v>0</v>
      </c>
      <c r="AE13" s="9" t="str">
        <f>Tab_Data_Flows[[#This Row],[UoM_Flow_Py]]</f>
        <v>Mg</v>
      </c>
      <c r="AF13" s="190">
        <f>INDEX(Tab_Def_Flows[[Flow_ID]:[CC_DM_source]],MATCH(Tab_Data_Flows[[#This Row],[Name(EN)]],Tab_Def_Flows[Name(EN)],0),15)</f>
        <v>1</v>
      </c>
      <c r="AG13" s="9">
        <f>IF(K13="Yes",AF13*Tab_Data_Flows[[#This Row],[Flow_Py]],"N.A.")</f>
        <v>320237.28999999998</v>
      </c>
      <c r="AH13" s="9" t="str">
        <f>Tab_Data_Flows[[#This Row],[UoM_Flow_Py]]</f>
        <v>Mg</v>
      </c>
      <c r="AI13" s="190">
        <f>INDEX(Tab_Def_Flows[[Flow_ID]:[CC_DM_source]],MATCH(Tab_Data_Flows[[#This Row],[Name(EN)]],Tab_Def_Flows[Name(EN)],0),17)</f>
        <v>1</v>
      </c>
      <c r="AJ13" s="9">
        <f>IF(L13="Yes",AI13*Tab_Data_Flows[[#This Row],[Flow_Py]]*Tab_Data_Flows[[#This Row],[DM_'[%']]],"N.A.")</f>
        <v>320237.28999999998</v>
      </c>
      <c r="AK13" s="9" t="str">
        <f>Tab_Data_Flows[[#This Row],[UoM_Flow_Py]]</f>
        <v>Mg</v>
      </c>
    </row>
    <row r="14" spans="1:37" x14ac:dyDescent="0.25">
      <c r="A14" s="16">
        <f t="shared" si="0"/>
        <v>13</v>
      </c>
      <c r="B14" s="9" t="str">
        <f>_xlfn.XLOOKUP(C14,Tab_Def_Flows[Name(EN)],Tab_Def_Flows[Flow_ID],,0,)</f>
        <v>F_00_02</v>
      </c>
      <c r="C14" s="11" t="s">
        <v>278</v>
      </c>
      <c r="D14" s="9">
        <f>_xlfn.XLOOKUP(C14,Tab_Def_Flows[Name(EN)],Tab_Def_Flows[Type_Biomass],,0,)</f>
        <v>0</v>
      </c>
      <c r="E14" s="9" t="str">
        <f>_xlfn.XLOOKUP(C14,Tab_Def_Flows[Name(EN)],Tab_Def_Flows[Output_Process],,0,)</f>
        <v>Atmosphere</v>
      </c>
      <c r="F14" s="9" t="str">
        <f>_xlfn.XLOOKUP(C14,Tab_Def_Flows[Name(EN)],Tab_Def_Flows[Process_ID_O],,0,)</f>
        <v>00</v>
      </c>
      <c r="G14" s="9" t="str">
        <f>_xlfn.XLOOKUP(C14,Tab_Def_Flows[Name(EN)],Tab_Def_Flows[Input_Process],,0,)</f>
        <v>Cultivation</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105</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276</v>
      </c>
      <c r="AC14" s="190">
        <f>INDEX(Tab_Def_Flows[[Flow_ID]:[CC_DM_source]],MATCH(Tab_Data_Flows[[#This Row],[Name(EN)]],Tab_Def_Flows[Name(EN)],0),13)</f>
        <v>0</v>
      </c>
      <c r="AD14" s="9">
        <f>IF(J14="Yes",AA14*Tab_Data_Flows[[#This Row],[WC_'[%']]],"N.A.")</f>
        <v>0</v>
      </c>
      <c r="AE14" s="9" t="str">
        <f>Tab_Data_Flows[[#This Row],[UoM_Flow_Py]]</f>
        <v>Mg</v>
      </c>
      <c r="AF14" s="190">
        <f>INDEX(Tab_Def_Flows[[Flow_ID]:[CC_DM_source]],MATCH(Tab_Data_Flows[[#This Row],[Name(EN)]],Tab_Def_Flows[Name(EN)],0),15)</f>
        <v>1</v>
      </c>
      <c r="AG14" s="9">
        <f>IF(K14="Yes",AF14*Tab_Data_Flows[[#This Row],[Flow_Py]],"N.A.")</f>
        <v>379904.01</v>
      </c>
      <c r="AH14" s="9" t="str">
        <f>Tab_Data_Flows[[#This Row],[UoM_Flow_Py]]</f>
        <v>Mg</v>
      </c>
      <c r="AI14" s="190">
        <f>INDEX(Tab_Def_Flows[[Flow_ID]:[CC_DM_source]],MATCH(Tab_Data_Flows[[#This Row],[Name(EN)]],Tab_Def_Flows[Name(EN)],0),17)</f>
        <v>1</v>
      </c>
      <c r="AJ14" s="9">
        <f>IF(L14="Yes",AI14*Tab_Data_Flows[[#This Row],[Flow_Py]]*Tab_Data_Flows[[#This Row],[DM_'[%']]],"N.A.")</f>
        <v>379904.01</v>
      </c>
      <c r="AK14" s="9" t="str">
        <f>Tab_Data_Flows[[#This Row],[UoM_Flow_Py]]</f>
        <v>Mg</v>
      </c>
    </row>
    <row r="15" spans="1:37" x14ac:dyDescent="0.25">
      <c r="A15" s="16">
        <f t="shared" si="0"/>
        <v>14</v>
      </c>
      <c r="B15" s="9" t="str">
        <f>_xlfn.XLOOKUP(C15,Tab_Def_Flows[Name(EN)],Tab_Def_Flows[Flow_ID],,0,)</f>
        <v>F_00_02</v>
      </c>
      <c r="C15" s="11" t="s">
        <v>278</v>
      </c>
      <c r="D15" s="9">
        <f>_xlfn.XLOOKUP(C15,Tab_Def_Flows[Name(EN)],Tab_Def_Flows[Type_Biomass],,0,)</f>
        <v>0</v>
      </c>
      <c r="E15" s="9" t="str">
        <f>_xlfn.XLOOKUP(C15,Tab_Def_Flows[Name(EN)],Tab_Def_Flows[Output_Process],,0,)</f>
        <v>Atmosphere</v>
      </c>
      <c r="F15" s="9" t="str">
        <f>_xlfn.XLOOKUP(C15,Tab_Def_Flows[Name(EN)],Tab_Def_Flows[Process_ID_O],,0,)</f>
        <v>00</v>
      </c>
      <c r="G15" s="9" t="str">
        <f>_xlfn.XLOOKUP(C15,Tab_Def_Flows[Name(EN)],Tab_Def_Flows[Input_Process],,0,)</f>
        <v>Cultivation</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105</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276</v>
      </c>
      <c r="AC15" s="190">
        <f>INDEX(Tab_Def_Flows[[Flow_ID]:[CC_DM_source]],MATCH(Tab_Data_Flows[[#This Row],[Name(EN)]],Tab_Def_Flows[Name(EN)],0),13)</f>
        <v>0</v>
      </c>
      <c r="AD15" s="9">
        <f>IF(J15="Yes",AA15*Tab_Data_Flows[[#This Row],[WC_'[%']]],"N.A.")</f>
        <v>0</v>
      </c>
      <c r="AE15" s="9" t="str">
        <f>Tab_Data_Flows[[#This Row],[UoM_Flow_Py]]</f>
        <v>Mg</v>
      </c>
      <c r="AF15" s="190">
        <f>INDEX(Tab_Def_Flows[[Flow_ID]:[CC_DM_source]],MATCH(Tab_Data_Flows[[#This Row],[Name(EN)]],Tab_Def_Flows[Name(EN)],0),15)</f>
        <v>1</v>
      </c>
      <c r="AG15" s="9">
        <f>IF(K15="Yes",AF15*Tab_Data_Flows[[#This Row],[Flow_Py]],"N.A.")</f>
        <v>365226.01</v>
      </c>
      <c r="AH15" s="9" t="str">
        <f>Tab_Data_Flows[[#This Row],[UoM_Flow_Py]]</f>
        <v>Mg</v>
      </c>
      <c r="AI15" s="190">
        <f>INDEX(Tab_Def_Flows[[Flow_ID]:[CC_DM_source]],MATCH(Tab_Data_Flows[[#This Row],[Name(EN)]],Tab_Def_Flows[Name(EN)],0),17)</f>
        <v>1</v>
      </c>
      <c r="AJ15" s="9">
        <f>IF(L15="Yes",AI15*Tab_Data_Flows[[#This Row],[Flow_Py]]*Tab_Data_Flows[[#This Row],[DM_'[%']]],"N.A.")</f>
        <v>365226.01</v>
      </c>
      <c r="AK15" s="9" t="str">
        <f>Tab_Data_Flows[[#This Row],[UoM_Flow_Py]]</f>
        <v>Mg</v>
      </c>
    </row>
    <row r="16" spans="1:37" x14ac:dyDescent="0.25">
      <c r="A16" s="16">
        <f t="shared" si="0"/>
        <v>15</v>
      </c>
      <c r="B16" s="9" t="str">
        <f>_xlfn.XLOOKUP(C16,Tab_Def_Flows[Name(EN)],Tab_Def_Flows[Flow_ID],,0,)</f>
        <v>F_00_02</v>
      </c>
      <c r="C16" s="11" t="s">
        <v>278</v>
      </c>
      <c r="D16" s="9">
        <f>_xlfn.XLOOKUP(C16,Tab_Def_Flows[Name(EN)],Tab_Def_Flows[Type_Biomass],,0,)</f>
        <v>0</v>
      </c>
      <c r="E16" s="9" t="str">
        <f>_xlfn.XLOOKUP(C16,Tab_Def_Flows[Name(EN)],Tab_Def_Flows[Output_Process],,0,)</f>
        <v>Atmosphere</v>
      </c>
      <c r="F16" s="9" t="str">
        <f>_xlfn.XLOOKUP(C16,Tab_Def_Flows[Name(EN)],Tab_Def_Flows[Process_ID_O],,0,)</f>
        <v>00</v>
      </c>
      <c r="G16" s="9" t="str">
        <f>_xlfn.XLOOKUP(C16,Tab_Def_Flows[Name(EN)],Tab_Def_Flows[Input_Process],,0,)</f>
        <v>Cultivation</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105</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276</v>
      </c>
      <c r="AC16" s="190">
        <f>INDEX(Tab_Def_Flows[[Flow_ID]:[CC_DM_source]],MATCH(Tab_Data_Flows[[#This Row],[Name(EN)]],Tab_Def_Flows[Name(EN)],0),13)</f>
        <v>0</v>
      </c>
      <c r="AD16" s="9">
        <f>IF(J16="Yes",AA16*Tab_Data_Flows[[#This Row],[WC_'[%']]],"N.A.")</f>
        <v>0</v>
      </c>
      <c r="AE16" s="9" t="str">
        <f>Tab_Data_Flows[[#This Row],[UoM_Flow_Py]]</f>
        <v>Mg</v>
      </c>
      <c r="AF16" s="190">
        <f>INDEX(Tab_Def_Flows[[Flow_ID]:[CC_DM_source]],MATCH(Tab_Data_Flows[[#This Row],[Name(EN)]],Tab_Def_Flows[Name(EN)],0),15)</f>
        <v>1</v>
      </c>
      <c r="AG16" s="9">
        <f>IF(K16="Yes",AF16*Tab_Data_Flows[[#This Row],[Flow_Py]],"N.A.")</f>
        <v>317828.87</v>
      </c>
      <c r="AH16" s="9" t="str">
        <f>Tab_Data_Flows[[#This Row],[UoM_Flow_Py]]</f>
        <v>Mg</v>
      </c>
      <c r="AI16" s="190">
        <f>INDEX(Tab_Def_Flows[[Flow_ID]:[CC_DM_source]],MATCH(Tab_Data_Flows[[#This Row],[Name(EN)]],Tab_Def_Flows[Name(EN)],0),17)</f>
        <v>1</v>
      </c>
      <c r="AJ16" s="9">
        <f>IF(L16="Yes",AI16*Tab_Data_Flows[[#This Row],[Flow_Py]]*Tab_Data_Flows[[#This Row],[DM_'[%']]],"N.A.")</f>
        <v>317828.87</v>
      </c>
      <c r="AK16" s="9" t="str">
        <f>Tab_Data_Flows[[#This Row],[UoM_Flow_Py]]</f>
        <v>Mg</v>
      </c>
    </row>
    <row r="17" spans="1:37" x14ac:dyDescent="0.25">
      <c r="A17" s="16">
        <f t="shared" si="0"/>
        <v>16</v>
      </c>
      <c r="B17" s="9" t="str">
        <f>_xlfn.XLOOKUP(C17,Tab_Def_Flows[Name(EN)],Tab_Def_Flows[Flow_ID],,0,)</f>
        <v>F_00_02</v>
      </c>
      <c r="C17" s="11" t="s">
        <v>278</v>
      </c>
      <c r="D17" s="9">
        <f>_xlfn.XLOOKUP(C17,Tab_Def_Flows[Name(EN)],Tab_Def_Flows[Type_Biomass],,0,)</f>
        <v>0</v>
      </c>
      <c r="E17" s="9" t="str">
        <f>_xlfn.XLOOKUP(C17,Tab_Def_Flows[Name(EN)],Tab_Def_Flows[Output_Process],,0,)</f>
        <v>Atmosphere</v>
      </c>
      <c r="F17" s="9" t="str">
        <f>_xlfn.XLOOKUP(C17,Tab_Def_Flows[Name(EN)],Tab_Def_Flows[Process_ID_O],,0,)</f>
        <v>00</v>
      </c>
      <c r="G17" s="9" t="str">
        <f>_xlfn.XLOOKUP(C17,Tab_Def_Flows[Name(EN)],Tab_Def_Flows[Input_Process],,0,)</f>
        <v>Cultivation</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105</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276</v>
      </c>
      <c r="AC17" s="190">
        <f>INDEX(Tab_Def_Flows[[Flow_ID]:[CC_DM_source]],MATCH(Tab_Data_Flows[[#This Row],[Name(EN)]],Tab_Def_Flows[Name(EN)],0),13)</f>
        <v>0</v>
      </c>
      <c r="AD17" s="9">
        <f>IF(J17="Yes",AA17*Tab_Data_Flows[[#This Row],[WC_'[%']]],"N.A.")</f>
        <v>0</v>
      </c>
      <c r="AE17" s="9" t="str">
        <f>Tab_Data_Flows[[#This Row],[UoM_Flow_Py]]</f>
        <v>Mg</v>
      </c>
      <c r="AF17" s="190">
        <f>INDEX(Tab_Def_Flows[[Flow_ID]:[CC_DM_source]],MATCH(Tab_Data_Flows[[#This Row],[Name(EN)]],Tab_Def_Flows[Name(EN)],0),15)</f>
        <v>1</v>
      </c>
      <c r="AG17" s="9">
        <f>IF(K17="Yes",AF17*Tab_Data_Flows[[#This Row],[Flow_Py]],"N.A.")</f>
        <v>395868.9</v>
      </c>
      <c r="AH17" s="9" t="str">
        <f>Tab_Data_Flows[[#This Row],[UoM_Flow_Py]]</f>
        <v>Mg</v>
      </c>
      <c r="AI17" s="190">
        <f>INDEX(Tab_Def_Flows[[Flow_ID]:[CC_DM_source]],MATCH(Tab_Data_Flows[[#This Row],[Name(EN)]],Tab_Def_Flows[Name(EN)],0),17)</f>
        <v>1</v>
      </c>
      <c r="AJ17" s="9">
        <f>IF(L17="Yes",AI17*Tab_Data_Flows[[#This Row],[Flow_Py]]*Tab_Data_Flows[[#This Row],[DM_'[%']]],"N.A.")</f>
        <v>395868.9</v>
      </c>
      <c r="AK17" s="9" t="str">
        <f>Tab_Data_Flows[[#This Row],[UoM_Flow_Py]]</f>
        <v>Mg</v>
      </c>
    </row>
    <row r="18" spans="1:37" x14ac:dyDescent="0.25">
      <c r="A18" s="16">
        <f t="shared" si="0"/>
        <v>17</v>
      </c>
      <c r="B18" s="9" t="str">
        <f>_xlfn.XLOOKUP(C18,Tab_Def_Flows[Name(EN)],Tab_Def_Flows[Flow_ID],,0,)</f>
        <v>F_00_02</v>
      </c>
      <c r="C18" s="11" t="s">
        <v>278</v>
      </c>
      <c r="D18" s="9">
        <f>_xlfn.XLOOKUP(C18,Tab_Def_Flows[Name(EN)],Tab_Def_Flows[Type_Biomass],,0,)</f>
        <v>0</v>
      </c>
      <c r="E18" s="9" t="str">
        <f>_xlfn.XLOOKUP(C18,Tab_Def_Flows[Name(EN)],Tab_Def_Flows[Output_Process],,0,)</f>
        <v>Atmosphere</v>
      </c>
      <c r="F18" s="9" t="str">
        <f>_xlfn.XLOOKUP(C18,Tab_Def_Flows[Name(EN)],Tab_Def_Flows[Process_ID_O],,0,)</f>
        <v>00</v>
      </c>
      <c r="G18" s="9" t="str">
        <f>_xlfn.XLOOKUP(C18,Tab_Def_Flows[Name(EN)],Tab_Def_Flows[Input_Process],,0,)</f>
        <v>Cultivation</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105</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276</v>
      </c>
      <c r="AC18" s="190">
        <f>INDEX(Tab_Def_Flows[[Flow_ID]:[CC_DM_source]],MATCH(Tab_Data_Flows[[#This Row],[Name(EN)]],Tab_Def_Flows[Name(EN)],0),13)</f>
        <v>0</v>
      </c>
      <c r="AD18" s="9">
        <f>IF(J18="Yes",AA18*Tab_Data_Flows[[#This Row],[WC_'[%']]],"N.A.")</f>
        <v>0</v>
      </c>
      <c r="AE18" s="9" t="str">
        <f>Tab_Data_Flows[[#This Row],[UoM_Flow_Py]]</f>
        <v>Mg</v>
      </c>
      <c r="AF18" s="190">
        <f>INDEX(Tab_Def_Flows[[Flow_ID]:[CC_DM_source]],MATCH(Tab_Data_Flows[[#This Row],[Name(EN)]],Tab_Def_Flows[Name(EN)],0),15)</f>
        <v>1</v>
      </c>
      <c r="AG18" s="9">
        <f>IF(K18="Yes",AF18*Tab_Data_Flows[[#This Row],[Flow_Py]],"N.A.")</f>
        <v>324278.5</v>
      </c>
      <c r="AH18" s="9" t="str">
        <f>Tab_Data_Flows[[#This Row],[UoM_Flow_Py]]</f>
        <v>Mg</v>
      </c>
      <c r="AI18" s="190">
        <f>INDEX(Tab_Def_Flows[[Flow_ID]:[CC_DM_source]],MATCH(Tab_Data_Flows[[#This Row],[Name(EN)]],Tab_Def_Flows[Name(EN)],0),17)</f>
        <v>1</v>
      </c>
      <c r="AJ18" s="9">
        <f>IF(L18="Yes",AI18*Tab_Data_Flows[[#This Row],[Flow_Py]]*Tab_Data_Flows[[#This Row],[DM_'[%']]],"N.A.")</f>
        <v>324278.5</v>
      </c>
      <c r="AK18" s="9" t="str">
        <f>Tab_Data_Flows[[#This Row],[UoM_Flow_Py]]</f>
        <v>Mg</v>
      </c>
    </row>
    <row r="19" spans="1:37" x14ac:dyDescent="0.25">
      <c r="A19" s="16">
        <f t="shared" si="0"/>
        <v>18</v>
      </c>
      <c r="B19" s="9" t="str">
        <f>_xlfn.XLOOKUP(C19,Tab_Def_Flows[Name(EN)],Tab_Def_Flows[Flow_ID],,0,)</f>
        <v>F_00_02</v>
      </c>
      <c r="C19" s="11" t="s">
        <v>278</v>
      </c>
      <c r="D19" s="9">
        <f>_xlfn.XLOOKUP(C19,Tab_Def_Flows[Name(EN)],Tab_Def_Flows[Type_Biomass],,0,)</f>
        <v>0</v>
      </c>
      <c r="E19" s="9" t="str">
        <f>_xlfn.XLOOKUP(C19,Tab_Def_Flows[Name(EN)],Tab_Def_Flows[Output_Process],,0,)</f>
        <v>Atmosphere</v>
      </c>
      <c r="F19" s="9" t="str">
        <f>_xlfn.XLOOKUP(C19,Tab_Def_Flows[Name(EN)],Tab_Def_Flows[Process_ID_O],,0,)</f>
        <v>00</v>
      </c>
      <c r="G19" s="9" t="str">
        <f>_xlfn.XLOOKUP(C19,Tab_Def_Flows[Name(EN)],Tab_Def_Flows[Input_Process],,0,)</f>
        <v>Cultivation</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105</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276</v>
      </c>
      <c r="AC19" s="190">
        <f>INDEX(Tab_Def_Flows[[Flow_ID]:[CC_DM_source]],MATCH(Tab_Data_Flows[[#This Row],[Name(EN)]],Tab_Def_Flows[Name(EN)],0),13)</f>
        <v>0</v>
      </c>
      <c r="AD19" s="9">
        <f>IF(J19="Yes",AA19*Tab_Data_Flows[[#This Row],[WC_'[%']]],"N.A.")</f>
        <v>0</v>
      </c>
      <c r="AE19" s="9" t="str">
        <f>Tab_Data_Flows[[#This Row],[UoM_Flow_Py]]</f>
        <v>Mg</v>
      </c>
      <c r="AF19" s="190">
        <f>INDEX(Tab_Def_Flows[[Flow_ID]:[CC_DM_source]],MATCH(Tab_Data_Flows[[#This Row],[Name(EN)]],Tab_Def_Flows[Name(EN)],0),15)</f>
        <v>1</v>
      </c>
      <c r="AG19" s="9">
        <f>IF(K19="Yes",AF19*Tab_Data_Flows[[#This Row],[Flow_Py]],"N.A.")</f>
        <v>356002.85</v>
      </c>
      <c r="AH19" s="9" t="str">
        <f>Tab_Data_Flows[[#This Row],[UoM_Flow_Py]]</f>
        <v>Mg</v>
      </c>
      <c r="AI19" s="190">
        <f>INDEX(Tab_Def_Flows[[Flow_ID]:[CC_DM_source]],MATCH(Tab_Data_Flows[[#This Row],[Name(EN)]],Tab_Def_Flows[Name(EN)],0),17)</f>
        <v>1</v>
      </c>
      <c r="AJ19" s="9">
        <f>IF(L19="Yes",AI19*Tab_Data_Flows[[#This Row],[Flow_Py]]*Tab_Data_Flows[[#This Row],[DM_'[%']]],"N.A.")</f>
        <v>356002.85</v>
      </c>
      <c r="AK19" s="9" t="str">
        <f>Tab_Data_Flows[[#This Row],[UoM_Flow_Py]]</f>
        <v>Mg</v>
      </c>
    </row>
    <row r="20" spans="1:37" x14ac:dyDescent="0.25">
      <c r="A20" s="16">
        <f t="shared" si="0"/>
        <v>19</v>
      </c>
      <c r="B20" s="9" t="str">
        <f>_xlfn.XLOOKUP(C20,Tab_Def_Flows[Name(EN)],Tab_Def_Flows[Flow_ID],,0,)</f>
        <v>F_00_02</v>
      </c>
      <c r="C20" s="11" t="s">
        <v>278</v>
      </c>
      <c r="D20" s="9">
        <f>_xlfn.XLOOKUP(C20,Tab_Def_Flows[Name(EN)],Tab_Def_Flows[Type_Biomass],,0,)</f>
        <v>0</v>
      </c>
      <c r="E20" s="9" t="str">
        <f>_xlfn.XLOOKUP(C20,Tab_Def_Flows[Name(EN)],Tab_Def_Flows[Output_Process],,0,)</f>
        <v>Atmosphere</v>
      </c>
      <c r="F20" s="9" t="str">
        <f>_xlfn.XLOOKUP(C20,Tab_Def_Flows[Name(EN)],Tab_Def_Flows[Process_ID_O],,0,)</f>
        <v>00</v>
      </c>
      <c r="G20" s="9" t="str">
        <f>_xlfn.XLOOKUP(C20,Tab_Def_Flows[Name(EN)],Tab_Def_Flows[Input_Process],,0,)</f>
        <v>Cultivation</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105</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276</v>
      </c>
      <c r="AC20" s="190">
        <f>INDEX(Tab_Def_Flows[[Flow_ID]:[CC_DM_source]],MATCH(Tab_Data_Flows[[#This Row],[Name(EN)]],Tab_Def_Flows[Name(EN)],0),13)</f>
        <v>0</v>
      </c>
      <c r="AD20" s="9">
        <f>IF(J20="Yes",AA20*Tab_Data_Flows[[#This Row],[WC_'[%']]],"N.A.")</f>
        <v>0</v>
      </c>
      <c r="AE20" s="9" t="str">
        <f>Tab_Data_Flows[[#This Row],[UoM_Flow_Py]]</f>
        <v>Mg</v>
      </c>
      <c r="AF20" s="190">
        <f>INDEX(Tab_Def_Flows[[Flow_ID]:[CC_DM_source]],MATCH(Tab_Data_Flows[[#This Row],[Name(EN)]],Tab_Def_Flows[Name(EN)],0),15)</f>
        <v>1</v>
      </c>
      <c r="AG20" s="9">
        <f>IF(K20="Yes",AF20*Tab_Data_Flows[[#This Row],[Flow_Py]],"N.A.")</f>
        <v>344691.02</v>
      </c>
      <c r="AH20" s="9" t="str">
        <f>Tab_Data_Flows[[#This Row],[UoM_Flow_Py]]</f>
        <v>Mg</v>
      </c>
      <c r="AI20" s="190">
        <f>INDEX(Tab_Def_Flows[[Flow_ID]:[CC_DM_source]],MATCH(Tab_Data_Flows[[#This Row],[Name(EN)]],Tab_Def_Flows[Name(EN)],0),17)</f>
        <v>1</v>
      </c>
      <c r="AJ20" s="9">
        <f>IF(L20="Yes",AI20*Tab_Data_Flows[[#This Row],[Flow_Py]]*Tab_Data_Flows[[#This Row],[DM_'[%']]],"N.A.")</f>
        <v>344691.02</v>
      </c>
      <c r="AK20" s="9" t="str">
        <f>Tab_Data_Flows[[#This Row],[UoM_Flow_Py]]</f>
        <v>Mg</v>
      </c>
    </row>
    <row r="21" spans="1:37" x14ac:dyDescent="0.25">
      <c r="A21" s="16">
        <f t="shared" si="0"/>
        <v>20</v>
      </c>
      <c r="B21" s="9" t="str">
        <f>_xlfn.XLOOKUP(C21,Tab_Def_Flows[Name(EN)],Tab_Def_Flows[Flow_ID],,0,)</f>
        <v>F_00_02</v>
      </c>
      <c r="C21" s="11" t="s">
        <v>278</v>
      </c>
      <c r="D21" s="9">
        <f>_xlfn.XLOOKUP(C21,Tab_Def_Flows[Name(EN)],Tab_Def_Flows[Type_Biomass],,0,)</f>
        <v>0</v>
      </c>
      <c r="E21" s="9" t="str">
        <f>_xlfn.XLOOKUP(C21,Tab_Def_Flows[Name(EN)],Tab_Def_Flows[Output_Process],,0,)</f>
        <v>Atmosphere</v>
      </c>
      <c r="F21" s="9" t="str">
        <f>_xlfn.XLOOKUP(C21,Tab_Def_Flows[Name(EN)],Tab_Def_Flows[Process_ID_O],,0,)</f>
        <v>00</v>
      </c>
      <c r="G21" s="9" t="str">
        <f>_xlfn.XLOOKUP(C21,Tab_Def_Flows[Name(EN)],Tab_Def_Flows[Input_Process],,0,)</f>
        <v>Cultivation</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105</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276</v>
      </c>
      <c r="AC21" s="190">
        <f>INDEX(Tab_Def_Flows[[Flow_ID]:[CC_DM_source]],MATCH(Tab_Data_Flows[[#This Row],[Name(EN)]],Tab_Def_Flows[Name(EN)],0),13)</f>
        <v>0</v>
      </c>
      <c r="AD21" s="9">
        <f>IF(J21="Yes",AA21*Tab_Data_Flows[[#This Row],[WC_'[%']]],"N.A.")</f>
        <v>0</v>
      </c>
      <c r="AE21" s="9" t="str">
        <f>Tab_Data_Flows[[#This Row],[UoM_Flow_Py]]</f>
        <v>Mg</v>
      </c>
      <c r="AF21" s="190">
        <f>INDEX(Tab_Def_Flows[[Flow_ID]:[CC_DM_source]],MATCH(Tab_Data_Flows[[#This Row],[Name(EN)]],Tab_Def_Flows[Name(EN)],0),15)</f>
        <v>1</v>
      </c>
      <c r="AG21" s="9">
        <f>IF(K21="Yes",AF21*Tab_Data_Flows[[#This Row],[Flow_Py]],"N.A.")</f>
        <v>307492.17</v>
      </c>
      <c r="AH21" s="9" t="str">
        <f>Tab_Data_Flows[[#This Row],[UoM_Flow_Py]]</f>
        <v>Mg</v>
      </c>
      <c r="AI21" s="190">
        <f>INDEX(Tab_Def_Flows[[Flow_ID]:[CC_DM_source]],MATCH(Tab_Data_Flows[[#This Row],[Name(EN)]],Tab_Def_Flows[Name(EN)],0),17)</f>
        <v>1</v>
      </c>
      <c r="AJ21" s="9">
        <f>IF(L21="Yes",AI21*Tab_Data_Flows[[#This Row],[Flow_Py]]*Tab_Data_Flows[[#This Row],[DM_'[%']]],"N.A.")</f>
        <v>307492.17</v>
      </c>
      <c r="AK21" s="9" t="str">
        <f>Tab_Data_Flows[[#This Row],[UoM_Flow_Py]]</f>
        <v>Mg</v>
      </c>
    </row>
    <row r="22" spans="1:37" x14ac:dyDescent="0.25">
      <c r="A22" s="16">
        <f t="shared" si="0"/>
        <v>21</v>
      </c>
      <c r="B22" s="9" t="str">
        <f>_xlfn.XLOOKUP(C22,Tab_Def_Flows[Name(EN)],Tab_Def_Flows[Flow_ID],,0,)</f>
        <v>F_00_02</v>
      </c>
      <c r="C22" s="11" t="s">
        <v>278</v>
      </c>
      <c r="D22" s="9">
        <f>_xlfn.XLOOKUP(C22,Tab_Def_Flows[Name(EN)],Tab_Def_Flows[Type_Biomass],,0,)</f>
        <v>0</v>
      </c>
      <c r="E22" s="9" t="str">
        <f>_xlfn.XLOOKUP(C22,Tab_Def_Flows[Name(EN)],Tab_Def_Flows[Output_Process],,0,)</f>
        <v>Atmosphere</v>
      </c>
      <c r="F22" s="9" t="str">
        <f>_xlfn.XLOOKUP(C22,Tab_Def_Flows[Name(EN)],Tab_Def_Flows[Process_ID_O],,0,)</f>
        <v>00</v>
      </c>
      <c r="G22" s="9" t="str">
        <f>_xlfn.XLOOKUP(C22,Tab_Def_Flows[Name(EN)],Tab_Def_Flows[Input_Process],,0,)</f>
        <v>Cultivation</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105</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276</v>
      </c>
      <c r="AC22" s="190">
        <f>INDEX(Tab_Def_Flows[[Flow_ID]:[CC_DM_source]],MATCH(Tab_Data_Flows[[#This Row],[Name(EN)]],Tab_Def_Flows[Name(EN)],0),13)</f>
        <v>0</v>
      </c>
      <c r="AD22" s="9">
        <f>IF(J22="Yes",AA22*Tab_Data_Flows[[#This Row],[WC_'[%']]],"N.A.")</f>
        <v>0</v>
      </c>
      <c r="AE22" s="9" t="str">
        <f>Tab_Data_Flows[[#This Row],[UoM_Flow_Py]]</f>
        <v>Mg</v>
      </c>
      <c r="AF22" s="190">
        <f>INDEX(Tab_Def_Flows[[Flow_ID]:[CC_DM_source]],MATCH(Tab_Data_Flows[[#This Row],[Name(EN)]],Tab_Def_Flows[Name(EN)],0),15)</f>
        <v>1</v>
      </c>
      <c r="AG22" s="9">
        <f>IF(K22="Yes",AF22*Tab_Data_Flows[[#This Row],[Flow_Py]],"N.A.")</f>
        <v>316566.75</v>
      </c>
      <c r="AH22" s="9" t="str">
        <f>Tab_Data_Flows[[#This Row],[UoM_Flow_Py]]</f>
        <v>Mg</v>
      </c>
      <c r="AI22" s="190">
        <f>INDEX(Tab_Def_Flows[[Flow_ID]:[CC_DM_source]],MATCH(Tab_Data_Flows[[#This Row],[Name(EN)]],Tab_Def_Flows[Name(EN)],0),17)</f>
        <v>1</v>
      </c>
      <c r="AJ22" s="9">
        <f>IF(L22="Yes",AI22*Tab_Data_Flows[[#This Row],[Flow_Py]]*Tab_Data_Flows[[#This Row],[DM_'[%']]],"N.A.")</f>
        <v>316566.75</v>
      </c>
      <c r="AK22" s="9" t="str">
        <f>Tab_Data_Flows[[#This Row],[UoM_Flow_Py]]</f>
        <v>Mg</v>
      </c>
    </row>
    <row r="23" spans="1:37" x14ac:dyDescent="0.25">
      <c r="A23" s="16">
        <f t="shared" si="0"/>
        <v>22</v>
      </c>
      <c r="B23" s="9" t="str">
        <f>_xlfn.XLOOKUP(C23,Tab_Def_Flows[Name(EN)],Tab_Def_Flows[Flow_ID],,0,)</f>
        <v>F_00_02</v>
      </c>
      <c r="C23" s="11" t="s">
        <v>278</v>
      </c>
      <c r="D23" s="9">
        <f>_xlfn.XLOOKUP(C23,Tab_Def_Flows[Name(EN)],Tab_Def_Flows[Type_Biomass],,0,)</f>
        <v>0</v>
      </c>
      <c r="E23" s="9" t="str">
        <f>_xlfn.XLOOKUP(C23,Tab_Def_Flows[Name(EN)],Tab_Def_Flows[Output_Process],,0,)</f>
        <v>Atmosphere</v>
      </c>
      <c r="F23" s="9" t="str">
        <f>_xlfn.XLOOKUP(C23,Tab_Def_Flows[Name(EN)],Tab_Def_Flows[Process_ID_O],,0,)</f>
        <v>00</v>
      </c>
      <c r="G23" s="9" t="str">
        <f>_xlfn.XLOOKUP(C23,Tab_Def_Flows[Name(EN)],Tab_Def_Flows[Input_Process],,0,)</f>
        <v>Cultivation</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105</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276</v>
      </c>
      <c r="AC23" s="190">
        <f>INDEX(Tab_Def_Flows[[Flow_ID]:[CC_DM_source]],MATCH(Tab_Data_Flows[[#This Row],[Name(EN)]],Tab_Def_Flows[Name(EN)],0),13)</f>
        <v>0</v>
      </c>
      <c r="AD23" s="9">
        <f>IF(J23="Yes",AA23*Tab_Data_Flows[[#This Row],[WC_'[%']]],"N.A.")</f>
        <v>0</v>
      </c>
      <c r="AE23" s="9" t="str">
        <f>Tab_Data_Flows[[#This Row],[UoM_Flow_Py]]</f>
        <v>Mg</v>
      </c>
      <c r="AF23" s="190">
        <f>INDEX(Tab_Def_Flows[[Flow_ID]:[CC_DM_source]],MATCH(Tab_Data_Flows[[#This Row],[Name(EN)]],Tab_Def_Flows[Name(EN)],0),15)</f>
        <v>1</v>
      </c>
      <c r="AG23" s="9">
        <f>IF(K23="Yes",AF23*Tab_Data_Flows[[#This Row],[Flow_Py]],"N.A.")</f>
        <v>347388.93</v>
      </c>
      <c r="AH23" s="9" t="str">
        <f>Tab_Data_Flows[[#This Row],[UoM_Flow_Py]]</f>
        <v>Mg</v>
      </c>
      <c r="AI23" s="190">
        <f>INDEX(Tab_Def_Flows[[Flow_ID]:[CC_DM_source]],MATCH(Tab_Data_Flows[[#This Row],[Name(EN)]],Tab_Def_Flows[Name(EN)],0),17)</f>
        <v>1</v>
      </c>
      <c r="AJ23" s="9">
        <f>IF(L23="Yes",AI23*Tab_Data_Flows[[#This Row],[Flow_Py]]*Tab_Data_Flows[[#This Row],[DM_'[%']]],"N.A.")</f>
        <v>347388.93</v>
      </c>
      <c r="AK23" s="9" t="str">
        <f>Tab_Data_Flows[[#This Row],[UoM_Flow_Py]]</f>
        <v>Mg</v>
      </c>
    </row>
    <row r="24" spans="1:37" x14ac:dyDescent="0.25">
      <c r="A24" s="16">
        <f t="shared" si="0"/>
        <v>23</v>
      </c>
      <c r="B24" s="9" t="str">
        <f>_xlfn.XLOOKUP(C24,Tab_Def_Flows[Name(EN)],Tab_Def_Flows[Flow_ID],,0,)</f>
        <v>F_00_02</v>
      </c>
      <c r="C24" s="11" t="s">
        <v>278</v>
      </c>
      <c r="D24" s="9">
        <f>_xlfn.XLOOKUP(C24,Tab_Def_Flows[Name(EN)],Tab_Def_Flows[Type_Biomass],,0,)</f>
        <v>0</v>
      </c>
      <c r="E24" s="9" t="str">
        <f>_xlfn.XLOOKUP(C24,Tab_Def_Flows[Name(EN)],Tab_Def_Flows[Output_Process],,0,)</f>
        <v>Atmosphere</v>
      </c>
      <c r="F24" s="9" t="str">
        <f>_xlfn.XLOOKUP(C24,Tab_Def_Flows[Name(EN)],Tab_Def_Flows[Process_ID_O],,0,)</f>
        <v>00</v>
      </c>
      <c r="G24" s="9" t="str">
        <f>_xlfn.XLOOKUP(C24,Tab_Def_Flows[Name(EN)],Tab_Def_Flows[Input_Process],,0,)</f>
        <v>Cultivation</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105</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276</v>
      </c>
      <c r="AC24" s="190">
        <f>INDEX(Tab_Def_Flows[[Flow_ID]:[CC_DM_source]],MATCH(Tab_Data_Flows[[#This Row],[Name(EN)]],Tab_Def_Flows[Name(EN)],0),13)</f>
        <v>0</v>
      </c>
      <c r="AD24" s="9">
        <f>IF(J24="Yes",AA24*Tab_Data_Flows[[#This Row],[WC_'[%']]],"N.A.")</f>
        <v>0</v>
      </c>
      <c r="AE24" s="9" t="str">
        <f>Tab_Data_Flows[[#This Row],[UoM_Flow_Py]]</f>
        <v>Mg</v>
      </c>
      <c r="AF24" s="190">
        <f>INDEX(Tab_Def_Flows[[Flow_ID]:[CC_DM_source]],MATCH(Tab_Data_Flows[[#This Row],[Name(EN)]],Tab_Def_Flows[Name(EN)],0),15)</f>
        <v>1</v>
      </c>
      <c r="AG24" s="9">
        <f>IF(K24="Yes",AF24*Tab_Data_Flows[[#This Row],[Flow_Py]],"N.A.")</f>
        <v>353799.33</v>
      </c>
      <c r="AH24" s="9" t="str">
        <f>Tab_Data_Flows[[#This Row],[UoM_Flow_Py]]</f>
        <v>Mg</v>
      </c>
      <c r="AI24" s="190">
        <f>INDEX(Tab_Def_Flows[[Flow_ID]:[CC_DM_source]],MATCH(Tab_Data_Flows[[#This Row],[Name(EN)]],Tab_Def_Flows[Name(EN)],0),17)</f>
        <v>1</v>
      </c>
      <c r="AJ24" s="9">
        <f>IF(L24="Yes",AI24*Tab_Data_Flows[[#This Row],[Flow_Py]]*Tab_Data_Flows[[#This Row],[DM_'[%']]],"N.A.")</f>
        <v>353799.33</v>
      </c>
      <c r="AK24" s="9" t="str">
        <f>Tab_Data_Flows[[#This Row],[UoM_Flow_Py]]</f>
        <v>Mg</v>
      </c>
    </row>
    <row r="25" spans="1:37" x14ac:dyDescent="0.25">
      <c r="A25" s="16">
        <f t="shared" si="0"/>
        <v>24</v>
      </c>
      <c r="B25" s="9" t="str">
        <f>_xlfn.XLOOKUP(C25,Tab_Def_Flows[Name(EN)],Tab_Def_Flows[Flow_ID],,0,)</f>
        <v>F_00_02</v>
      </c>
      <c r="C25" s="11" t="s">
        <v>278</v>
      </c>
      <c r="D25" s="9">
        <f>_xlfn.XLOOKUP(C25,Tab_Def_Flows[Name(EN)],Tab_Def_Flows[Type_Biomass],,0,)</f>
        <v>0</v>
      </c>
      <c r="E25" s="9" t="str">
        <f>_xlfn.XLOOKUP(C25,Tab_Def_Flows[Name(EN)],Tab_Def_Flows[Output_Process],,0,)</f>
        <v>Atmosphere</v>
      </c>
      <c r="F25" s="9" t="str">
        <f>_xlfn.XLOOKUP(C25,Tab_Def_Flows[Name(EN)],Tab_Def_Flows[Process_ID_O],,0,)</f>
        <v>00</v>
      </c>
      <c r="G25" s="9" t="str">
        <f>_xlfn.XLOOKUP(C25,Tab_Def_Flows[Name(EN)],Tab_Def_Flows[Input_Process],,0,)</f>
        <v>Cultivation</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105</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276</v>
      </c>
      <c r="AC25" s="190">
        <f>INDEX(Tab_Def_Flows[[Flow_ID]:[CC_DM_source]],MATCH(Tab_Data_Flows[[#This Row],[Name(EN)]],Tab_Def_Flows[Name(EN)],0),13)</f>
        <v>0</v>
      </c>
      <c r="AD25" s="9">
        <f>IF(J25="Yes",AA25*Tab_Data_Flows[[#This Row],[WC_'[%']]],"N.A.")</f>
        <v>0</v>
      </c>
      <c r="AE25" s="9" t="str">
        <f>Tab_Data_Flows[[#This Row],[UoM_Flow_Py]]</f>
        <v>Mg</v>
      </c>
      <c r="AF25" s="190">
        <f>INDEX(Tab_Def_Flows[[Flow_ID]:[CC_DM_source]],MATCH(Tab_Data_Flows[[#This Row],[Name(EN)]],Tab_Def_Flows[Name(EN)],0),15)</f>
        <v>1</v>
      </c>
      <c r="AG25" s="9">
        <f>IF(K25="Yes",AF25*Tab_Data_Flows[[#This Row],[Flow_Py]],"N.A.")</f>
        <v>289510.81</v>
      </c>
      <c r="AH25" s="9" t="str">
        <f>Tab_Data_Flows[[#This Row],[UoM_Flow_Py]]</f>
        <v>Mg</v>
      </c>
      <c r="AI25" s="190">
        <f>INDEX(Tab_Def_Flows[[Flow_ID]:[CC_DM_source]],MATCH(Tab_Data_Flows[[#This Row],[Name(EN)]],Tab_Def_Flows[Name(EN)],0),17)</f>
        <v>1</v>
      </c>
      <c r="AJ25" s="9">
        <f>IF(L25="Yes",AI25*Tab_Data_Flows[[#This Row],[Flow_Py]]*Tab_Data_Flows[[#This Row],[DM_'[%']]],"N.A.")</f>
        <v>289510.81</v>
      </c>
      <c r="AK25" s="9" t="str">
        <f>Tab_Data_Flows[[#This Row],[UoM_Flow_Py]]</f>
        <v>Mg</v>
      </c>
    </row>
    <row r="26" spans="1:37" x14ac:dyDescent="0.25">
      <c r="A26" s="16">
        <f t="shared" si="0"/>
        <v>25</v>
      </c>
      <c r="B26" s="9" t="str">
        <f>_xlfn.XLOOKUP(C26,Tab_Def_Flows[Name(EN)],Tab_Def_Flows[Flow_ID],,0,)</f>
        <v>F_00_02</v>
      </c>
      <c r="C26" s="11" t="s">
        <v>278</v>
      </c>
      <c r="D26" s="9">
        <f>_xlfn.XLOOKUP(C26,Tab_Def_Flows[Name(EN)],Tab_Def_Flows[Type_Biomass],,0,)</f>
        <v>0</v>
      </c>
      <c r="E26" s="9" t="str">
        <f>_xlfn.XLOOKUP(C26,Tab_Def_Flows[Name(EN)],Tab_Def_Flows[Output_Process],,0,)</f>
        <v>Atmosphere</v>
      </c>
      <c r="F26" s="9" t="str">
        <f>_xlfn.XLOOKUP(C26,Tab_Def_Flows[Name(EN)],Tab_Def_Flows[Process_ID_O],,0,)</f>
        <v>00</v>
      </c>
      <c r="G26" s="9" t="str">
        <f>_xlfn.XLOOKUP(C26,Tab_Def_Flows[Name(EN)],Tab_Def_Flows[Input_Process],,0,)</f>
        <v>Cultivation</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105</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276</v>
      </c>
      <c r="AC26" s="190">
        <f>INDEX(Tab_Def_Flows[[Flow_ID]:[CC_DM_source]],MATCH(Tab_Data_Flows[[#This Row],[Name(EN)]],Tab_Def_Flows[Name(EN)],0),13)</f>
        <v>0</v>
      </c>
      <c r="AD26" s="9">
        <f>IF(J26="Yes",AA26*Tab_Data_Flows[[#This Row],[WC_'[%']]],"N.A.")</f>
        <v>0</v>
      </c>
      <c r="AE26" s="9" t="str">
        <f>Tab_Data_Flows[[#This Row],[UoM_Flow_Py]]</f>
        <v>Mg</v>
      </c>
      <c r="AF26" s="190">
        <f>INDEX(Tab_Def_Flows[[Flow_ID]:[CC_DM_source]],MATCH(Tab_Data_Flows[[#This Row],[Name(EN)]],Tab_Def_Flows[Name(EN)],0),15)</f>
        <v>1</v>
      </c>
      <c r="AG26" s="9">
        <f>IF(K26="Yes",AF26*Tab_Data_Flows[[#This Row],[Flow_Py]],"N.A.")</f>
        <v>341760.05</v>
      </c>
      <c r="AH26" s="9" t="str">
        <f>Tab_Data_Flows[[#This Row],[UoM_Flow_Py]]</f>
        <v>Mg</v>
      </c>
      <c r="AI26" s="190">
        <f>INDEX(Tab_Def_Flows[[Flow_ID]:[CC_DM_source]],MATCH(Tab_Data_Flows[[#This Row],[Name(EN)]],Tab_Def_Flows[Name(EN)],0),17)</f>
        <v>1</v>
      </c>
      <c r="AJ26" s="9">
        <f>IF(L26="Yes",AI26*Tab_Data_Flows[[#This Row],[Flow_Py]]*Tab_Data_Flows[[#This Row],[DM_'[%']]],"N.A.")</f>
        <v>341760.05</v>
      </c>
      <c r="AK26" s="9" t="str">
        <f>Tab_Data_Flows[[#This Row],[UoM_Flow_Py]]</f>
        <v>Mg</v>
      </c>
    </row>
    <row r="27" spans="1:37" x14ac:dyDescent="0.25">
      <c r="A27" s="16">
        <f t="shared" si="0"/>
        <v>26</v>
      </c>
      <c r="B27" s="9" t="str">
        <f>_xlfn.XLOOKUP(C27,Tab_Def_Flows[Name(EN)],Tab_Def_Flows[Flow_ID],,0,)</f>
        <v>F_00_02</v>
      </c>
      <c r="C27" s="11" t="s">
        <v>278</v>
      </c>
      <c r="D27" s="9">
        <f>_xlfn.XLOOKUP(C27,Tab_Def_Flows[Name(EN)],Tab_Def_Flows[Type_Biomass],,0,)</f>
        <v>0</v>
      </c>
      <c r="E27" s="9" t="str">
        <f>_xlfn.XLOOKUP(C27,Tab_Def_Flows[Name(EN)],Tab_Def_Flows[Output_Process],,0,)</f>
        <v>Atmosphere</v>
      </c>
      <c r="F27" s="9" t="str">
        <f>_xlfn.XLOOKUP(C27,Tab_Def_Flows[Name(EN)],Tab_Def_Flows[Process_ID_O],,0,)</f>
        <v>00</v>
      </c>
      <c r="G27" s="9" t="str">
        <f>_xlfn.XLOOKUP(C27,Tab_Def_Flows[Name(EN)],Tab_Def_Flows[Input_Process],,0,)</f>
        <v>Cultivation</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105</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276</v>
      </c>
      <c r="AC27" s="190">
        <f>INDEX(Tab_Def_Flows[[Flow_ID]:[CC_DM_source]],MATCH(Tab_Data_Flows[[#This Row],[Name(EN)]],Tab_Def_Flows[Name(EN)],0),13)</f>
        <v>0</v>
      </c>
      <c r="AD27" s="9">
        <f>IF(J27="Yes",AA27*Tab_Data_Flows[[#This Row],[WC_'[%']]],"N.A.")</f>
        <v>0</v>
      </c>
      <c r="AE27" s="9" t="str">
        <f>Tab_Data_Flows[[#This Row],[UoM_Flow_Py]]</f>
        <v>Mg</v>
      </c>
      <c r="AF27" s="190">
        <f>INDEX(Tab_Def_Flows[[Flow_ID]:[CC_DM_source]],MATCH(Tab_Data_Flows[[#This Row],[Name(EN)]],Tab_Def_Flows[Name(EN)],0),15)</f>
        <v>1</v>
      </c>
      <c r="AG27" s="9">
        <f>IF(K27="Yes",AF27*Tab_Data_Flows[[#This Row],[Flow_Py]],"N.A.")</f>
        <v>335915.31</v>
      </c>
      <c r="AH27" s="9" t="str">
        <f>Tab_Data_Flows[[#This Row],[UoM_Flow_Py]]</f>
        <v>Mg</v>
      </c>
      <c r="AI27" s="190">
        <f>INDEX(Tab_Def_Flows[[Flow_ID]:[CC_DM_source]],MATCH(Tab_Data_Flows[[#This Row],[Name(EN)]],Tab_Def_Flows[Name(EN)],0),17)</f>
        <v>1</v>
      </c>
      <c r="AJ27" s="9">
        <f>IF(L27="Yes",AI27*Tab_Data_Flows[[#This Row],[Flow_Py]]*Tab_Data_Flows[[#This Row],[DM_'[%']]],"N.A.")</f>
        <v>335915.31</v>
      </c>
      <c r="AK27" s="9" t="str">
        <f>Tab_Data_Flows[[#This Row],[UoM_Flow_Py]]</f>
        <v>Mg</v>
      </c>
    </row>
    <row r="28" spans="1:37" x14ac:dyDescent="0.25">
      <c r="A28" s="16">
        <f t="shared" si="0"/>
        <v>27</v>
      </c>
      <c r="B28" s="9" t="str">
        <f>_xlfn.XLOOKUP(C28,Tab_Def_Flows[Name(EN)],Tab_Def_Flows[Flow_ID],,0,)</f>
        <v>F_01_02</v>
      </c>
      <c r="C28" s="11" t="s">
        <v>279</v>
      </c>
      <c r="D28" s="9">
        <f>_xlfn.XLOOKUP(C28,Tab_Def_Flows[Name(EN)],Tab_Def_Flows[Type_Biomass],,0,)</f>
        <v>0</v>
      </c>
      <c r="E28" s="9" t="str">
        <f>_xlfn.XLOOKUP(C28,Tab_Def_Flows[Name(EN)],Tab_Def_Flows[Output_Process],,0,)</f>
        <v>Environment</v>
      </c>
      <c r="F28" s="9" t="str">
        <f>_xlfn.XLOOKUP(C28,Tab_Def_Flows[Name(EN)],Tab_Def_Flows[Process_ID_O],,0,)</f>
        <v>01</v>
      </c>
      <c r="G28" s="9" t="str">
        <f>_xlfn.XLOOKUP(C28,Tab_Def_Flows[Name(EN)],Tab_Def_Flows[Input_Process],,0,)</f>
        <v>Cultivation</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105</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276</v>
      </c>
      <c r="AC28" s="190">
        <f>INDEX(Tab_Def_Flows[[Flow_ID]:[CC_DM_source]],MATCH(Tab_Data_Flows[[#This Row],[Name(EN)]],Tab_Def_Flows[Name(EN)],0),13)</f>
        <v>0.23841961794348115</v>
      </c>
      <c r="AD28" s="9">
        <f>IF(J28="Yes",AA28*Tab_Data_Flows[[#This Row],[WC_'[%']]],"N.A.")</f>
        <v>101033.52700000002</v>
      </c>
      <c r="AE28" s="9" t="str">
        <f>Tab_Data_Flows[[#This Row],[UoM_Flow_Py]]</f>
        <v>Mg</v>
      </c>
      <c r="AF28" s="190">
        <f>INDEX(Tab_Def_Flows[[Flow_ID]:[CC_DM_source]],MATCH(Tab_Data_Flows[[#This Row],[Name(EN)]],Tab_Def_Flows[Name(EN)],0),15)</f>
        <v>0.76158038205651879</v>
      </c>
      <c r="AG28" s="9">
        <f>IF(K28="Yes",AF28*Tab_Data_Flows[[#This Row],[Flow_Py]],"N.A.")</f>
        <v>322729.95299999992</v>
      </c>
      <c r="AH28" s="9" t="str">
        <f>Tab_Data_Flows[[#This Row],[UoM_Flow_Py]]</f>
        <v>Mg</v>
      </c>
      <c r="AI28" s="190">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279</v>
      </c>
      <c r="D29" s="9">
        <f>_xlfn.XLOOKUP(C29,Tab_Def_Flows[Name(EN)],Tab_Def_Flows[Type_Biomass],,0,)</f>
        <v>0</v>
      </c>
      <c r="E29" s="9" t="str">
        <f>_xlfn.XLOOKUP(C29,Tab_Def_Flows[Name(EN)],Tab_Def_Flows[Output_Process],,0,)</f>
        <v>Environment</v>
      </c>
      <c r="F29" s="9" t="str">
        <f>_xlfn.XLOOKUP(C29,Tab_Def_Flows[Name(EN)],Tab_Def_Flows[Process_ID_O],,0,)</f>
        <v>01</v>
      </c>
      <c r="G29" s="9" t="str">
        <f>_xlfn.XLOOKUP(C29,Tab_Def_Flows[Name(EN)],Tab_Def_Flows[Input_Process],,0,)</f>
        <v>Cultivation</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105</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276</v>
      </c>
      <c r="AC29" s="190">
        <f>INDEX(Tab_Def_Flows[[Flow_ID]:[CC_DM_source]],MATCH(Tab_Data_Flows[[#This Row],[Name(EN)]],Tab_Def_Flows[Name(EN)],0),13)</f>
        <v>0.23841961794348115</v>
      </c>
      <c r="AD29" s="9">
        <f>IF(J29="Yes",AA29*Tab_Data_Flows[[#This Row],[WC_'[%']]],"N.A.")</f>
        <v>115019.25993570349</v>
      </c>
      <c r="AE29" s="9" t="str">
        <f>Tab_Data_Flows[[#This Row],[UoM_Flow_Py]]</f>
        <v>Mg</v>
      </c>
      <c r="AF29" s="190">
        <f>INDEX(Tab_Def_Flows[[Flow_ID]:[CC_DM_source]],MATCH(Tab_Data_Flows[[#This Row],[Name(EN)]],Tab_Def_Flows[Name(EN)],0),15)</f>
        <v>0.76158038205651879</v>
      </c>
      <c r="AG29" s="9">
        <f>IF(K29="Yes",AF29*Tab_Data_Flows[[#This Row],[Flow_Py]],"N.A.")</f>
        <v>367404.38006429648</v>
      </c>
      <c r="AH29" s="9" t="str">
        <f>Tab_Data_Flows[[#This Row],[UoM_Flow_Py]]</f>
        <v>Mg</v>
      </c>
      <c r="AI29" s="190">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279</v>
      </c>
      <c r="D30" s="9">
        <f>_xlfn.XLOOKUP(C30,Tab_Def_Flows[Name(EN)],Tab_Def_Flows[Type_Biomass],,0,)</f>
        <v>0</v>
      </c>
      <c r="E30" s="9" t="str">
        <f>_xlfn.XLOOKUP(C30,Tab_Def_Flows[Name(EN)],Tab_Def_Flows[Output_Process],,0,)</f>
        <v>Environment</v>
      </c>
      <c r="F30" s="9" t="str">
        <f>_xlfn.XLOOKUP(C30,Tab_Def_Flows[Name(EN)],Tab_Def_Flows[Process_ID_O],,0,)</f>
        <v>01</v>
      </c>
      <c r="G30" s="9" t="str">
        <f>_xlfn.XLOOKUP(C30,Tab_Def_Flows[Name(EN)],Tab_Def_Flows[Input_Process],,0,)</f>
        <v>Cultivation</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105</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276</v>
      </c>
      <c r="AC30" s="190">
        <f>INDEX(Tab_Def_Flows[[Flow_ID]:[CC_DM_source]],MATCH(Tab_Data_Flows[[#This Row],[Name(EN)]],Tab_Def_Flows[Name(EN)],0),13)</f>
        <v>0.23841961794348115</v>
      </c>
      <c r="AD30" s="9">
        <f>IF(J30="Yes",AA30*Tab_Data_Flows[[#This Row],[WC_'[%']]],"N.A.")</f>
        <v>87177.85911847325</v>
      </c>
      <c r="AE30" s="9" t="str">
        <f>Tab_Data_Flows[[#This Row],[UoM_Flow_Py]]</f>
        <v>Mg</v>
      </c>
      <c r="AF30" s="190">
        <f>INDEX(Tab_Def_Flows[[Flow_ID]:[CC_DM_source]],MATCH(Tab_Data_Flows[[#This Row],[Name(EN)]],Tab_Def_Flows[Name(EN)],0),15)</f>
        <v>0.76158038205651879</v>
      </c>
      <c r="AG30" s="9">
        <f>IF(K30="Yes",AF30*Tab_Data_Flows[[#This Row],[Flow_Py]],"N.A.")</f>
        <v>278470.99088152673</v>
      </c>
      <c r="AH30" s="9" t="str">
        <f>Tab_Data_Flows[[#This Row],[UoM_Flow_Py]]</f>
        <v>Mg</v>
      </c>
      <c r="AI30" s="190">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279</v>
      </c>
      <c r="D31" s="9">
        <f>_xlfn.XLOOKUP(C31,Tab_Def_Flows[Name(EN)],Tab_Def_Flows[Type_Biomass],,0,)</f>
        <v>0</v>
      </c>
      <c r="E31" s="9" t="str">
        <f>_xlfn.XLOOKUP(C31,Tab_Def_Flows[Name(EN)],Tab_Def_Flows[Output_Process],,0,)</f>
        <v>Environment</v>
      </c>
      <c r="F31" s="9" t="str">
        <f>_xlfn.XLOOKUP(C31,Tab_Def_Flows[Name(EN)],Tab_Def_Flows[Process_ID_O],,0,)</f>
        <v>01</v>
      </c>
      <c r="G31" s="9" t="str">
        <f>_xlfn.XLOOKUP(C31,Tab_Def_Flows[Name(EN)],Tab_Def_Flows[Input_Process],,0,)</f>
        <v>Cultivation</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105</v>
      </c>
      <c r="O31" s="48">
        <v>375603.12</v>
      </c>
      <c r="P31" s="11"/>
      <c r="Q31" s="11"/>
      <c r="R31" s="11"/>
      <c r="S31" s="11"/>
      <c r="T31" s="11"/>
      <c r="U31" s="11"/>
      <c r="V31" s="11"/>
      <c r="W31" s="11"/>
      <c r="X31" s="11" t="s">
        <v>8</v>
      </c>
      <c r="Y31" s="41"/>
      <c r="Z31" s="11"/>
      <c r="AA31" s="35">
        <f t="shared" si="1"/>
        <v>375603.12</v>
      </c>
      <c r="AB31" s="11" t="s">
        <v>276</v>
      </c>
      <c r="AC31" s="190">
        <f>INDEX(Tab_Def_Flows[[Flow_ID]:[CC_DM_source]],MATCH(Tab_Data_Flows[[#This Row],[Name(EN)]],Tab_Def_Flows[Name(EN)],0),13)</f>
        <v>0.23841961794348115</v>
      </c>
      <c r="AD31" s="9">
        <f>IF(J31="Yes",AA31*Tab_Data_Flows[[#This Row],[WC_'[%']]],"N.A.")</f>
        <v>89551.152368779498</v>
      </c>
      <c r="AE31" s="9" t="str">
        <f>Tab_Data_Flows[[#This Row],[UoM_Flow_Py]]</f>
        <v>Mg</v>
      </c>
      <c r="AF31" s="190">
        <f>INDEX(Tab_Def_Flows[[Flow_ID]:[CC_DM_source]],MATCH(Tab_Data_Flows[[#This Row],[Name(EN)]],Tab_Def_Flows[Name(EN)],0),15)</f>
        <v>0.76158038205651879</v>
      </c>
      <c r="AG31" s="9">
        <f>IF(K31="Yes",AF31*Tab_Data_Flows[[#This Row],[Flow_Py]],"N.A.")</f>
        <v>286051.96763122047</v>
      </c>
      <c r="AH31" s="9" t="str">
        <f>Tab_Data_Flows[[#This Row],[UoM_Flow_Py]]</f>
        <v>Mg</v>
      </c>
      <c r="AI31" s="190">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279</v>
      </c>
      <c r="D32" s="9">
        <f>_xlfn.XLOOKUP(C32,Tab_Def_Flows[Name(EN)],Tab_Def_Flows[Type_Biomass],,0,)</f>
        <v>0</v>
      </c>
      <c r="E32" s="9" t="str">
        <f>_xlfn.XLOOKUP(C32,Tab_Def_Flows[Name(EN)],Tab_Def_Flows[Output_Process],,0,)</f>
        <v>Environment</v>
      </c>
      <c r="F32" s="9" t="str">
        <f>_xlfn.XLOOKUP(C32,Tab_Def_Flows[Name(EN)],Tab_Def_Flows[Process_ID_O],,0,)</f>
        <v>01</v>
      </c>
      <c r="G32" s="9" t="str">
        <f>_xlfn.XLOOKUP(C32,Tab_Def_Flows[Name(EN)],Tab_Def_Flows[Input_Process],,0,)</f>
        <v>Cultivation</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105</v>
      </c>
      <c r="O32" s="48">
        <v>489551.57</v>
      </c>
      <c r="P32" s="11"/>
      <c r="Q32" s="11"/>
      <c r="R32" s="11"/>
      <c r="S32" s="11"/>
      <c r="T32" s="11"/>
      <c r="U32" s="11"/>
      <c r="V32" s="11"/>
      <c r="W32" s="11"/>
      <c r="X32" s="11" t="s">
        <v>8</v>
      </c>
      <c r="Y32" s="41"/>
      <c r="Z32" s="11"/>
      <c r="AA32" s="35">
        <f t="shared" si="1"/>
        <v>489551.57</v>
      </c>
      <c r="AB32" s="11" t="s">
        <v>276</v>
      </c>
      <c r="AC32" s="190">
        <f>INDEX(Tab_Def_Flows[[Flow_ID]:[CC_DM_source]],MATCH(Tab_Data_Flows[[#This Row],[Name(EN)]],Tab_Def_Flows[Name(EN)],0),13)</f>
        <v>0.23841961794348115</v>
      </c>
      <c r="AD32" s="9">
        <f>IF(J32="Yes",AA32*Tab_Data_Flows[[#This Row],[WC_'[%']]],"N.A.")</f>
        <v>116718.69828303138</v>
      </c>
      <c r="AE32" s="9" t="str">
        <f>Tab_Data_Flows[[#This Row],[UoM_Flow_Py]]</f>
        <v>Mg</v>
      </c>
      <c r="AF32" s="190">
        <f>INDEX(Tab_Def_Flows[[Flow_ID]:[CC_DM_source]],MATCH(Tab_Data_Flows[[#This Row],[Name(EN)]],Tab_Def_Flows[Name(EN)],0),15)</f>
        <v>0.76158038205651879</v>
      </c>
      <c r="AG32" s="9">
        <f>IF(K32="Yes",AF32*Tab_Data_Flows[[#This Row],[Flow_Py]],"N.A.")</f>
        <v>372832.8717169686</v>
      </c>
      <c r="AH32" s="9" t="str">
        <f>Tab_Data_Flows[[#This Row],[UoM_Flow_Py]]</f>
        <v>Mg</v>
      </c>
      <c r="AI32" s="190">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279</v>
      </c>
      <c r="D33" s="9">
        <f>_xlfn.XLOOKUP(C33,Tab_Def_Flows[Name(EN)],Tab_Def_Flows[Type_Biomass],,0,)</f>
        <v>0</v>
      </c>
      <c r="E33" s="9" t="str">
        <f>_xlfn.XLOOKUP(C33,Tab_Def_Flows[Name(EN)],Tab_Def_Flows[Output_Process],,0,)</f>
        <v>Environment</v>
      </c>
      <c r="F33" s="9" t="str">
        <f>_xlfn.XLOOKUP(C33,Tab_Def_Flows[Name(EN)],Tab_Def_Flows[Process_ID_O],,0,)</f>
        <v>01</v>
      </c>
      <c r="G33" s="9" t="str">
        <f>_xlfn.XLOOKUP(C33,Tab_Def_Flows[Name(EN)],Tab_Def_Flows[Input_Process],,0,)</f>
        <v>Cultivation</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105</v>
      </c>
      <c r="O33" s="48">
        <v>448568.43</v>
      </c>
      <c r="P33" s="11"/>
      <c r="Q33" s="11"/>
      <c r="R33" s="11"/>
      <c r="S33" s="11"/>
      <c r="T33" s="11"/>
      <c r="U33" s="11"/>
      <c r="V33" s="11"/>
      <c r="W33" s="11"/>
      <c r="X33" s="11" t="s">
        <v>8</v>
      </c>
      <c r="Y33" s="41"/>
      <c r="Z33" s="11"/>
      <c r="AA33" s="35">
        <f t="shared" si="1"/>
        <v>448568.43</v>
      </c>
      <c r="AB33" s="11" t="s">
        <v>276</v>
      </c>
      <c r="AC33" s="190">
        <f>INDEX(Tab_Def_Flows[[Flow_ID]:[CC_DM_source]],MATCH(Tab_Data_Flows[[#This Row],[Name(EN)]],Tab_Def_Flows[Name(EN)],0),13)</f>
        <v>0.23841961794348115</v>
      </c>
      <c r="AD33" s="9">
        <f>IF(J33="Yes",AA33*Tab_Data_Flows[[#This Row],[WC_'[%']]],"N.A.")</f>
        <v>106947.51370210717</v>
      </c>
      <c r="AE33" s="9" t="str">
        <f>Tab_Data_Flows[[#This Row],[UoM_Flow_Py]]</f>
        <v>Mg</v>
      </c>
      <c r="AF33" s="190">
        <f>INDEX(Tab_Def_Flows[[Flow_ID]:[CC_DM_source]],MATCH(Tab_Data_Flows[[#This Row],[Name(EN)]],Tab_Def_Flows[Name(EN)],0),15)</f>
        <v>0.76158038205651879</v>
      </c>
      <c r="AG33" s="9">
        <f>IF(K33="Yes",AF33*Tab_Data_Flows[[#This Row],[Flow_Py]],"N.A.")</f>
        <v>341620.91629789281</v>
      </c>
      <c r="AH33" s="9" t="str">
        <f>Tab_Data_Flows[[#This Row],[UoM_Flow_Py]]</f>
        <v>Mg</v>
      </c>
      <c r="AI33" s="190">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279</v>
      </c>
      <c r="D34" s="9">
        <f>_xlfn.XLOOKUP(C34,Tab_Def_Flows[Name(EN)],Tab_Def_Flows[Type_Biomass],,0,)</f>
        <v>0</v>
      </c>
      <c r="E34" s="9" t="str">
        <f>_xlfn.XLOOKUP(C34,Tab_Def_Flows[Name(EN)],Tab_Def_Flows[Output_Process],,0,)</f>
        <v>Environment</v>
      </c>
      <c r="F34" s="9" t="str">
        <f>_xlfn.XLOOKUP(C34,Tab_Def_Flows[Name(EN)],Tab_Def_Flows[Process_ID_O],,0,)</f>
        <v>01</v>
      </c>
      <c r="G34" s="9" t="str">
        <f>_xlfn.XLOOKUP(C34,Tab_Def_Flows[Name(EN)],Tab_Def_Flows[Input_Process],,0,)</f>
        <v>Cultivation</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105</v>
      </c>
      <c r="O34" s="48">
        <v>532881.24</v>
      </c>
      <c r="P34" s="11"/>
      <c r="Q34" s="11"/>
      <c r="R34" s="11"/>
      <c r="S34" s="11"/>
      <c r="T34" s="11"/>
      <c r="U34" s="11"/>
      <c r="V34" s="11"/>
      <c r="W34" s="11"/>
      <c r="X34" s="11" t="s">
        <v>8</v>
      </c>
      <c r="Y34" s="41"/>
      <c r="Z34" s="11"/>
      <c r="AA34" s="35">
        <f t="shared" si="1"/>
        <v>532881.24</v>
      </c>
      <c r="AB34" s="11" t="s">
        <v>276</v>
      </c>
      <c r="AC34" s="190">
        <f>INDEX(Tab_Def_Flows[[Flow_ID]:[CC_DM_source]],MATCH(Tab_Data_Flows[[#This Row],[Name(EN)]],Tab_Def_Flows[Name(EN)],0),13)</f>
        <v>0.23841961794348115</v>
      </c>
      <c r="AD34" s="9">
        <f>IF(J34="Yes",AA34*Tab_Data_Flows[[#This Row],[WC_'[%']]],"N.A.")</f>
        <v>127049.34165004849</v>
      </c>
      <c r="AE34" s="9" t="str">
        <f>Tab_Data_Flows[[#This Row],[UoM_Flow_Py]]</f>
        <v>Mg</v>
      </c>
      <c r="AF34" s="190">
        <f>INDEX(Tab_Def_Flows[[Flow_ID]:[CC_DM_source]],MATCH(Tab_Data_Flows[[#This Row],[Name(EN)]],Tab_Def_Flows[Name(EN)],0),15)</f>
        <v>0.76158038205651879</v>
      </c>
      <c r="AG34" s="9">
        <f>IF(K34="Yes",AF34*Tab_Data_Flows[[#This Row],[Flow_Py]],"N.A.")</f>
        <v>405831.89834995149</v>
      </c>
      <c r="AH34" s="9" t="str">
        <f>Tab_Data_Flows[[#This Row],[UoM_Flow_Py]]</f>
        <v>Mg</v>
      </c>
      <c r="AI34" s="190">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279</v>
      </c>
      <c r="D35" s="9">
        <f>_xlfn.XLOOKUP(C35,Tab_Def_Flows[Name(EN)],Tab_Def_Flows[Type_Biomass],,0,)</f>
        <v>0</v>
      </c>
      <c r="E35" s="9" t="str">
        <f>_xlfn.XLOOKUP(C35,Tab_Def_Flows[Name(EN)],Tab_Def_Flows[Output_Process],,0,)</f>
        <v>Environment</v>
      </c>
      <c r="F35" s="9" t="str">
        <f>_xlfn.XLOOKUP(C35,Tab_Def_Flows[Name(EN)],Tab_Def_Flows[Process_ID_O],,0,)</f>
        <v>01</v>
      </c>
      <c r="G35" s="9" t="str">
        <f>_xlfn.XLOOKUP(C35,Tab_Def_Flows[Name(EN)],Tab_Def_Flows[Input_Process],,0,)</f>
        <v>Cultivation</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105</v>
      </c>
      <c r="O35" s="48">
        <v>502208.22</v>
      </c>
      <c r="P35" s="11"/>
      <c r="Q35" s="11"/>
      <c r="R35" s="11"/>
      <c r="S35" s="11"/>
      <c r="T35" s="11"/>
      <c r="U35" s="11"/>
      <c r="V35" s="11"/>
      <c r="W35" s="11"/>
      <c r="X35" s="11" t="s">
        <v>8</v>
      </c>
      <c r="Y35" s="41"/>
      <c r="Z35" s="11"/>
      <c r="AA35" s="35">
        <f t="shared" si="1"/>
        <v>502208.22</v>
      </c>
      <c r="AB35" s="11" t="s">
        <v>276</v>
      </c>
      <c r="AC35" s="190">
        <f>INDEX(Tab_Def_Flows[[Flow_ID]:[CC_DM_source]],MATCH(Tab_Data_Flows[[#This Row],[Name(EN)]],Tab_Def_Flows[Name(EN)],0),13)</f>
        <v>0.23841961794348115</v>
      </c>
      <c r="AD35" s="9">
        <f>IF(J35="Yes",AA35*Tab_Data_Flows[[#This Row],[WC_'[%']]],"N.A.")</f>
        <v>119736.29194047573</v>
      </c>
      <c r="AE35" s="9" t="str">
        <f>Tab_Data_Flows[[#This Row],[UoM_Flow_Py]]</f>
        <v>Mg</v>
      </c>
      <c r="AF35" s="190">
        <f>INDEX(Tab_Def_Flows[[Flow_ID]:[CC_DM_source]],MATCH(Tab_Data_Flows[[#This Row],[Name(EN)]],Tab_Def_Flows[Name(EN)],0),15)</f>
        <v>0.76158038205651879</v>
      </c>
      <c r="AG35" s="9">
        <f>IF(K35="Yes",AF35*Tab_Data_Flows[[#This Row],[Flow_Py]],"N.A.")</f>
        <v>382471.92805952422</v>
      </c>
      <c r="AH35" s="9" t="str">
        <f>Tab_Data_Flows[[#This Row],[UoM_Flow_Py]]</f>
        <v>Mg</v>
      </c>
      <c r="AI35" s="190">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279</v>
      </c>
      <c r="D36" s="9">
        <f>_xlfn.XLOOKUP(C36,Tab_Def_Flows[Name(EN)],Tab_Def_Flows[Type_Biomass],,0,)</f>
        <v>0</v>
      </c>
      <c r="E36" s="9" t="str">
        <f>_xlfn.XLOOKUP(C36,Tab_Def_Flows[Name(EN)],Tab_Def_Flows[Output_Process],,0,)</f>
        <v>Environment</v>
      </c>
      <c r="F36" s="9" t="str">
        <f>_xlfn.XLOOKUP(C36,Tab_Def_Flows[Name(EN)],Tab_Def_Flows[Process_ID_O],,0,)</f>
        <v>01</v>
      </c>
      <c r="G36" s="9" t="str">
        <f>_xlfn.XLOOKUP(C36,Tab_Def_Flows[Name(EN)],Tab_Def_Flows[Input_Process],,0,)</f>
        <v>Cultivation</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105</v>
      </c>
      <c r="O36" s="48">
        <v>554032.24</v>
      </c>
      <c r="P36" s="11"/>
      <c r="Q36" s="11"/>
      <c r="R36" s="11"/>
      <c r="S36" s="11"/>
      <c r="T36" s="11"/>
      <c r="U36" s="11"/>
      <c r="V36" s="11"/>
      <c r="W36" s="11"/>
      <c r="X36" s="11" t="s">
        <v>8</v>
      </c>
      <c r="Y36" s="41"/>
      <c r="Z36" s="11"/>
      <c r="AA36" s="35">
        <f t="shared" si="1"/>
        <v>554032.24</v>
      </c>
      <c r="AB36" s="11" t="s">
        <v>276</v>
      </c>
      <c r="AC36" s="190">
        <f>INDEX(Tab_Def_Flows[[Flow_ID]:[CC_DM_source]],MATCH(Tab_Data_Flows[[#This Row],[Name(EN)]],Tab_Def_Flows[Name(EN)],0),13)</f>
        <v>0.23841961794348115</v>
      </c>
      <c r="AD36" s="9">
        <f>IF(J36="Yes",AA36*Tab_Data_Flows[[#This Row],[WC_'[%']]],"N.A.")</f>
        <v>132092.15498917105</v>
      </c>
      <c r="AE36" s="9" t="str">
        <f>Tab_Data_Flows[[#This Row],[UoM_Flow_Py]]</f>
        <v>Mg</v>
      </c>
      <c r="AF36" s="190">
        <f>INDEX(Tab_Def_Flows[[Flow_ID]:[CC_DM_source]],MATCH(Tab_Data_Flows[[#This Row],[Name(EN)]],Tab_Def_Flows[Name(EN)],0),15)</f>
        <v>0.76158038205651879</v>
      </c>
      <c r="AG36" s="9">
        <f>IF(K36="Yes",AF36*Tab_Data_Flows[[#This Row],[Flow_Py]],"N.A.")</f>
        <v>421940.08501082892</v>
      </c>
      <c r="AH36" s="9" t="str">
        <f>Tab_Data_Flows[[#This Row],[UoM_Flow_Py]]</f>
        <v>Mg</v>
      </c>
      <c r="AI36" s="190">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279</v>
      </c>
      <c r="D37" s="9">
        <f>_xlfn.XLOOKUP(C37,Tab_Def_Flows[Name(EN)],Tab_Def_Flows[Type_Biomass],,0,)</f>
        <v>0</v>
      </c>
      <c r="E37" s="9" t="str">
        <f>_xlfn.XLOOKUP(C37,Tab_Def_Flows[Name(EN)],Tab_Def_Flows[Output_Process],,0,)</f>
        <v>Environment</v>
      </c>
      <c r="F37" s="9" t="str">
        <f>_xlfn.XLOOKUP(C37,Tab_Def_Flows[Name(EN)],Tab_Def_Flows[Process_ID_O],,0,)</f>
        <v>01</v>
      </c>
      <c r="G37" s="9" t="str">
        <f>_xlfn.XLOOKUP(C37,Tab_Def_Flows[Name(EN)],Tab_Def_Flows[Input_Process],,0,)</f>
        <v>Cultivation</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105</v>
      </c>
      <c r="O37" s="48">
        <v>485316.89</v>
      </c>
      <c r="P37" s="11"/>
      <c r="Q37" s="11"/>
      <c r="R37" s="11"/>
      <c r="S37" s="11"/>
      <c r="T37" s="11"/>
      <c r="U37" s="11"/>
      <c r="V37" s="11"/>
      <c r="W37" s="11"/>
      <c r="X37" s="11" t="s">
        <v>8</v>
      </c>
      <c r="Y37" s="41"/>
      <c r="Z37" s="11"/>
      <c r="AA37" s="35">
        <f t="shared" si="1"/>
        <v>485316.89</v>
      </c>
      <c r="AB37" s="11" t="s">
        <v>276</v>
      </c>
      <c r="AC37" s="190">
        <f>INDEX(Tab_Def_Flows[[Flow_ID]:[CC_DM_source]],MATCH(Tab_Data_Flows[[#This Row],[Name(EN)]],Tab_Def_Flows[Name(EN)],0),13)</f>
        <v>0.23841961794348115</v>
      </c>
      <c r="AD37" s="9">
        <f>IF(J37="Yes",AA37*Tab_Data_Flows[[#This Row],[WC_'[%']]],"N.A.")</f>
        <v>115709.06749531848</v>
      </c>
      <c r="AE37" s="9" t="str">
        <f>Tab_Data_Flows[[#This Row],[UoM_Flow_Py]]</f>
        <v>Mg</v>
      </c>
      <c r="AF37" s="190">
        <f>INDEX(Tab_Def_Flows[[Flow_ID]:[CC_DM_source]],MATCH(Tab_Data_Flows[[#This Row],[Name(EN)]],Tab_Def_Flows[Name(EN)],0),15)</f>
        <v>0.76158038205651879</v>
      </c>
      <c r="AG37" s="9">
        <f>IF(K37="Yes",AF37*Tab_Data_Flows[[#This Row],[Flow_Py]],"N.A.")</f>
        <v>369607.82250468154</v>
      </c>
      <c r="AH37" s="9" t="str">
        <f>Tab_Data_Flows[[#This Row],[UoM_Flow_Py]]</f>
        <v>Mg</v>
      </c>
      <c r="AI37" s="190">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279</v>
      </c>
      <c r="D38" s="9"/>
      <c r="E38" s="9" t="str">
        <f>_xlfn.XLOOKUP(C38,Tab_Def_Flows[Name(EN)],Tab_Def_Flows[Output_Process],,0,)</f>
        <v>Environment</v>
      </c>
      <c r="F38" s="9" t="str">
        <f>_xlfn.XLOOKUP(C38,Tab_Def_Flows[Name(EN)],Tab_Def_Flows[Process_ID_O],,0,)</f>
        <v>01</v>
      </c>
      <c r="G38" s="9" t="str">
        <f>_xlfn.XLOOKUP(C38,Tab_Def_Flows[Name(EN)],Tab_Def_Flows[Input_Process],,0,)</f>
        <v>Cultivation</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276</v>
      </c>
      <c r="AC38" s="190">
        <f>INDEX(Tab_Def_Flows[[Flow_ID]:[CC_DM_source]],MATCH(Tab_Data_Flows[[#This Row],[Name(EN)]],Tab_Def_Flows[Name(EN)],0),13)</f>
        <v>0.23841961794348115</v>
      </c>
      <c r="AD38" s="9">
        <f>IF(J38="Yes",AA38*Tab_Data_Flows[[#This Row],[WC_'[%']]],"N.A.")</f>
        <v>109358.09101226742</v>
      </c>
      <c r="AE38" s="9" t="str">
        <f>Tab_Data_Flows[[#This Row],[UoM_Flow_Py]]</f>
        <v>Mg</v>
      </c>
      <c r="AF38" s="190">
        <f>INDEX(Tab_Def_Flows[[Flow_ID]:[CC_DM_source]],MATCH(Tab_Data_Flows[[#This Row],[Name(EN)]],Tab_Def_Flows[Name(EN)],0),15)</f>
        <v>0.76158038205651879</v>
      </c>
      <c r="AG38" s="9">
        <f>IF(K38="Yes",AF38*Tab_Data_Flows[[#This Row],[Flow_Py]],"N.A.")</f>
        <v>349320.98898773256</v>
      </c>
      <c r="AH38" s="9" t="str">
        <f>Tab_Data_Flows[[#This Row],[UoM_Flow_Py]]</f>
        <v>Mg</v>
      </c>
      <c r="AI38" s="190">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279</v>
      </c>
      <c r="D39" s="9"/>
      <c r="E39" s="9" t="str">
        <f>_xlfn.XLOOKUP(C39,Tab_Def_Flows[Name(EN)],Tab_Def_Flows[Output_Process],,0,)</f>
        <v>Environment</v>
      </c>
      <c r="F39" s="9" t="str">
        <f>_xlfn.XLOOKUP(C39,Tab_Def_Flows[Name(EN)],Tab_Def_Flows[Process_ID_O],,0,)</f>
        <v>01</v>
      </c>
      <c r="G39" s="9" t="str">
        <f>_xlfn.XLOOKUP(C39,Tab_Def_Flows[Name(EN)],Tab_Def_Flows[Input_Process],,0,)</f>
        <v>Cultivation</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276</v>
      </c>
      <c r="AC39" s="190">
        <f>INDEX(Tab_Def_Flows[[Flow_ID]:[CC_DM_source]],MATCH(Tab_Data_Flows[[#This Row],[Name(EN)]],Tab_Def_Flows[Name(EN)],0),13)</f>
        <v>0.23841961794348115</v>
      </c>
      <c r="AD39" s="9">
        <f>IF(J39="Yes",AA39*Tab_Data_Flows[[#This Row],[WC_'[%']]],"N.A.")</f>
        <v>108607.60804408202</v>
      </c>
      <c r="AE39" s="9" t="str">
        <f>Tab_Data_Flows[[#This Row],[UoM_Flow_Py]]</f>
        <v>Mg</v>
      </c>
      <c r="AF39" s="190">
        <f>INDEX(Tab_Def_Flows[[Flow_ID]:[CC_DM_source]],MATCH(Tab_Data_Flows[[#This Row],[Name(EN)]],Tab_Def_Flows[Name(EN)],0),15)</f>
        <v>0.76158038205651879</v>
      </c>
      <c r="AG39" s="9">
        <f>IF(K39="Yes",AF39*Tab_Data_Flows[[#This Row],[Flow_Py]],"N.A.")</f>
        <v>346923.73195591796</v>
      </c>
      <c r="AH39" s="9" t="str">
        <f>Tab_Data_Flows[[#This Row],[UoM_Flow_Py]]</f>
        <v>Mg</v>
      </c>
      <c r="AI39" s="190">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279</v>
      </c>
      <c r="D40" s="9"/>
      <c r="E40" s="9" t="str">
        <f>_xlfn.XLOOKUP(C40,Tab_Def_Flows[Name(EN)],Tab_Def_Flows[Output_Process],,0,)</f>
        <v>Environment</v>
      </c>
      <c r="F40" s="9" t="str">
        <f>_xlfn.XLOOKUP(C40,Tab_Def_Flows[Name(EN)],Tab_Def_Flows[Process_ID_O],,0,)</f>
        <v>01</v>
      </c>
      <c r="G40" s="9" t="str">
        <f>_xlfn.XLOOKUP(C40,Tab_Def_Flows[Name(EN)],Tab_Def_Flows[Input_Process],,0,)</f>
        <v>Cultivation</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276</v>
      </c>
      <c r="AC40" s="190">
        <f>INDEX(Tab_Def_Flows[[Flow_ID]:[CC_DM_source]],MATCH(Tab_Data_Flows[[#This Row],[Name(EN)]],Tab_Def_Flows[Name(EN)],0),13)</f>
        <v>0.23841961794348115</v>
      </c>
      <c r="AD40" s="9">
        <f>IF(J40="Yes",AA40*Tab_Data_Flows[[#This Row],[WC_'[%']]],"N.A.")</f>
        <v>128843.41589632667</v>
      </c>
      <c r="AE40" s="9" t="str">
        <f>Tab_Data_Flows[[#This Row],[UoM_Flow_Py]]</f>
        <v>Mg</v>
      </c>
      <c r="AF40" s="190">
        <f>INDEX(Tab_Def_Flows[[Flow_ID]:[CC_DM_source]],MATCH(Tab_Data_Flows[[#This Row],[Name(EN)]],Tab_Def_Flows[Name(EN)],0),15)</f>
        <v>0.76158038205651879</v>
      </c>
      <c r="AG40" s="9">
        <f>IF(K40="Yes",AF40*Tab_Data_Flows[[#This Row],[Flow_Py]],"N.A.")</f>
        <v>411562.68410367327</v>
      </c>
      <c r="AH40" s="9" t="str">
        <f>Tab_Data_Flows[[#This Row],[UoM_Flow_Py]]</f>
        <v>Mg</v>
      </c>
      <c r="AI40" s="190">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279</v>
      </c>
      <c r="D41" s="9"/>
      <c r="E41" s="9" t="str">
        <f>_xlfn.XLOOKUP(C41,Tab_Def_Flows[Name(EN)],Tab_Def_Flows[Output_Process],,0,)</f>
        <v>Environment</v>
      </c>
      <c r="F41" s="9" t="str">
        <f>_xlfn.XLOOKUP(C41,Tab_Def_Flows[Name(EN)],Tab_Def_Flows[Process_ID_O],,0,)</f>
        <v>01</v>
      </c>
      <c r="G41" s="9" t="str">
        <f>_xlfn.XLOOKUP(C41,Tab_Def_Flows[Name(EN)],Tab_Def_Flows[Input_Process],,0,)</f>
        <v>Cultivation</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276</v>
      </c>
      <c r="AC41" s="190">
        <f>INDEX(Tab_Def_Flows[[Flow_ID]:[CC_DM_source]],MATCH(Tab_Data_Flows[[#This Row],[Name(EN)]],Tab_Def_Flows[Name(EN)],0),13)</f>
        <v>0.23841961794348115</v>
      </c>
      <c r="AD41" s="9">
        <f>IF(J41="Yes",AA41*Tab_Data_Flows[[#This Row],[WC_'[%']]],"N.A.")</f>
        <v>123865.40977775349</v>
      </c>
      <c r="AE41" s="9" t="str">
        <f>Tab_Data_Flows[[#This Row],[UoM_Flow_Py]]</f>
        <v>Mg</v>
      </c>
      <c r="AF41" s="190">
        <f>INDEX(Tab_Def_Flows[[Flow_ID]:[CC_DM_source]],MATCH(Tab_Data_Flows[[#This Row],[Name(EN)]],Tab_Def_Flows[Name(EN)],0),15)</f>
        <v>0.76158038205651879</v>
      </c>
      <c r="AG41" s="9">
        <f>IF(K41="Yes",AF41*Tab_Data_Flows[[#This Row],[Flow_Py]],"N.A.")</f>
        <v>395661.51022224646</v>
      </c>
      <c r="AH41" s="9" t="str">
        <f>Tab_Data_Flows[[#This Row],[UoM_Flow_Py]]</f>
        <v>Mg</v>
      </c>
      <c r="AI41" s="190">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279</v>
      </c>
      <c r="D42" s="9"/>
      <c r="E42" s="9" t="str">
        <f>_xlfn.XLOOKUP(C42,Tab_Def_Flows[Name(EN)],Tab_Def_Flows[Output_Process],,0,)</f>
        <v>Environment</v>
      </c>
      <c r="F42" s="9" t="str">
        <f>_xlfn.XLOOKUP(C42,Tab_Def_Flows[Name(EN)],Tab_Def_Flows[Process_ID_O],,0,)</f>
        <v>01</v>
      </c>
      <c r="G42" s="9" t="str">
        <f>_xlfn.XLOOKUP(C42,Tab_Def_Flows[Name(EN)],Tab_Def_Flows[Input_Process],,0,)</f>
        <v>Cultivation</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276</v>
      </c>
      <c r="AC42" s="190">
        <f>INDEX(Tab_Def_Flows[[Flow_ID]:[CC_DM_source]],MATCH(Tab_Data_Flows[[#This Row],[Name(EN)]],Tab_Def_Flows[Name(EN)],0),13)</f>
        <v>0.23841961794348115</v>
      </c>
      <c r="AD42" s="9">
        <f>IF(J42="Yes",AA42*Tab_Data_Flows[[#This Row],[WC_'[%']]],"N.A.")</f>
        <v>107790.79912238089</v>
      </c>
      <c r="AE42" s="9" t="str">
        <f>Tab_Data_Flows[[#This Row],[UoM_Flow_Py]]</f>
        <v>Mg</v>
      </c>
      <c r="AF42" s="190">
        <f>INDEX(Tab_Def_Flows[[Flow_ID]:[CC_DM_source]],MATCH(Tab_Data_Flows[[#This Row],[Name(EN)]],Tab_Def_Flows[Name(EN)],0),15)</f>
        <v>0.76158038205651879</v>
      </c>
      <c r="AG42" s="9">
        <f>IF(K42="Yes",AF42*Tab_Data_Flows[[#This Row],[Flow_Py]],"N.A.")</f>
        <v>344314.61087761907</v>
      </c>
      <c r="AH42" s="9" t="str">
        <f>Tab_Data_Flows[[#This Row],[UoM_Flow_Py]]</f>
        <v>Mg</v>
      </c>
      <c r="AI42" s="190">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279</v>
      </c>
      <c r="D43" s="9"/>
      <c r="E43" s="9" t="str">
        <f>_xlfn.XLOOKUP(C43,Tab_Def_Flows[Name(EN)],Tab_Def_Flows[Output_Process],,0,)</f>
        <v>Environment</v>
      </c>
      <c r="F43" s="9" t="str">
        <f>_xlfn.XLOOKUP(C43,Tab_Def_Flows[Name(EN)],Tab_Def_Flows[Process_ID_O],,0,)</f>
        <v>01</v>
      </c>
      <c r="G43" s="9" t="str">
        <f>_xlfn.XLOOKUP(C43,Tab_Def_Flows[Name(EN)],Tab_Def_Flows[Input_Process],,0,)</f>
        <v>Cultivation</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276</v>
      </c>
      <c r="AC43" s="190">
        <f>INDEX(Tab_Def_Flows[[Flow_ID]:[CC_DM_source]],MATCH(Tab_Data_Flows[[#This Row],[Name(EN)]],Tab_Def_Flows[Name(EN)],0),13)</f>
        <v>0.23841961794348115</v>
      </c>
      <c r="AD43" s="9">
        <f>IF(J43="Yes",AA43*Tab_Data_Flows[[#This Row],[WC_'[%']]],"N.A.")</f>
        <v>134257.86343072244</v>
      </c>
      <c r="AE43" s="9" t="str">
        <f>Tab_Data_Flows[[#This Row],[UoM_Flow_Py]]</f>
        <v>Mg</v>
      </c>
      <c r="AF43" s="190">
        <f>INDEX(Tab_Def_Flows[[Flow_ID]:[CC_DM_source]],MATCH(Tab_Data_Flows[[#This Row],[Name(EN)]],Tab_Def_Flows[Name(EN)],0),15)</f>
        <v>0.76158038205651879</v>
      </c>
      <c r="AG43" s="9">
        <f>IF(K43="Yes",AF43*Tab_Data_Flows[[#This Row],[Flow_Py]],"N.A.")</f>
        <v>428857.97656927747</v>
      </c>
      <c r="AH43" s="9" t="str">
        <f>Tab_Data_Flows[[#This Row],[UoM_Flow_Py]]</f>
        <v>Mg</v>
      </c>
      <c r="AI43" s="190">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279</v>
      </c>
      <c r="D44" s="9"/>
      <c r="E44" s="9" t="str">
        <f>_xlfn.XLOOKUP(C44,Tab_Def_Flows[Name(EN)],Tab_Def_Flows[Output_Process],,0,)</f>
        <v>Environment</v>
      </c>
      <c r="F44" s="9" t="str">
        <f>_xlfn.XLOOKUP(C44,Tab_Def_Flows[Name(EN)],Tab_Def_Flows[Process_ID_O],,0,)</f>
        <v>01</v>
      </c>
      <c r="G44" s="9" t="str">
        <f>_xlfn.XLOOKUP(C44,Tab_Def_Flows[Name(EN)],Tab_Def_Flows[Input_Process],,0,)</f>
        <v>Cultivation</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276</v>
      </c>
      <c r="AC44" s="190">
        <f>INDEX(Tab_Def_Flows[[Flow_ID]:[CC_DM_source]],MATCH(Tab_Data_Flows[[#This Row],[Name(EN)]],Tab_Def_Flows[Name(EN)],0),13)</f>
        <v>0.23841961794348115</v>
      </c>
      <c r="AD44" s="9">
        <f>IF(J44="Yes",AA44*Tab_Data_Flows[[#This Row],[WC_'[%']]],"N.A.")</f>
        <v>109978.17275461483</v>
      </c>
      <c r="AE44" s="9" t="str">
        <f>Tab_Data_Flows[[#This Row],[UoM_Flow_Py]]</f>
        <v>Mg</v>
      </c>
      <c r="AF44" s="190">
        <f>INDEX(Tab_Def_Flows[[Flow_ID]:[CC_DM_source]],MATCH(Tab_Data_Flows[[#This Row],[Name(EN)]],Tab_Def_Flows[Name(EN)],0),15)</f>
        <v>0.76158038205651879</v>
      </c>
      <c r="AG44" s="9">
        <f>IF(K44="Yes",AF44*Tab_Data_Flows[[#This Row],[Flow_Py]],"N.A.")</f>
        <v>351301.70724538516</v>
      </c>
      <c r="AH44" s="9" t="str">
        <f>Tab_Data_Flows[[#This Row],[UoM_Flow_Py]]</f>
        <v>Mg</v>
      </c>
      <c r="AI44" s="190">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279</v>
      </c>
      <c r="D45" s="9"/>
      <c r="E45" s="9" t="str">
        <f>_xlfn.XLOOKUP(C45,Tab_Def_Flows[Name(EN)],Tab_Def_Flows[Output_Process],,0,)</f>
        <v>Environment</v>
      </c>
      <c r="F45" s="9" t="str">
        <f>_xlfn.XLOOKUP(C45,Tab_Def_Flows[Name(EN)],Tab_Def_Flows[Process_ID_O],,0,)</f>
        <v>01</v>
      </c>
      <c r="G45" s="9" t="str">
        <f>_xlfn.XLOOKUP(C45,Tab_Def_Flows[Name(EN)],Tab_Def_Flows[Input_Process],,0,)</f>
        <v>Cultivation</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276</v>
      </c>
      <c r="AC45" s="190">
        <f>INDEX(Tab_Def_Flows[[Flow_ID]:[CC_DM_source]],MATCH(Tab_Data_Flows[[#This Row],[Name(EN)]],Tab_Def_Flows[Name(EN)],0),13)</f>
        <v>0.23841961794348115</v>
      </c>
      <c r="AD45" s="9">
        <f>IF(J45="Yes",AA45*Tab_Data_Flows[[#This Row],[WC_'[%']]],"N.A.")</f>
        <v>120737.39922684716</v>
      </c>
      <c r="AE45" s="9" t="str">
        <f>Tab_Data_Flows[[#This Row],[UoM_Flow_Py]]</f>
        <v>Mg</v>
      </c>
      <c r="AF45" s="190">
        <f>INDEX(Tab_Def_Flows[[Flow_ID]:[CC_DM_source]],MATCH(Tab_Data_Flows[[#This Row],[Name(EN)]],Tab_Def_Flows[Name(EN)],0),15)</f>
        <v>0.76158038205651879</v>
      </c>
      <c r="AG45" s="9">
        <f>IF(K45="Yes",AF45*Tab_Data_Flows[[#This Row],[Flow_Py]],"N.A.")</f>
        <v>385669.75077315286</v>
      </c>
      <c r="AH45" s="9" t="str">
        <f>Tab_Data_Flows[[#This Row],[UoM_Flow_Py]]</f>
        <v>Mg</v>
      </c>
      <c r="AI45" s="190">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279</v>
      </c>
      <c r="D46" s="9"/>
      <c r="E46" s="9" t="str">
        <f>_xlfn.XLOOKUP(C46,Tab_Def_Flows[Name(EN)],Tab_Def_Flows[Output_Process],,0,)</f>
        <v>Environment</v>
      </c>
      <c r="F46" s="9" t="str">
        <f>_xlfn.XLOOKUP(C46,Tab_Def_Flows[Name(EN)],Tab_Def_Flows[Process_ID_O],,0,)</f>
        <v>01</v>
      </c>
      <c r="G46" s="9" t="str">
        <f>_xlfn.XLOOKUP(C46,Tab_Def_Flows[Name(EN)],Tab_Def_Flows[Input_Process],,0,)</f>
        <v>Cultivation</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276</v>
      </c>
      <c r="AC46" s="190">
        <f>INDEX(Tab_Def_Flows[[Flow_ID]:[CC_DM_source]],MATCH(Tab_Data_Flows[[#This Row],[Name(EN)]],Tab_Def_Flows[Name(EN)],0),13)</f>
        <v>0.23841961794348115</v>
      </c>
      <c r="AD46" s="9">
        <f>IF(J46="Yes",AA46*Tab_Data_Flows[[#This Row],[WC_'[%']]],"N.A.")</f>
        <v>116901.0225332651</v>
      </c>
      <c r="AE46" s="9" t="str">
        <f>Tab_Data_Flows[[#This Row],[UoM_Flow_Py]]</f>
        <v>Mg</v>
      </c>
      <c r="AF46" s="190">
        <f>INDEX(Tab_Def_Flows[[Flow_ID]:[CC_DM_source]],MATCH(Tab_Data_Flows[[#This Row],[Name(EN)]],Tab_Def_Flows[Name(EN)],0),15)</f>
        <v>0.76158038205651879</v>
      </c>
      <c r="AG46" s="9">
        <f>IF(K46="Yes",AF46*Tab_Data_Flows[[#This Row],[Flow_Py]],"N.A.")</f>
        <v>373415.26746673486</v>
      </c>
      <c r="AH46" s="9" t="str">
        <f>Tab_Data_Flows[[#This Row],[UoM_Flow_Py]]</f>
        <v>Mg</v>
      </c>
      <c r="AI46" s="190">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279</v>
      </c>
      <c r="D47" s="9"/>
      <c r="E47" s="9" t="str">
        <f>_xlfn.XLOOKUP(C47,Tab_Def_Flows[Name(EN)],Tab_Def_Flows[Output_Process],,0,)</f>
        <v>Environment</v>
      </c>
      <c r="F47" s="9" t="str">
        <f>_xlfn.XLOOKUP(C47,Tab_Def_Flows[Name(EN)],Tab_Def_Flows[Process_ID_O],,0,)</f>
        <v>01</v>
      </c>
      <c r="G47" s="9" t="str">
        <f>_xlfn.XLOOKUP(C47,Tab_Def_Flows[Name(EN)],Tab_Def_Flows[Input_Process],,0,)</f>
        <v>Cultivation</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276</v>
      </c>
      <c r="AC47" s="190">
        <f>INDEX(Tab_Def_Flows[[Flow_ID]:[CC_DM_source]],MATCH(Tab_Data_Flows[[#This Row],[Name(EN)]],Tab_Def_Flows[Name(EN)],0),13)</f>
        <v>0.23841961794348115</v>
      </c>
      <c r="AD47" s="9">
        <f>IF(J47="Yes",AA47*Tab_Data_Flows[[#This Row],[WC_'[%']]],"N.A.")</f>
        <v>104285.13428084827</v>
      </c>
      <c r="AE47" s="9" t="str">
        <f>Tab_Data_Flows[[#This Row],[UoM_Flow_Py]]</f>
        <v>Mg</v>
      </c>
      <c r="AF47" s="190">
        <f>INDEX(Tab_Def_Flows[[Flow_ID]:[CC_DM_source]],MATCH(Tab_Data_Flows[[#This Row],[Name(EN)]],Tab_Def_Flows[Name(EN)],0),15)</f>
        <v>0.76158038205651879</v>
      </c>
      <c r="AG47" s="9">
        <f>IF(K47="Yes",AF47*Tab_Data_Flows[[#This Row],[Flow_Py]],"N.A.")</f>
        <v>333116.51571915171</v>
      </c>
      <c r="AH47" s="9" t="str">
        <f>Tab_Data_Flows[[#This Row],[UoM_Flow_Py]]</f>
        <v>Mg</v>
      </c>
      <c r="AI47" s="190">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279</v>
      </c>
      <c r="D48" s="9"/>
      <c r="E48" s="9" t="str">
        <f>_xlfn.XLOOKUP(C48,Tab_Def_Flows[Name(EN)],Tab_Def_Flows[Output_Process],,0,)</f>
        <v>Environment</v>
      </c>
      <c r="F48" s="9" t="str">
        <f>_xlfn.XLOOKUP(C48,Tab_Def_Flows[Name(EN)],Tab_Def_Flows[Process_ID_O],,0,)</f>
        <v>01</v>
      </c>
      <c r="G48" s="9" t="str">
        <f>_xlfn.XLOOKUP(C48,Tab_Def_Flows[Name(EN)],Tab_Def_Flows[Input_Process],,0,)</f>
        <v>Cultivation</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276</v>
      </c>
      <c r="AC48" s="190">
        <f>INDEX(Tab_Def_Flows[[Flow_ID]:[CC_DM_source]],MATCH(Tab_Data_Flows[[#This Row],[Name(EN)]],Tab_Def_Flows[Name(EN)],0),13)</f>
        <v>0.23841961794348115</v>
      </c>
      <c r="AD48" s="9">
        <f>IF(J48="Yes",AA48*Tab_Data_Flows[[#This Row],[WC_'[%']]],"N.A.")</f>
        <v>107362.75246130608</v>
      </c>
      <c r="AE48" s="9" t="str">
        <f>Tab_Data_Flows[[#This Row],[UoM_Flow_Py]]</f>
        <v>Mg</v>
      </c>
      <c r="AF48" s="190">
        <f>INDEX(Tab_Def_Flows[[Flow_ID]:[CC_DM_source]],MATCH(Tab_Data_Flows[[#This Row],[Name(EN)]],Tab_Def_Flows[Name(EN)],0),15)</f>
        <v>0.76158038205651879</v>
      </c>
      <c r="AG48" s="9">
        <f>IF(K48="Yes",AF48*Tab_Data_Flows[[#This Row],[Flow_Py]],"N.A.")</f>
        <v>342947.30753869389</v>
      </c>
      <c r="AH48" s="9" t="str">
        <f>Tab_Data_Flows[[#This Row],[UoM_Flow_Py]]</f>
        <v>Mg</v>
      </c>
      <c r="AI48" s="190">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279</v>
      </c>
      <c r="D49" s="9"/>
      <c r="E49" s="9" t="str">
        <f>_xlfn.XLOOKUP(C49,Tab_Def_Flows[Name(EN)],Tab_Def_Flows[Output_Process],,0,)</f>
        <v>Environment</v>
      </c>
      <c r="F49" s="9" t="str">
        <f>_xlfn.XLOOKUP(C49,Tab_Def_Flows[Name(EN)],Tab_Def_Flows[Process_ID_O],,0,)</f>
        <v>01</v>
      </c>
      <c r="G49" s="9" t="str">
        <f>_xlfn.XLOOKUP(C49,Tab_Def_Flows[Name(EN)],Tab_Def_Flows[Input_Process],,0,)</f>
        <v>Cultivation</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276</v>
      </c>
      <c r="AC49" s="190">
        <f>INDEX(Tab_Def_Flows[[Flow_ID]:[CC_DM_source]],MATCH(Tab_Data_Flows[[#This Row],[Name(EN)]],Tab_Def_Flows[Name(EN)],0),13)</f>
        <v>0.23841961794348115</v>
      </c>
      <c r="AD49" s="9">
        <f>IF(J49="Yes",AA49*Tab_Data_Flows[[#This Row],[WC_'[%']]],"N.A.")</f>
        <v>117816.01265363535</v>
      </c>
      <c r="AE49" s="9" t="str">
        <f>Tab_Data_Flows[[#This Row],[UoM_Flow_Py]]</f>
        <v>Mg</v>
      </c>
      <c r="AF49" s="190">
        <f>INDEX(Tab_Def_Flows[[Flow_ID]:[CC_DM_source]],MATCH(Tab_Data_Flows[[#This Row],[Name(EN)]],Tab_Def_Flows[Name(EN)],0),15)</f>
        <v>0.76158038205651879</v>
      </c>
      <c r="AG49" s="9">
        <f>IF(K49="Yes",AF49*Tab_Data_Flows[[#This Row],[Flow_Py]],"N.A.")</f>
        <v>376338.00734636467</v>
      </c>
      <c r="AH49" s="9" t="str">
        <f>Tab_Data_Flows[[#This Row],[UoM_Flow_Py]]</f>
        <v>Mg</v>
      </c>
      <c r="AI49" s="190">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279</v>
      </c>
      <c r="D50" s="9"/>
      <c r="E50" s="9" t="str">
        <f>_xlfn.XLOOKUP(C50,Tab_Def_Flows[Name(EN)],Tab_Def_Flows[Output_Process],,0,)</f>
        <v>Environment</v>
      </c>
      <c r="F50" s="9" t="str">
        <f>_xlfn.XLOOKUP(C50,Tab_Def_Flows[Name(EN)],Tab_Def_Flows[Process_ID_O],,0,)</f>
        <v>01</v>
      </c>
      <c r="G50" s="9" t="str">
        <f>_xlfn.XLOOKUP(C50,Tab_Def_Flows[Name(EN)],Tab_Def_Flows[Input_Process],,0,)</f>
        <v>Cultivation</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276</v>
      </c>
      <c r="AC50" s="190">
        <f>INDEX(Tab_Def_Flows[[Flow_ID]:[CC_DM_source]],MATCH(Tab_Data_Flows[[#This Row],[Name(EN)]],Tab_Def_Flows[Name(EN)],0),13)</f>
        <v>0.23841961794348115</v>
      </c>
      <c r="AD50" s="9">
        <f>IF(J50="Yes",AA50*Tab_Data_Flows[[#This Row],[WC_'[%']]],"N.A.")</f>
        <v>119990.08247118803</v>
      </c>
      <c r="AE50" s="9" t="str">
        <f>Tab_Data_Flows[[#This Row],[UoM_Flow_Py]]</f>
        <v>Mg</v>
      </c>
      <c r="AF50" s="190">
        <f>INDEX(Tab_Def_Flows[[Flow_ID]:[CC_DM_source]],MATCH(Tab_Data_Flows[[#This Row],[Name(EN)]],Tab_Def_Flows[Name(EN)],0),15)</f>
        <v>0.76158038205651879</v>
      </c>
      <c r="AG50" s="9">
        <f>IF(K50="Yes",AF50*Tab_Data_Flows[[#This Row],[Flow_Py]],"N.A.")</f>
        <v>383282.60752881196</v>
      </c>
      <c r="AH50" s="9" t="str">
        <f>Tab_Data_Flows[[#This Row],[UoM_Flow_Py]]</f>
        <v>Mg</v>
      </c>
      <c r="AI50" s="190">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279</v>
      </c>
      <c r="D51" s="9"/>
      <c r="E51" s="9" t="str">
        <f>_xlfn.XLOOKUP(C51,Tab_Def_Flows[Name(EN)],Tab_Def_Flows[Output_Process],,0,)</f>
        <v>Environment</v>
      </c>
      <c r="F51" s="9" t="str">
        <f>_xlfn.XLOOKUP(C51,Tab_Def_Flows[Name(EN)],Tab_Def_Flows[Process_ID_O],,0,)</f>
        <v>01</v>
      </c>
      <c r="G51" s="9" t="str">
        <f>_xlfn.XLOOKUP(C51,Tab_Def_Flows[Name(EN)],Tab_Def_Flows[Input_Process],,0,)</f>
        <v>Cultivation</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276</v>
      </c>
      <c r="AC51" s="190">
        <f>INDEX(Tab_Def_Flows[[Flow_ID]:[CC_DM_source]],MATCH(Tab_Data_Flows[[#This Row],[Name(EN)]],Tab_Def_Flows[Name(EN)],0),13)</f>
        <v>0.23841961794348115</v>
      </c>
      <c r="AD51" s="9">
        <f>IF(J51="Yes",AA51*Tab_Data_Flows[[#This Row],[WC_'[%']]],"N.A.")</f>
        <v>98186.8039143434</v>
      </c>
      <c r="AE51" s="9" t="str">
        <f>Tab_Data_Flows[[#This Row],[UoM_Flow_Py]]</f>
        <v>Mg</v>
      </c>
      <c r="AF51" s="190">
        <f>INDEX(Tab_Def_Flows[[Flow_ID]:[CC_DM_source]],MATCH(Tab_Data_Flows[[#This Row],[Name(EN)]],Tab_Def_Flows[Name(EN)],0),15)</f>
        <v>0.76158038205651879</v>
      </c>
      <c r="AG51" s="9">
        <f>IF(K51="Yes",AF51*Tab_Data_Flows[[#This Row],[Flow_Py]],"N.A.")</f>
        <v>313636.70608565659</v>
      </c>
      <c r="AH51" s="9" t="str">
        <f>Tab_Data_Flows[[#This Row],[UoM_Flow_Py]]</f>
        <v>Mg</v>
      </c>
      <c r="AI51" s="190">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279</v>
      </c>
      <c r="D52" s="9"/>
      <c r="E52" s="9" t="str">
        <f>_xlfn.XLOOKUP(C52,Tab_Def_Flows[Name(EN)],Tab_Def_Flows[Output_Process],,0,)</f>
        <v>Environment</v>
      </c>
      <c r="F52" s="9" t="str">
        <f>_xlfn.XLOOKUP(C52,Tab_Def_Flows[Name(EN)],Tab_Def_Flows[Process_ID_O],,0,)</f>
        <v>01</v>
      </c>
      <c r="G52" s="9" t="str">
        <f>_xlfn.XLOOKUP(C52,Tab_Def_Flows[Name(EN)],Tab_Def_Flows[Input_Process],,0,)</f>
        <v>Cultivation</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276</v>
      </c>
      <c r="AC52" s="190">
        <f>INDEX(Tab_Def_Flows[[Flow_ID]:[CC_DM_source]],MATCH(Tab_Data_Flows[[#This Row],[Name(EN)]],Tab_Def_Flows[Name(EN)],0),13)</f>
        <v>0.23841961794348115</v>
      </c>
      <c r="AD52" s="9">
        <f>IF(J52="Yes",AA52*Tab_Data_Flows[[#This Row],[WC_'[%']]],"N.A.")</f>
        <v>115906.99392535043</v>
      </c>
      <c r="AE52" s="9" t="str">
        <f>Tab_Data_Flows[[#This Row],[UoM_Flow_Py]]</f>
        <v>Mg</v>
      </c>
      <c r="AF52" s="190">
        <f>INDEX(Tab_Def_Flows[[Flow_ID]:[CC_DM_source]],MATCH(Tab_Data_Flows[[#This Row],[Name(EN)]],Tab_Def_Flows[Name(EN)],0),15)</f>
        <v>0.76158038205651879</v>
      </c>
      <c r="AG52" s="9">
        <f>IF(K52="Yes",AF52*Tab_Data_Flows[[#This Row],[Flow_Py]],"N.A.")</f>
        <v>370240.05607464956</v>
      </c>
      <c r="AH52" s="9" t="str">
        <f>Tab_Data_Flows[[#This Row],[UoM_Flow_Py]]</f>
        <v>Mg</v>
      </c>
      <c r="AI52" s="190">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279</v>
      </c>
      <c r="D53" s="9"/>
      <c r="E53" s="9" t="str">
        <f>_xlfn.XLOOKUP(C53,Tab_Def_Flows[Name(EN)],Tab_Def_Flows[Output_Process],,0,)</f>
        <v>Environment</v>
      </c>
      <c r="F53" s="9" t="str">
        <f>_xlfn.XLOOKUP(C53,Tab_Def_Flows[Name(EN)],Tab_Def_Flows[Process_ID_O],,0,)</f>
        <v>01</v>
      </c>
      <c r="G53" s="9" t="str">
        <f>_xlfn.XLOOKUP(C53,Tab_Def_Flows[Name(EN)],Tab_Def_Flows[Input_Process],,0,)</f>
        <v>Cultivation</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276</v>
      </c>
      <c r="AC53" s="190">
        <f>INDEX(Tab_Def_Flows[[Flow_ID]:[CC_DM_source]],MATCH(Tab_Data_Flows[[#This Row],[Name(EN)]],Tab_Def_Flows[Name(EN)],0),13)</f>
        <v>0.23841961794348115</v>
      </c>
      <c r="AD53" s="9">
        <f>IF(J53="Yes",AA53*Tab_Data_Flows[[#This Row],[WC_'[%']]],"N.A.")</f>
        <v>113924.76606917979</v>
      </c>
      <c r="AE53" s="9" t="str">
        <f>Tab_Data_Flows[[#This Row],[UoM_Flow_Py]]</f>
        <v>Mg</v>
      </c>
      <c r="AF53" s="190">
        <f>INDEX(Tab_Def_Flows[[Flow_ID]:[CC_DM_source]],MATCH(Tab_Data_Flows[[#This Row],[Name(EN)]],Tab_Def_Flows[Name(EN)],0),15)</f>
        <v>0.76158038205651879</v>
      </c>
      <c r="AG53" s="9">
        <f>IF(K53="Yes",AF53*Tab_Data_Flows[[#This Row],[Flow_Py]],"N.A.")</f>
        <v>363908.25393082021</v>
      </c>
      <c r="AH53" s="9" t="str">
        <f>Tab_Data_Flows[[#This Row],[UoM_Flow_Py]]</f>
        <v>Mg</v>
      </c>
      <c r="AI53" s="190">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N.A.</v>
      </c>
      <c r="C54" s="11" t="s">
        <v>35</v>
      </c>
      <c r="D54" s="9"/>
      <c r="E54" s="9">
        <f>_xlfn.XLOOKUP(C54,Tab_Def_Flows[Name(EN)],Tab_Def_Flows[Output_Process],,0,)</f>
        <v>0</v>
      </c>
      <c r="F54" s="9">
        <f>_xlfn.XLOOKUP(C54,Tab_Def_Flows[Name(EN)],Tab_Def_Flows[Process_ID_O],,0,)</f>
        <v>0</v>
      </c>
      <c r="G54" s="9">
        <f>_xlfn.XLOOKUP(C54,Tab_Def_Flows[Name(EN)],Tab_Def_Flows[Input_Process],,0,)</f>
        <v>0</v>
      </c>
      <c r="H54" s="17">
        <f>_xlfn.XLOOKUP(C54,Tab_Def_Flows[Name(EN)],Tab_Def_Flows[Process_ID_I],,0,)</f>
        <v>0</v>
      </c>
      <c r="I54" s="9" t="e">
        <f>_xlfn.XLOOKUP(C54,Tab_Def_Flows[Name(EN)],#REF!,,0,)</f>
        <v>#REF!</v>
      </c>
      <c r="J54" s="9">
        <f>_xlfn.XLOOKUP(C54,Tab_Def_Flows[Name(EN)],Tab_Def_Flows[WC?],,0,)</f>
        <v>0</v>
      </c>
      <c r="K54" s="9">
        <f>_xlfn.XLOOKUP(C54,Tab_Def_Flows[Name(EN)],Tab_Def_Flows[DM?],,0,)</f>
        <v>0</v>
      </c>
      <c r="L54" s="9">
        <f>_xlfn.XLOOKUP(C54,Tab_Def_Flows[Name(EN)],Tab_Def_Flows[CC?],,0,)</f>
        <v>0</v>
      </c>
      <c r="M54" s="11"/>
      <c r="N54" s="11"/>
      <c r="O54" s="48"/>
      <c r="P54" s="11"/>
      <c r="Q54" s="11"/>
      <c r="R54" s="11" t="e">
        <f>INDEX(#REF!,MATCH(Tab_Data_Flows[[#This Row],[Name(EN)]],#REF!,0),12)</f>
        <v>#REF!</v>
      </c>
      <c r="S54" s="11" t="e">
        <f>MATCH(Tab_Data_Flows[[#This Row],[Name(EN)]],#REF!,0)</f>
        <v>#REF!</v>
      </c>
      <c r="T54" s="11"/>
      <c r="U54" s="11"/>
      <c r="V54" s="11"/>
      <c r="W54" s="11"/>
      <c r="X54" s="11" t="s">
        <v>8</v>
      </c>
      <c r="Y54" s="11"/>
      <c r="Z54" s="11"/>
      <c r="AA54" s="35">
        <f t="shared" si="1"/>
        <v>0</v>
      </c>
      <c r="AB54" s="11" t="s">
        <v>276</v>
      </c>
      <c r="AC54" s="190">
        <f>INDEX(Tab_Def_Flows[[Flow_ID]:[CC_DM_source]],MATCH(Tab_Data_Flows[[#This Row],[Name(EN)]],Tab_Def_Flows[Name(EN)],0),13)</f>
        <v>0</v>
      </c>
      <c r="AD54" s="9" t="str">
        <f>IF(J54="Yes",AA54*Tab_Data_Flows[[#This Row],[WC_'[%']]],"N.A.")</f>
        <v>N.A.</v>
      </c>
      <c r="AE54" s="9" t="str">
        <f>Tab_Data_Flows[[#This Row],[UoM_Flow_Py]]</f>
        <v>Mg</v>
      </c>
      <c r="AF54" s="190">
        <f>INDEX(Tab_Def_Flows[[Flow_ID]:[CC_DM_source]],MATCH(Tab_Data_Flows[[#This Row],[Name(EN)]],Tab_Def_Flows[Name(EN)],0),15)</f>
        <v>0</v>
      </c>
      <c r="AG54" s="9" t="str">
        <f>IF(K54="Yes",AF54*Tab_Data_Flows[[#This Row],[Flow_Py]],"N.A.")</f>
        <v>N.A.</v>
      </c>
      <c r="AH54" s="9" t="str">
        <f>Tab_Data_Flows[[#This Row],[UoM_Flow_Py]]</f>
        <v>Mg</v>
      </c>
      <c r="AI54" s="190">
        <f>INDEX(Tab_Def_Flows[[Flow_ID]:[CC_DM_source]],MATCH(Tab_Data_Flows[[#This Row],[Name(EN)]],Tab_Def_Flows[Name(EN)],0),17)</f>
        <v>0</v>
      </c>
      <c r="AJ54" s="9" t="str">
        <f>IF(L54="Yes",AI54*Tab_Data_Flows[[#This Row],[Flow_Py]]*Tab_Data_Flows[[#This Row],[DM_'[%']]],"N.A.")</f>
        <v>N.A.</v>
      </c>
      <c r="AK54" s="9" t="str">
        <f>Tab_Data_Flows[[#This Row],[UoM_Flow_Py]]</f>
        <v>Mg</v>
      </c>
    </row>
    <row r="55" spans="1:37" x14ac:dyDescent="0.25">
      <c r="A55" s="16">
        <f t="shared" si="0"/>
        <v>54</v>
      </c>
      <c r="B55" s="9" t="str">
        <f>_xlfn.XLOOKUP(C55,Tab_Def_Flows[Name(EN)],Tab_Def_Flows[Flow_ID],,0,)</f>
        <v>N.A.</v>
      </c>
      <c r="C55" s="11" t="s">
        <v>35</v>
      </c>
      <c r="D55" s="9"/>
      <c r="E55" s="9">
        <f>_xlfn.XLOOKUP(C55,Tab_Def_Flows[Name(EN)],Tab_Def_Flows[Output_Process],,0,)</f>
        <v>0</v>
      </c>
      <c r="F55" s="9">
        <f>_xlfn.XLOOKUP(C55,Tab_Def_Flows[Name(EN)],Tab_Def_Flows[Process_ID_O],,0,)</f>
        <v>0</v>
      </c>
      <c r="G55" s="9">
        <f>_xlfn.XLOOKUP(C55,Tab_Def_Flows[Name(EN)],Tab_Def_Flows[Input_Process],,0,)</f>
        <v>0</v>
      </c>
      <c r="H55" s="17">
        <f>_xlfn.XLOOKUP(C55,Tab_Def_Flows[Name(EN)],Tab_Def_Flows[Process_ID_I],,0,)</f>
        <v>0</v>
      </c>
      <c r="I55" s="9" t="e">
        <f>_xlfn.XLOOKUP(C55,Tab_Def_Flows[Name(EN)],#REF!,,0,)</f>
        <v>#REF!</v>
      </c>
      <c r="J55" s="9">
        <f>_xlfn.XLOOKUP(C55,Tab_Def_Flows[Name(EN)],Tab_Def_Flows[WC?],,0,)</f>
        <v>0</v>
      </c>
      <c r="K55" s="9">
        <f>_xlfn.XLOOKUP(C55,Tab_Def_Flows[Name(EN)],Tab_Def_Flows[DM?],,0,)</f>
        <v>0</v>
      </c>
      <c r="L55" s="9">
        <f>_xlfn.XLOOKUP(C55,Tab_Def_Flows[Name(EN)],Tab_Def_Flows[CC?],,0,)</f>
        <v>0</v>
      </c>
      <c r="M55" s="11"/>
      <c r="N55" s="11"/>
      <c r="O55" s="48"/>
      <c r="P55" s="11"/>
      <c r="Q55" s="11"/>
      <c r="R55" s="11" t="e">
        <f>INDEX(#REF!,MATCH(Tab_Data_Flows[[#This Row],[Name(EN)]],#REF!,0),12)</f>
        <v>#REF!</v>
      </c>
      <c r="S55" s="11" t="e">
        <f>MATCH(Tab_Data_Flows[[#This Row],[Name(EN)]],#REF!,0)</f>
        <v>#REF!</v>
      </c>
      <c r="T55" s="11"/>
      <c r="U55" s="11"/>
      <c r="V55" s="11"/>
      <c r="W55" s="11"/>
      <c r="X55" s="11" t="s">
        <v>8</v>
      </c>
      <c r="Y55" s="11"/>
      <c r="Z55" s="11"/>
      <c r="AA55" s="35">
        <f t="shared" si="1"/>
        <v>0</v>
      </c>
      <c r="AB55" s="11" t="s">
        <v>276</v>
      </c>
      <c r="AC55" s="190">
        <f>INDEX(Tab_Def_Flows[[Flow_ID]:[CC_DM_source]],MATCH(Tab_Data_Flows[[#This Row],[Name(EN)]],Tab_Def_Flows[Name(EN)],0),13)</f>
        <v>0</v>
      </c>
      <c r="AD55" s="9" t="str">
        <f>IF(J55="Yes",AA55*Tab_Data_Flows[[#This Row],[WC_'[%']]],"N.A.")</f>
        <v>N.A.</v>
      </c>
      <c r="AE55" s="9" t="str">
        <f>Tab_Data_Flows[[#This Row],[UoM_Flow_Py]]</f>
        <v>Mg</v>
      </c>
      <c r="AF55" s="190">
        <f>INDEX(Tab_Def_Flows[[Flow_ID]:[CC_DM_source]],MATCH(Tab_Data_Flows[[#This Row],[Name(EN)]],Tab_Def_Flows[Name(EN)],0),15)</f>
        <v>0</v>
      </c>
      <c r="AG55" s="9" t="str">
        <f>IF(K55="Yes",AF55*Tab_Data_Flows[[#This Row],[Flow_Py]],"N.A.")</f>
        <v>N.A.</v>
      </c>
      <c r="AH55" s="9" t="str">
        <f>Tab_Data_Flows[[#This Row],[UoM_Flow_Py]]</f>
        <v>Mg</v>
      </c>
      <c r="AI55" s="190">
        <f>INDEX(Tab_Def_Flows[[Flow_ID]:[CC_DM_source]],MATCH(Tab_Data_Flows[[#This Row],[Name(EN)]],Tab_Def_Flows[Name(EN)],0),17)</f>
        <v>0</v>
      </c>
      <c r="AJ55" s="9" t="str">
        <f>IF(L55="Yes",AI55*Tab_Data_Flows[[#This Row],[Flow_Py]]*Tab_Data_Flows[[#This Row],[DM_'[%']]],"N.A.")</f>
        <v>N.A.</v>
      </c>
      <c r="AK55" s="9" t="str">
        <f>Tab_Data_Flows[[#This Row],[UoM_Flow_Py]]</f>
        <v>Mg</v>
      </c>
    </row>
    <row r="56" spans="1:37" x14ac:dyDescent="0.25">
      <c r="A56" s="16">
        <f t="shared" si="0"/>
        <v>55</v>
      </c>
      <c r="B56" s="9" t="str">
        <f>_xlfn.XLOOKUP(C56,Tab_Def_Flows[Name(EN)],Tab_Def_Flows[Flow_ID],,0,)</f>
        <v>N.A.</v>
      </c>
      <c r="C56" s="11" t="s">
        <v>35</v>
      </c>
      <c r="D56" s="9"/>
      <c r="E56" s="9">
        <f>_xlfn.XLOOKUP(C56,Tab_Def_Flows[Name(EN)],Tab_Def_Flows[Output_Process],,0,)</f>
        <v>0</v>
      </c>
      <c r="F56" s="9">
        <f>_xlfn.XLOOKUP(C56,Tab_Def_Flows[Name(EN)],Tab_Def_Flows[Process_ID_O],,0,)</f>
        <v>0</v>
      </c>
      <c r="G56" s="9">
        <f>_xlfn.XLOOKUP(C56,Tab_Def_Flows[Name(EN)],Tab_Def_Flows[Input_Process],,0,)</f>
        <v>0</v>
      </c>
      <c r="H56" s="17">
        <f>_xlfn.XLOOKUP(C56,Tab_Def_Flows[Name(EN)],Tab_Def_Flows[Process_ID_I],,0,)</f>
        <v>0</v>
      </c>
      <c r="I56" s="9" t="e">
        <f>_xlfn.XLOOKUP(C56,Tab_Def_Flows[Name(EN)],#REF!,,0,)</f>
        <v>#REF!</v>
      </c>
      <c r="J56" s="9">
        <f>_xlfn.XLOOKUP(C56,Tab_Def_Flows[Name(EN)],Tab_Def_Flows[WC?],,0,)</f>
        <v>0</v>
      </c>
      <c r="K56" s="9">
        <f>_xlfn.XLOOKUP(C56,Tab_Def_Flows[Name(EN)],Tab_Def_Flows[DM?],,0,)</f>
        <v>0</v>
      </c>
      <c r="L56" s="9">
        <f>_xlfn.XLOOKUP(C56,Tab_Def_Flows[Name(EN)],Tab_Def_Flows[CC?],,0,)</f>
        <v>0</v>
      </c>
      <c r="M56" s="11"/>
      <c r="N56" s="11"/>
      <c r="O56" s="48"/>
      <c r="P56" s="11"/>
      <c r="Q56" s="11"/>
      <c r="R56" s="11" t="e">
        <f>INDEX(#REF!,MATCH(Tab_Data_Flows[[#This Row],[Name(EN)]],#REF!,0),12)</f>
        <v>#REF!</v>
      </c>
      <c r="S56" s="11" t="e">
        <f>MATCH(Tab_Data_Flows[[#This Row],[Name(EN)]],#REF!,0)</f>
        <v>#REF!</v>
      </c>
      <c r="T56" s="11"/>
      <c r="U56" s="11"/>
      <c r="V56" s="11"/>
      <c r="W56" s="11"/>
      <c r="X56" s="11" t="s">
        <v>8</v>
      </c>
      <c r="Y56" s="11"/>
      <c r="Z56" s="11"/>
      <c r="AA56" s="35">
        <f t="shared" si="1"/>
        <v>0</v>
      </c>
      <c r="AB56" s="11" t="s">
        <v>276</v>
      </c>
      <c r="AC56" s="190">
        <f>INDEX(Tab_Def_Flows[[Flow_ID]:[CC_DM_source]],MATCH(Tab_Data_Flows[[#This Row],[Name(EN)]],Tab_Def_Flows[Name(EN)],0),13)</f>
        <v>0</v>
      </c>
      <c r="AD56" s="9" t="str">
        <f>IF(J56="Yes",AA56*Tab_Data_Flows[[#This Row],[WC_'[%']]],"N.A.")</f>
        <v>N.A.</v>
      </c>
      <c r="AE56" s="9" t="str">
        <f>Tab_Data_Flows[[#This Row],[UoM_Flow_Py]]</f>
        <v>Mg</v>
      </c>
      <c r="AF56" s="190">
        <f>INDEX(Tab_Def_Flows[[Flow_ID]:[CC_DM_source]],MATCH(Tab_Data_Flows[[#This Row],[Name(EN)]],Tab_Def_Flows[Name(EN)],0),15)</f>
        <v>0</v>
      </c>
      <c r="AG56" s="9" t="str">
        <f>IF(K56="Yes",AF56*Tab_Data_Flows[[#This Row],[Flow_Py]],"N.A.")</f>
        <v>N.A.</v>
      </c>
      <c r="AH56" s="9" t="str">
        <f>Tab_Data_Flows[[#This Row],[UoM_Flow_Py]]</f>
        <v>Mg</v>
      </c>
      <c r="AI56" s="190">
        <f>INDEX(Tab_Def_Flows[[Flow_ID]:[CC_DM_source]],MATCH(Tab_Data_Flows[[#This Row],[Name(EN)]],Tab_Def_Flows[Name(EN)],0),17)</f>
        <v>0</v>
      </c>
      <c r="AJ56" s="9" t="str">
        <f>IF(L56="Yes",AI56*Tab_Data_Flows[[#This Row],[Flow_Py]]*Tab_Data_Flows[[#This Row],[DM_'[%']]],"N.A.")</f>
        <v>N.A.</v>
      </c>
      <c r="AK56" s="9" t="str">
        <f>Tab_Data_Flows[[#This Row],[UoM_Flow_Py]]</f>
        <v>Mg</v>
      </c>
    </row>
    <row r="57" spans="1:37" x14ac:dyDescent="0.25">
      <c r="A57" s="16">
        <f t="shared" si="0"/>
        <v>56</v>
      </c>
      <c r="B57" s="9" t="str">
        <f>_xlfn.XLOOKUP(C57,Tab_Def_Flows[Name(EN)],Tab_Def_Flows[Flow_ID],,0,)</f>
        <v>N.A.</v>
      </c>
      <c r="C57" s="11" t="s">
        <v>35</v>
      </c>
      <c r="D57" s="9"/>
      <c r="E57" s="9">
        <f>_xlfn.XLOOKUP(C57,Tab_Def_Flows[Name(EN)],Tab_Def_Flows[Output_Process],,0,)</f>
        <v>0</v>
      </c>
      <c r="F57" s="9">
        <f>_xlfn.XLOOKUP(C57,Tab_Def_Flows[Name(EN)],Tab_Def_Flows[Process_ID_O],,0,)</f>
        <v>0</v>
      </c>
      <c r="G57" s="9">
        <f>_xlfn.XLOOKUP(C57,Tab_Def_Flows[Name(EN)],Tab_Def_Flows[Input_Process],,0,)</f>
        <v>0</v>
      </c>
      <c r="H57" s="17">
        <f>_xlfn.XLOOKUP(C57,Tab_Def_Flows[Name(EN)],Tab_Def_Flows[Process_ID_I],,0,)</f>
        <v>0</v>
      </c>
      <c r="I57" s="9" t="e">
        <f>_xlfn.XLOOKUP(C57,Tab_Def_Flows[Name(EN)],#REF!,,0,)</f>
        <v>#REF!</v>
      </c>
      <c r="J57" s="9">
        <f>_xlfn.XLOOKUP(C57,Tab_Def_Flows[Name(EN)],Tab_Def_Flows[WC?],,0,)</f>
        <v>0</v>
      </c>
      <c r="K57" s="9">
        <f>_xlfn.XLOOKUP(C57,Tab_Def_Flows[Name(EN)],Tab_Def_Flows[DM?],,0,)</f>
        <v>0</v>
      </c>
      <c r="L57" s="9">
        <f>_xlfn.XLOOKUP(C57,Tab_Def_Flows[Name(EN)],Tab_Def_Flows[CC?],,0,)</f>
        <v>0</v>
      </c>
      <c r="M57" s="11"/>
      <c r="N57" s="11"/>
      <c r="O57" s="48"/>
      <c r="P57" s="11"/>
      <c r="Q57" s="11"/>
      <c r="R57" s="11" t="e">
        <f>INDEX(#REF!,MATCH(Tab_Data_Flows[[#This Row],[Name(EN)]],#REF!,0),12)</f>
        <v>#REF!</v>
      </c>
      <c r="S57" s="11" t="e">
        <f>MATCH(Tab_Data_Flows[[#This Row],[Name(EN)]],#REF!,0)</f>
        <v>#REF!</v>
      </c>
      <c r="T57" s="11"/>
      <c r="U57" s="11"/>
      <c r="V57" s="11"/>
      <c r="W57" s="11"/>
      <c r="X57" s="11" t="s">
        <v>8</v>
      </c>
      <c r="Y57" s="11"/>
      <c r="Z57" s="11"/>
      <c r="AA57" s="35">
        <f t="shared" si="1"/>
        <v>0</v>
      </c>
      <c r="AB57" s="11" t="s">
        <v>276</v>
      </c>
      <c r="AC57" s="190">
        <f>INDEX(Tab_Def_Flows[[Flow_ID]:[CC_DM_source]],MATCH(Tab_Data_Flows[[#This Row],[Name(EN)]],Tab_Def_Flows[Name(EN)],0),13)</f>
        <v>0</v>
      </c>
      <c r="AD57" s="9" t="str">
        <f>IF(J57="Yes",AA57*Tab_Data_Flows[[#This Row],[WC_'[%']]],"N.A.")</f>
        <v>N.A.</v>
      </c>
      <c r="AE57" s="9" t="str">
        <f>Tab_Data_Flows[[#This Row],[UoM_Flow_Py]]</f>
        <v>Mg</v>
      </c>
      <c r="AF57" s="190">
        <f>INDEX(Tab_Def_Flows[[Flow_ID]:[CC_DM_source]],MATCH(Tab_Data_Flows[[#This Row],[Name(EN)]],Tab_Def_Flows[Name(EN)],0),15)</f>
        <v>0</v>
      </c>
      <c r="AG57" s="9" t="str">
        <f>IF(K57="Yes",AF57*Tab_Data_Flows[[#This Row],[Flow_Py]],"N.A.")</f>
        <v>N.A.</v>
      </c>
      <c r="AH57" s="9" t="str">
        <f>Tab_Data_Flows[[#This Row],[UoM_Flow_Py]]</f>
        <v>Mg</v>
      </c>
      <c r="AI57" s="190">
        <f>INDEX(Tab_Def_Flows[[Flow_ID]:[CC_DM_source]],MATCH(Tab_Data_Flows[[#This Row],[Name(EN)]],Tab_Def_Flows[Name(EN)],0),17)</f>
        <v>0</v>
      </c>
      <c r="AJ57" s="9" t="str">
        <f>IF(L57="Yes",AI57*Tab_Data_Flows[[#This Row],[Flow_Py]]*Tab_Data_Flows[[#This Row],[DM_'[%']]],"N.A.")</f>
        <v>N.A.</v>
      </c>
      <c r="AK57" s="9" t="str">
        <f>Tab_Data_Flows[[#This Row],[UoM_Flow_Py]]</f>
        <v>Mg</v>
      </c>
    </row>
    <row r="58" spans="1:37" x14ac:dyDescent="0.25">
      <c r="A58" s="16">
        <f t="shared" si="0"/>
        <v>57</v>
      </c>
      <c r="B58" s="9" t="str">
        <f>_xlfn.XLOOKUP(C58,Tab_Def_Flows[Name(EN)],Tab_Def_Flows[Flow_ID],,0,)</f>
        <v>N.A.</v>
      </c>
      <c r="C58" s="11" t="s">
        <v>35</v>
      </c>
      <c r="D58" s="9"/>
      <c r="E58" s="9">
        <f>_xlfn.XLOOKUP(C58,Tab_Def_Flows[Name(EN)],Tab_Def_Flows[Output_Process],,0,)</f>
        <v>0</v>
      </c>
      <c r="F58" s="9">
        <f>_xlfn.XLOOKUP(C58,Tab_Def_Flows[Name(EN)],Tab_Def_Flows[Process_ID_O],,0,)</f>
        <v>0</v>
      </c>
      <c r="G58" s="9">
        <f>_xlfn.XLOOKUP(C58,Tab_Def_Flows[Name(EN)],Tab_Def_Flows[Input_Process],,0,)</f>
        <v>0</v>
      </c>
      <c r="H58" s="17">
        <f>_xlfn.XLOOKUP(C58,Tab_Def_Flows[Name(EN)],Tab_Def_Flows[Process_ID_I],,0,)</f>
        <v>0</v>
      </c>
      <c r="I58" s="9" t="e">
        <f>_xlfn.XLOOKUP(C58,Tab_Def_Flows[Name(EN)],#REF!,,0,)</f>
        <v>#REF!</v>
      </c>
      <c r="J58" s="9">
        <f>_xlfn.XLOOKUP(C58,Tab_Def_Flows[Name(EN)],Tab_Def_Flows[WC?],,0,)</f>
        <v>0</v>
      </c>
      <c r="K58" s="9">
        <f>_xlfn.XLOOKUP(C58,Tab_Def_Flows[Name(EN)],Tab_Def_Flows[DM?],,0,)</f>
        <v>0</v>
      </c>
      <c r="L58" s="9">
        <f>_xlfn.XLOOKUP(C58,Tab_Def_Flows[Name(EN)],Tab_Def_Flows[CC?],,0,)</f>
        <v>0</v>
      </c>
      <c r="M58" s="11"/>
      <c r="N58" s="11"/>
      <c r="O58" s="48"/>
      <c r="P58" s="11"/>
      <c r="Q58" s="11"/>
      <c r="R58" s="11" t="e">
        <f>INDEX(#REF!,MATCH(Tab_Data_Flows[[#This Row],[Name(EN)]],#REF!,0),12)</f>
        <v>#REF!</v>
      </c>
      <c r="S58" s="11" t="e">
        <f>MATCH(Tab_Data_Flows[[#This Row],[Name(EN)]],#REF!,0)</f>
        <v>#REF!</v>
      </c>
      <c r="T58" s="11"/>
      <c r="U58" s="11"/>
      <c r="V58" s="11"/>
      <c r="W58" s="11"/>
      <c r="X58" s="11" t="s">
        <v>8</v>
      </c>
      <c r="Y58" s="11"/>
      <c r="Z58" s="11"/>
      <c r="AA58" s="35">
        <f t="shared" si="1"/>
        <v>0</v>
      </c>
      <c r="AB58" s="11" t="s">
        <v>276</v>
      </c>
      <c r="AC58" s="190">
        <f>INDEX(Tab_Def_Flows[[Flow_ID]:[CC_DM_source]],MATCH(Tab_Data_Flows[[#This Row],[Name(EN)]],Tab_Def_Flows[Name(EN)],0),13)</f>
        <v>0</v>
      </c>
      <c r="AD58" s="9" t="str">
        <f>IF(J58="Yes",AA58*Tab_Data_Flows[[#This Row],[WC_'[%']]],"N.A.")</f>
        <v>N.A.</v>
      </c>
      <c r="AE58" s="9" t="str">
        <f>Tab_Data_Flows[[#This Row],[UoM_Flow_Py]]</f>
        <v>Mg</v>
      </c>
      <c r="AF58" s="190">
        <f>INDEX(Tab_Def_Flows[[Flow_ID]:[CC_DM_source]],MATCH(Tab_Data_Flows[[#This Row],[Name(EN)]],Tab_Def_Flows[Name(EN)],0),15)</f>
        <v>0</v>
      </c>
      <c r="AG58" s="9" t="str">
        <f>IF(K58="Yes",AF58*Tab_Data_Flows[[#This Row],[Flow_Py]],"N.A.")</f>
        <v>N.A.</v>
      </c>
      <c r="AH58" s="9" t="str">
        <f>Tab_Data_Flows[[#This Row],[UoM_Flow_Py]]</f>
        <v>Mg</v>
      </c>
      <c r="AI58" s="190">
        <f>INDEX(Tab_Def_Flows[[Flow_ID]:[CC_DM_source]],MATCH(Tab_Data_Flows[[#This Row],[Name(EN)]],Tab_Def_Flows[Name(EN)],0),17)</f>
        <v>0</v>
      </c>
      <c r="AJ58" s="9" t="str">
        <f>IF(L58="Yes",AI58*Tab_Data_Flows[[#This Row],[Flow_Py]]*Tab_Data_Flows[[#This Row],[DM_'[%']]],"N.A.")</f>
        <v>N.A.</v>
      </c>
      <c r="AK58" s="9" t="str">
        <f>Tab_Data_Flows[[#This Row],[UoM_Flow_Py]]</f>
        <v>Mg</v>
      </c>
    </row>
    <row r="59" spans="1:37" x14ac:dyDescent="0.25">
      <c r="A59" s="16">
        <f t="shared" si="0"/>
        <v>58</v>
      </c>
      <c r="B59" s="9" t="str">
        <f>_xlfn.XLOOKUP(C59,Tab_Def_Flows[Name(EN)],Tab_Def_Flows[Flow_ID],,0,)</f>
        <v>N.A.</v>
      </c>
      <c r="C59" s="11" t="s">
        <v>35</v>
      </c>
      <c r="D59" s="9"/>
      <c r="E59" s="9">
        <f>_xlfn.XLOOKUP(C59,Tab_Def_Flows[Name(EN)],Tab_Def_Flows[Output_Process],,0,)</f>
        <v>0</v>
      </c>
      <c r="F59" s="9">
        <f>_xlfn.XLOOKUP(C59,Tab_Def_Flows[Name(EN)],Tab_Def_Flows[Process_ID_O],,0,)</f>
        <v>0</v>
      </c>
      <c r="G59" s="9">
        <f>_xlfn.XLOOKUP(C59,Tab_Def_Flows[Name(EN)],Tab_Def_Flows[Input_Process],,0,)</f>
        <v>0</v>
      </c>
      <c r="H59" s="17">
        <f>_xlfn.XLOOKUP(C59,Tab_Def_Flows[Name(EN)],Tab_Def_Flows[Process_ID_I],,0,)</f>
        <v>0</v>
      </c>
      <c r="I59" s="9" t="e">
        <f>_xlfn.XLOOKUP(C59,Tab_Def_Flows[Name(EN)],#REF!,,0,)</f>
        <v>#REF!</v>
      </c>
      <c r="J59" s="9">
        <f>_xlfn.XLOOKUP(C59,Tab_Def_Flows[Name(EN)],Tab_Def_Flows[WC?],,0,)</f>
        <v>0</v>
      </c>
      <c r="K59" s="9">
        <f>_xlfn.XLOOKUP(C59,Tab_Def_Flows[Name(EN)],Tab_Def_Flows[DM?],,0,)</f>
        <v>0</v>
      </c>
      <c r="L59" s="9">
        <f>_xlfn.XLOOKUP(C59,Tab_Def_Flows[Name(EN)],Tab_Def_Flows[CC?],,0,)</f>
        <v>0</v>
      </c>
      <c r="M59" s="11"/>
      <c r="N59" s="11"/>
      <c r="O59" s="48"/>
      <c r="P59" s="11"/>
      <c r="Q59" s="11"/>
      <c r="R59" s="11" t="e">
        <f>INDEX(#REF!,MATCH(Tab_Data_Flows[[#This Row],[Name(EN)]],#REF!,0),12)</f>
        <v>#REF!</v>
      </c>
      <c r="S59" s="11" t="e">
        <f>MATCH(Tab_Data_Flows[[#This Row],[Name(EN)]],#REF!,0)</f>
        <v>#REF!</v>
      </c>
      <c r="T59" s="11"/>
      <c r="U59" s="11"/>
      <c r="V59" s="11"/>
      <c r="W59" s="11"/>
      <c r="X59" s="11" t="s">
        <v>8</v>
      </c>
      <c r="Y59" s="11"/>
      <c r="Z59" s="11"/>
      <c r="AA59" s="35">
        <f t="shared" si="1"/>
        <v>0</v>
      </c>
      <c r="AB59" s="11" t="s">
        <v>276</v>
      </c>
      <c r="AC59" s="190">
        <f>INDEX(Tab_Def_Flows[[Flow_ID]:[CC_DM_source]],MATCH(Tab_Data_Flows[[#This Row],[Name(EN)]],Tab_Def_Flows[Name(EN)],0),13)</f>
        <v>0</v>
      </c>
      <c r="AD59" s="9" t="str">
        <f>IF(J59="Yes",AA59*Tab_Data_Flows[[#This Row],[WC_'[%']]],"N.A.")</f>
        <v>N.A.</v>
      </c>
      <c r="AE59" s="9" t="str">
        <f>Tab_Data_Flows[[#This Row],[UoM_Flow_Py]]</f>
        <v>Mg</v>
      </c>
      <c r="AF59" s="190">
        <f>INDEX(Tab_Def_Flows[[Flow_ID]:[CC_DM_source]],MATCH(Tab_Data_Flows[[#This Row],[Name(EN)]],Tab_Def_Flows[Name(EN)],0),15)</f>
        <v>0</v>
      </c>
      <c r="AG59" s="9" t="str">
        <f>IF(K59="Yes",AF59*Tab_Data_Flows[[#This Row],[Flow_Py]],"N.A.")</f>
        <v>N.A.</v>
      </c>
      <c r="AH59" s="9" t="str">
        <f>Tab_Data_Flows[[#This Row],[UoM_Flow_Py]]</f>
        <v>Mg</v>
      </c>
      <c r="AI59" s="190">
        <f>INDEX(Tab_Def_Flows[[Flow_ID]:[CC_DM_source]],MATCH(Tab_Data_Flows[[#This Row],[Name(EN)]],Tab_Def_Flows[Name(EN)],0),17)</f>
        <v>0</v>
      </c>
      <c r="AJ59" s="9" t="str">
        <f>IF(L59="Yes",AI59*Tab_Data_Flows[[#This Row],[Flow_Py]]*Tab_Data_Flows[[#This Row],[DM_'[%']]],"N.A.")</f>
        <v>N.A.</v>
      </c>
      <c r="AK59" s="9" t="str">
        <f>Tab_Data_Flows[[#This Row],[UoM_Flow_Py]]</f>
        <v>Mg</v>
      </c>
    </row>
    <row r="60" spans="1:37" x14ac:dyDescent="0.25">
      <c r="A60" s="16">
        <f t="shared" si="0"/>
        <v>59</v>
      </c>
      <c r="B60" s="9" t="str">
        <f>_xlfn.XLOOKUP(C60,Tab_Def_Flows[Name(EN)],Tab_Def_Flows[Flow_ID],,0,)</f>
        <v>N.A.</v>
      </c>
      <c r="C60" s="11" t="s">
        <v>35</v>
      </c>
      <c r="D60" s="9">
        <f>_xlfn.XLOOKUP(C60,Tab_Def_Flows[Name(EN)],Tab_Def_Flows[Type_Biomass],,0,)</f>
        <v>0</v>
      </c>
      <c r="E60" s="9">
        <f>_xlfn.XLOOKUP(C60,Tab_Def_Flows[Name(EN)],Tab_Def_Flows[Output_Process],,0,)</f>
        <v>0</v>
      </c>
      <c r="F60" s="9">
        <f>_xlfn.XLOOKUP(C60,Tab_Def_Flows[Name(EN)],Tab_Def_Flows[Process_ID_O],,0,)</f>
        <v>0</v>
      </c>
      <c r="G60" s="9">
        <f>_xlfn.XLOOKUP(C60,Tab_Def_Flows[Name(EN)],Tab_Def_Flows[Input_Process],,0,)</f>
        <v>0</v>
      </c>
      <c r="H60" s="17">
        <f>_xlfn.XLOOKUP(C60,Tab_Def_Flows[Name(EN)],Tab_Def_Flows[Process_ID_I],,0,)</f>
        <v>0</v>
      </c>
      <c r="I60" s="17" t="e">
        <f>_xlfn.XLOOKUP(C60,Tab_Def_Flows[Name(EN)],#REF!,,0,)</f>
        <v>#REF!</v>
      </c>
      <c r="J60" s="17">
        <f>_xlfn.XLOOKUP(C60,Tab_Def_Flows[Name(EN)],Tab_Def_Flows[WC?],,0,)</f>
        <v>0</v>
      </c>
      <c r="K60" s="17">
        <f>_xlfn.XLOOKUP(C60,Tab_Def_Flows[Name(EN)],Tab_Def_Flows[DM?],,0,)</f>
        <v>0</v>
      </c>
      <c r="L60" s="17">
        <f>_xlfn.XLOOKUP(C60,Tab_Def_Flows[Name(EN)],Tab_Def_Flows[CC?],,0,)</f>
        <v>0</v>
      </c>
      <c r="M60" s="11"/>
      <c r="N60" s="11"/>
      <c r="O60" s="48"/>
      <c r="P60" s="11"/>
      <c r="Q60" s="11"/>
      <c r="R60" s="11"/>
      <c r="S60" s="11"/>
      <c r="T60" s="11"/>
      <c r="U60" s="11"/>
      <c r="V60" s="11"/>
      <c r="W60" s="11"/>
      <c r="X60" s="11" t="s">
        <v>8</v>
      </c>
      <c r="Y60" s="41"/>
      <c r="Z60" s="11"/>
      <c r="AA60" s="35">
        <f>IF(X60="no",O60,O60*Y60)</f>
        <v>0</v>
      </c>
      <c r="AB60" s="11" t="s">
        <v>276</v>
      </c>
      <c r="AC60" s="190">
        <f>INDEX(Tab_Def_Flows[[Flow_ID]:[CC_DM_source]],MATCH(Tab_Data_Flows[[#This Row],[Name(EN)]],Tab_Def_Flows[Name(EN)],0),13)</f>
        <v>0</v>
      </c>
      <c r="AD60" s="9" t="str">
        <f>IF(J60="Yes",AA60*Tab_Data_Flows[[#This Row],[WC_'[%']]],"N.A.")</f>
        <v>N.A.</v>
      </c>
      <c r="AE60" s="9" t="str">
        <f>Tab_Data_Flows[[#This Row],[UoM_Flow_Py]]</f>
        <v>Mg</v>
      </c>
      <c r="AF60" s="190">
        <f>INDEX(Tab_Def_Flows[[Flow_ID]:[CC_DM_source]],MATCH(Tab_Data_Flows[[#This Row],[Name(EN)]],Tab_Def_Flows[Name(EN)],0),15)</f>
        <v>0</v>
      </c>
      <c r="AG60" s="9" t="str">
        <f>IF(K60="Yes",AF60*Tab_Data_Flows[[#This Row],[Flow_Py]],"N.A.")</f>
        <v>N.A.</v>
      </c>
      <c r="AH60" s="9" t="str">
        <f>Tab_Data_Flows[[#This Row],[UoM_Flow_Py]]</f>
        <v>Mg</v>
      </c>
      <c r="AI60" s="190">
        <f>INDEX(Tab_Def_Flows[[Flow_ID]:[CC_DM_source]],MATCH(Tab_Data_Flows[[#This Row],[Name(EN)]],Tab_Def_Flows[Name(EN)],0),17)</f>
        <v>0</v>
      </c>
      <c r="AJ60" s="9" t="str">
        <f>IF(L60="Yes",AI60*Tab_Data_Flows[[#This Row],[Flow_Py]]*Tab_Data_Flows[[#This Row],[DM_'[%']]],"N.A.")</f>
        <v>N.A.</v>
      </c>
      <c r="AK60" s="9" t="str">
        <f>Tab_Data_Flows[[#This Row],[UoM_Flow_Py]]</f>
        <v>Mg</v>
      </c>
    </row>
    <row r="61" spans="1:37" x14ac:dyDescent="0.25">
      <c r="A61" s="16">
        <f t="shared" si="0"/>
        <v>60</v>
      </c>
      <c r="B61" s="9" t="str">
        <f>_xlfn.XLOOKUP(C61,Tab_Def_Flows[Name(EN)],Tab_Def_Flows[Flow_ID],,0,)</f>
        <v>N.A.</v>
      </c>
      <c r="C61" s="11" t="s">
        <v>35</v>
      </c>
      <c r="D61" s="9">
        <f>_xlfn.XLOOKUP(C61,Tab_Def_Flows[Name(EN)],Tab_Def_Flows[Type_Biomass],,0,)</f>
        <v>0</v>
      </c>
      <c r="E61" s="9">
        <f>_xlfn.XLOOKUP(C61,Tab_Def_Flows[Name(EN)],Tab_Def_Flows[Output_Process],,0,)</f>
        <v>0</v>
      </c>
      <c r="F61" s="9">
        <f>_xlfn.XLOOKUP(C61,Tab_Def_Flows[Name(EN)],Tab_Def_Flows[Process_ID_O],,0,)</f>
        <v>0</v>
      </c>
      <c r="G61" s="9">
        <f>_xlfn.XLOOKUP(C61,Tab_Def_Flows[Name(EN)],Tab_Def_Flows[Input_Process],,0,)</f>
        <v>0</v>
      </c>
      <c r="H61" s="17">
        <f>_xlfn.XLOOKUP(C61,Tab_Def_Flows[Name(EN)],Tab_Def_Flows[Process_ID_I],,0,)</f>
        <v>0</v>
      </c>
      <c r="I61" s="17" t="e">
        <f>_xlfn.XLOOKUP(C61,Tab_Def_Flows[Name(EN)],#REF!,,0,)</f>
        <v>#REF!</v>
      </c>
      <c r="J61" s="17">
        <f>_xlfn.XLOOKUP(C61,Tab_Def_Flows[Name(EN)],Tab_Def_Flows[WC?],,0,)</f>
        <v>0</v>
      </c>
      <c r="K61" s="17">
        <f>_xlfn.XLOOKUP(C61,Tab_Def_Flows[Name(EN)],Tab_Def_Flows[DM?],,0,)</f>
        <v>0</v>
      </c>
      <c r="L61" s="17">
        <f>_xlfn.XLOOKUP(C61,Tab_Def_Flows[Name(EN)],Tab_Def_Flows[CC?],,0,)</f>
        <v>0</v>
      </c>
      <c r="M61" s="11"/>
      <c r="N61" s="11"/>
      <c r="O61" s="48"/>
      <c r="P61" s="11"/>
      <c r="Q61" s="11"/>
      <c r="R61" s="11"/>
      <c r="S61" s="11"/>
      <c r="T61" s="11"/>
      <c r="U61" s="11"/>
      <c r="V61" s="11"/>
      <c r="W61" s="11"/>
      <c r="X61" s="11" t="s">
        <v>8</v>
      </c>
      <c r="Y61" s="41"/>
      <c r="Z61" s="11"/>
      <c r="AA61" s="35">
        <f t="shared" si="1"/>
        <v>0</v>
      </c>
      <c r="AB61" s="11" t="s">
        <v>276</v>
      </c>
      <c r="AC61" s="190">
        <f>INDEX(Tab_Def_Flows[[Flow_ID]:[CC_DM_source]],MATCH(Tab_Data_Flows[[#This Row],[Name(EN)]],Tab_Def_Flows[Name(EN)],0),13)</f>
        <v>0</v>
      </c>
      <c r="AD61" s="9" t="str">
        <f>IF(J61="Yes",AA61*Tab_Data_Flows[[#This Row],[WC_'[%']]],"N.A.")</f>
        <v>N.A.</v>
      </c>
      <c r="AE61" s="9" t="str">
        <f>Tab_Data_Flows[[#This Row],[UoM_Flow_Py]]</f>
        <v>Mg</v>
      </c>
      <c r="AF61" s="190">
        <f>INDEX(Tab_Def_Flows[[Flow_ID]:[CC_DM_source]],MATCH(Tab_Data_Flows[[#This Row],[Name(EN)]],Tab_Def_Flows[Name(EN)],0),15)</f>
        <v>0</v>
      </c>
      <c r="AG61" s="9" t="str">
        <f>IF(K61="Yes",AF61*Tab_Data_Flows[[#This Row],[Flow_Py]],"N.A.")</f>
        <v>N.A.</v>
      </c>
      <c r="AH61" s="9" t="str">
        <f>Tab_Data_Flows[[#This Row],[UoM_Flow_Py]]</f>
        <v>Mg</v>
      </c>
      <c r="AI61" s="190">
        <f>INDEX(Tab_Def_Flows[[Flow_ID]:[CC_DM_source]],MATCH(Tab_Data_Flows[[#This Row],[Name(EN)]],Tab_Def_Flows[Name(EN)],0),17)</f>
        <v>0</v>
      </c>
      <c r="AJ61" s="9" t="str">
        <f>IF(L61="Yes",AI61*Tab_Data_Flows[[#This Row],[Flow_Py]]*Tab_Data_Flows[[#This Row],[DM_'[%']]],"N.A.")</f>
        <v>N.A.</v>
      </c>
      <c r="AK61" s="9" t="str">
        <f>Tab_Data_Flows[[#This Row],[UoM_Flow_Py]]</f>
        <v>Mg</v>
      </c>
    </row>
    <row r="62" spans="1:37" x14ac:dyDescent="0.25">
      <c r="A62" s="16">
        <f t="shared" si="0"/>
        <v>61</v>
      </c>
      <c r="B62" s="9" t="str">
        <f>_xlfn.XLOOKUP(C62,Tab_Def_Flows[Name(EN)],Tab_Def_Flows[Flow_ID],,0,)</f>
        <v>N.A.</v>
      </c>
      <c r="C62" s="11" t="s">
        <v>35</v>
      </c>
      <c r="D62" s="9">
        <f>_xlfn.XLOOKUP(C62,Tab_Def_Flows[Name(EN)],Tab_Def_Flows[Type_Biomass],,0,)</f>
        <v>0</v>
      </c>
      <c r="E62" s="9">
        <f>_xlfn.XLOOKUP(C62,Tab_Def_Flows[Name(EN)],Tab_Def_Flows[Output_Process],,0,)</f>
        <v>0</v>
      </c>
      <c r="F62" s="9">
        <f>_xlfn.XLOOKUP(C62,Tab_Def_Flows[Name(EN)],Tab_Def_Flows[Process_ID_O],,0,)</f>
        <v>0</v>
      </c>
      <c r="G62" s="9">
        <f>_xlfn.XLOOKUP(C62,Tab_Def_Flows[Name(EN)],Tab_Def_Flows[Input_Process],,0,)</f>
        <v>0</v>
      </c>
      <c r="H62" s="17">
        <f>_xlfn.XLOOKUP(C62,Tab_Def_Flows[Name(EN)],Tab_Def_Flows[Process_ID_I],,0,)</f>
        <v>0</v>
      </c>
      <c r="I62" s="17" t="e">
        <f>_xlfn.XLOOKUP(C62,Tab_Def_Flows[Name(EN)],#REF!,,0,)</f>
        <v>#REF!</v>
      </c>
      <c r="J62" s="17">
        <f>_xlfn.XLOOKUP(C62,Tab_Def_Flows[Name(EN)],Tab_Def_Flows[WC?],,0,)</f>
        <v>0</v>
      </c>
      <c r="K62" s="17">
        <f>_xlfn.XLOOKUP(C62,Tab_Def_Flows[Name(EN)],Tab_Def_Flows[DM?],,0,)</f>
        <v>0</v>
      </c>
      <c r="L62" s="17">
        <f>_xlfn.XLOOKUP(C62,Tab_Def_Flows[Name(EN)],Tab_Def_Flows[CC?],,0,)</f>
        <v>0</v>
      </c>
      <c r="M62" s="11"/>
      <c r="N62" s="11"/>
      <c r="O62" s="48"/>
      <c r="P62" s="11"/>
      <c r="Q62" s="11"/>
      <c r="R62" s="11"/>
      <c r="S62" s="11"/>
      <c r="T62" s="11"/>
      <c r="U62" s="11"/>
      <c r="V62" s="11"/>
      <c r="W62" s="11"/>
      <c r="X62" s="11" t="s">
        <v>8</v>
      </c>
      <c r="Y62" s="41"/>
      <c r="Z62" s="11"/>
      <c r="AA62" s="35">
        <f t="shared" si="1"/>
        <v>0</v>
      </c>
      <c r="AB62" s="11" t="s">
        <v>276</v>
      </c>
      <c r="AC62" s="190">
        <f>INDEX(Tab_Def_Flows[[Flow_ID]:[CC_DM_source]],MATCH(Tab_Data_Flows[[#This Row],[Name(EN)]],Tab_Def_Flows[Name(EN)],0),13)</f>
        <v>0</v>
      </c>
      <c r="AD62" s="9" t="str">
        <f>IF(J62="Yes",AA62*Tab_Data_Flows[[#This Row],[WC_'[%']]],"N.A.")</f>
        <v>N.A.</v>
      </c>
      <c r="AE62" s="9" t="str">
        <f>Tab_Data_Flows[[#This Row],[UoM_Flow_Py]]</f>
        <v>Mg</v>
      </c>
      <c r="AF62" s="190">
        <f>INDEX(Tab_Def_Flows[[Flow_ID]:[CC_DM_source]],MATCH(Tab_Data_Flows[[#This Row],[Name(EN)]],Tab_Def_Flows[Name(EN)],0),15)</f>
        <v>0</v>
      </c>
      <c r="AG62" s="9" t="str">
        <f>IF(K62="Yes",AF62*Tab_Data_Flows[[#This Row],[Flow_Py]],"N.A.")</f>
        <v>N.A.</v>
      </c>
      <c r="AH62" s="9" t="str">
        <f>Tab_Data_Flows[[#This Row],[UoM_Flow_Py]]</f>
        <v>Mg</v>
      </c>
      <c r="AI62" s="190">
        <f>INDEX(Tab_Def_Flows[[Flow_ID]:[CC_DM_source]],MATCH(Tab_Data_Flows[[#This Row],[Name(EN)]],Tab_Def_Flows[Name(EN)],0),17)</f>
        <v>0</v>
      </c>
      <c r="AJ62" s="9" t="str">
        <f>IF(L62="Yes",AI62*Tab_Data_Flows[[#This Row],[Flow_Py]]*Tab_Data_Flows[[#This Row],[DM_'[%']]],"N.A.")</f>
        <v>N.A.</v>
      </c>
      <c r="AK62" s="9" t="str">
        <f>Tab_Data_Flows[[#This Row],[UoM_Flow_Py]]</f>
        <v>Mg</v>
      </c>
    </row>
    <row r="63" spans="1:37" x14ac:dyDescent="0.25">
      <c r="A63" s="16">
        <f t="shared" si="0"/>
        <v>62</v>
      </c>
      <c r="B63" s="9" t="str">
        <f>_xlfn.XLOOKUP(C63,Tab_Def_Flows[Name(EN)],Tab_Def_Flows[Flow_ID],,0,)</f>
        <v>N.A.</v>
      </c>
      <c r="C63" s="11" t="s">
        <v>35</v>
      </c>
      <c r="D63" s="9">
        <f>_xlfn.XLOOKUP(C63,Tab_Def_Flows[Name(EN)],Tab_Def_Flows[Type_Biomass],,0,)</f>
        <v>0</v>
      </c>
      <c r="E63" s="9">
        <f>_xlfn.XLOOKUP(C63,Tab_Def_Flows[Name(EN)],Tab_Def_Flows[Output_Process],,0,)</f>
        <v>0</v>
      </c>
      <c r="F63" s="9">
        <f>_xlfn.XLOOKUP(C63,Tab_Def_Flows[Name(EN)],Tab_Def_Flows[Process_ID_O],,0,)</f>
        <v>0</v>
      </c>
      <c r="G63" s="9">
        <f>_xlfn.XLOOKUP(C63,Tab_Def_Flows[Name(EN)],Tab_Def_Flows[Input_Process],,0,)</f>
        <v>0</v>
      </c>
      <c r="H63" s="17">
        <f>_xlfn.XLOOKUP(C63,Tab_Def_Flows[Name(EN)],Tab_Def_Flows[Process_ID_I],,0,)</f>
        <v>0</v>
      </c>
      <c r="I63" s="17" t="e">
        <f>_xlfn.XLOOKUP(C63,Tab_Def_Flows[Name(EN)],#REF!,,0,)</f>
        <v>#REF!</v>
      </c>
      <c r="J63" s="17">
        <f>_xlfn.XLOOKUP(C63,Tab_Def_Flows[Name(EN)],Tab_Def_Flows[WC?],,0,)</f>
        <v>0</v>
      </c>
      <c r="K63" s="17">
        <f>_xlfn.XLOOKUP(C63,Tab_Def_Flows[Name(EN)],Tab_Def_Flows[DM?],,0,)</f>
        <v>0</v>
      </c>
      <c r="L63" s="17">
        <f>_xlfn.XLOOKUP(C63,Tab_Def_Flows[Name(EN)],Tab_Def_Flows[CC?],,0,)</f>
        <v>0</v>
      </c>
      <c r="M63" s="11"/>
      <c r="N63" s="11"/>
      <c r="O63" s="48"/>
      <c r="P63" s="11"/>
      <c r="Q63" s="11"/>
      <c r="R63" s="11"/>
      <c r="S63" s="11"/>
      <c r="T63" s="11"/>
      <c r="U63" s="11"/>
      <c r="V63" s="11"/>
      <c r="W63" s="11"/>
      <c r="X63" s="11" t="s">
        <v>8</v>
      </c>
      <c r="Y63" s="41"/>
      <c r="Z63" s="11"/>
      <c r="AA63" s="35">
        <f t="shared" si="1"/>
        <v>0</v>
      </c>
      <c r="AB63" s="11" t="s">
        <v>276</v>
      </c>
      <c r="AC63" s="190">
        <f>INDEX(Tab_Def_Flows[[Flow_ID]:[CC_DM_source]],MATCH(Tab_Data_Flows[[#This Row],[Name(EN)]],Tab_Def_Flows[Name(EN)],0),13)</f>
        <v>0</v>
      </c>
      <c r="AD63" s="9" t="str">
        <f>IF(J63="Yes",AA63*Tab_Data_Flows[[#This Row],[WC_'[%']]],"N.A.")</f>
        <v>N.A.</v>
      </c>
      <c r="AE63" s="9" t="str">
        <f>Tab_Data_Flows[[#This Row],[UoM_Flow_Py]]</f>
        <v>Mg</v>
      </c>
      <c r="AF63" s="190">
        <f>INDEX(Tab_Def_Flows[[Flow_ID]:[CC_DM_source]],MATCH(Tab_Data_Flows[[#This Row],[Name(EN)]],Tab_Def_Flows[Name(EN)],0),15)</f>
        <v>0</v>
      </c>
      <c r="AG63" s="9" t="str">
        <f>IF(K63="Yes",AF63*Tab_Data_Flows[[#This Row],[Flow_Py]],"N.A.")</f>
        <v>N.A.</v>
      </c>
      <c r="AH63" s="9" t="str">
        <f>Tab_Data_Flows[[#This Row],[UoM_Flow_Py]]</f>
        <v>Mg</v>
      </c>
      <c r="AI63" s="190">
        <f>INDEX(Tab_Def_Flows[[Flow_ID]:[CC_DM_source]],MATCH(Tab_Data_Flows[[#This Row],[Name(EN)]],Tab_Def_Flows[Name(EN)],0),17)</f>
        <v>0</v>
      </c>
      <c r="AJ63" s="9" t="str">
        <f>IF(L63="Yes",AI63*Tab_Data_Flows[[#This Row],[Flow_Py]]*Tab_Data_Flows[[#This Row],[DM_'[%']]],"N.A.")</f>
        <v>N.A.</v>
      </c>
      <c r="AK63" s="9" t="str">
        <f>Tab_Data_Flows[[#This Row],[UoM_Flow_Py]]</f>
        <v>Mg</v>
      </c>
    </row>
    <row r="64" spans="1:37" x14ac:dyDescent="0.25">
      <c r="A64" s="16">
        <f t="shared" si="0"/>
        <v>63</v>
      </c>
      <c r="B64" s="9" t="str">
        <f>_xlfn.XLOOKUP(C64,Tab_Def_Flows[Name(EN)],Tab_Def_Flows[Flow_ID],,0,)</f>
        <v>N.A.</v>
      </c>
      <c r="C64" s="11" t="s">
        <v>35</v>
      </c>
      <c r="D64" s="9">
        <f>_xlfn.XLOOKUP(C64,Tab_Def_Flows[Name(EN)],Tab_Def_Flows[Type_Biomass],,0,)</f>
        <v>0</v>
      </c>
      <c r="E64" s="9">
        <f>_xlfn.XLOOKUP(C64,Tab_Def_Flows[Name(EN)],Tab_Def_Flows[Output_Process],,0,)</f>
        <v>0</v>
      </c>
      <c r="F64" s="9">
        <f>_xlfn.XLOOKUP(C64,Tab_Def_Flows[Name(EN)],Tab_Def_Flows[Process_ID_O],,0,)</f>
        <v>0</v>
      </c>
      <c r="G64" s="9">
        <f>_xlfn.XLOOKUP(C64,Tab_Def_Flows[Name(EN)],Tab_Def_Flows[Input_Process],,0,)</f>
        <v>0</v>
      </c>
      <c r="H64" s="17">
        <f>_xlfn.XLOOKUP(C64,Tab_Def_Flows[Name(EN)],Tab_Def_Flows[Process_ID_I],,0,)</f>
        <v>0</v>
      </c>
      <c r="I64" s="17" t="e">
        <f>_xlfn.XLOOKUP(C64,Tab_Def_Flows[Name(EN)],#REF!,,0,)</f>
        <v>#REF!</v>
      </c>
      <c r="J64" s="17">
        <f>_xlfn.XLOOKUP(C64,Tab_Def_Flows[Name(EN)],Tab_Def_Flows[WC?],,0,)</f>
        <v>0</v>
      </c>
      <c r="K64" s="17">
        <f>_xlfn.XLOOKUP(C64,Tab_Def_Flows[Name(EN)],Tab_Def_Flows[DM?],,0,)</f>
        <v>0</v>
      </c>
      <c r="L64" s="17">
        <f>_xlfn.XLOOKUP(C64,Tab_Def_Flows[Name(EN)],Tab_Def_Flows[CC?],,0,)</f>
        <v>0</v>
      </c>
      <c r="M64" s="11"/>
      <c r="N64" s="11"/>
      <c r="O64" s="48"/>
      <c r="P64" s="11"/>
      <c r="Q64" s="11"/>
      <c r="R64" s="11"/>
      <c r="S64" s="11"/>
      <c r="T64" s="11"/>
      <c r="U64" s="11"/>
      <c r="V64" s="11"/>
      <c r="W64" s="11"/>
      <c r="X64" s="11" t="s">
        <v>8</v>
      </c>
      <c r="Y64" s="41"/>
      <c r="Z64" s="11"/>
      <c r="AA64" s="35">
        <f t="shared" si="1"/>
        <v>0</v>
      </c>
      <c r="AB64" s="11" t="s">
        <v>276</v>
      </c>
      <c r="AC64" s="190">
        <f>INDEX(Tab_Def_Flows[[Flow_ID]:[CC_DM_source]],MATCH(Tab_Data_Flows[[#This Row],[Name(EN)]],Tab_Def_Flows[Name(EN)],0),13)</f>
        <v>0</v>
      </c>
      <c r="AD64" s="9" t="str">
        <f>IF(J64="Yes",AA64*Tab_Data_Flows[[#This Row],[WC_'[%']]],"N.A.")</f>
        <v>N.A.</v>
      </c>
      <c r="AE64" s="9" t="str">
        <f>Tab_Data_Flows[[#This Row],[UoM_Flow_Py]]</f>
        <v>Mg</v>
      </c>
      <c r="AF64" s="190">
        <f>INDEX(Tab_Def_Flows[[Flow_ID]:[CC_DM_source]],MATCH(Tab_Data_Flows[[#This Row],[Name(EN)]],Tab_Def_Flows[Name(EN)],0),15)</f>
        <v>0</v>
      </c>
      <c r="AG64" s="9" t="str">
        <f>IF(K64="Yes",AF64*Tab_Data_Flows[[#This Row],[Flow_Py]],"N.A.")</f>
        <v>N.A.</v>
      </c>
      <c r="AH64" s="9" t="str">
        <f>Tab_Data_Flows[[#This Row],[UoM_Flow_Py]]</f>
        <v>Mg</v>
      </c>
      <c r="AI64" s="190">
        <f>INDEX(Tab_Def_Flows[[Flow_ID]:[CC_DM_source]],MATCH(Tab_Data_Flows[[#This Row],[Name(EN)]],Tab_Def_Flows[Name(EN)],0),17)</f>
        <v>0</v>
      </c>
      <c r="AJ64" s="9" t="str">
        <f>IF(L64="Yes",AI64*Tab_Data_Flows[[#This Row],[Flow_Py]]*Tab_Data_Flows[[#This Row],[DM_'[%']]],"N.A.")</f>
        <v>N.A.</v>
      </c>
      <c r="AK64" s="9" t="str">
        <f>Tab_Data_Flows[[#This Row],[UoM_Flow_Py]]</f>
        <v>Mg</v>
      </c>
    </row>
    <row r="65" spans="1:37" x14ac:dyDescent="0.25">
      <c r="A65" s="16">
        <f t="shared" si="0"/>
        <v>64</v>
      </c>
      <c r="B65" s="9" t="str">
        <f>_xlfn.XLOOKUP(C65,Tab_Def_Flows[Name(EN)],Tab_Def_Flows[Flow_ID],,0,)</f>
        <v>N.A.</v>
      </c>
      <c r="C65" s="11" t="s">
        <v>35</v>
      </c>
      <c r="D65" s="9">
        <f>_xlfn.XLOOKUP(C65,Tab_Def_Flows[Name(EN)],Tab_Def_Flows[Type_Biomass],,0,)</f>
        <v>0</v>
      </c>
      <c r="E65" s="9">
        <f>_xlfn.XLOOKUP(C65,Tab_Def_Flows[Name(EN)],Tab_Def_Flows[Output_Process],,0,)</f>
        <v>0</v>
      </c>
      <c r="F65" s="9">
        <f>_xlfn.XLOOKUP(C65,Tab_Def_Flows[Name(EN)],Tab_Def_Flows[Process_ID_O],,0,)</f>
        <v>0</v>
      </c>
      <c r="G65" s="9">
        <f>_xlfn.XLOOKUP(C65,Tab_Def_Flows[Name(EN)],Tab_Def_Flows[Input_Process],,0,)</f>
        <v>0</v>
      </c>
      <c r="H65" s="17">
        <f>_xlfn.XLOOKUP(C65,Tab_Def_Flows[Name(EN)],Tab_Def_Flows[Process_ID_I],,0,)</f>
        <v>0</v>
      </c>
      <c r="I65" s="17" t="e">
        <f>_xlfn.XLOOKUP(C65,Tab_Def_Flows[Name(EN)],#REF!,,0,)</f>
        <v>#REF!</v>
      </c>
      <c r="J65" s="17">
        <f>_xlfn.XLOOKUP(C65,Tab_Def_Flows[Name(EN)],Tab_Def_Flows[WC?],,0,)</f>
        <v>0</v>
      </c>
      <c r="K65" s="17">
        <f>_xlfn.XLOOKUP(C65,Tab_Def_Flows[Name(EN)],Tab_Def_Flows[DM?],,0,)</f>
        <v>0</v>
      </c>
      <c r="L65" s="17">
        <f>_xlfn.XLOOKUP(C65,Tab_Def_Flows[Name(EN)],Tab_Def_Flows[CC?],,0,)</f>
        <v>0</v>
      </c>
      <c r="M65" s="11"/>
      <c r="N65" s="11"/>
      <c r="O65" s="48"/>
      <c r="P65" s="11"/>
      <c r="Q65" s="11"/>
      <c r="R65" s="11"/>
      <c r="S65" s="11"/>
      <c r="T65" s="11"/>
      <c r="U65" s="11"/>
      <c r="V65" s="11"/>
      <c r="W65" s="11"/>
      <c r="X65" s="11" t="s">
        <v>8</v>
      </c>
      <c r="Y65" s="41"/>
      <c r="Z65" s="11"/>
      <c r="AA65" s="35">
        <f t="shared" si="1"/>
        <v>0</v>
      </c>
      <c r="AB65" s="11" t="s">
        <v>276</v>
      </c>
      <c r="AC65" s="190">
        <f>INDEX(Tab_Def_Flows[[Flow_ID]:[CC_DM_source]],MATCH(Tab_Data_Flows[[#This Row],[Name(EN)]],Tab_Def_Flows[Name(EN)],0),13)</f>
        <v>0</v>
      </c>
      <c r="AD65" s="9" t="str">
        <f>IF(J65="Yes",AA65*Tab_Data_Flows[[#This Row],[WC_'[%']]],"N.A.")</f>
        <v>N.A.</v>
      </c>
      <c r="AE65" s="9" t="str">
        <f>Tab_Data_Flows[[#This Row],[UoM_Flow_Py]]</f>
        <v>Mg</v>
      </c>
      <c r="AF65" s="190">
        <f>INDEX(Tab_Def_Flows[[Flow_ID]:[CC_DM_source]],MATCH(Tab_Data_Flows[[#This Row],[Name(EN)]],Tab_Def_Flows[Name(EN)],0),15)</f>
        <v>0</v>
      </c>
      <c r="AG65" s="9" t="str">
        <f>IF(K65="Yes",AF65*Tab_Data_Flows[[#This Row],[Flow_Py]],"N.A.")</f>
        <v>N.A.</v>
      </c>
      <c r="AH65" s="9" t="str">
        <f>Tab_Data_Flows[[#This Row],[UoM_Flow_Py]]</f>
        <v>Mg</v>
      </c>
      <c r="AI65" s="190">
        <f>INDEX(Tab_Def_Flows[[Flow_ID]:[CC_DM_source]],MATCH(Tab_Data_Flows[[#This Row],[Name(EN)]],Tab_Def_Flows[Name(EN)],0),17)</f>
        <v>0</v>
      </c>
      <c r="AJ65" s="9" t="str">
        <f>IF(L65="Yes",AI65*Tab_Data_Flows[[#This Row],[Flow_Py]]*Tab_Data_Flows[[#This Row],[DM_'[%']]],"N.A.")</f>
        <v>N.A.</v>
      </c>
      <c r="AK65" s="9" t="str">
        <f>Tab_Data_Flows[[#This Row],[UoM_Flow_Py]]</f>
        <v>Mg</v>
      </c>
    </row>
    <row r="66" spans="1:37" x14ac:dyDescent="0.25">
      <c r="A66" s="16">
        <f t="shared" si="0"/>
        <v>65</v>
      </c>
      <c r="B66" s="9" t="str">
        <f>_xlfn.XLOOKUP(C66,Tab_Def_Flows[Name(EN)],Tab_Def_Flows[Flow_ID],,0,)</f>
        <v>N.A.</v>
      </c>
      <c r="C66" s="11" t="s">
        <v>35</v>
      </c>
      <c r="D66" s="9">
        <f>_xlfn.XLOOKUP(C66,Tab_Def_Flows[Name(EN)],Tab_Def_Flows[Type_Biomass],,0,)</f>
        <v>0</v>
      </c>
      <c r="E66" s="9">
        <f>_xlfn.XLOOKUP(C66,Tab_Def_Flows[Name(EN)],Tab_Def_Flows[Output_Process],,0,)</f>
        <v>0</v>
      </c>
      <c r="F66" s="9">
        <f>_xlfn.XLOOKUP(C66,Tab_Def_Flows[Name(EN)],Tab_Def_Flows[Process_ID_O],,0,)</f>
        <v>0</v>
      </c>
      <c r="G66" s="9">
        <f>_xlfn.XLOOKUP(C66,Tab_Def_Flows[Name(EN)],Tab_Def_Flows[Input_Process],,0,)</f>
        <v>0</v>
      </c>
      <c r="H66" s="17">
        <f>_xlfn.XLOOKUP(C66,Tab_Def_Flows[Name(EN)],Tab_Def_Flows[Process_ID_I],,0,)</f>
        <v>0</v>
      </c>
      <c r="I66" s="17" t="e">
        <f>_xlfn.XLOOKUP(C66,Tab_Def_Flows[Name(EN)],#REF!,,0,)</f>
        <v>#REF!</v>
      </c>
      <c r="J66" s="17">
        <f>_xlfn.XLOOKUP(C66,Tab_Def_Flows[Name(EN)],Tab_Def_Flows[WC?],,0,)</f>
        <v>0</v>
      </c>
      <c r="K66" s="17">
        <f>_xlfn.XLOOKUP(C66,Tab_Def_Flows[Name(EN)],Tab_Def_Flows[DM?],,0,)</f>
        <v>0</v>
      </c>
      <c r="L66" s="17">
        <f>_xlfn.XLOOKUP(C66,Tab_Def_Flows[Name(EN)],Tab_Def_Flows[CC?],,0,)</f>
        <v>0</v>
      </c>
      <c r="M66" s="11"/>
      <c r="N66" s="11" t="s">
        <v>105</v>
      </c>
      <c r="O66" s="48"/>
      <c r="P66" s="11"/>
      <c r="Q66" s="11"/>
      <c r="R66" s="11"/>
      <c r="S66" s="11"/>
      <c r="T66" s="11"/>
      <c r="U66" s="11"/>
      <c r="V66" s="11"/>
      <c r="W66" s="11"/>
      <c r="X66" s="11" t="s">
        <v>8</v>
      </c>
      <c r="Y66" s="41"/>
      <c r="Z66" s="11"/>
      <c r="AA66" s="35">
        <f t="shared" si="1"/>
        <v>0</v>
      </c>
      <c r="AB66" s="11" t="s">
        <v>276</v>
      </c>
      <c r="AC66" s="190">
        <f>INDEX(Tab_Def_Flows[[Flow_ID]:[CC_DM_source]],MATCH(Tab_Data_Flows[[#This Row],[Name(EN)]],Tab_Def_Flows[Name(EN)],0),13)</f>
        <v>0</v>
      </c>
      <c r="AD66" s="9" t="str">
        <f>IF(J66="Yes",AA66*Tab_Data_Flows[[#This Row],[WC_'[%']]],"N.A.")</f>
        <v>N.A.</v>
      </c>
      <c r="AE66" s="9" t="str">
        <f>Tab_Data_Flows[[#This Row],[UoM_Flow_Py]]</f>
        <v>Mg</v>
      </c>
      <c r="AF66" s="190">
        <f>INDEX(Tab_Def_Flows[[Flow_ID]:[CC_DM_source]],MATCH(Tab_Data_Flows[[#This Row],[Name(EN)]],Tab_Def_Flows[Name(EN)],0),15)</f>
        <v>0</v>
      </c>
      <c r="AG66" s="9" t="str">
        <f>IF(K66="Yes",AF66*Tab_Data_Flows[[#This Row],[Flow_Py]],"N.A.")</f>
        <v>N.A.</v>
      </c>
      <c r="AH66" s="9" t="str">
        <f>Tab_Data_Flows[[#This Row],[UoM_Flow_Py]]</f>
        <v>Mg</v>
      </c>
      <c r="AI66" s="190">
        <f>INDEX(Tab_Def_Flows[[Flow_ID]:[CC_DM_source]],MATCH(Tab_Data_Flows[[#This Row],[Name(EN)]],Tab_Def_Flows[Name(EN)],0),17)</f>
        <v>0</v>
      </c>
      <c r="AJ66" s="9" t="str">
        <f>IF(L66="Yes",AI66*Tab_Data_Flows[[#This Row],[Flow_Py]]*Tab_Data_Flows[[#This Row],[DM_'[%']]],"N.A.")</f>
        <v>N.A.</v>
      </c>
      <c r="AK66" s="9" t="str">
        <f>Tab_Data_Flows[[#This Row],[UoM_Flow_Py]]</f>
        <v>Mg</v>
      </c>
    </row>
    <row r="67" spans="1:37" x14ac:dyDescent="0.25">
      <c r="A67" s="16">
        <f t="shared" ref="A67:A130" si="2">ROW()-1</f>
        <v>66</v>
      </c>
      <c r="B67" s="9" t="str">
        <f>_xlfn.XLOOKUP(C67,Tab_Def_Flows[Name(EN)],Tab_Def_Flows[Flow_ID],,0,)</f>
        <v>N.A.</v>
      </c>
      <c r="C67" s="11" t="s">
        <v>35</v>
      </c>
      <c r="D67" s="9"/>
      <c r="E67" s="9">
        <f>_xlfn.XLOOKUP(C67,Tab_Def_Flows[Name(EN)],Tab_Def_Flows[Output_Process],,0,)</f>
        <v>0</v>
      </c>
      <c r="F67" s="9">
        <f>_xlfn.XLOOKUP(C67,Tab_Def_Flows[Name(EN)],Tab_Def_Flows[Process_ID_O],,0,)</f>
        <v>0</v>
      </c>
      <c r="G67" s="9">
        <f>_xlfn.XLOOKUP(C67,Tab_Def_Flows[Name(EN)],Tab_Def_Flows[Input_Process],,0,)</f>
        <v>0</v>
      </c>
      <c r="H67" s="17">
        <f>_xlfn.XLOOKUP(C67,Tab_Def_Flows[Name(EN)],Tab_Def_Flows[Process_ID_I],,0,)</f>
        <v>0</v>
      </c>
      <c r="I67" s="9" t="e">
        <f>_xlfn.XLOOKUP(C67,Tab_Def_Flows[Name(EN)],#REF!,,0,)</f>
        <v>#REF!</v>
      </c>
      <c r="J67" s="9">
        <f>_xlfn.XLOOKUP(C67,Tab_Def_Flows[Name(EN)],Tab_Def_Flows[WC?],,0,)</f>
        <v>0</v>
      </c>
      <c r="K67" s="9">
        <f>_xlfn.XLOOKUP(C67,Tab_Def_Flows[Name(EN)],Tab_Def_Flows[DM?],,0,)</f>
        <v>0</v>
      </c>
      <c r="L67" s="9">
        <f>_xlfn.XLOOKUP(C67,Tab_Def_Flows[Name(EN)],Tab_Def_Flows[CC?],,0,)</f>
        <v>0</v>
      </c>
      <c r="M67" s="11"/>
      <c r="N67" s="11"/>
      <c r="O67" s="48"/>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0</v>
      </c>
      <c r="AB67" s="11" t="s">
        <v>276</v>
      </c>
      <c r="AC67" s="190">
        <f>INDEX(Tab_Def_Flows[[Flow_ID]:[CC_DM_source]],MATCH(Tab_Data_Flows[[#This Row],[Name(EN)]],Tab_Def_Flows[Name(EN)],0),13)</f>
        <v>0</v>
      </c>
      <c r="AD67" s="9" t="str">
        <f>IF(J67="Yes",AA67*Tab_Data_Flows[[#This Row],[WC_'[%']]],"N.A.")</f>
        <v>N.A.</v>
      </c>
      <c r="AE67" s="9" t="str">
        <f>Tab_Data_Flows[[#This Row],[UoM_Flow_Py]]</f>
        <v>Mg</v>
      </c>
      <c r="AF67" s="190">
        <f>INDEX(Tab_Def_Flows[[Flow_ID]:[CC_DM_source]],MATCH(Tab_Data_Flows[[#This Row],[Name(EN)]],Tab_Def_Flows[Name(EN)],0),15)</f>
        <v>0</v>
      </c>
      <c r="AG67" s="9" t="str">
        <f>IF(K67="Yes",AF67*Tab_Data_Flows[[#This Row],[Flow_Py]],"N.A.")</f>
        <v>N.A.</v>
      </c>
      <c r="AH67" s="9" t="str">
        <f>Tab_Data_Flows[[#This Row],[UoM_Flow_Py]]</f>
        <v>Mg</v>
      </c>
      <c r="AI67" s="190">
        <f>INDEX(Tab_Def_Flows[[Flow_ID]:[CC_DM_source]],MATCH(Tab_Data_Flows[[#This Row],[Name(EN)]],Tab_Def_Flows[Name(EN)],0),17)</f>
        <v>0</v>
      </c>
      <c r="AJ67" s="9" t="str">
        <f>IF(L67="Yes",AI67*Tab_Data_Flows[[#This Row],[Flow_Py]]*Tab_Data_Flows[[#This Row],[DM_'[%']]],"N.A.")</f>
        <v>N.A.</v>
      </c>
      <c r="AK67" s="9" t="str">
        <f>Tab_Data_Flows[[#This Row],[UoM_Flow_Py]]</f>
        <v>Mg</v>
      </c>
    </row>
    <row r="68" spans="1:37" x14ac:dyDescent="0.25">
      <c r="A68" s="16">
        <f t="shared" si="2"/>
        <v>67</v>
      </c>
      <c r="B68" s="9" t="str">
        <f>_xlfn.XLOOKUP(C68,Tab_Def_Flows[Name(EN)],Tab_Def_Flows[Flow_ID],,0,)</f>
        <v>N.A.</v>
      </c>
      <c r="C68" s="11" t="s">
        <v>35</v>
      </c>
      <c r="D68" s="9"/>
      <c r="E68" s="9">
        <f>_xlfn.XLOOKUP(C68,Tab_Def_Flows[Name(EN)],Tab_Def_Flows[Output_Process],,0,)</f>
        <v>0</v>
      </c>
      <c r="F68" s="9">
        <f>_xlfn.XLOOKUP(C68,Tab_Def_Flows[Name(EN)],Tab_Def_Flows[Process_ID_O],,0,)</f>
        <v>0</v>
      </c>
      <c r="G68" s="9">
        <f>_xlfn.XLOOKUP(C68,Tab_Def_Flows[Name(EN)],Tab_Def_Flows[Input_Process],,0,)</f>
        <v>0</v>
      </c>
      <c r="H68" s="17">
        <f>_xlfn.XLOOKUP(C68,Tab_Def_Flows[Name(EN)],Tab_Def_Flows[Process_ID_I],,0,)</f>
        <v>0</v>
      </c>
      <c r="I68" s="9" t="e">
        <f>_xlfn.XLOOKUP(C68,Tab_Def_Flows[Name(EN)],#REF!,,0,)</f>
        <v>#REF!</v>
      </c>
      <c r="J68" s="9">
        <f>_xlfn.XLOOKUP(C68,Tab_Def_Flows[Name(EN)],Tab_Def_Flows[WC?],,0,)</f>
        <v>0</v>
      </c>
      <c r="K68" s="9">
        <f>_xlfn.XLOOKUP(C68,Tab_Def_Flows[Name(EN)],Tab_Def_Flows[DM?],,0,)</f>
        <v>0</v>
      </c>
      <c r="L68" s="9">
        <f>_xlfn.XLOOKUP(C68,Tab_Def_Flows[Name(EN)],Tab_Def_Flows[CC?],,0,)</f>
        <v>0</v>
      </c>
      <c r="M68" s="11"/>
      <c r="N68" s="11"/>
      <c r="O68" s="48"/>
      <c r="P68" s="11"/>
      <c r="Q68" s="11"/>
      <c r="R68" s="11" t="e">
        <f>INDEX(#REF!,MATCH(Tab_Data_Flows[[#This Row],[Name(EN)]],#REF!,0),12)</f>
        <v>#REF!</v>
      </c>
      <c r="S68" s="11" t="e">
        <f>MATCH(Tab_Data_Flows[[#This Row],[Name(EN)]],#REF!,0)</f>
        <v>#REF!</v>
      </c>
      <c r="T68" s="11"/>
      <c r="U68" s="11"/>
      <c r="V68" s="11"/>
      <c r="W68" s="11"/>
      <c r="X68" s="11" t="s">
        <v>8</v>
      </c>
      <c r="Y68" s="11"/>
      <c r="Z68" s="11"/>
      <c r="AA68" s="35">
        <f t="shared" si="3"/>
        <v>0</v>
      </c>
      <c r="AB68" s="11" t="s">
        <v>276</v>
      </c>
      <c r="AC68" s="190">
        <f>INDEX(Tab_Def_Flows[[Flow_ID]:[CC_DM_source]],MATCH(Tab_Data_Flows[[#This Row],[Name(EN)]],Tab_Def_Flows[Name(EN)],0),13)</f>
        <v>0</v>
      </c>
      <c r="AD68" s="9" t="str">
        <f>IF(J68="Yes",AA68*Tab_Data_Flows[[#This Row],[WC_'[%']]],"N.A.")</f>
        <v>N.A.</v>
      </c>
      <c r="AE68" s="9" t="str">
        <f>Tab_Data_Flows[[#This Row],[UoM_Flow_Py]]</f>
        <v>Mg</v>
      </c>
      <c r="AF68" s="190">
        <f>INDEX(Tab_Def_Flows[[Flow_ID]:[CC_DM_source]],MATCH(Tab_Data_Flows[[#This Row],[Name(EN)]],Tab_Def_Flows[Name(EN)],0),15)</f>
        <v>0</v>
      </c>
      <c r="AG68" s="9" t="str">
        <f>IF(K68="Yes",AF68*Tab_Data_Flows[[#This Row],[Flow_Py]],"N.A.")</f>
        <v>N.A.</v>
      </c>
      <c r="AH68" s="9" t="str">
        <f>Tab_Data_Flows[[#This Row],[UoM_Flow_Py]]</f>
        <v>Mg</v>
      </c>
      <c r="AI68" s="190">
        <f>INDEX(Tab_Def_Flows[[Flow_ID]:[CC_DM_source]],MATCH(Tab_Data_Flows[[#This Row],[Name(EN)]],Tab_Def_Flows[Name(EN)],0),17)</f>
        <v>0</v>
      </c>
      <c r="AJ68" s="9" t="str">
        <f>IF(L68="Yes",AI68*Tab_Data_Flows[[#This Row],[Flow_Py]]*Tab_Data_Flows[[#This Row],[DM_'[%']]],"N.A.")</f>
        <v>N.A.</v>
      </c>
      <c r="AK68" s="9" t="str">
        <f>Tab_Data_Flows[[#This Row],[UoM_Flow_Py]]</f>
        <v>Mg</v>
      </c>
    </row>
    <row r="69" spans="1:37" x14ac:dyDescent="0.25">
      <c r="A69" s="16">
        <f t="shared" si="2"/>
        <v>68</v>
      </c>
      <c r="B69" s="9" t="str">
        <f>_xlfn.XLOOKUP(C69,Tab_Def_Flows[Name(EN)],Tab_Def_Flows[Flow_ID],,0,)</f>
        <v>N.A.</v>
      </c>
      <c r="C69" s="11" t="s">
        <v>35</v>
      </c>
      <c r="D69" s="9"/>
      <c r="E69" s="9">
        <f>_xlfn.XLOOKUP(C69,Tab_Def_Flows[Name(EN)],Tab_Def_Flows[Output_Process],,0,)</f>
        <v>0</v>
      </c>
      <c r="F69" s="9">
        <f>_xlfn.XLOOKUP(C69,Tab_Def_Flows[Name(EN)],Tab_Def_Flows[Process_ID_O],,0,)</f>
        <v>0</v>
      </c>
      <c r="G69" s="9">
        <f>_xlfn.XLOOKUP(C69,Tab_Def_Flows[Name(EN)],Tab_Def_Flows[Input_Process],,0,)</f>
        <v>0</v>
      </c>
      <c r="H69" s="17">
        <f>_xlfn.XLOOKUP(C69,Tab_Def_Flows[Name(EN)],Tab_Def_Flows[Process_ID_I],,0,)</f>
        <v>0</v>
      </c>
      <c r="I69" s="9" t="e">
        <f>_xlfn.XLOOKUP(C69,Tab_Def_Flows[Name(EN)],#REF!,,0,)</f>
        <v>#REF!</v>
      </c>
      <c r="J69" s="9">
        <f>_xlfn.XLOOKUP(C69,Tab_Def_Flows[Name(EN)],Tab_Def_Flows[WC?],,0,)</f>
        <v>0</v>
      </c>
      <c r="K69" s="9">
        <f>_xlfn.XLOOKUP(C69,Tab_Def_Flows[Name(EN)],Tab_Def_Flows[DM?],,0,)</f>
        <v>0</v>
      </c>
      <c r="L69" s="9">
        <f>_xlfn.XLOOKUP(C69,Tab_Def_Flows[Name(EN)],Tab_Def_Flows[CC?],,0,)</f>
        <v>0</v>
      </c>
      <c r="M69" s="11"/>
      <c r="N69" s="11"/>
      <c r="O69" s="48"/>
      <c r="P69" s="11"/>
      <c r="Q69" s="11"/>
      <c r="R69" s="11" t="e">
        <f>INDEX(#REF!,MATCH(Tab_Data_Flows[[#This Row],[Name(EN)]],#REF!,0),12)</f>
        <v>#REF!</v>
      </c>
      <c r="S69" s="11" t="e">
        <f>MATCH(Tab_Data_Flows[[#This Row],[Name(EN)]],#REF!,0)</f>
        <v>#REF!</v>
      </c>
      <c r="T69" s="11"/>
      <c r="U69" s="11"/>
      <c r="V69" s="11"/>
      <c r="W69" s="11"/>
      <c r="X69" s="11" t="s">
        <v>8</v>
      </c>
      <c r="Y69" s="11"/>
      <c r="Z69" s="11"/>
      <c r="AA69" s="35">
        <f t="shared" si="3"/>
        <v>0</v>
      </c>
      <c r="AB69" s="11" t="s">
        <v>276</v>
      </c>
      <c r="AC69" s="190">
        <f>INDEX(Tab_Def_Flows[[Flow_ID]:[CC_DM_source]],MATCH(Tab_Data_Flows[[#This Row],[Name(EN)]],Tab_Def_Flows[Name(EN)],0),13)</f>
        <v>0</v>
      </c>
      <c r="AD69" s="9" t="str">
        <f>IF(J69="Yes",AA69*Tab_Data_Flows[[#This Row],[WC_'[%']]],"N.A.")</f>
        <v>N.A.</v>
      </c>
      <c r="AE69" s="9" t="str">
        <f>Tab_Data_Flows[[#This Row],[UoM_Flow_Py]]</f>
        <v>Mg</v>
      </c>
      <c r="AF69" s="190">
        <f>INDEX(Tab_Def_Flows[[Flow_ID]:[CC_DM_source]],MATCH(Tab_Data_Flows[[#This Row],[Name(EN)]],Tab_Def_Flows[Name(EN)],0),15)</f>
        <v>0</v>
      </c>
      <c r="AG69" s="9" t="str">
        <f>IF(K69="Yes",AF69*Tab_Data_Flows[[#This Row],[Flow_Py]],"N.A.")</f>
        <v>N.A.</v>
      </c>
      <c r="AH69" s="9" t="str">
        <f>Tab_Data_Flows[[#This Row],[UoM_Flow_Py]]</f>
        <v>Mg</v>
      </c>
      <c r="AI69" s="190">
        <f>INDEX(Tab_Def_Flows[[Flow_ID]:[CC_DM_source]],MATCH(Tab_Data_Flows[[#This Row],[Name(EN)]],Tab_Def_Flows[Name(EN)],0),17)</f>
        <v>0</v>
      </c>
      <c r="AJ69" s="9" t="str">
        <f>IF(L69="Yes",AI69*Tab_Data_Flows[[#This Row],[Flow_Py]]*Tab_Data_Flows[[#This Row],[DM_'[%']]],"N.A.")</f>
        <v>N.A.</v>
      </c>
      <c r="AK69" s="9" t="str">
        <f>Tab_Data_Flows[[#This Row],[UoM_Flow_Py]]</f>
        <v>Mg</v>
      </c>
    </row>
    <row r="70" spans="1:37" x14ac:dyDescent="0.25">
      <c r="A70" s="16">
        <f t="shared" si="2"/>
        <v>69</v>
      </c>
      <c r="B70" s="9" t="str">
        <f>_xlfn.XLOOKUP(C70,Tab_Def_Flows[Name(EN)],Tab_Def_Flows[Flow_ID],,0,)</f>
        <v>N.A.</v>
      </c>
      <c r="C70" s="11" t="s">
        <v>35</v>
      </c>
      <c r="D70" s="9"/>
      <c r="E70" s="9">
        <f>_xlfn.XLOOKUP(C70,Tab_Def_Flows[Name(EN)],Tab_Def_Flows[Output_Process],,0,)</f>
        <v>0</v>
      </c>
      <c r="F70" s="9">
        <f>_xlfn.XLOOKUP(C70,Tab_Def_Flows[Name(EN)],Tab_Def_Flows[Process_ID_O],,0,)</f>
        <v>0</v>
      </c>
      <c r="G70" s="9">
        <f>_xlfn.XLOOKUP(C70,Tab_Def_Flows[Name(EN)],Tab_Def_Flows[Input_Process],,0,)</f>
        <v>0</v>
      </c>
      <c r="H70" s="17">
        <f>_xlfn.XLOOKUP(C70,Tab_Def_Flows[Name(EN)],Tab_Def_Flows[Process_ID_I],,0,)</f>
        <v>0</v>
      </c>
      <c r="I70" s="9" t="e">
        <f>_xlfn.XLOOKUP(C70,Tab_Def_Flows[Name(EN)],#REF!,,0,)</f>
        <v>#REF!</v>
      </c>
      <c r="J70" s="9">
        <f>_xlfn.XLOOKUP(C70,Tab_Def_Flows[Name(EN)],Tab_Def_Flows[WC?],,0,)</f>
        <v>0</v>
      </c>
      <c r="K70" s="9">
        <f>_xlfn.XLOOKUP(C70,Tab_Def_Flows[Name(EN)],Tab_Def_Flows[DM?],,0,)</f>
        <v>0</v>
      </c>
      <c r="L70" s="9">
        <f>_xlfn.XLOOKUP(C70,Tab_Def_Flows[Name(EN)],Tab_Def_Flows[CC?],,0,)</f>
        <v>0</v>
      </c>
      <c r="M70" s="11"/>
      <c r="N70" s="11"/>
      <c r="O70" s="48"/>
      <c r="P70" s="11"/>
      <c r="Q70" s="11"/>
      <c r="R70" s="11" t="e">
        <f>INDEX(#REF!,MATCH(Tab_Data_Flows[[#This Row],[Name(EN)]],#REF!,0),12)</f>
        <v>#REF!</v>
      </c>
      <c r="S70" s="11" t="e">
        <f>MATCH(Tab_Data_Flows[[#This Row],[Name(EN)]],#REF!,0)</f>
        <v>#REF!</v>
      </c>
      <c r="T70" s="11"/>
      <c r="U70" s="11"/>
      <c r="V70" s="11"/>
      <c r="W70" s="11"/>
      <c r="X70" s="11" t="s">
        <v>8</v>
      </c>
      <c r="Y70" s="11"/>
      <c r="Z70" s="11"/>
      <c r="AA70" s="35">
        <f t="shared" si="3"/>
        <v>0</v>
      </c>
      <c r="AB70" s="11" t="s">
        <v>276</v>
      </c>
      <c r="AC70" s="190">
        <f>INDEX(Tab_Def_Flows[[Flow_ID]:[CC_DM_source]],MATCH(Tab_Data_Flows[[#This Row],[Name(EN)]],Tab_Def_Flows[Name(EN)],0),13)</f>
        <v>0</v>
      </c>
      <c r="AD70" s="9" t="str">
        <f>IF(J70="Yes",AA70*Tab_Data_Flows[[#This Row],[WC_'[%']]],"N.A.")</f>
        <v>N.A.</v>
      </c>
      <c r="AE70" s="9" t="str">
        <f>Tab_Data_Flows[[#This Row],[UoM_Flow_Py]]</f>
        <v>Mg</v>
      </c>
      <c r="AF70" s="190">
        <f>INDEX(Tab_Def_Flows[[Flow_ID]:[CC_DM_source]],MATCH(Tab_Data_Flows[[#This Row],[Name(EN)]],Tab_Def_Flows[Name(EN)],0),15)</f>
        <v>0</v>
      </c>
      <c r="AG70" s="9" t="str">
        <f>IF(K70="Yes",AF70*Tab_Data_Flows[[#This Row],[Flow_Py]],"N.A.")</f>
        <v>N.A.</v>
      </c>
      <c r="AH70" s="9" t="str">
        <f>Tab_Data_Flows[[#This Row],[UoM_Flow_Py]]</f>
        <v>Mg</v>
      </c>
      <c r="AI70" s="190">
        <f>INDEX(Tab_Def_Flows[[Flow_ID]:[CC_DM_source]],MATCH(Tab_Data_Flows[[#This Row],[Name(EN)]],Tab_Def_Flows[Name(EN)],0),17)</f>
        <v>0</v>
      </c>
      <c r="AJ70" s="9" t="str">
        <f>IF(L70="Yes",AI70*Tab_Data_Flows[[#This Row],[Flow_Py]]*Tab_Data_Flows[[#This Row],[DM_'[%']]],"N.A.")</f>
        <v>N.A.</v>
      </c>
      <c r="AK70" s="9" t="str">
        <f>Tab_Data_Flows[[#This Row],[UoM_Flow_Py]]</f>
        <v>Mg</v>
      </c>
    </row>
    <row r="71" spans="1:37" x14ac:dyDescent="0.25">
      <c r="A71" s="16">
        <f t="shared" si="2"/>
        <v>70</v>
      </c>
      <c r="B71" s="9" t="str">
        <f>_xlfn.XLOOKUP(C71,Tab_Def_Flows[Name(EN)],Tab_Def_Flows[Flow_ID],,0,)</f>
        <v>N.A.</v>
      </c>
      <c r="C71" s="11" t="s">
        <v>35</v>
      </c>
      <c r="D71" s="9"/>
      <c r="E71" s="9">
        <f>_xlfn.XLOOKUP(C71,Tab_Def_Flows[Name(EN)],Tab_Def_Flows[Output_Process],,0,)</f>
        <v>0</v>
      </c>
      <c r="F71" s="9">
        <f>_xlfn.XLOOKUP(C71,Tab_Def_Flows[Name(EN)],Tab_Def_Flows[Process_ID_O],,0,)</f>
        <v>0</v>
      </c>
      <c r="G71" s="9">
        <f>_xlfn.XLOOKUP(C71,Tab_Def_Flows[Name(EN)],Tab_Def_Flows[Input_Process],,0,)</f>
        <v>0</v>
      </c>
      <c r="H71" s="17">
        <f>_xlfn.XLOOKUP(C71,Tab_Def_Flows[Name(EN)],Tab_Def_Flows[Process_ID_I],,0,)</f>
        <v>0</v>
      </c>
      <c r="I71" s="9" t="e">
        <f>_xlfn.XLOOKUP(C71,Tab_Def_Flows[Name(EN)],#REF!,,0,)</f>
        <v>#REF!</v>
      </c>
      <c r="J71" s="9">
        <f>_xlfn.XLOOKUP(C71,Tab_Def_Flows[Name(EN)],Tab_Def_Flows[WC?],,0,)</f>
        <v>0</v>
      </c>
      <c r="K71" s="9">
        <f>_xlfn.XLOOKUP(C71,Tab_Def_Flows[Name(EN)],Tab_Def_Flows[DM?],,0,)</f>
        <v>0</v>
      </c>
      <c r="L71" s="9">
        <f>_xlfn.XLOOKUP(C71,Tab_Def_Flows[Name(EN)],Tab_Def_Flows[CC?],,0,)</f>
        <v>0</v>
      </c>
      <c r="M71" s="11"/>
      <c r="N71" s="11"/>
      <c r="O71" s="48"/>
      <c r="P71" s="11"/>
      <c r="Q71" s="11"/>
      <c r="R71" s="11" t="e">
        <f>INDEX(#REF!,MATCH(Tab_Data_Flows[[#This Row],[Name(EN)]],#REF!,0),12)</f>
        <v>#REF!</v>
      </c>
      <c r="S71" s="11" t="e">
        <f>MATCH(Tab_Data_Flows[[#This Row],[Name(EN)]],#REF!,0)</f>
        <v>#REF!</v>
      </c>
      <c r="T71" s="11"/>
      <c r="U71" s="11"/>
      <c r="V71" s="11"/>
      <c r="W71" s="11"/>
      <c r="X71" s="11" t="s">
        <v>8</v>
      </c>
      <c r="Y71" s="11"/>
      <c r="Z71" s="11"/>
      <c r="AA71" s="35">
        <f t="shared" si="3"/>
        <v>0</v>
      </c>
      <c r="AB71" s="11" t="s">
        <v>276</v>
      </c>
      <c r="AC71" s="190">
        <f>INDEX(Tab_Def_Flows[[Flow_ID]:[CC_DM_source]],MATCH(Tab_Data_Flows[[#This Row],[Name(EN)]],Tab_Def_Flows[Name(EN)],0),13)</f>
        <v>0</v>
      </c>
      <c r="AD71" s="9" t="str">
        <f>IF(J71="Yes",AA71*Tab_Data_Flows[[#This Row],[WC_'[%']]],"N.A.")</f>
        <v>N.A.</v>
      </c>
      <c r="AE71" s="9" t="str">
        <f>Tab_Data_Flows[[#This Row],[UoM_Flow_Py]]</f>
        <v>Mg</v>
      </c>
      <c r="AF71" s="190">
        <f>INDEX(Tab_Def_Flows[[Flow_ID]:[CC_DM_source]],MATCH(Tab_Data_Flows[[#This Row],[Name(EN)]],Tab_Def_Flows[Name(EN)],0),15)</f>
        <v>0</v>
      </c>
      <c r="AG71" s="9" t="str">
        <f>IF(K71="Yes",AF71*Tab_Data_Flows[[#This Row],[Flow_Py]],"N.A.")</f>
        <v>N.A.</v>
      </c>
      <c r="AH71" s="9" t="str">
        <f>Tab_Data_Flows[[#This Row],[UoM_Flow_Py]]</f>
        <v>Mg</v>
      </c>
      <c r="AI71" s="190">
        <f>INDEX(Tab_Def_Flows[[Flow_ID]:[CC_DM_source]],MATCH(Tab_Data_Flows[[#This Row],[Name(EN)]],Tab_Def_Flows[Name(EN)],0),17)</f>
        <v>0</v>
      </c>
      <c r="AJ71" s="9" t="str">
        <f>IF(L71="Yes",AI71*Tab_Data_Flows[[#This Row],[Flow_Py]]*Tab_Data_Flows[[#This Row],[DM_'[%']]],"N.A.")</f>
        <v>N.A.</v>
      </c>
      <c r="AK71" s="9" t="str">
        <f>Tab_Data_Flows[[#This Row],[UoM_Flow_Py]]</f>
        <v>Mg</v>
      </c>
    </row>
    <row r="72" spans="1:37" x14ac:dyDescent="0.25">
      <c r="A72" s="16">
        <f t="shared" si="2"/>
        <v>71</v>
      </c>
      <c r="B72" s="9" t="str">
        <f>_xlfn.XLOOKUP(C72,Tab_Def_Flows[Name(EN)],Tab_Def_Flows[Flow_ID],,0,)</f>
        <v>N.A.</v>
      </c>
      <c r="C72" s="11" t="s">
        <v>35</v>
      </c>
      <c r="D72" s="9"/>
      <c r="E72" s="9">
        <f>_xlfn.XLOOKUP(C72,Tab_Def_Flows[Name(EN)],Tab_Def_Flows[Output_Process],,0,)</f>
        <v>0</v>
      </c>
      <c r="F72" s="9">
        <f>_xlfn.XLOOKUP(C72,Tab_Def_Flows[Name(EN)],Tab_Def_Flows[Process_ID_O],,0,)</f>
        <v>0</v>
      </c>
      <c r="G72" s="9">
        <f>_xlfn.XLOOKUP(C72,Tab_Def_Flows[Name(EN)],Tab_Def_Flows[Input_Process],,0,)</f>
        <v>0</v>
      </c>
      <c r="H72" s="17">
        <f>_xlfn.XLOOKUP(C72,Tab_Def_Flows[Name(EN)],Tab_Def_Flows[Process_ID_I],,0,)</f>
        <v>0</v>
      </c>
      <c r="I72" s="9" t="e">
        <f>_xlfn.XLOOKUP(C72,Tab_Def_Flows[Name(EN)],#REF!,,0,)</f>
        <v>#REF!</v>
      </c>
      <c r="J72" s="9">
        <f>_xlfn.XLOOKUP(C72,Tab_Def_Flows[Name(EN)],Tab_Def_Flows[WC?],,0,)</f>
        <v>0</v>
      </c>
      <c r="K72" s="9">
        <f>_xlfn.XLOOKUP(C72,Tab_Def_Flows[Name(EN)],Tab_Def_Flows[DM?],,0,)</f>
        <v>0</v>
      </c>
      <c r="L72" s="9">
        <f>_xlfn.XLOOKUP(C72,Tab_Def_Flows[Name(EN)],Tab_Def_Flows[CC?],,0,)</f>
        <v>0</v>
      </c>
      <c r="M72" s="11"/>
      <c r="N72" s="11"/>
      <c r="O72" s="48"/>
      <c r="P72" s="11"/>
      <c r="Q72" s="11"/>
      <c r="R72" s="11" t="e">
        <f>INDEX(#REF!,MATCH(Tab_Data_Flows[[#This Row],[Name(EN)]],#REF!,0),12)</f>
        <v>#REF!</v>
      </c>
      <c r="S72" s="11" t="e">
        <f>MATCH(Tab_Data_Flows[[#This Row],[Name(EN)]],#REF!,0)</f>
        <v>#REF!</v>
      </c>
      <c r="T72" s="11"/>
      <c r="U72" s="11"/>
      <c r="V72" s="11"/>
      <c r="W72" s="11"/>
      <c r="X72" s="11" t="s">
        <v>8</v>
      </c>
      <c r="Y72" s="11"/>
      <c r="Z72" s="11"/>
      <c r="AA72" s="35">
        <f t="shared" si="3"/>
        <v>0</v>
      </c>
      <c r="AB72" s="11" t="s">
        <v>276</v>
      </c>
      <c r="AC72" s="190">
        <f>INDEX(Tab_Def_Flows[[Flow_ID]:[CC_DM_source]],MATCH(Tab_Data_Flows[[#This Row],[Name(EN)]],Tab_Def_Flows[Name(EN)],0),13)</f>
        <v>0</v>
      </c>
      <c r="AD72" s="9" t="str">
        <f>IF(J72="Yes",AA72*Tab_Data_Flows[[#This Row],[WC_'[%']]],"N.A.")</f>
        <v>N.A.</v>
      </c>
      <c r="AE72" s="9" t="str">
        <f>Tab_Data_Flows[[#This Row],[UoM_Flow_Py]]</f>
        <v>Mg</v>
      </c>
      <c r="AF72" s="190">
        <f>INDEX(Tab_Def_Flows[[Flow_ID]:[CC_DM_source]],MATCH(Tab_Data_Flows[[#This Row],[Name(EN)]],Tab_Def_Flows[Name(EN)],0),15)</f>
        <v>0</v>
      </c>
      <c r="AG72" s="9" t="str">
        <f>IF(K72="Yes",AF72*Tab_Data_Flows[[#This Row],[Flow_Py]],"N.A.")</f>
        <v>N.A.</v>
      </c>
      <c r="AH72" s="9" t="str">
        <f>Tab_Data_Flows[[#This Row],[UoM_Flow_Py]]</f>
        <v>Mg</v>
      </c>
      <c r="AI72" s="190">
        <f>INDEX(Tab_Def_Flows[[Flow_ID]:[CC_DM_source]],MATCH(Tab_Data_Flows[[#This Row],[Name(EN)]],Tab_Def_Flows[Name(EN)],0),17)</f>
        <v>0</v>
      </c>
      <c r="AJ72" s="9" t="str">
        <f>IF(L72="Yes",AI72*Tab_Data_Flows[[#This Row],[Flow_Py]]*Tab_Data_Flows[[#This Row],[DM_'[%']]],"N.A.")</f>
        <v>N.A.</v>
      </c>
      <c r="AK72" s="9" t="str">
        <f>Tab_Data_Flows[[#This Row],[UoM_Flow_Py]]</f>
        <v>Mg</v>
      </c>
    </row>
    <row r="73" spans="1:37" x14ac:dyDescent="0.25">
      <c r="A73" s="16">
        <f t="shared" si="2"/>
        <v>72</v>
      </c>
      <c r="B73" s="9" t="str">
        <f>_xlfn.XLOOKUP(C73,Tab_Def_Flows[Name(EN)],Tab_Def_Flows[Flow_ID],,0,)</f>
        <v>N.A.</v>
      </c>
      <c r="C73" s="11" t="s">
        <v>35</v>
      </c>
      <c r="D73" s="9"/>
      <c r="E73" s="9">
        <f>_xlfn.XLOOKUP(C73,Tab_Def_Flows[Name(EN)],Tab_Def_Flows[Output_Process],,0,)</f>
        <v>0</v>
      </c>
      <c r="F73" s="9">
        <f>_xlfn.XLOOKUP(C73,Tab_Def_Flows[Name(EN)],Tab_Def_Flows[Process_ID_O],,0,)</f>
        <v>0</v>
      </c>
      <c r="G73" s="9">
        <f>_xlfn.XLOOKUP(C73,Tab_Def_Flows[Name(EN)],Tab_Def_Flows[Input_Process],,0,)</f>
        <v>0</v>
      </c>
      <c r="H73" s="17">
        <f>_xlfn.XLOOKUP(C73,Tab_Def_Flows[Name(EN)],Tab_Def_Flows[Process_ID_I],,0,)</f>
        <v>0</v>
      </c>
      <c r="I73" s="9" t="e">
        <f>_xlfn.XLOOKUP(C73,Tab_Def_Flows[Name(EN)],#REF!,,0,)</f>
        <v>#REF!</v>
      </c>
      <c r="J73" s="9">
        <f>_xlfn.XLOOKUP(C73,Tab_Def_Flows[Name(EN)],Tab_Def_Flows[WC?],,0,)</f>
        <v>0</v>
      </c>
      <c r="K73" s="9">
        <f>_xlfn.XLOOKUP(C73,Tab_Def_Flows[Name(EN)],Tab_Def_Flows[DM?],,0,)</f>
        <v>0</v>
      </c>
      <c r="L73" s="9">
        <f>_xlfn.XLOOKUP(C73,Tab_Def_Flows[Name(EN)],Tab_Def_Flows[CC?],,0,)</f>
        <v>0</v>
      </c>
      <c r="M73" s="11"/>
      <c r="N73" s="11"/>
      <c r="O73" s="48"/>
      <c r="P73" s="11"/>
      <c r="Q73" s="11"/>
      <c r="R73" s="11" t="e">
        <f>INDEX(#REF!,MATCH(Tab_Data_Flows[[#This Row],[Name(EN)]],#REF!,0),12)</f>
        <v>#REF!</v>
      </c>
      <c r="S73" s="11" t="e">
        <f>MATCH(Tab_Data_Flows[[#This Row],[Name(EN)]],#REF!,0)</f>
        <v>#REF!</v>
      </c>
      <c r="T73" s="11"/>
      <c r="U73" s="11"/>
      <c r="V73" s="11"/>
      <c r="W73" s="11"/>
      <c r="X73" s="11" t="s">
        <v>8</v>
      </c>
      <c r="Y73" s="11"/>
      <c r="Z73" s="11"/>
      <c r="AA73" s="35">
        <f t="shared" si="3"/>
        <v>0</v>
      </c>
      <c r="AB73" s="11" t="s">
        <v>276</v>
      </c>
      <c r="AC73" s="190">
        <f>INDEX(Tab_Def_Flows[[Flow_ID]:[CC_DM_source]],MATCH(Tab_Data_Flows[[#This Row],[Name(EN)]],Tab_Def_Flows[Name(EN)],0),13)</f>
        <v>0</v>
      </c>
      <c r="AD73" s="9" t="str">
        <f>IF(J73="Yes",AA73*Tab_Data_Flows[[#This Row],[WC_'[%']]],"N.A.")</f>
        <v>N.A.</v>
      </c>
      <c r="AE73" s="9" t="str">
        <f>Tab_Data_Flows[[#This Row],[UoM_Flow_Py]]</f>
        <v>Mg</v>
      </c>
      <c r="AF73" s="190">
        <f>INDEX(Tab_Def_Flows[[Flow_ID]:[CC_DM_source]],MATCH(Tab_Data_Flows[[#This Row],[Name(EN)]],Tab_Def_Flows[Name(EN)],0),15)</f>
        <v>0</v>
      </c>
      <c r="AG73" s="9" t="str">
        <f>IF(K73="Yes",AF73*Tab_Data_Flows[[#This Row],[Flow_Py]],"N.A.")</f>
        <v>N.A.</v>
      </c>
      <c r="AH73" s="9" t="str">
        <f>Tab_Data_Flows[[#This Row],[UoM_Flow_Py]]</f>
        <v>Mg</v>
      </c>
      <c r="AI73" s="190">
        <f>INDEX(Tab_Def_Flows[[Flow_ID]:[CC_DM_source]],MATCH(Tab_Data_Flows[[#This Row],[Name(EN)]],Tab_Def_Flows[Name(EN)],0),17)</f>
        <v>0</v>
      </c>
      <c r="AJ73" s="9" t="str">
        <f>IF(L73="Yes",AI73*Tab_Data_Flows[[#This Row],[Flow_Py]]*Tab_Data_Flows[[#This Row],[DM_'[%']]],"N.A.")</f>
        <v>N.A.</v>
      </c>
      <c r="AK73" s="9" t="str">
        <f>Tab_Data_Flows[[#This Row],[UoM_Flow_Py]]</f>
        <v>Mg</v>
      </c>
    </row>
    <row r="74" spans="1:37" x14ac:dyDescent="0.25">
      <c r="A74" s="16">
        <f t="shared" si="2"/>
        <v>73</v>
      </c>
      <c r="B74" s="9" t="str">
        <f>_xlfn.XLOOKUP(C74,Tab_Def_Flows[Name(EN)],Tab_Def_Flows[Flow_ID],,0,)</f>
        <v>N.A.</v>
      </c>
      <c r="C74" s="11" t="s">
        <v>35</v>
      </c>
      <c r="D74" s="9"/>
      <c r="E74" s="9">
        <f>_xlfn.XLOOKUP(C74,Tab_Def_Flows[Name(EN)],Tab_Def_Flows[Output_Process],,0,)</f>
        <v>0</v>
      </c>
      <c r="F74" s="9">
        <f>_xlfn.XLOOKUP(C74,Tab_Def_Flows[Name(EN)],Tab_Def_Flows[Process_ID_O],,0,)</f>
        <v>0</v>
      </c>
      <c r="G74" s="9">
        <f>_xlfn.XLOOKUP(C74,Tab_Def_Flows[Name(EN)],Tab_Def_Flows[Input_Process],,0,)</f>
        <v>0</v>
      </c>
      <c r="H74" s="17">
        <f>_xlfn.XLOOKUP(C74,Tab_Def_Flows[Name(EN)],Tab_Def_Flows[Process_ID_I],,0,)</f>
        <v>0</v>
      </c>
      <c r="I74" s="9" t="e">
        <f>_xlfn.XLOOKUP(C74,Tab_Def_Flows[Name(EN)],#REF!,,0,)</f>
        <v>#REF!</v>
      </c>
      <c r="J74" s="9">
        <f>_xlfn.XLOOKUP(C74,Tab_Def_Flows[Name(EN)],Tab_Def_Flows[WC?],,0,)</f>
        <v>0</v>
      </c>
      <c r="K74" s="9">
        <f>_xlfn.XLOOKUP(C74,Tab_Def_Flows[Name(EN)],Tab_Def_Flows[DM?],,0,)</f>
        <v>0</v>
      </c>
      <c r="L74" s="9">
        <f>_xlfn.XLOOKUP(C74,Tab_Def_Flows[Name(EN)],Tab_Def_Flows[CC?],,0,)</f>
        <v>0</v>
      </c>
      <c r="M74" s="11"/>
      <c r="N74" s="11"/>
      <c r="O74" s="48"/>
      <c r="P74" s="11"/>
      <c r="Q74" s="11"/>
      <c r="R74" s="11" t="e">
        <f>INDEX(#REF!,MATCH(Tab_Data_Flows[[#This Row],[Name(EN)]],#REF!,0),12)</f>
        <v>#REF!</v>
      </c>
      <c r="S74" s="11" t="e">
        <f>MATCH(Tab_Data_Flows[[#This Row],[Name(EN)]],#REF!,0)</f>
        <v>#REF!</v>
      </c>
      <c r="T74" s="11"/>
      <c r="U74" s="11"/>
      <c r="V74" s="11"/>
      <c r="W74" s="11"/>
      <c r="X74" s="11" t="s">
        <v>8</v>
      </c>
      <c r="Y74" s="11"/>
      <c r="Z74" s="11"/>
      <c r="AA74" s="35">
        <f t="shared" si="3"/>
        <v>0</v>
      </c>
      <c r="AB74" s="11" t="s">
        <v>276</v>
      </c>
      <c r="AC74" s="190">
        <f>INDEX(Tab_Def_Flows[[Flow_ID]:[CC_DM_source]],MATCH(Tab_Data_Flows[[#This Row],[Name(EN)]],Tab_Def_Flows[Name(EN)],0),13)</f>
        <v>0</v>
      </c>
      <c r="AD74" s="9" t="str">
        <f>IF(J74="Yes",AA74*Tab_Data_Flows[[#This Row],[WC_'[%']]],"N.A.")</f>
        <v>N.A.</v>
      </c>
      <c r="AE74" s="9" t="str">
        <f>Tab_Data_Flows[[#This Row],[UoM_Flow_Py]]</f>
        <v>Mg</v>
      </c>
      <c r="AF74" s="190">
        <f>INDEX(Tab_Def_Flows[[Flow_ID]:[CC_DM_source]],MATCH(Tab_Data_Flows[[#This Row],[Name(EN)]],Tab_Def_Flows[Name(EN)],0),15)</f>
        <v>0</v>
      </c>
      <c r="AG74" s="9" t="str">
        <f>IF(K74="Yes",AF74*Tab_Data_Flows[[#This Row],[Flow_Py]],"N.A.")</f>
        <v>N.A.</v>
      </c>
      <c r="AH74" s="9" t="str">
        <f>Tab_Data_Flows[[#This Row],[UoM_Flow_Py]]</f>
        <v>Mg</v>
      </c>
      <c r="AI74" s="190">
        <f>INDEX(Tab_Def_Flows[[Flow_ID]:[CC_DM_source]],MATCH(Tab_Data_Flows[[#This Row],[Name(EN)]],Tab_Def_Flows[Name(EN)],0),17)</f>
        <v>0</v>
      </c>
      <c r="AJ74" s="9" t="str">
        <f>IF(L74="Yes",AI74*Tab_Data_Flows[[#This Row],[Flow_Py]]*Tab_Data_Flows[[#This Row],[DM_'[%']]],"N.A.")</f>
        <v>N.A.</v>
      </c>
      <c r="AK74" s="9" t="str">
        <f>Tab_Data_Flows[[#This Row],[UoM_Flow_Py]]</f>
        <v>Mg</v>
      </c>
    </row>
    <row r="75" spans="1:37" x14ac:dyDescent="0.25">
      <c r="A75" s="16">
        <f t="shared" si="2"/>
        <v>74</v>
      </c>
      <c r="B75" s="9" t="str">
        <f>_xlfn.XLOOKUP(C75,Tab_Def_Flows[Name(EN)],Tab_Def_Flows[Flow_ID],,0,)</f>
        <v>N.A.</v>
      </c>
      <c r="C75" s="11" t="s">
        <v>35</v>
      </c>
      <c r="D75" s="9"/>
      <c r="E75" s="9">
        <f>_xlfn.XLOOKUP(C75,Tab_Def_Flows[Name(EN)],Tab_Def_Flows[Output_Process],,0,)</f>
        <v>0</v>
      </c>
      <c r="F75" s="9">
        <f>_xlfn.XLOOKUP(C75,Tab_Def_Flows[Name(EN)],Tab_Def_Flows[Process_ID_O],,0,)</f>
        <v>0</v>
      </c>
      <c r="G75" s="9">
        <f>_xlfn.XLOOKUP(C75,Tab_Def_Flows[Name(EN)],Tab_Def_Flows[Input_Process],,0,)</f>
        <v>0</v>
      </c>
      <c r="H75" s="17">
        <f>_xlfn.XLOOKUP(C75,Tab_Def_Flows[Name(EN)],Tab_Def_Flows[Process_ID_I],,0,)</f>
        <v>0</v>
      </c>
      <c r="I75" s="9" t="e">
        <f>_xlfn.XLOOKUP(C75,Tab_Def_Flows[Name(EN)],#REF!,,0,)</f>
        <v>#REF!</v>
      </c>
      <c r="J75" s="9">
        <f>_xlfn.XLOOKUP(C75,Tab_Def_Flows[Name(EN)],Tab_Def_Flows[WC?],,0,)</f>
        <v>0</v>
      </c>
      <c r="K75" s="9">
        <f>_xlfn.XLOOKUP(C75,Tab_Def_Flows[Name(EN)],Tab_Def_Flows[DM?],,0,)</f>
        <v>0</v>
      </c>
      <c r="L75" s="9">
        <f>_xlfn.XLOOKUP(C75,Tab_Def_Flows[Name(EN)],Tab_Def_Flows[CC?],,0,)</f>
        <v>0</v>
      </c>
      <c r="M75" s="11"/>
      <c r="N75" s="11"/>
      <c r="O75" s="48"/>
      <c r="P75" s="11"/>
      <c r="Q75" s="11"/>
      <c r="R75" s="11" t="e">
        <f>INDEX(#REF!,MATCH(Tab_Data_Flows[[#This Row],[Name(EN)]],#REF!,0),12)</f>
        <v>#REF!</v>
      </c>
      <c r="S75" s="11" t="e">
        <f>MATCH(Tab_Data_Flows[[#This Row],[Name(EN)]],#REF!,0)</f>
        <v>#REF!</v>
      </c>
      <c r="T75" s="11"/>
      <c r="U75" s="11"/>
      <c r="V75" s="11"/>
      <c r="W75" s="11"/>
      <c r="X75" s="11" t="s">
        <v>8</v>
      </c>
      <c r="Y75" s="11"/>
      <c r="Z75" s="11"/>
      <c r="AA75" s="35">
        <f t="shared" si="3"/>
        <v>0</v>
      </c>
      <c r="AB75" s="11" t="s">
        <v>276</v>
      </c>
      <c r="AC75" s="190">
        <f>INDEX(Tab_Def_Flows[[Flow_ID]:[CC_DM_source]],MATCH(Tab_Data_Flows[[#This Row],[Name(EN)]],Tab_Def_Flows[Name(EN)],0),13)</f>
        <v>0</v>
      </c>
      <c r="AD75" s="9" t="str">
        <f>IF(J75="Yes",AA75*Tab_Data_Flows[[#This Row],[WC_'[%']]],"N.A.")</f>
        <v>N.A.</v>
      </c>
      <c r="AE75" s="9" t="str">
        <f>Tab_Data_Flows[[#This Row],[UoM_Flow_Py]]</f>
        <v>Mg</v>
      </c>
      <c r="AF75" s="190">
        <f>INDEX(Tab_Def_Flows[[Flow_ID]:[CC_DM_source]],MATCH(Tab_Data_Flows[[#This Row],[Name(EN)]],Tab_Def_Flows[Name(EN)],0),15)</f>
        <v>0</v>
      </c>
      <c r="AG75" s="9" t="str">
        <f>IF(K75="Yes",AF75*Tab_Data_Flows[[#This Row],[Flow_Py]],"N.A.")</f>
        <v>N.A.</v>
      </c>
      <c r="AH75" s="9" t="str">
        <f>Tab_Data_Flows[[#This Row],[UoM_Flow_Py]]</f>
        <v>Mg</v>
      </c>
      <c r="AI75" s="190">
        <f>INDEX(Tab_Def_Flows[[Flow_ID]:[CC_DM_source]],MATCH(Tab_Data_Flows[[#This Row],[Name(EN)]],Tab_Def_Flows[Name(EN)],0),17)</f>
        <v>0</v>
      </c>
      <c r="AJ75" s="9" t="str">
        <f>IF(L75="Yes",AI75*Tab_Data_Flows[[#This Row],[Flow_Py]]*Tab_Data_Flows[[#This Row],[DM_'[%']]],"N.A.")</f>
        <v>N.A.</v>
      </c>
      <c r="AK75" s="9" t="str">
        <f>Tab_Data_Flows[[#This Row],[UoM_Flow_Py]]</f>
        <v>Mg</v>
      </c>
    </row>
    <row r="76" spans="1:37" x14ac:dyDescent="0.25">
      <c r="A76" s="16">
        <f t="shared" si="2"/>
        <v>75</v>
      </c>
      <c r="B76" s="9" t="str">
        <f>_xlfn.XLOOKUP(C76,Tab_Def_Flows[Name(EN)],Tab_Def_Flows[Flow_ID],,0,)</f>
        <v>N.A.</v>
      </c>
      <c r="C76" s="11" t="s">
        <v>35</v>
      </c>
      <c r="D76" s="9"/>
      <c r="E76" s="9">
        <f>_xlfn.XLOOKUP(C76,Tab_Def_Flows[Name(EN)],Tab_Def_Flows[Output_Process],,0,)</f>
        <v>0</v>
      </c>
      <c r="F76" s="9">
        <f>_xlfn.XLOOKUP(C76,Tab_Def_Flows[Name(EN)],Tab_Def_Flows[Process_ID_O],,0,)</f>
        <v>0</v>
      </c>
      <c r="G76" s="9">
        <f>_xlfn.XLOOKUP(C76,Tab_Def_Flows[Name(EN)],Tab_Def_Flows[Input_Process],,0,)</f>
        <v>0</v>
      </c>
      <c r="H76" s="17">
        <f>_xlfn.XLOOKUP(C76,Tab_Def_Flows[Name(EN)],Tab_Def_Flows[Process_ID_I],,0,)</f>
        <v>0</v>
      </c>
      <c r="I76" s="9" t="e">
        <f>_xlfn.XLOOKUP(C76,Tab_Def_Flows[Name(EN)],#REF!,,0,)</f>
        <v>#REF!</v>
      </c>
      <c r="J76" s="9">
        <f>_xlfn.XLOOKUP(C76,Tab_Def_Flows[Name(EN)],Tab_Def_Flows[WC?],,0,)</f>
        <v>0</v>
      </c>
      <c r="K76" s="9">
        <f>_xlfn.XLOOKUP(C76,Tab_Def_Flows[Name(EN)],Tab_Def_Flows[DM?],,0,)</f>
        <v>0</v>
      </c>
      <c r="L76" s="9">
        <f>_xlfn.XLOOKUP(C76,Tab_Def_Flows[Name(EN)],Tab_Def_Flows[CC?],,0,)</f>
        <v>0</v>
      </c>
      <c r="M76" s="11"/>
      <c r="N76" s="11"/>
      <c r="O76" s="48"/>
      <c r="P76" s="11"/>
      <c r="Q76" s="11"/>
      <c r="R76" s="11" t="e">
        <f>INDEX(#REF!,MATCH(Tab_Data_Flows[[#This Row],[Name(EN)]],#REF!,0),12)</f>
        <v>#REF!</v>
      </c>
      <c r="S76" s="11" t="e">
        <f>MATCH(Tab_Data_Flows[[#This Row],[Name(EN)]],#REF!,0)</f>
        <v>#REF!</v>
      </c>
      <c r="T76" s="11"/>
      <c r="U76" s="11"/>
      <c r="V76" s="11"/>
      <c r="W76" s="11"/>
      <c r="X76" s="11" t="s">
        <v>8</v>
      </c>
      <c r="Y76" s="11"/>
      <c r="Z76" s="11"/>
      <c r="AA76" s="35">
        <f t="shared" si="3"/>
        <v>0</v>
      </c>
      <c r="AB76" s="11" t="s">
        <v>276</v>
      </c>
      <c r="AC76" s="190">
        <f>INDEX(Tab_Def_Flows[[Flow_ID]:[CC_DM_source]],MATCH(Tab_Data_Flows[[#This Row],[Name(EN)]],Tab_Def_Flows[Name(EN)],0),13)</f>
        <v>0</v>
      </c>
      <c r="AD76" s="9" t="str">
        <f>IF(J76="Yes",AA76*Tab_Data_Flows[[#This Row],[WC_'[%']]],"N.A.")</f>
        <v>N.A.</v>
      </c>
      <c r="AE76" s="9" t="str">
        <f>Tab_Data_Flows[[#This Row],[UoM_Flow_Py]]</f>
        <v>Mg</v>
      </c>
      <c r="AF76" s="190">
        <f>INDEX(Tab_Def_Flows[[Flow_ID]:[CC_DM_source]],MATCH(Tab_Data_Flows[[#This Row],[Name(EN)]],Tab_Def_Flows[Name(EN)],0),15)</f>
        <v>0</v>
      </c>
      <c r="AG76" s="9" t="str">
        <f>IF(K76="Yes",AF76*Tab_Data_Flows[[#This Row],[Flow_Py]],"N.A.")</f>
        <v>N.A.</v>
      </c>
      <c r="AH76" s="9" t="str">
        <f>Tab_Data_Flows[[#This Row],[UoM_Flow_Py]]</f>
        <v>Mg</v>
      </c>
      <c r="AI76" s="190">
        <f>INDEX(Tab_Def_Flows[[Flow_ID]:[CC_DM_source]],MATCH(Tab_Data_Flows[[#This Row],[Name(EN)]],Tab_Def_Flows[Name(EN)],0),17)</f>
        <v>0</v>
      </c>
      <c r="AJ76" s="9" t="str">
        <f>IF(L76="Yes",AI76*Tab_Data_Flows[[#This Row],[Flow_Py]]*Tab_Data_Flows[[#This Row],[DM_'[%']]],"N.A.")</f>
        <v>N.A.</v>
      </c>
      <c r="AK76" s="9" t="str">
        <f>Tab_Data_Flows[[#This Row],[UoM_Flow_Py]]</f>
        <v>Mg</v>
      </c>
    </row>
    <row r="77" spans="1:37" x14ac:dyDescent="0.25">
      <c r="A77" s="16">
        <f t="shared" si="2"/>
        <v>76</v>
      </c>
      <c r="B77" s="9" t="str">
        <f>_xlfn.XLOOKUP(C77,Tab_Def_Flows[Name(EN)],Tab_Def_Flows[Flow_ID],,0,)</f>
        <v>N.A.</v>
      </c>
      <c r="C77" s="11" t="s">
        <v>35</v>
      </c>
      <c r="D77" s="9"/>
      <c r="E77" s="9">
        <f>_xlfn.XLOOKUP(C77,Tab_Def_Flows[Name(EN)],Tab_Def_Flows[Output_Process],,0,)</f>
        <v>0</v>
      </c>
      <c r="F77" s="9">
        <f>_xlfn.XLOOKUP(C77,Tab_Def_Flows[Name(EN)],Tab_Def_Flows[Process_ID_O],,0,)</f>
        <v>0</v>
      </c>
      <c r="G77" s="9">
        <f>_xlfn.XLOOKUP(C77,Tab_Def_Flows[Name(EN)],Tab_Def_Flows[Input_Process],,0,)</f>
        <v>0</v>
      </c>
      <c r="H77" s="17">
        <f>_xlfn.XLOOKUP(C77,Tab_Def_Flows[Name(EN)],Tab_Def_Flows[Process_ID_I],,0,)</f>
        <v>0</v>
      </c>
      <c r="I77" s="9" t="e">
        <f>_xlfn.XLOOKUP(C77,Tab_Def_Flows[Name(EN)],#REF!,,0,)</f>
        <v>#REF!</v>
      </c>
      <c r="J77" s="9">
        <f>_xlfn.XLOOKUP(C77,Tab_Def_Flows[Name(EN)],Tab_Def_Flows[WC?],,0,)</f>
        <v>0</v>
      </c>
      <c r="K77" s="9">
        <f>_xlfn.XLOOKUP(C77,Tab_Def_Flows[Name(EN)],Tab_Def_Flows[DM?],,0,)</f>
        <v>0</v>
      </c>
      <c r="L77" s="9">
        <f>_xlfn.XLOOKUP(C77,Tab_Def_Flows[Name(EN)],Tab_Def_Flows[CC?],,0,)</f>
        <v>0</v>
      </c>
      <c r="M77" s="11"/>
      <c r="N77" s="11"/>
      <c r="O77" s="48"/>
      <c r="P77" s="11"/>
      <c r="Q77" s="11"/>
      <c r="R77" s="11" t="e">
        <f>INDEX(#REF!,MATCH(Tab_Data_Flows[[#This Row],[Name(EN)]],#REF!,0),12)</f>
        <v>#REF!</v>
      </c>
      <c r="S77" s="11" t="e">
        <f>MATCH(Tab_Data_Flows[[#This Row],[Name(EN)]],#REF!,0)</f>
        <v>#REF!</v>
      </c>
      <c r="T77" s="11"/>
      <c r="U77" s="11"/>
      <c r="V77" s="11"/>
      <c r="W77" s="11"/>
      <c r="X77" s="11" t="s">
        <v>8</v>
      </c>
      <c r="Y77" s="11"/>
      <c r="Z77" s="11"/>
      <c r="AA77" s="35">
        <f t="shared" si="3"/>
        <v>0</v>
      </c>
      <c r="AB77" s="11" t="s">
        <v>276</v>
      </c>
      <c r="AC77" s="190">
        <f>INDEX(Tab_Def_Flows[[Flow_ID]:[CC_DM_source]],MATCH(Tab_Data_Flows[[#This Row],[Name(EN)]],Tab_Def_Flows[Name(EN)],0),13)</f>
        <v>0</v>
      </c>
      <c r="AD77" s="9" t="str">
        <f>IF(J77="Yes",AA77*Tab_Data_Flows[[#This Row],[WC_'[%']]],"N.A.")</f>
        <v>N.A.</v>
      </c>
      <c r="AE77" s="9" t="str">
        <f>Tab_Data_Flows[[#This Row],[UoM_Flow_Py]]</f>
        <v>Mg</v>
      </c>
      <c r="AF77" s="190">
        <f>INDEX(Tab_Def_Flows[[Flow_ID]:[CC_DM_source]],MATCH(Tab_Data_Flows[[#This Row],[Name(EN)]],Tab_Def_Flows[Name(EN)],0),15)</f>
        <v>0</v>
      </c>
      <c r="AG77" s="9" t="str">
        <f>IF(K77="Yes",AF77*Tab_Data_Flows[[#This Row],[Flow_Py]],"N.A.")</f>
        <v>N.A.</v>
      </c>
      <c r="AH77" s="9" t="str">
        <f>Tab_Data_Flows[[#This Row],[UoM_Flow_Py]]</f>
        <v>Mg</v>
      </c>
      <c r="AI77" s="190">
        <f>INDEX(Tab_Def_Flows[[Flow_ID]:[CC_DM_source]],MATCH(Tab_Data_Flows[[#This Row],[Name(EN)]],Tab_Def_Flows[Name(EN)],0),17)</f>
        <v>0</v>
      </c>
      <c r="AJ77" s="9" t="str">
        <f>IF(L77="Yes",AI77*Tab_Data_Flows[[#This Row],[Flow_Py]]*Tab_Data_Flows[[#This Row],[DM_'[%']]],"N.A.")</f>
        <v>N.A.</v>
      </c>
      <c r="AK77" s="9" t="str">
        <f>Tab_Data_Flows[[#This Row],[UoM_Flow_Py]]</f>
        <v>Mg</v>
      </c>
    </row>
    <row r="78" spans="1:37" x14ac:dyDescent="0.25">
      <c r="A78" s="16">
        <f t="shared" si="2"/>
        <v>77</v>
      </c>
      <c r="B78" s="9" t="str">
        <f>_xlfn.XLOOKUP(C78,Tab_Def_Flows[Name(EN)],Tab_Def_Flows[Flow_ID],,0,)</f>
        <v>N.A.</v>
      </c>
      <c r="C78" s="11" t="s">
        <v>35</v>
      </c>
      <c r="D78" s="9"/>
      <c r="E78" s="9">
        <f>_xlfn.XLOOKUP(C78,Tab_Def_Flows[Name(EN)],Tab_Def_Flows[Output_Process],,0,)</f>
        <v>0</v>
      </c>
      <c r="F78" s="9">
        <f>_xlfn.XLOOKUP(C78,Tab_Def_Flows[Name(EN)],Tab_Def_Flows[Process_ID_O],,0,)</f>
        <v>0</v>
      </c>
      <c r="G78" s="9">
        <f>_xlfn.XLOOKUP(C78,Tab_Def_Flows[Name(EN)],Tab_Def_Flows[Input_Process],,0,)</f>
        <v>0</v>
      </c>
      <c r="H78" s="17">
        <f>_xlfn.XLOOKUP(C78,Tab_Def_Flows[Name(EN)],Tab_Def_Flows[Process_ID_I],,0,)</f>
        <v>0</v>
      </c>
      <c r="I78" s="9" t="e">
        <f>_xlfn.XLOOKUP(C78,Tab_Def_Flows[Name(EN)],#REF!,,0,)</f>
        <v>#REF!</v>
      </c>
      <c r="J78" s="9">
        <f>_xlfn.XLOOKUP(C78,Tab_Def_Flows[Name(EN)],Tab_Def_Flows[WC?],,0,)</f>
        <v>0</v>
      </c>
      <c r="K78" s="9">
        <f>_xlfn.XLOOKUP(C78,Tab_Def_Flows[Name(EN)],Tab_Def_Flows[DM?],,0,)</f>
        <v>0</v>
      </c>
      <c r="L78" s="9">
        <f>_xlfn.XLOOKUP(C78,Tab_Def_Flows[Name(EN)],Tab_Def_Flows[CC?],,0,)</f>
        <v>0</v>
      </c>
      <c r="M78" s="11"/>
      <c r="N78" s="11"/>
      <c r="O78" s="48"/>
      <c r="P78" s="11"/>
      <c r="Q78" s="11"/>
      <c r="R78" s="11" t="e">
        <f>INDEX(#REF!,MATCH(Tab_Data_Flows[[#This Row],[Name(EN)]],#REF!,0),12)</f>
        <v>#REF!</v>
      </c>
      <c r="S78" s="11" t="e">
        <f>MATCH(Tab_Data_Flows[[#This Row],[Name(EN)]],#REF!,0)</f>
        <v>#REF!</v>
      </c>
      <c r="T78" s="11"/>
      <c r="U78" s="11"/>
      <c r="V78" s="11"/>
      <c r="W78" s="11"/>
      <c r="X78" s="11" t="s">
        <v>8</v>
      </c>
      <c r="Y78" s="11"/>
      <c r="Z78" s="11"/>
      <c r="AA78" s="35">
        <f t="shared" si="3"/>
        <v>0</v>
      </c>
      <c r="AB78" s="11" t="s">
        <v>276</v>
      </c>
      <c r="AC78" s="190">
        <f>INDEX(Tab_Def_Flows[[Flow_ID]:[CC_DM_source]],MATCH(Tab_Data_Flows[[#This Row],[Name(EN)]],Tab_Def_Flows[Name(EN)],0),13)</f>
        <v>0</v>
      </c>
      <c r="AD78" s="9" t="str">
        <f>IF(J78="Yes",AA78*Tab_Data_Flows[[#This Row],[WC_'[%']]],"N.A.")</f>
        <v>N.A.</v>
      </c>
      <c r="AE78" s="9" t="str">
        <f>Tab_Data_Flows[[#This Row],[UoM_Flow_Py]]</f>
        <v>Mg</v>
      </c>
      <c r="AF78" s="190">
        <f>INDEX(Tab_Def_Flows[[Flow_ID]:[CC_DM_source]],MATCH(Tab_Data_Flows[[#This Row],[Name(EN)]],Tab_Def_Flows[Name(EN)],0),15)</f>
        <v>0</v>
      </c>
      <c r="AG78" s="9" t="str">
        <f>IF(K78="Yes",AF78*Tab_Data_Flows[[#This Row],[Flow_Py]],"N.A.")</f>
        <v>N.A.</v>
      </c>
      <c r="AH78" s="9" t="str">
        <f>Tab_Data_Flows[[#This Row],[UoM_Flow_Py]]</f>
        <v>Mg</v>
      </c>
      <c r="AI78" s="190">
        <f>INDEX(Tab_Def_Flows[[Flow_ID]:[CC_DM_source]],MATCH(Tab_Data_Flows[[#This Row],[Name(EN)]],Tab_Def_Flows[Name(EN)],0),17)</f>
        <v>0</v>
      </c>
      <c r="AJ78" s="9" t="str">
        <f>IF(L78="Yes",AI78*Tab_Data_Flows[[#This Row],[Flow_Py]]*Tab_Data_Flows[[#This Row],[DM_'[%']]],"N.A.")</f>
        <v>N.A.</v>
      </c>
      <c r="AK78" s="9" t="str">
        <f>Tab_Data_Flows[[#This Row],[UoM_Flow_Py]]</f>
        <v>Mg</v>
      </c>
    </row>
    <row r="79" spans="1:37" x14ac:dyDescent="0.25">
      <c r="A79" s="16">
        <f t="shared" si="2"/>
        <v>78</v>
      </c>
      <c r="B79" s="9" t="str">
        <f>_xlfn.XLOOKUP(C79,Tab_Def_Flows[Name(EN)],Tab_Def_Flows[Flow_ID],,0,)</f>
        <v>N.A.</v>
      </c>
      <c r="C79" s="11" t="s">
        <v>35</v>
      </c>
      <c r="D79" s="9"/>
      <c r="E79" s="9">
        <f>_xlfn.XLOOKUP(C79,Tab_Def_Flows[Name(EN)],Tab_Def_Flows[Output_Process],,0,)</f>
        <v>0</v>
      </c>
      <c r="F79" s="9">
        <f>_xlfn.XLOOKUP(C79,Tab_Def_Flows[Name(EN)],Tab_Def_Flows[Process_ID_O],,0,)</f>
        <v>0</v>
      </c>
      <c r="G79" s="9">
        <f>_xlfn.XLOOKUP(C79,Tab_Def_Flows[Name(EN)],Tab_Def_Flows[Input_Process],,0,)</f>
        <v>0</v>
      </c>
      <c r="H79" s="17">
        <f>_xlfn.XLOOKUP(C79,Tab_Def_Flows[Name(EN)],Tab_Def_Flows[Process_ID_I],,0,)</f>
        <v>0</v>
      </c>
      <c r="I79" s="9" t="e">
        <f>_xlfn.XLOOKUP(C79,Tab_Def_Flows[Name(EN)],#REF!,,0,)</f>
        <v>#REF!</v>
      </c>
      <c r="J79" s="9">
        <f>_xlfn.XLOOKUP(C79,Tab_Def_Flows[Name(EN)],Tab_Def_Flows[WC?],,0,)</f>
        <v>0</v>
      </c>
      <c r="K79" s="9">
        <f>_xlfn.XLOOKUP(C79,Tab_Def_Flows[Name(EN)],Tab_Def_Flows[DM?],,0,)</f>
        <v>0</v>
      </c>
      <c r="L79" s="9">
        <f>_xlfn.XLOOKUP(C79,Tab_Def_Flows[Name(EN)],Tab_Def_Flows[CC?],,0,)</f>
        <v>0</v>
      </c>
      <c r="M79" s="11"/>
      <c r="N79" s="11"/>
      <c r="O79" s="48"/>
      <c r="P79" s="11"/>
      <c r="Q79" s="11"/>
      <c r="R79" s="11" t="e">
        <f>INDEX(#REF!,MATCH(Tab_Data_Flows[[#This Row],[Name(EN)]],#REF!,0),12)</f>
        <v>#REF!</v>
      </c>
      <c r="S79" s="11" t="e">
        <f>MATCH(Tab_Data_Flows[[#This Row],[Name(EN)]],#REF!,0)</f>
        <v>#REF!</v>
      </c>
      <c r="T79" s="11"/>
      <c r="U79" s="11"/>
      <c r="V79" s="11"/>
      <c r="W79" s="11"/>
      <c r="X79" s="11" t="s">
        <v>8</v>
      </c>
      <c r="Y79" s="11"/>
      <c r="Z79" s="11"/>
      <c r="AA79" s="35">
        <f t="shared" si="3"/>
        <v>0</v>
      </c>
      <c r="AB79" s="11" t="s">
        <v>276</v>
      </c>
      <c r="AC79" s="190">
        <f>INDEX(Tab_Def_Flows[[Flow_ID]:[CC_DM_source]],MATCH(Tab_Data_Flows[[#This Row],[Name(EN)]],Tab_Def_Flows[Name(EN)],0),13)</f>
        <v>0</v>
      </c>
      <c r="AD79" s="9" t="str">
        <f>IF(J79="Yes",AA79*Tab_Data_Flows[[#This Row],[WC_'[%']]],"N.A.")</f>
        <v>N.A.</v>
      </c>
      <c r="AE79" s="9" t="str">
        <f>Tab_Data_Flows[[#This Row],[UoM_Flow_Py]]</f>
        <v>Mg</v>
      </c>
      <c r="AF79" s="190">
        <f>INDEX(Tab_Def_Flows[[Flow_ID]:[CC_DM_source]],MATCH(Tab_Data_Flows[[#This Row],[Name(EN)]],Tab_Def_Flows[Name(EN)],0),15)</f>
        <v>0</v>
      </c>
      <c r="AG79" s="9" t="str">
        <f>IF(K79="Yes",AF79*Tab_Data_Flows[[#This Row],[Flow_Py]],"N.A.")</f>
        <v>N.A.</v>
      </c>
      <c r="AH79" s="9" t="str">
        <f>Tab_Data_Flows[[#This Row],[UoM_Flow_Py]]</f>
        <v>Mg</v>
      </c>
      <c r="AI79" s="190">
        <f>INDEX(Tab_Def_Flows[[Flow_ID]:[CC_DM_source]],MATCH(Tab_Data_Flows[[#This Row],[Name(EN)]],Tab_Def_Flows[Name(EN)],0),17)</f>
        <v>0</v>
      </c>
      <c r="AJ79" s="9" t="str">
        <f>IF(L79="Yes",AI79*Tab_Data_Flows[[#This Row],[Flow_Py]]*Tab_Data_Flows[[#This Row],[DM_'[%']]],"N.A.")</f>
        <v>N.A.</v>
      </c>
      <c r="AK79" s="9" t="str">
        <f>Tab_Data_Flows[[#This Row],[UoM_Flow_Py]]</f>
        <v>Mg</v>
      </c>
    </row>
    <row r="80" spans="1:37" x14ac:dyDescent="0.25">
      <c r="A80" s="16">
        <f t="shared" si="2"/>
        <v>79</v>
      </c>
      <c r="B80" s="9" t="str">
        <f>_xlfn.XLOOKUP(C80,Tab_Def_Flows[Name(EN)],Tab_Def_Flows[Flow_ID],,0,)</f>
        <v>N.A.</v>
      </c>
      <c r="C80" s="11" t="s">
        <v>35</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276</v>
      </c>
      <c r="AC80" s="190">
        <f>INDEX(Tab_Def_Flows[[Flow_ID]:[CC_DM_source]],MATCH(Tab_Data_Flows[[#This Row],[Name(EN)]],Tab_Def_Flows[Name(EN)],0),13)</f>
        <v>0</v>
      </c>
      <c r="AD80" s="9" t="str">
        <f>IF(J80="Yes",AA80*Tab_Data_Flows[[#This Row],[WC_'[%']]],"N.A.")</f>
        <v>N.A.</v>
      </c>
      <c r="AE80" s="9" t="str">
        <f>Tab_Data_Flows[[#This Row],[UoM_Flow_Py]]</f>
        <v>Mg</v>
      </c>
      <c r="AF80" s="190">
        <f>INDEX(Tab_Def_Flows[[Flow_ID]:[CC_DM_source]],MATCH(Tab_Data_Flows[[#This Row],[Name(EN)]],Tab_Def_Flows[Name(EN)],0),15)</f>
        <v>0</v>
      </c>
      <c r="AG80" s="9" t="str">
        <f>IF(K80="Yes",AF80*Tab_Data_Flows[[#This Row],[Flow_Py]],"N.A.")</f>
        <v>N.A.</v>
      </c>
      <c r="AH80" s="9" t="str">
        <f>Tab_Data_Flows[[#This Row],[UoM_Flow_Py]]</f>
        <v>Mg</v>
      </c>
      <c r="AI80" s="190">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35</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276</v>
      </c>
      <c r="AC81" s="190">
        <f>INDEX(Tab_Def_Flows[[Flow_ID]:[CC_DM_source]],MATCH(Tab_Data_Flows[[#This Row],[Name(EN)]],Tab_Def_Flows[Name(EN)],0),13)</f>
        <v>0</v>
      </c>
      <c r="AD81" s="9" t="str">
        <f>IF(J81="Yes",AA81*Tab_Data_Flows[[#This Row],[WC_'[%']]],"N.A.")</f>
        <v>N.A.</v>
      </c>
      <c r="AE81" s="9" t="str">
        <f>Tab_Data_Flows[[#This Row],[UoM_Flow_Py]]</f>
        <v>Mg</v>
      </c>
      <c r="AF81" s="190">
        <f>INDEX(Tab_Def_Flows[[Flow_ID]:[CC_DM_source]],MATCH(Tab_Data_Flows[[#This Row],[Name(EN)]],Tab_Def_Flows[Name(EN)],0),15)</f>
        <v>0</v>
      </c>
      <c r="AG81" s="9" t="str">
        <f>IF(K81="Yes",AF81*Tab_Data_Flows[[#This Row],[Flow_Py]],"N.A.")</f>
        <v>N.A.</v>
      </c>
      <c r="AH81" s="9" t="str">
        <f>Tab_Data_Flows[[#This Row],[UoM_Flow_Py]]</f>
        <v>Mg</v>
      </c>
      <c r="AI81" s="190">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35</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276</v>
      </c>
      <c r="AC82" s="190">
        <f>INDEX(Tab_Def_Flows[[Flow_ID]:[CC_DM_source]],MATCH(Tab_Data_Flows[[#This Row],[Name(EN)]],Tab_Def_Flows[Name(EN)],0),13)</f>
        <v>0</v>
      </c>
      <c r="AD82" s="9" t="str">
        <f>IF(J82="Yes",AA82*Tab_Data_Flows[[#This Row],[WC_'[%']]],"N.A.")</f>
        <v>N.A.</v>
      </c>
      <c r="AE82" s="9" t="str">
        <f>Tab_Data_Flows[[#This Row],[UoM_Flow_Py]]</f>
        <v>Mg</v>
      </c>
      <c r="AF82" s="190">
        <f>INDEX(Tab_Def_Flows[[Flow_ID]:[CC_DM_source]],MATCH(Tab_Data_Flows[[#This Row],[Name(EN)]],Tab_Def_Flows[Name(EN)],0),15)</f>
        <v>0</v>
      </c>
      <c r="AG82" s="9" t="str">
        <f>IF(K82="Yes",AF82*Tab_Data_Flows[[#This Row],[Flow_Py]],"N.A.")</f>
        <v>N.A.</v>
      </c>
      <c r="AH82" s="9" t="str">
        <f>Tab_Data_Flows[[#This Row],[UoM_Flow_Py]]</f>
        <v>Mg</v>
      </c>
      <c r="AI82" s="190">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35</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276</v>
      </c>
      <c r="AC83" s="190">
        <f>INDEX(Tab_Def_Flows[[Flow_ID]:[CC_DM_source]],MATCH(Tab_Data_Flows[[#This Row],[Name(EN)]],Tab_Def_Flows[Name(EN)],0),13)</f>
        <v>0</v>
      </c>
      <c r="AD83" s="9" t="str">
        <f>IF(J83="Yes",AA83*Tab_Data_Flows[[#This Row],[WC_'[%']]],"N.A.")</f>
        <v>N.A.</v>
      </c>
      <c r="AE83" s="9" t="str">
        <f>Tab_Data_Flows[[#This Row],[UoM_Flow_Py]]</f>
        <v>Mg</v>
      </c>
      <c r="AF83" s="190">
        <f>INDEX(Tab_Def_Flows[[Flow_ID]:[CC_DM_source]],MATCH(Tab_Data_Flows[[#This Row],[Name(EN)]],Tab_Def_Flows[Name(EN)],0),15)</f>
        <v>0</v>
      </c>
      <c r="AG83" s="9" t="str">
        <f>IF(K83="Yes",AF83*Tab_Data_Flows[[#This Row],[Flow_Py]],"N.A.")</f>
        <v>N.A.</v>
      </c>
      <c r="AH83" s="9" t="str">
        <f>Tab_Data_Flows[[#This Row],[UoM_Flow_Py]]</f>
        <v>Mg</v>
      </c>
      <c r="AI83" s="190">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35</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276</v>
      </c>
      <c r="AC84" s="190">
        <f>INDEX(Tab_Def_Flows[[Flow_ID]:[CC_DM_source]],MATCH(Tab_Data_Flows[[#This Row],[Name(EN)]],Tab_Def_Flows[Name(EN)],0),13)</f>
        <v>0</v>
      </c>
      <c r="AD84" s="9" t="str">
        <f>IF(J84="Yes",AA84*Tab_Data_Flows[[#This Row],[WC_'[%']]],"N.A.")</f>
        <v>N.A.</v>
      </c>
      <c r="AE84" s="9" t="str">
        <f>Tab_Data_Flows[[#This Row],[UoM_Flow_Py]]</f>
        <v>Mg</v>
      </c>
      <c r="AF84" s="190">
        <f>INDEX(Tab_Def_Flows[[Flow_ID]:[CC_DM_source]],MATCH(Tab_Data_Flows[[#This Row],[Name(EN)]],Tab_Def_Flows[Name(EN)],0),15)</f>
        <v>0</v>
      </c>
      <c r="AG84" s="9" t="str">
        <f>IF(K84="Yes",AF84*Tab_Data_Flows[[#This Row],[Flow_Py]],"N.A.")</f>
        <v>N.A.</v>
      </c>
      <c r="AH84" s="9" t="str">
        <f>Tab_Data_Flows[[#This Row],[UoM_Flow_Py]]</f>
        <v>Mg</v>
      </c>
      <c r="AI84" s="190">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35</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276</v>
      </c>
      <c r="AC85" s="190">
        <f>INDEX(Tab_Def_Flows[[Flow_ID]:[CC_DM_source]],MATCH(Tab_Data_Flows[[#This Row],[Name(EN)]],Tab_Def_Flows[Name(EN)],0),13)</f>
        <v>0</v>
      </c>
      <c r="AD85" s="9" t="str">
        <f>IF(J85="Yes",AA85*Tab_Data_Flows[[#This Row],[WC_'[%']]],"N.A.")</f>
        <v>N.A.</v>
      </c>
      <c r="AE85" s="9" t="str">
        <f>Tab_Data_Flows[[#This Row],[UoM_Flow_Py]]</f>
        <v>Mg</v>
      </c>
      <c r="AF85" s="190">
        <f>INDEX(Tab_Def_Flows[[Flow_ID]:[CC_DM_source]],MATCH(Tab_Data_Flows[[#This Row],[Name(EN)]],Tab_Def_Flows[Name(EN)],0),15)</f>
        <v>0</v>
      </c>
      <c r="AG85" s="9" t="str">
        <f>IF(K85="Yes",AF85*Tab_Data_Flows[[#This Row],[Flow_Py]],"N.A.")</f>
        <v>N.A.</v>
      </c>
      <c r="AH85" s="9" t="str">
        <f>Tab_Data_Flows[[#This Row],[UoM_Flow_Py]]</f>
        <v>Mg</v>
      </c>
      <c r="AI85" s="190">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35</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276</v>
      </c>
      <c r="AC86" s="190">
        <f>INDEX(Tab_Def_Flows[[Flow_ID]:[CC_DM_source]],MATCH(Tab_Data_Flows[[#This Row],[Name(EN)]],Tab_Def_Flows[Name(EN)],0),13)</f>
        <v>0</v>
      </c>
      <c r="AD86" s="9" t="str">
        <f>IF(J86="Yes",AA86*Tab_Data_Flows[[#This Row],[WC_'[%']]],"N.A.")</f>
        <v>N.A.</v>
      </c>
      <c r="AE86" s="9" t="str">
        <f>Tab_Data_Flows[[#This Row],[UoM_Flow_Py]]</f>
        <v>Mg</v>
      </c>
      <c r="AF86" s="190">
        <f>INDEX(Tab_Def_Flows[[Flow_ID]:[CC_DM_source]],MATCH(Tab_Data_Flows[[#This Row],[Name(EN)]],Tab_Def_Flows[Name(EN)],0),15)</f>
        <v>0</v>
      </c>
      <c r="AG86" s="9" t="str">
        <f>IF(K86="Yes",AF86*Tab_Data_Flows[[#This Row],[Flow_Py]],"N.A.")</f>
        <v>N.A.</v>
      </c>
      <c r="AH86" s="9" t="str">
        <f>Tab_Data_Flows[[#This Row],[UoM_Flow_Py]]</f>
        <v>Mg</v>
      </c>
      <c r="AI86" s="190">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35</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276</v>
      </c>
      <c r="AC87" s="190">
        <f>INDEX(Tab_Def_Flows[[Flow_ID]:[CC_DM_source]],MATCH(Tab_Data_Flows[[#This Row],[Name(EN)]],Tab_Def_Flows[Name(EN)],0),13)</f>
        <v>0</v>
      </c>
      <c r="AD87" s="9" t="str">
        <f>IF(J87="Yes",AA87*Tab_Data_Flows[[#This Row],[WC_'[%']]],"N.A.")</f>
        <v>N.A.</v>
      </c>
      <c r="AE87" s="9" t="str">
        <f>Tab_Data_Flows[[#This Row],[UoM_Flow_Py]]</f>
        <v>Mg</v>
      </c>
      <c r="AF87" s="190">
        <f>INDEX(Tab_Def_Flows[[Flow_ID]:[CC_DM_source]],MATCH(Tab_Data_Flows[[#This Row],[Name(EN)]],Tab_Def_Flows[Name(EN)],0),15)</f>
        <v>0</v>
      </c>
      <c r="AG87" s="9" t="str">
        <f>IF(K87="Yes",AF87*Tab_Data_Flows[[#This Row],[Flow_Py]],"N.A.")</f>
        <v>N.A.</v>
      </c>
      <c r="AH87" s="9" t="str">
        <f>Tab_Data_Flows[[#This Row],[UoM_Flow_Py]]</f>
        <v>Mg</v>
      </c>
      <c r="AI87" s="190">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35</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276</v>
      </c>
      <c r="AC88" s="190">
        <f>INDEX(Tab_Def_Flows[[Flow_ID]:[CC_DM_source]],MATCH(Tab_Data_Flows[[#This Row],[Name(EN)]],Tab_Def_Flows[Name(EN)],0),13)</f>
        <v>0</v>
      </c>
      <c r="AD88" s="9" t="str">
        <f>IF(J88="Yes",AA88*Tab_Data_Flows[[#This Row],[WC_'[%']]],"N.A.")</f>
        <v>N.A.</v>
      </c>
      <c r="AE88" s="9" t="str">
        <f>Tab_Data_Flows[[#This Row],[UoM_Flow_Py]]</f>
        <v>Mg</v>
      </c>
      <c r="AF88" s="190">
        <f>INDEX(Tab_Def_Flows[[Flow_ID]:[CC_DM_source]],MATCH(Tab_Data_Flows[[#This Row],[Name(EN)]],Tab_Def_Flows[Name(EN)],0),15)</f>
        <v>0</v>
      </c>
      <c r="AG88" s="9" t="str">
        <f>IF(K88="Yes",AF88*Tab_Data_Flows[[#This Row],[Flow_Py]],"N.A.")</f>
        <v>N.A.</v>
      </c>
      <c r="AH88" s="9" t="str">
        <f>Tab_Data_Flows[[#This Row],[UoM_Flow_Py]]</f>
        <v>Mg</v>
      </c>
      <c r="AI88" s="190">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35</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105</v>
      </c>
      <c r="O89" s="48"/>
      <c r="P89" s="11"/>
      <c r="Q89" s="11"/>
      <c r="R89" s="11"/>
      <c r="S89" s="11"/>
      <c r="T89" s="11"/>
      <c r="U89" s="11"/>
      <c r="V89" s="11"/>
      <c r="W89" s="11"/>
      <c r="X89" s="11" t="s">
        <v>8</v>
      </c>
      <c r="Y89" s="41"/>
      <c r="Z89" s="11"/>
      <c r="AA89" s="35">
        <f t="shared" si="3"/>
        <v>0</v>
      </c>
      <c r="AB89" s="11" t="s">
        <v>276</v>
      </c>
      <c r="AC89" s="190">
        <f>INDEX(Tab_Def_Flows[[Flow_ID]:[CC_DM_source]],MATCH(Tab_Data_Flows[[#This Row],[Name(EN)]],Tab_Def_Flows[Name(EN)],0),13)</f>
        <v>0</v>
      </c>
      <c r="AD89" s="9" t="str">
        <f>IF(J89="Yes",AA89*Tab_Data_Flows[[#This Row],[WC_'[%']]],"N.A.")</f>
        <v>N.A.</v>
      </c>
      <c r="AE89" s="9" t="str">
        <f>Tab_Data_Flows[[#This Row],[UoM_Flow_Py]]</f>
        <v>Mg</v>
      </c>
      <c r="AF89" s="190">
        <f>INDEX(Tab_Def_Flows[[Flow_ID]:[CC_DM_source]],MATCH(Tab_Data_Flows[[#This Row],[Name(EN)]],Tab_Def_Flows[Name(EN)],0),15)</f>
        <v>0</v>
      </c>
      <c r="AG89" s="9" t="str">
        <f>IF(K89="Yes",AF89*Tab_Data_Flows[[#This Row],[Flow_Py]],"N.A.")</f>
        <v>N.A.</v>
      </c>
      <c r="AH89" s="9" t="str">
        <f>Tab_Data_Flows[[#This Row],[UoM_Flow_Py]]</f>
        <v>Mg</v>
      </c>
      <c r="AI89" s="190">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35</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105</v>
      </c>
      <c r="O90" s="48"/>
      <c r="P90" s="11"/>
      <c r="Q90" s="11"/>
      <c r="R90" s="11"/>
      <c r="S90" s="11"/>
      <c r="T90" s="11"/>
      <c r="U90" s="11"/>
      <c r="V90" s="11"/>
      <c r="W90" s="11"/>
      <c r="X90" s="11" t="s">
        <v>8</v>
      </c>
      <c r="Y90" s="41"/>
      <c r="Z90" s="11"/>
      <c r="AA90" s="35">
        <f t="shared" si="3"/>
        <v>0</v>
      </c>
      <c r="AB90" s="11" t="s">
        <v>276</v>
      </c>
      <c r="AC90" s="190">
        <f>INDEX(Tab_Def_Flows[[Flow_ID]:[CC_DM_source]],MATCH(Tab_Data_Flows[[#This Row],[Name(EN)]],Tab_Def_Flows[Name(EN)],0),13)</f>
        <v>0</v>
      </c>
      <c r="AD90" s="9" t="str">
        <f>IF(J90="Yes",AA90*Tab_Data_Flows[[#This Row],[WC_'[%']]],"N.A.")</f>
        <v>N.A.</v>
      </c>
      <c r="AE90" s="9" t="str">
        <f>Tab_Data_Flows[[#This Row],[UoM_Flow_Py]]</f>
        <v>Mg</v>
      </c>
      <c r="AF90" s="190">
        <f>INDEX(Tab_Def_Flows[[Flow_ID]:[CC_DM_source]],MATCH(Tab_Data_Flows[[#This Row],[Name(EN)]],Tab_Def_Flows[Name(EN)],0),15)</f>
        <v>0</v>
      </c>
      <c r="AG90" s="9" t="str">
        <f>IF(K90="Yes",AF90*Tab_Data_Flows[[#This Row],[Flow_Py]],"N.A.")</f>
        <v>N.A.</v>
      </c>
      <c r="AH90" s="9" t="str">
        <f>Tab_Data_Flows[[#This Row],[UoM_Flow_Py]]</f>
        <v>Mg</v>
      </c>
      <c r="AI90" s="190">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35</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105</v>
      </c>
      <c r="O91" s="48"/>
      <c r="P91" s="11"/>
      <c r="Q91" s="11"/>
      <c r="R91" s="11"/>
      <c r="S91" s="11"/>
      <c r="T91" s="11"/>
      <c r="U91" s="11"/>
      <c r="V91" s="11"/>
      <c r="W91" s="11"/>
      <c r="X91" s="11" t="s">
        <v>8</v>
      </c>
      <c r="Y91" s="41"/>
      <c r="Z91" s="11"/>
      <c r="AA91" s="35">
        <f t="shared" si="3"/>
        <v>0</v>
      </c>
      <c r="AB91" s="11" t="s">
        <v>276</v>
      </c>
      <c r="AC91" s="190">
        <f>INDEX(Tab_Def_Flows[[Flow_ID]:[CC_DM_source]],MATCH(Tab_Data_Flows[[#This Row],[Name(EN)]],Tab_Def_Flows[Name(EN)],0),13)</f>
        <v>0</v>
      </c>
      <c r="AD91" s="9" t="str">
        <f>IF(J91="Yes",AA91*Tab_Data_Flows[[#This Row],[WC_'[%']]],"N.A.")</f>
        <v>N.A.</v>
      </c>
      <c r="AE91" s="9" t="str">
        <f>Tab_Data_Flows[[#This Row],[UoM_Flow_Py]]</f>
        <v>Mg</v>
      </c>
      <c r="AF91" s="190">
        <f>INDEX(Tab_Def_Flows[[Flow_ID]:[CC_DM_source]],MATCH(Tab_Data_Flows[[#This Row],[Name(EN)]],Tab_Def_Flows[Name(EN)],0),15)</f>
        <v>0</v>
      </c>
      <c r="AG91" s="9" t="str">
        <f>IF(K91="Yes",AF91*Tab_Data_Flows[[#This Row],[Flow_Py]],"N.A.")</f>
        <v>N.A.</v>
      </c>
      <c r="AH91" s="9" t="str">
        <f>Tab_Data_Flows[[#This Row],[UoM_Flow_Py]]</f>
        <v>Mg</v>
      </c>
      <c r="AI91" s="190">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35</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105</v>
      </c>
      <c r="O92" s="48"/>
      <c r="P92" s="11"/>
      <c r="Q92" s="11"/>
      <c r="R92" s="11"/>
      <c r="S92" s="11"/>
      <c r="T92" s="11"/>
      <c r="U92" s="11"/>
      <c r="V92" s="11"/>
      <c r="W92" s="11"/>
      <c r="X92" s="11" t="s">
        <v>8</v>
      </c>
      <c r="Y92" s="41"/>
      <c r="Z92" s="11"/>
      <c r="AA92" s="35">
        <f t="shared" si="3"/>
        <v>0</v>
      </c>
      <c r="AB92" s="11" t="s">
        <v>276</v>
      </c>
      <c r="AC92" s="190">
        <f>INDEX(Tab_Def_Flows[[Flow_ID]:[CC_DM_source]],MATCH(Tab_Data_Flows[[#This Row],[Name(EN)]],Tab_Def_Flows[Name(EN)],0),13)</f>
        <v>0</v>
      </c>
      <c r="AD92" s="9" t="str">
        <f>IF(J92="Yes",AA92*Tab_Data_Flows[[#This Row],[WC_'[%']]],"N.A.")</f>
        <v>N.A.</v>
      </c>
      <c r="AE92" s="9" t="str">
        <f>Tab_Data_Flows[[#This Row],[UoM_Flow_Py]]</f>
        <v>Mg</v>
      </c>
      <c r="AF92" s="190">
        <f>INDEX(Tab_Def_Flows[[Flow_ID]:[CC_DM_source]],MATCH(Tab_Data_Flows[[#This Row],[Name(EN)]],Tab_Def_Flows[Name(EN)],0),15)</f>
        <v>0</v>
      </c>
      <c r="AG92" s="9" t="str">
        <f>IF(K92="Yes",AF92*Tab_Data_Flows[[#This Row],[Flow_Py]],"N.A.")</f>
        <v>N.A.</v>
      </c>
      <c r="AH92" s="9" t="str">
        <f>Tab_Data_Flows[[#This Row],[UoM_Flow_Py]]</f>
        <v>Mg</v>
      </c>
      <c r="AI92" s="190">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35</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105</v>
      </c>
      <c r="O93" s="48"/>
      <c r="P93" s="11"/>
      <c r="Q93" s="11"/>
      <c r="R93" s="11"/>
      <c r="S93" s="11"/>
      <c r="T93" s="11"/>
      <c r="U93" s="11"/>
      <c r="V93" s="11"/>
      <c r="W93" s="11"/>
      <c r="X93" s="11" t="s">
        <v>8</v>
      </c>
      <c r="Y93" s="41"/>
      <c r="Z93" s="11"/>
      <c r="AA93" s="35">
        <f t="shared" si="3"/>
        <v>0</v>
      </c>
      <c r="AB93" s="11" t="s">
        <v>276</v>
      </c>
      <c r="AC93" s="190">
        <f>INDEX(Tab_Def_Flows[[Flow_ID]:[CC_DM_source]],MATCH(Tab_Data_Flows[[#This Row],[Name(EN)]],Tab_Def_Flows[Name(EN)],0),13)</f>
        <v>0</v>
      </c>
      <c r="AD93" s="9" t="str">
        <f>IF(J93="Yes",AA93*Tab_Data_Flows[[#This Row],[WC_'[%']]],"N.A.")</f>
        <v>N.A.</v>
      </c>
      <c r="AE93" s="9" t="str">
        <f>Tab_Data_Flows[[#This Row],[UoM_Flow_Py]]</f>
        <v>Mg</v>
      </c>
      <c r="AF93" s="190">
        <f>INDEX(Tab_Def_Flows[[Flow_ID]:[CC_DM_source]],MATCH(Tab_Data_Flows[[#This Row],[Name(EN)]],Tab_Def_Flows[Name(EN)],0),15)</f>
        <v>0</v>
      </c>
      <c r="AG93" s="9" t="str">
        <f>IF(K93="Yes",AF93*Tab_Data_Flows[[#This Row],[Flow_Py]],"N.A.")</f>
        <v>N.A.</v>
      </c>
      <c r="AH93" s="9" t="str">
        <f>Tab_Data_Flows[[#This Row],[UoM_Flow_Py]]</f>
        <v>Mg</v>
      </c>
      <c r="AI93" s="190">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35</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105</v>
      </c>
      <c r="O94" s="48"/>
      <c r="P94" s="11"/>
      <c r="Q94" s="11"/>
      <c r="R94" s="11"/>
      <c r="S94" s="11"/>
      <c r="T94" s="11"/>
      <c r="U94" s="11"/>
      <c r="V94" s="11"/>
      <c r="W94" s="11"/>
      <c r="X94" s="11" t="s">
        <v>8</v>
      </c>
      <c r="Y94" s="41"/>
      <c r="Z94" s="11"/>
      <c r="AA94" s="35">
        <f t="shared" si="3"/>
        <v>0</v>
      </c>
      <c r="AB94" s="11" t="s">
        <v>276</v>
      </c>
      <c r="AC94" s="190">
        <f>INDEX(Tab_Def_Flows[[Flow_ID]:[CC_DM_source]],MATCH(Tab_Data_Flows[[#This Row],[Name(EN)]],Tab_Def_Flows[Name(EN)],0),13)</f>
        <v>0</v>
      </c>
      <c r="AD94" s="9" t="str">
        <f>IF(J94="Yes",AA94*Tab_Data_Flows[[#This Row],[WC_'[%']]],"N.A.")</f>
        <v>N.A.</v>
      </c>
      <c r="AE94" s="9" t="str">
        <f>Tab_Data_Flows[[#This Row],[UoM_Flow_Py]]</f>
        <v>Mg</v>
      </c>
      <c r="AF94" s="190">
        <f>INDEX(Tab_Def_Flows[[Flow_ID]:[CC_DM_source]],MATCH(Tab_Data_Flows[[#This Row],[Name(EN)]],Tab_Def_Flows[Name(EN)],0),15)</f>
        <v>0</v>
      </c>
      <c r="AG94" s="9" t="str">
        <f>IF(K94="Yes",AF94*Tab_Data_Flows[[#This Row],[Flow_Py]],"N.A.")</f>
        <v>N.A.</v>
      </c>
      <c r="AH94" s="9" t="str">
        <f>Tab_Data_Flows[[#This Row],[UoM_Flow_Py]]</f>
        <v>Mg</v>
      </c>
      <c r="AI94" s="190">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35</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105</v>
      </c>
      <c r="O95" s="48"/>
      <c r="P95" s="11"/>
      <c r="Q95" s="11"/>
      <c r="R95" s="11"/>
      <c r="S95" s="11"/>
      <c r="T95" s="11"/>
      <c r="U95" s="11"/>
      <c r="V95" s="11"/>
      <c r="W95" s="11"/>
      <c r="X95" s="11" t="s">
        <v>8</v>
      </c>
      <c r="Y95" s="41"/>
      <c r="Z95" s="11"/>
      <c r="AA95" s="35">
        <f t="shared" si="3"/>
        <v>0</v>
      </c>
      <c r="AB95" s="11" t="s">
        <v>276</v>
      </c>
      <c r="AC95" s="190">
        <f>INDEX(Tab_Def_Flows[[Flow_ID]:[CC_DM_source]],MATCH(Tab_Data_Flows[[#This Row],[Name(EN)]],Tab_Def_Flows[Name(EN)],0),13)</f>
        <v>0</v>
      </c>
      <c r="AD95" s="9" t="str">
        <f>IF(J95="Yes",AA95*Tab_Data_Flows[[#This Row],[WC_'[%']]],"N.A.")</f>
        <v>N.A.</v>
      </c>
      <c r="AE95" s="9" t="str">
        <f>Tab_Data_Flows[[#This Row],[UoM_Flow_Py]]</f>
        <v>Mg</v>
      </c>
      <c r="AF95" s="190">
        <f>INDEX(Tab_Def_Flows[[Flow_ID]:[CC_DM_source]],MATCH(Tab_Data_Flows[[#This Row],[Name(EN)]],Tab_Def_Flows[Name(EN)],0),15)</f>
        <v>0</v>
      </c>
      <c r="AG95" s="9" t="str">
        <f>IF(K95="Yes",AF95*Tab_Data_Flows[[#This Row],[Flow_Py]],"N.A.")</f>
        <v>N.A.</v>
      </c>
      <c r="AH95" s="9" t="str">
        <f>Tab_Data_Flows[[#This Row],[UoM_Flow_Py]]</f>
        <v>Mg</v>
      </c>
      <c r="AI95" s="190">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35</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276</v>
      </c>
      <c r="AC96" s="190">
        <f>INDEX(Tab_Def_Flows[[Flow_ID]:[CC_DM_source]],MATCH(Tab_Data_Flows[[#This Row],[Name(EN)]],Tab_Def_Flows[Name(EN)],0),13)</f>
        <v>0</v>
      </c>
      <c r="AD96" s="9" t="str">
        <f>IF(J96="Yes",AA96*Tab_Data_Flows[[#This Row],[WC_'[%']]],"N.A.")</f>
        <v>N.A.</v>
      </c>
      <c r="AE96" s="9" t="str">
        <f>Tab_Data_Flows[[#This Row],[UoM_Flow_Py]]</f>
        <v>Mg</v>
      </c>
      <c r="AF96" s="190">
        <f>INDEX(Tab_Def_Flows[[Flow_ID]:[CC_DM_source]],MATCH(Tab_Data_Flows[[#This Row],[Name(EN)]],Tab_Def_Flows[Name(EN)],0),15)</f>
        <v>0</v>
      </c>
      <c r="AG96" s="9" t="str">
        <f>IF(K96="Yes",AF96*Tab_Data_Flows[[#This Row],[Flow_Py]],"N.A.")</f>
        <v>N.A.</v>
      </c>
      <c r="AH96" s="9" t="str">
        <f>Tab_Data_Flows[[#This Row],[UoM_Flow_Py]]</f>
        <v>Mg</v>
      </c>
      <c r="AI96" s="190">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35</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276</v>
      </c>
      <c r="AC97" s="190">
        <f>INDEX(Tab_Def_Flows[[Flow_ID]:[CC_DM_source]],MATCH(Tab_Data_Flows[[#This Row],[Name(EN)]],Tab_Def_Flows[Name(EN)],0),13)</f>
        <v>0</v>
      </c>
      <c r="AD97" s="9" t="str">
        <f>IF(J97="Yes",AA97*Tab_Data_Flows[[#This Row],[WC_'[%']]],"N.A.")</f>
        <v>N.A.</v>
      </c>
      <c r="AE97" s="9" t="str">
        <f>Tab_Data_Flows[[#This Row],[UoM_Flow_Py]]</f>
        <v>Mg</v>
      </c>
      <c r="AF97" s="190">
        <f>INDEX(Tab_Def_Flows[[Flow_ID]:[CC_DM_source]],MATCH(Tab_Data_Flows[[#This Row],[Name(EN)]],Tab_Def_Flows[Name(EN)],0),15)</f>
        <v>0</v>
      </c>
      <c r="AG97" s="9" t="str">
        <f>IF(K97="Yes",AF97*Tab_Data_Flows[[#This Row],[Flow_Py]],"N.A.")</f>
        <v>N.A.</v>
      </c>
      <c r="AH97" s="9" t="str">
        <f>Tab_Data_Flows[[#This Row],[UoM_Flow_Py]]</f>
        <v>Mg</v>
      </c>
      <c r="AI97" s="190">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35</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276</v>
      </c>
      <c r="AC98" s="190">
        <f>INDEX(Tab_Def_Flows[[Flow_ID]:[CC_DM_source]],MATCH(Tab_Data_Flows[[#This Row],[Name(EN)]],Tab_Def_Flows[Name(EN)],0),13)</f>
        <v>0</v>
      </c>
      <c r="AD98" s="9" t="str">
        <f>IF(J98="Yes",AA98*Tab_Data_Flows[[#This Row],[WC_'[%']]],"N.A.")</f>
        <v>N.A.</v>
      </c>
      <c r="AE98" s="9" t="str">
        <f>Tab_Data_Flows[[#This Row],[UoM_Flow_Py]]</f>
        <v>Mg</v>
      </c>
      <c r="AF98" s="190">
        <f>INDEX(Tab_Def_Flows[[Flow_ID]:[CC_DM_source]],MATCH(Tab_Data_Flows[[#This Row],[Name(EN)]],Tab_Def_Flows[Name(EN)],0),15)</f>
        <v>0</v>
      </c>
      <c r="AG98" s="9" t="str">
        <f>IF(K98="Yes",AF98*Tab_Data_Flows[[#This Row],[Flow_Py]],"N.A.")</f>
        <v>N.A.</v>
      </c>
      <c r="AH98" s="9" t="str">
        <f>Tab_Data_Flows[[#This Row],[UoM_Flow_Py]]</f>
        <v>Mg</v>
      </c>
      <c r="AI98" s="190">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35</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276</v>
      </c>
      <c r="AC99" s="190">
        <f>INDEX(Tab_Def_Flows[[Flow_ID]:[CC_DM_source]],MATCH(Tab_Data_Flows[[#This Row],[Name(EN)]],Tab_Def_Flows[Name(EN)],0),13)</f>
        <v>0</v>
      </c>
      <c r="AD99" s="9" t="str">
        <f>IF(J99="Yes",AA99*Tab_Data_Flows[[#This Row],[WC_'[%']]],"N.A.")</f>
        <v>N.A.</v>
      </c>
      <c r="AE99" s="9" t="str">
        <f>Tab_Data_Flows[[#This Row],[UoM_Flow_Py]]</f>
        <v>Mg</v>
      </c>
      <c r="AF99" s="190">
        <f>INDEX(Tab_Def_Flows[[Flow_ID]:[CC_DM_source]],MATCH(Tab_Data_Flows[[#This Row],[Name(EN)]],Tab_Def_Flows[Name(EN)],0),15)</f>
        <v>0</v>
      </c>
      <c r="AG99" s="9" t="str">
        <f>IF(K99="Yes",AF99*Tab_Data_Flows[[#This Row],[Flow_Py]],"N.A.")</f>
        <v>N.A.</v>
      </c>
      <c r="AH99" s="9" t="str">
        <f>Tab_Data_Flows[[#This Row],[UoM_Flow_Py]]</f>
        <v>Mg</v>
      </c>
      <c r="AI99" s="190">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35</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276</v>
      </c>
      <c r="AC100" s="190">
        <f>INDEX(Tab_Def_Flows[[Flow_ID]:[CC_DM_source]],MATCH(Tab_Data_Flows[[#This Row],[Name(EN)]],Tab_Def_Flows[Name(EN)],0),13)</f>
        <v>0</v>
      </c>
      <c r="AD100" s="9" t="str">
        <f>IF(J100="Yes",AA100*Tab_Data_Flows[[#This Row],[WC_'[%']]],"N.A.")</f>
        <v>N.A.</v>
      </c>
      <c r="AE100" s="9" t="str">
        <f>Tab_Data_Flows[[#This Row],[UoM_Flow_Py]]</f>
        <v>Mg</v>
      </c>
      <c r="AF100" s="190">
        <f>INDEX(Tab_Def_Flows[[Flow_ID]:[CC_DM_source]],MATCH(Tab_Data_Flows[[#This Row],[Name(EN)]],Tab_Def_Flows[Name(EN)],0),15)</f>
        <v>0</v>
      </c>
      <c r="AG100" s="9" t="str">
        <f>IF(K100="Yes",AF100*Tab_Data_Flows[[#This Row],[Flow_Py]],"N.A.")</f>
        <v>N.A.</v>
      </c>
      <c r="AH100" s="9" t="str">
        <f>Tab_Data_Flows[[#This Row],[UoM_Flow_Py]]</f>
        <v>Mg</v>
      </c>
      <c r="AI100" s="190">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35</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276</v>
      </c>
      <c r="AC101" s="190">
        <f>INDEX(Tab_Def_Flows[[Flow_ID]:[CC_DM_source]],MATCH(Tab_Data_Flows[[#This Row],[Name(EN)]],Tab_Def_Flows[Name(EN)],0),13)</f>
        <v>0</v>
      </c>
      <c r="AD101" s="9" t="str">
        <f>IF(J101="Yes",AA101*Tab_Data_Flows[[#This Row],[WC_'[%']]],"N.A.")</f>
        <v>N.A.</v>
      </c>
      <c r="AE101" s="9" t="str">
        <f>Tab_Data_Flows[[#This Row],[UoM_Flow_Py]]</f>
        <v>Mg</v>
      </c>
      <c r="AF101" s="190">
        <f>INDEX(Tab_Def_Flows[[Flow_ID]:[CC_DM_source]],MATCH(Tab_Data_Flows[[#This Row],[Name(EN)]],Tab_Def_Flows[Name(EN)],0),15)</f>
        <v>0</v>
      </c>
      <c r="AG101" s="9" t="str">
        <f>IF(K101="Yes",AF101*Tab_Data_Flows[[#This Row],[Flow_Py]],"N.A.")</f>
        <v>N.A.</v>
      </c>
      <c r="AH101" s="9" t="str">
        <f>Tab_Data_Flows[[#This Row],[UoM_Flow_Py]]</f>
        <v>Mg</v>
      </c>
      <c r="AI101" s="190">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35</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276</v>
      </c>
      <c r="AC102" s="190">
        <f>INDEX(Tab_Def_Flows[[Flow_ID]:[CC_DM_source]],MATCH(Tab_Data_Flows[[#This Row],[Name(EN)]],Tab_Def_Flows[Name(EN)],0),13)</f>
        <v>0</v>
      </c>
      <c r="AD102" s="9" t="str">
        <f>IF(J102="Yes",AA102*Tab_Data_Flows[[#This Row],[WC_'[%']]],"N.A.")</f>
        <v>N.A.</v>
      </c>
      <c r="AE102" s="9" t="str">
        <f>Tab_Data_Flows[[#This Row],[UoM_Flow_Py]]</f>
        <v>Mg</v>
      </c>
      <c r="AF102" s="190">
        <f>INDEX(Tab_Def_Flows[[Flow_ID]:[CC_DM_source]],MATCH(Tab_Data_Flows[[#This Row],[Name(EN)]],Tab_Def_Flows[Name(EN)],0),15)</f>
        <v>0</v>
      </c>
      <c r="AG102" s="9" t="str">
        <f>IF(K102="Yes",AF102*Tab_Data_Flows[[#This Row],[Flow_Py]],"N.A.")</f>
        <v>N.A.</v>
      </c>
      <c r="AH102" s="9" t="str">
        <f>Tab_Data_Flows[[#This Row],[UoM_Flow_Py]]</f>
        <v>Mg</v>
      </c>
      <c r="AI102" s="190">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35</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276</v>
      </c>
      <c r="AC103" s="190">
        <f>INDEX(Tab_Def_Flows[[Flow_ID]:[CC_DM_source]],MATCH(Tab_Data_Flows[[#This Row],[Name(EN)]],Tab_Def_Flows[Name(EN)],0),13)</f>
        <v>0</v>
      </c>
      <c r="AD103" s="9" t="str">
        <f>IF(J103="Yes",AA103*Tab_Data_Flows[[#This Row],[WC_'[%']]],"N.A.")</f>
        <v>N.A.</v>
      </c>
      <c r="AE103" s="9" t="str">
        <f>Tab_Data_Flows[[#This Row],[UoM_Flow_Py]]</f>
        <v>Mg</v>
      </c>
      <c r="AF103" s="190">
        <f>INDEX(Tab_Def_Flows[[Flow_ID]:[CC_DM_source]],MATCH(Tab_Data_Flows[[#This Row],[Name(EN)]],Tab_Def_Flows[Name(EN)],0),15)</f>
        <v>0</v>
      </c>
      <c r="AG103" s="9" t="str">
        <f>IF(K103="Yes",AF103*Tab_Data_Flows[[#This Row],[Flow_Py]],"N.A.")</f>
        <v>N.A.</v>
      </c>
      <c r="AH103" s="9" t="str">
        <f>Tab_Data_Flows[[#This Row],[UoM_Flow_Py]]</f>
        <v>Mg</v>
      </c>
      <c r="AI103" s="190">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35</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276</v>
      </c>
      <c r="AC104" s="190">
        <f>INDEX(Tab_Def_Flows[[Flow_ID]:[CC_DM_source]],MATCH(Tab_Data_Flows[[#This Row],[Name(EN)]],Tab_Def_Flows[Name(EN)],0),13)</f>
        <v>0</v>
      </c>
      <c r="AD104" s="9" t="str">
        <f>IF(J104="Yes",AA104*Tab_Data_Flows[[#This Row],[WC_'[%']]],"N.A.")</f>
        <v>N.A.</v>
      </c>
      <c r="AE104" s="9" t="str">
        <f>Tab_Data_Flows[[#This Row],[UoM_Flow_Py]]</f>
        <v>Mg</v>
      </c>
      <c r="AF104" s="190">
        <f>INDEX(Tab_Def_Flows[[Flow_ID]:[CC_DM_source]],MATCH(Tab_Data_Flows[[#This Row],[Name(EN)]],Tab_Def_Flows[Name(EN)],0),15)</f>
        <v>0</v>
      </c>
      <c r="AG104" s="9" t="str">
        <f>IF(K104="Yes",AF104*Tab_Data_Flows[[#This Row],[Flow_Py]],"N.A.")</f>
        <v>N.A.</v>
      </c>
      <c r="AH104" s="9" t="str">
        <f>Tab_Data_Flows[[#This Row],[UoM_Flow_Py]]</f>
        <v>Mg</v>
      </c>
      <c r="AI104" s="190">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35</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276</v>
      </c>
      <c r="AC105" s="190">
        <f>INDEX(Tab_Def_Flows[[Flow_ID]:[CC_DM_source]],MATCH(Tab_Data_Flows[[#This Row],[Name(EN)]],Tab_Def_Flows[Name(EN)],0),13)</f>
        <v>0</v>
      </c>
      <c r="AD105" s="9" t="str">
        <f>IF(J105="Yes",AA105*Tab_Data_Flows[[#This Row],[WC_'[%']]],"N.A.")</f>
        <v>N.A.</v>
      </c>
      <c r="AE105" s="9" t="str">
        <f>Tab_Data_Flows[[#This Row],[UoM_Flow_Py]]</f>
        <v>Mg</v>
      </c>
      <c r="AF105" s="190">
        <f>INDEX(Tab_Def_Flows[[Flow_ID]:[CC_DM_source]],MATCH(Tab_Data_Flows[[#This Row],[Name(EN)]],Tab_Def_Flows[Name(EN)],0),15)</f>
        <v>0</v>
      </c>
      <c r="AG105" s="9" t="str">
        <f>IF(K105="Yes",AF105*Tab_Data_Flows[[#This Row],[Flow_Py]],"N.A.")</f>
        <v>N.A.</v>
      </c>
      <c r="AH105" s="9" t="str">
        <f>Tab_Data_Flows[[#This Row],[UoM_Flow_Py]]</f>
        <v>Mg</v>
      </c>
      <c r="AI105" s="190">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35</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276</v>
      </c>
      <c r="AC106" s="190">
        <f>INDEX(Tab_Def_Flows[[Flow_ID]:[CC_DM_source]],MATCH(Tab_Data_Flows[[#This Row],[Name(EN)]],Tab_Def_Flows[Name(EN)],0),13)</f>
        <v>0</v>
      </c>
      <c r="AD106" s="9" t="str">
        <f>IF(J106="Yes",AA106*Tab_Data_Flows[[#This Row],[WC_'[%']]],"N.A.")</f>
        <v>N.A.</v>
      </c>
      <c r="AE106" s="9" t="str">
        <f>Tab_Data_Flows[[#This Row],[UoM_Flow_Py]]</f>
        <v>Mg</v>
      </c>
      <c r="AF106" s="190">
        <f>INDEX(Tab_Def_Flows[[Flow_ID]:[CC_DM_source]],MATCH(Tab_Data_Flows[[#This Row],[Name(EN)]],Tab_Def_Flows[Name(EN)],0),15)</f>
        <v>0</v>
      </c>
      <c r="AG106" s="9" t="str">
        <f>IF(K106="Yes",AF106*Tab_Data_Flows[[#This Row],[Flow_Py]],"N.A.")</f>
        <v>N.A.</v>
      </c>
      <c r="AH106" s="9" t="str">
        <f>Tab_Data_Flows[[#This Row],[UoM_Flow_Py]]</f>
        <v>Mg</v>
      </c>
      <c r="AI106" s="190">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35</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276</v>
      </c>
      <c r="AC107" s="190">
        <f>INDEX(Tab_Def_Flows[[Flow_ID]:[CC_DM_source]],MATCH(Tab_Data_Flows[[#This Row],[Name(EN)]],Tab_Def_Flows[Name(EN)],0),13)</f>
        <v>0</v>
      </c>
      <c r="AD107" s="9" t="str">
        <f>IF(J107="Yes",AA107*Tab_Data_Flows[[#This Row],[WC_'[%']]],"N.A.")</f>
        <v>N.A.</v>
      </c>
      <c r="AE107" s="9" t="str">
        <f>Tab_Data_Flows[[#This Row],[UoM_Flow_Py]]</f>
        <v>Mg</v>
      </c>
      <c r="AF107" s="190">
        <f>INDEX(Tab_Def_Flows[[Flow_ID]:[CC_DM_source]],MATCH(Tab_Data_Flows[[#This Row],[Name(EN)]],Tab_Def_Flows[Name(EN)],0),15)</f>
        <v>0</v>
      </c>
      <c r="AG107" s="9" t="str">
        <f>IF(K107="Yes",AF107*Tab_Data_Flows[[#This Row],[Flow_Py]],"N.A.")</f>
        <v>N.A.</v>
      </c>
      <c r="AH107" s="9" t="str">
        <f>Tab_Data_Flows[[#This Row],[UoM_Flow_Py]]</f>
        <v>Mg</v>
      </c>
      <c r="AI107" s="190">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35</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276</v>
      </c>
      <c r="AC108" s="190">
        <f>INDEX(Tab_Def_Flows[[Flow_ID]:[CC_DM_source]],MATCH(Tab_Data_Flows[[#This Row],[Name(EN)]],Tab_Def_Flows[Name(EN)],0),13)</f>
        <v>0</v>
      </c>
      <c r="AD108" s="9" t="str">
        <f>IF(J108="Yes",AA108*Tab_Data_Flows[[#This Row],[WC_'[%']]],"N.A.")</f>
        <v>N.A.</v>
      </c>
      <c r="AE108" s="9" t="str">
        <f>Tab_Data_Flows[[#This Row],[UoM_Flow_Py]]</f>
        <v>Mg</v>
      </c>
      <c r="AF108" s="190">
        <f>INDEX(Tab_Def_Flows[[Flow_ID]:[CC_DM_source]],MATCH(Tab_Data_Flows[[#This Row],[Name(EN)]],Tab_Def_Flows[Name(EN)],0),15)</f>
        <v>0</v>
      </c>
      <c r="AG108" s="9" t="str">
        <f>IF(K108="Yes",AF108*Tab_Data_Flows[[#This Row],[Flow_Py]],"N.A.")</f>
        <v>N.A.</v>
      </c>
      <c r="AH108" s="9" t="str">
        <f>Tab_Data_Flows[[#This Row],[UoM_Flow_Py]]</f>
        <v>Mg</v>
      </c>
      <c r="AI108" s="190">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35</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276</v>
      </c>
      <c r="AC109" s="190">
        <f>INDEX(Tab_Def_Flows[[Flow_ID]:[CC_DM_source]],MATCH(Tab_Data_Flows[[#This Row],[Name(EN)]],Tab_Def_Flows[Name(EN)],0),13)</f>
        <v>0</v>
      </c>
      <c r="AD109" s="9" t="str">
        <f>IF(J109="Yes",AA109*Tab_Data_Flows[[#This Row],[WC_'[%']]],"N.A.")</f>
        <v>N.A.</v>
      </c>
      <c r="AE109" s="9" t="str">
        <f>Tab_Data_Flows[[#This Row],[UoM_Flow_Py]]</f>
        <v>Mg</v>
      </c>
      <c r="AF109" s="190">
        <f>INDEX(Tab_Def_Flows[[Flow_ID]:[CC_DM_source]],MATCH(Tab_Data_Flows[[#This Row],[Name(EN)]],Tab_Def_Flows[Name(EN)],0),15)</f>
        <v>0</v>
      </c>
      <c r="AG109" s="9" t="str">
        <f>IF(K109="Yes",AF109*Tab_Data_Flows[[#This Row],[Flow_Py]],"N.A.")</f>
        <v>N.A.</v>
      </c>
      <c r="AH109" s="9" t="str">
        <f>Tab_Data_Flows[[#This Row],[UoM_Flow_Py]]</f>
        <v>Mg</v>
      </c>
      <c r="AI109" s="190">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35</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276</v>
      </c>
      <c r="AC110" s="190">
        <f>INDEX(Tab_Def_Flows[[Flow_ID]:[CC_DM_source]],MATCH(Tab_Data_Flows[[#This Row],[Name(EN)]],Tab_Def_Flows[Name(EN)],0),13)</f>
        <v>0</v>
      </c>
      <c r="AD110" s="9" t="str">
        <f>IF(J110="Yes",AA110*Tab_Data_Flows[[#This Row],[WC_'[%']]],"N.A.")</f>
        <v>N.A.</v>
      </c>
      <c r="AE110" s="9" t="str">
        <f>Tab_Data_Flows[[#This Row],[UoM_Flow_Py]]</f>
        <v>Mg</v>
      </c>
      <c r="AF110" s="190">
        <f>INDEX(Tab_Def_Flows[[Flow_ID]:[CC_DM_source]],MATCH(Tab_Data_Flows[[#This Row],[Name(EN)]],Tab_Def_Flows[Name(EN)],0),15)</f>
        <v>0</v>
      </c>
      <c r="AG110" s="9" t="str">
        <f>IF(K110="Yes",AF110*Tab_Data_Flows[[#This Row],[Flow_Py]],"N.A.")</f>
        <v>N.A.</v>
      </c>
      <c r="AH110" s="9" t="str">
        <f>Tab_Data_Flows[[#This Row],[UoM_Flow_Py]]</f>
        <v>Mg</v>
      </c>
      <c r="AI110" s="190">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35</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276</v>
      </c>
      <c r="AC111" s="190">
        <f>INDEX(Tab_Def_Flows[[Flow_ID]:[CC_DM_source]],MATCH(Tab_Data_Flows[[#This Row],[Name(EN)]],Tab_Def_Flows[Name(EN)],0),13)</f>
        <v>0</v>
      </c>
      <c r="AD111" s="9" t="str">
        <f>IF(J111="Yes",AA111*Tab_Data_Flows[[#This Row],[WC_'[%']]],"N.A.")</f>
        <v>N.A.</v>
      </c>
      <c r="AE111" s="9" t="str">
        <f>Tab_Data_Flows[[#This Row],[UoM_Flow_Py]]</f>
        <v>Mg</v>
      </c>
      <c r="AF111" s="190">
        <f>INDEX(Tab_Def_Flows[[Flow_ID]:[CC_DM_source]],MATCH(Tab_Data_Flows[[#This Row],[Name(EN)]],Tab_Def_Flows[Name(EN)],0),15)</f>
        <v>0</v>
      </c>
      <c r="AG111" s="9" t="str">
        <f>IF(K111="Yes",AF111*Tab_Data_Flows[[#This Row],[Flow_Py]],"N.A.")</f>
        <v>N.A.</v>
      </c>
      <c r="AH111" s="9" t="str">
        <f>Tab_Data_Flows[[#This Row],[UoM_Flow_Py]]</f>
        <v>Mg</v>
      </c>
      <c r="AI111" s="190">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35</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276</v>
      </c>
      <c r="AC112" s="190">
        <f>INDEX(Tab_Def_Flows[[Flow_ID]:[CC_DM_source]],MATCH(Tab_Data_Flows[[#This Row],[Name(EN)]],Tab_Def_Flows[Name(EN)],0),13)</f>
        <v>0</v>
      </c>
      <c r="AD112" s="9" t="str">
        <f>IF(J112="Yes",AA112*Tab_Data_Flows[[#This Row],[WC_'[%']]],"N.A.")</f>
        <v>N.A.</v>
      </c>
      <c r="AE112" s="9" t="str">
        <f>Tab_Data_Flows[[#This Row],[UoM_Flow_Py]]</f>
        <v>Mg</v>
      </c>
      <c r="AF112" s="190">
        <f>INDEX(Tab_Def_Flows[[Flow_ID]:[CC_DM_source]],MATCH(Tab_Data_Flows[[#This Row],[Name(EN)]],Tab_Def_Flows[Name(EN)],0),15)</f>
        <v>0</v>
      </c>
      <c r="AG112" s="9" t="str">
        <f>IF(K112="Yes",AF112*Tab_Data_Flows[[#This Row],[Flow_Py]],"N.A.")</f>
        <v>N.A.</v>
      </c>
      <c r="AH112" s="9" t="str">
        <f>Tab_Data_Flows[[#This Row],[UoM_Flow_Py]]</f>
        <v>Mg</v>
      </c>
      <c r="AI112" s="190">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35</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276</v>
      </c>
      <c r="AC113" s="190">
        <f>INDEX(Tab_Def_Flows[[Flow_ID]:[CC_DM_source]],MATCH(Tab_Data_Flows[[#This Row],[Name(EN)]],Tab_Def_Flows[Name(EN)],0),13)</f>
        <v>0</v>
      </c>
      <c r="AD113" s="9" t="str">
        <f>IF(J113="Yes",AA113*Tab_Data_Flows[[#This Row],[WC_'[%']]],"N.A.")</f>
        <v>N.A.</v>
      </c>
      <c r="AE113" s="9" t="str">
        <f>Tab_Data_Flows[[#This Row],[UoM_Flow_Py]]</f>
        <v>Mg</v>
      </c>
      <c r="AF113" s="190">
        <f>INDEX(Tab_Def_Flows[[Flow_ID]:[CC_DM_source]],MATCH(Tab_Data_Flows[[#This Row],[Name(EN)]],Tab_Def_Flows[Name(EN)],0),15)</f>
        <v>0</v>
      </c>
      <c r="AG113" s="9" t="str">
        <f>IF(K113="Yes",AF113*Tab_Data_Flows[[#This Row],[Flow_Py]],"N.A.")</f>
        <v>N.A.</v>
      </c>
      <c r="AH113" s="9" t="str">
        <f>Tab_Data_Flows[[#This Row],[UoM_Flow_Py]]</f>
        <v>Mg</v>
      </c>
      <c r="AI113" s="190">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35</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276</v>
      </c>
      <c r="AC114" s="190">
        <f>INDEX(Tab_Def_Flows[[Flow_ID]:[CC_DM_source]],MATCH(Tab_Data_Flows[[#This Row],[Name(EN)]],Tab_Def_Flows[Name(EN)],0),13)</f>
        <v>0</v>
      </c>
      <c r="AD114" s="9" t="str">
        <f>IF(J114="Yes",AA114*Tab_Data_Flows[[#This Row],[WC_'[%']]],"N.A.")</f>
        <v>N.A.</v>
      </c>
      <c r="AE114" s="9" t="str">
        <f>Tab_Data_Flows[[#This Row],[UoM_Flow_Py]]</f>
        <v>Mg</v>
      </c>
      <c r="AF114" s="190">
        <f>INDEX(Tab_Def_Flows[[Flow_ID]:[CC_DM_source]],MATCH(Tab_Data_Flows[[#This Row],[Name(EN)]],Tab_Def_Flows[Name(EN)],0),15)</f>
        <v>0</v>
      </c>
      <c r="AG114" s="9" t="str">
        <f>IF(K114="Yes",AF114*Tab_Data_Flows[[#This Row],[Flow_Py]],"N.A.")</f>
        <v>N.A.</v>
      </c>
      <c r="AH114" s="9" t="str">
        <f>Tab_Data_Flows[[#This Row],[UoM_Flow_Py]]</f>
        <v>Mg</v>
      </c>
      <c r="AI114" s="190">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35</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276</v>
      </c>
      <c r="AC115" s="190">
        <f>INDEX(Tab_Def_Flows[[Flow_ID]:[CC_DM_source]],MATCH(Tab_Data_Flows[[#This Row],[Name(EN)]],Tab_Def_Flows[Name(EN)],0),13)</f>
        <v>0</v>
      </c>
      <c r="AD115" s="9" t="str">
        <f>IF(J115="Yes",AA115*Tab_Data_Flows[[#This Row],[WC_'[%']]],"N.A.")</f>
        <v>N.A.</v>
      </c>
      <c r="AE115" s="9" t="str">
        <f>Tab_Data_Flows[[#This Row],[UoM_Flow_Py]]</f>
        <v>Mg</v>
      </c>
      <c r="AF115" s="190">
        <f>INDEX(Tab_Def_Flows[[Flow_ID]:[CC_DM_source]],MATCH(Tab_Data_Flows[[#This Row],[Name(EN)]],Tab_Def_Flows[Name(EN)],0),15)</f>
        <v>0</v>
      </c>
      <c r="AG115" s="9" t="str">
        <f>IF(K115="Yes",AF115*Tab_Data_Flows[[#This Row],[Flow_Py]],"N.A.")</f>
        <v>N.A.</v>
      </c>
      <c r="AH115" s="9" t="str">
        <f>Tab_Data_Flows[[#This Row],[UoM_Flow_Py]]</f>
        <v>Mg</v>
      </c>
      <c r="AI115" s="190">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35</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276</v>
      </c>
      <c r="AC116" s="190">
        <f>INDEX(Tab_Def_Flows[[Flow_ID]:[CC_DM_source]],MATCH(Tab_Data_Flows[[#This Row],[Name(EN)]],Tab_Def_Flows[Name(EN)],0),13)</f>
        <v>0</v>
      </c>
      <c r="AD116" s="9" t="str">
        <f>IF(J116="Yes",AA116*Tab_Data_Flows[[#This Row],[WC_'[%']]],"N.A.")</f>
        <v>N.A.</v>
      </c>
      <c r="AE116" s="9" t="str">
        <f>Tab_Data_Flows[[#This Row],[UoM_Flow_Py]]</f>
        <v>Mg</v>
      </c>
      <c r="AF116" s="190">
        <f>INDEX(Tab_Def_Flows[[Flow_ID]:[CC_DM_source]],MATCH(Tab_Data_Flows[[#This Row],[Name(EN)]],Tab_Def_Flows[Name(EN)],0),15)</f>
        <v>0</v>
      </c>
      <c r="AG116" s="9" t="str">
        <f>IF(K116="Yes",AF116*Tab_Data_Flows[[#This Row],[Flow_Py]],"N.A.")</f>
        <v>N.A.</v>
      </c>
      <c r="AH116" s="9" t="str">
        <f>Tab_Data_Flows[[#This Row],[UoM_Flow_Py]]</f>
        <v>Mg</v>
      </c>
      <c r="AI116" s="190">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35</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276</v>
      </c>
      <c r="AC117" s="190">
        <f>INDEX(Tab_Def_Flows[[Flow_ID]:[CC_DM_source]],MATCH(Tab_Data_Flows[[#This Row],[Name(EN)]],Tab_Def_Flows[Name(EN)],0),13)</f>
        <v>0</v>
      </c>
      <c r="AD117" s="9" t="str">
        <f>IF(J117="Yes",AA117*Tab_Data_Flows[[#This Row],[WC_'[%']]],"N.A.")</f>
        <v>N.A.</v>
      </c>
      <c r="AE117" s="9" t="str">
        <f>Tab_Data_Flows[[#This Row],[UoM_Flow_Py]]</f>
        <v>Mg</v>
      </c>
      <c r="AF117" s="190">
        <f>INDEX(Tab_Def_Flows[[Flow_ID]:[CC_DM_source]],MATCH(Tab_Data_Flows[[#This Row],[Name(EN)]],Tab_Def_Flows[Name(EN)],0),15)</f>
        <v>0</v>
      </c>
      <c r="AG117" s="9" t="str">
        <f>IF(K117="Yes",AF117*Tab_Data_Flows[[#This Row],[Flow_Py]],"N.A.")</f>
        <v>N.A.</v>
      </c>
      <c r="AH117" s="9" t="str">
        <f>Tab_Data_Flows[[#This Row],[UoM_Flow_Py]]</f>
        <v>Mg</v>
      </c>
      <c r="AI117" s="190">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35</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105</v>
      </c>
      <c r="O118" s="48"/>
      <c r="P118" s="11"/>
      <c r="Q118" s="11" t="s">
        <v>114</v>
      </c>
      <c r="R118" s="11"/>
      <c r="S118" s="11"/>
      <c r="T118" s="11"/>
      <c r="U118" s="11"/>
      <c r="V118" s="11"/>
      <c r="W118" s="11"/>
      <c r="X118" s="11" t="s">
        <v>8</v>
      </c>
      <c r="Y118" s="41"/>
      <c r="Z118" s="11"/>
      <c r="AA118" s="35">
        <f t="shared" si="3"/>
        <v>0</v>
      </c>
      <c r="AB118" s="11" t="s">
        <v>276</v>
      </c>
      <c r="AC118" s="190">
        <f>INDEX(Tab_Def_Flows[[Flow_ID]:[CC_DM_source]],MATCH(Tab_Data_Flows[[#This Row],[Name(EN)]],Tab_Def_Flows[Name(EN)],0),13)</f>
        <v>0</v>
      </c>
      <c r="AD118" s="9" t="str">
        <f>IF(J118="Yes",AA118*Tab_Data_Flows[[#This Row],[WC_'[%']]],"N.A.")</f>
        <v>N.A.</v>
      </c>
      <c r="AE118" s="9" t="str">
        <f>Tab_Data_Flows[[#This Row],[UoM_Flow_Py]]</f>
        <v>Mg</v>
      </c>
      <c r="AF118" s="190">
        <f>INDEX(Tab_Def_Flows[[Flow_ID]:[CC_DM_source]],MATCH(Tab_Data_Flows[[#This Row],[Name(EN)]],Tab_Def_Flows[Name(EN)],0),15)</f>
        <v>0</v>
      </c>
      <c r="AG118" s="9" t="str">
        <f>IF(K118="Yes",AF118*Tab_Data_Flows[[#This Row],[Flow_Py]],"N.A.")</f>
        <v>N.A.</v>
      </c>
      <c r="AH118" s="9" t="str">
        <f>Tab_Data_Flows[[#This Row],[UoM_Flow_Py]]</f>
        <v>Mg</v>
      </c>
      <c r="AI118" s="190">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35</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105</v>
      </c>
      <c r="O119" s="48"/>
      <c r="P119" s="11"/>
      <c r="Q119" s="11" t="s">
        <v>114</v>
      </c>
      <c r="R119" s="11"/>
      <c r="S119" s="11"/>
      <c r="T119" s="11"/>
      <c r="U119" s="11"/>
      <c r="V119" s="11"/>
      <c r="W119" s="11"/>
      <c r="X119" s="11" t="s">
        <v>8</v>
      </c>
      <c r="Y119" s="41"/>
      <c r="Z119" s="11"/>
      <c r="AA119" s="35">
        <f t="shared" si="3"/>
        <v>0</v>
      </c>
      <c r="AB119" s="11" t="s">
        <v>276</v>
      </c>
      <c r="AC119" s="190">
        <f>INDEX(Tab_Def_Flows[[Flow_ID]:[CC_DM_source]],MATCH(Tab_Data_Flows[[#This Row],[Name(EN)]],Tab_Def_Flows[Name(EN)],0),13)</f>
        <v>0</v>
      </c>
      <c r="AD119" s="9" t="str">
        <f>IF(J119="Yes",AA119*Tab_Data_Flows[[#This Row],[WC_'[%']]],"N.A.")</f>
        <v>N.A.</v>
      </c>
      <c r="AE119" s="9" t="str">
        <f>Tab_Data_Flows[[#This Row],[UoM_Flow_Py]]</f>
        <v>Mg</v>
      </c>
      <c r="AF119" s="190">
        <f>INDEX(Tab_Def_Flows[[Flow_ID]:[CC_DM_source]],MATCH(Tab_Data_Flows[[#This Row],[Name(EN)]],Tab_Def_Flows[Name(EN)],0),15)</f>
        <v>0</v>
      </c>
      <c r="AG119" s="9" t="str">
        <f>IF(K119="Yes",AF119*Tab_Data_Flows[[#This Row],[Flow_Py]]-AJ235,"N.A.")</f>
        <v>N.A.</v>
      </c>
      <c r="AH119" s="9" t="str">
        <f>Tab_Data_Flows[[#This Row],[UoM_Flow_Py]]</f>
        <v>Mg</v>
      </c>
      <c r="AI119" s="190">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35</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105</v>
      </c>
      <c r="O120" s="48"/>
      <c r="P120" s="11"/>
      <c r="Q120" s="11" t="s">
        <v>114</v>
      </c>
      <c r="R120" s="11"/>
      <c r="S120" s="11"/>
      <c r="T120" s="11"/>
      <c r="U120" s="11"/>
      <c r="V120" s="11"/>
      <c r="W120" s="11"/>
      <c r="X120" s="11" t="s">
        <v>8</v>
      </c>
      <c r="Y120" s="41"/>
      <c r="Z120" s="11"/>
      <c r="AA120" s="35">
        <f t="shared" si="3"/>
        <v>0</v>
      </c>
      <c r="AB120" s="11" t="s">
        <v>276</v>
      </c>
      <c r="AC120" s="190">
        <f>INDEX(Tab_Def_Flows[[Flow_ID]:[CC_DM_source]],MATCH(Tab_Data_Flows[[#This Row],[Name(EN)]],Tab_Def_Flows[Name(EN)],0),13)</f>
        <v>0</v>
      </c>
      <c r="AD120" s="9" t="str">
        <f>IF(J120="Yes",AA120*Tab_Data_Flows[[#This Row],[WC_'[%']]],"N.A.")</f>
        <v>N.A.</v>
      </c>
      <c r="AE120" s="9" t="str">
        <f>Tab_Data_Flows[[#This Row],[UoM_Flow_Py]]</f>
        <v>Mg</v>
      </c>
      <c r="AF120" s="190">
        <f>INDEX(Tab_Def_Flows[[Flow_ID]:[CC_DM_source]],MATCH(Tab_Data_Flows[[#This Row],[Name(EN)]],Tab_Def_Flows[Name(EN)],0),15)</f>
        <v>0</v>
      </c>
      <c r="AG120" s="9" t="str">
        <f>IF(K120="Yes",AF120*Tab_Data_Flows[[#This Row],[Flow_Py]]-AJ236,"N.A.")</f>
        <v>N.A.</v>
      </c>
      <c r="AH120" s="9" t="str">
        <f>Tab_Data_Flows[[#This Row],[UoM_Flow_Py]]</f>
        <v>Mg</v>
      </c>
      <c r="AI120" s="190">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35</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105</v>
      </c>
      <c r="O121" s="48"/>
      <c r="P121" s="11"/>
      <c r="Q121" s="11" t="s">
        <v>114</v>
      </c>
      <c r="R121" s="11"/>
      <c r="S121" s="11"/>
      <c r="T121" s="11"/>
      <c r="U121" s="11"/>
      <c r="V121" s="11"/>
      <c r="W121" s="11"/>
      <c r="X121" s="11" t="s">
        <v>8</v>
      </c>
      <c r="Y121" s="41"/>
      <c r="Z121" s="11"/>
      <c r="AA121" s="35">
        <f t="shared" si="3"/>
        <v>0</v>
      </c>
      <c r="AB121" s="11" t="s">
        <v>276</v>
      </c>
      <c r="AC121" s="190">
        <f>INDEX(Tab_Def_Flows[[Flow_ID]:[CC_DM_source]],MATCH(Tab_Data_Flows[[#This Row],[Name(EN)]],Tab_Def_Flows[Name(EN)],0),13)</f>
        <v>0</v>
      </c>
      <c r="AD121" s="9" t="str">
        <f>IF(J121="Yes",AA121*Tab_Data_Flows[[#This Row],[WC_'[%']]],"N.A.")</f>
        <v>N.A.</v>
      </c>
      <c r="AE121" s="9" t="str">
        <f>Tab_Data_Flows[[#This Row],[UoM_Flow_Py]]</f>
        <v>Mg</v>
      </c>
      <c r="AF121" s="190">
        <f>INDEX(Tab_Def_Flows[[Flow_ID]:[CC_DM_source]],MATCH(Tab_Data_Flows[[#This Row],[Name(EN)]],Tab_Def_Flows[Name(EN)],0),15)</f>
        <v>0</v>
      </c>
      <c r="AG121" s="9" t="str">
        <f>IF(K121="Yes",AF121*Tab_Data_Flows[[#This Row],[Flow_Py]]-AJ237,"N.A.")</f>
        <v>N.A.</v>
      </c>
      <c r="AH121" s="9" t="str">
        <f>Tab_Data_Flows[[#This Row],[UoM_Flow_Py]]</f>
        <v>Mg</v>
      </c>
      <c r="AI121" s="190">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35</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105</v>
      </c>
      <c r="O122" s="48"/>
      <c r="P122" s="11"/>
      <c r="Q122" s="11" t="s">
        <v>114</v>
      </c>
      <c r="R122" s="11"/>
      <c r="S122" s="11"/>
      <c r="T122" s="11"/>
      <c r="U122" s="11"/>
      <c r="V122" s="11"/>
      <c r="W122" s="11"/>
      <c r="X122" s="11" t="s">
        <v>8</v>
      </c>
      <c r="Y122" s="41"/>
      <c r="Z122" s="11"/>
      <c r="AA122" s="35">
        <f t="shared" si="3"/>
        <v>0</v>
      </c>
      <c r="AB122" s="11" t="s">
        <v>276</v>
      </c>
      <c r="AC122" s="190">
        <f>INDEX(Tab_Def_Flows[[Flow_ID]:[CC_DM_source]],MATCH(Tab_Data_Flows[[#This Row],[Name(EN)]],Tab_Def_Flows[Name(EN)],0),13)</f>
        <v>0</v>
      </c>
      <c r="AD122" s="9" t="str">
        <f>IF(J122="Yes",AA122*Tab_Data_Flows[[#This Row],[WC_'[%']]],"N.A.")</f>
        <v>N.A.</v>
      </c>
      <c r="AE122" s="9" t="str">
        <f>Tab_Data_Flows[[#This Row],[UoM_Flow_Py]]</f>
        <v>Mg</v>
      </c>
      <c r="AF122" s="190">
        <f>INDEX(Tab_Def_Flows[[Flow_ID]:[CC_DM_source]],MATCH(Tab_Data_Flows[[#This Row],[Name(EN)]],Tab_Def_Flows[Name(EN)],0),15)</f>
        <v>0</v>
      </c>
      <c r="AG122" s="9" t="str">
        <f>IF(K122="Yes",AF122*Tab_Data_Flows[[#This Row],[Flow_Py]]-AJ238,"N.A.")</f>
        <v>N.A.</v>
      </c>
      <c r="AH122" s="9" t="str">
        <f>Tab_Data_Flows[[#This Row],[UoM_Flow_Py]]</f>
        <v>Mg</v>
      </c>
      <c r="AI122" s="190">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35</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105</v>
      </c>
      <c r="O123" s="48"/>
      <c r="P123" s="11"/>
      <c r="Q123" s="11" t="s">
        <v>114</v>
      </c>
      <c r="R123" s="11"/>
      <c r="S123" s="11"/>
      <c r="T123" s="11"/>
      <c r="U123" s="11"/>
      <c r="V123" s="11"/>
      <c r="W123" s="11"/>
      <c r="X123" s="11" t="s">
        <v>8</v>
      </c>
      <c r="Y123" s="41"/>
      <c r="Z123" s="11"/>
      <c r="AA123" s="35">
        <f t="shared" si="3"/>
        <v>0</v>
      </c>
      <c r="AB123" s="11" t="s">
        <v>276</v>
      </c>
      <c r="AC123" s="190">
        <f>INDEX(Tab_Def_Flows[[Flow_ID]:[CC_DM_source]],MATCH(Tab_Data_Flows[[#This Row],[Name(EN)]],Tab_Def_Flows[Name(EN)],0),13)</f>
        <v>0</v>
      </c>
      <c r="AD123" s="9" t="str">
        <f>IF(J123="Yes",AA123*Tab_Data_Flows[[#This Row],[WC_'[%']]],"N.A.")</f>
        <v>N.A.</v>
      </c>
      <c r="AE123" s="9" t="str">
        <f>Tab_Data_Flows[[#This Row],[UoM_Flow_Py]]</f>
        <v>Mg</v>
      </c>
      <c r="AF123" s="190">
        <f>INDEX(Tab_Def_Flows[[Flow_ID]:[CC_DM_source]],MATCH(Tab_Data_Flows[[#This Row],[Name(EN)]],Tab_Def_Flows[Name(EN)],0),15)</f>
        <v>0</v>
      </c>
      <c r="AG123" s="9" t="str">
        <f>IF(K123="Yes",AF123*Tab_Data_Flows[[#This Row],[Flow_Py]]-AJ239,"N.A.")</f>
        <v>N.A.</v>
      </c>
      <c r="AH123" s="9" t="str">
        <f>Tab_Data_Flows[[#This Row],[UoM_Flow_Py]]</f>
        <v>Mg</v>
      </c>
      <c r="AI123" s="190">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35</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105</v>
      </c>
      <c r="O124" s="48"/>
      <c r="P124" s="11"/>
      <c r="Q124" s="11" t="s">
        <v>114</v>
      </c>
      <c r="R124" s="11"/>
      <c r="S124" s="11"/>
      <c r="T124" s="11"/>
      <c r="U124" s="11"/>
      <c r="V124" s="11"/>
      <c r="W124" s="11"/>
      <c r="X124" s="11" t="s">
        <v>8</v>
      </c>
      <c r="Y124" s="41"/>
      <c r="Z124" s="11"/>
      <c r="AA124" s="35">
        <f t="shared" si="3"/>
        <v>0</v>
      </c>
      <c r="AB124" s="11" t="s">
        <v>276</v>
      </c>
      <c r="AC124" s="190">
        <f>INDEX(Tab_Def_Flows[[Flow_ID]:[CC_DM_source]],MATCH(Tab_Data_Flows[[#This Row],[Name(EN)]],Tab_Def_Flows[Name(EN)],0),13)</f>
        <v>0</v>
      </c>
      <c r="AD124" s="9" t="str">
        <f>IF(J124="Yes",AA124*Tab_Data_Flows[[#This Row],[WC_'[%']]],"N.A.")</f>
        <v>N.A.</v>
      </c>
      <c r="AE124" s="9" t="str">
        <f>Tab_Data_Flows[[#This Row],[UoM_Flow_Py]]</f>
        <v>Mg</v>
      </c>
      <c r="AF124" s="190">
        <f>INDEX(Tab_Def_Flows[[Flow_ID]:[CC_DM_source]],MATCH(Tab_Data_Flows[[#This Row],[Name(EN)]],Tab_Def_Flows[Name(EN)],0),15)</f>
        <v>0</v>
      </c>
      <c r="AG124" s="9" t="str">
        <f>IF(K124="Yes",AF124*Tab_Data_Flows[[#This Row],[Flow_Py]]-AJ240,"N.A.")</f>
        <v>N.A.</v>
      </c>
      <c r="AH124" s="9" t="str">
        <f>Tab_Data_Flows[[#This Row],[UoM_Flow_Py]]</f>
        <v>Mg</v>
      </c>
      <c r="AI124" s="190">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35</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276</v>
      </c>
      <c r="AC125" s="190">
        <f>INDEX(Tab_Def_Flows[[Flow_ID]:[CC_DM_source]],MATCH(Tab_Data_Flows[[#This Row],[Name(EN)]],Tab_Def_Flows[Name(EN)],0),13)</f>
        <v>0</v>
      </c>
      <c r="AD125" s="9" t="str">
        <f>IF(J125="Yes",AA125*Tab_Data_Flows[[#This Row],[WC_'[%']]],"N.A.")</f>
        <v>N.A.</v>
      </c>
      <c r="AE125" s="9" t="str">
        <f>Tab_Data_Flows[[#This Row],[UoM_Flow_Py]]</f>
        <v>Mg</v>
      </c>
      <c r="AF125" s="190">
        <f>INDEX(Tab_Def_Flows[[Flow_ID]:[CC_DM_source]],MATCH(Tab_Data_Flows[[#This Row],[Name(EN)]],Tab_Def_Flows[Name(EN)],0),15)</f>
        <v>0</v>
      </c>
      <c r="AG125" s="9" t="str">
        <f>IF(K125="Yes",AF125*Tab_Data_Flows[[#This Row],[Flow_Py]]-AJ241,"N.A.")</f>
        <v>N.A.</v>
      </c>
      <c r="AH125" s="9" t="str">
        <f>Tab_Data_Flows[[#This Row],[UoM_Flow_Py]]</f>
        <v>Mg</v>
      </c>
      <c r="AI125" s="190">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35</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276</v>
      </c>
      <c r="AC126" s="190">
        <f>INDEX(Tab_Def_Flows[[Flow_ID]:[CC_DM_source]],MATCH(Tab_Data_Flows[[#This Row],[Name(EN)]],Tab_Def_Flows[Name(EN)],0),13)</f>
        <v>0</v>
      </c>
      <c r="AD126" s="9" t="str">
        <f>IF(J126="Yes",AA126*Tab_Data_Flows[[#This Row],[WC_'[%']]],"N.A.")</f>
        <v>N.A.</v>
      </c>
      <c r="AE126" s="9" t="str">
        <f>Tab_Data_Flows[[#This Row],[UoM_Flow_Py]]</f>
        <v>Mg</v>
      </c>
      <c r="AF126" s="190">
        <f>INDEX(Tab_Def_Flows[[Flow_ID]:[CC_DM_source]],MATCH(Tab_Data_Flows[[#This Row],[Name(EN)]],Tab_Def_Flows[Name(EN)],0),15)</f>
        <v>0</v>
      </c>
      <c r="AG126" s="9" t="str">
        <f>IF(K126="Yes",AF126*Tab_Data_Flows[[#This Row],[Flow_Py]]-AJ242,"N.A.")</f>
        <v>N.A.</v>
      </c>
      <c r="AH126" s="9" t="str">
        <f>Tab_Data_Flows[[#This Row],[UoM_Flow_Py]]</f>
        <v>Mg</v>
      </c>
      <c r="AI126" s="190">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35</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276</v>
      </c>
      <c r="AC127" s="190">
        <f>INDEX(Tab_Def_Flows[[Flow_ID]:[CC_DM_source]],MATCH(Tab_Data_Flows[[#This Row],[Name(EN)]],Tab_Def_Flows[Name(EN)],0),13)</f>
        <v>0</v>
      </c>
      <c r="AD127" s="9" t="str">
        <f>IF(J127="Yes",AA127*Tab_Data_Flows[[#This Row],[WC_'[%']]],"N.A.")</f>
        <v>N.A.</v>
      </c>
      <c r="AE127" s="9" t="str">
        <f>Tab_Data_Flows[[#This Row],[UoM_Flow_Py]]</f>
        <v>Mg</v>
      </c>
      <c r="AF127" s="190">
        <f>INDEX(Tab_Def_Flows[[Flow_ID]:[CC_DM_source]],MATCH(Tab_Data_Flows[[#This Row],[Name(EN)]],Tab_Def_Flows[Name(EN)],0),15)</f>
        <v>0</v>
      </c>
      <c r="AG127" s="9" t="str">
        <f>IF(K127="Yes",AF127*Tab_Data_Flows[[#This Row],[Flow_Py]]-AJ243,"N.A.")</f>
        <v>N.A.</v>
      </c>
      <c r="AH127" s="9" t="str">
        <f>Tab_Data_Flows[[#This Row],[UoM_Flow_Py]]</f>
        <v>Mg</v>
      </c>
      <c r="AI127" s="190">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35</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276</v>
      </c>
      <c r="AC128" s="190">
        <f>INDEX(Tab_Def_Flows[[Flow_ID]:[CC_DM_source]],MATCH(Tab_Data_Flows[[#This Row],[Name(EN)]],Tab_Def_Flows[Name(EN)],0),13)</f>
        <v>0</v>
      </c>
      <c r="AD128" s="9" t="str">
        <f>IF(J128="Yes",AA128*Tab_Data_Flows[[#This Row],[WC_'[%']]],"N.A.")</f>
        <v>N.A.</v>
      </c>
      <c r="AE128" s="9" t="str">
        <f>Tab_Data_Flows[[#This Row],[UoM_Flow_Py]]</f>
        <v>Mg</v>
      </c>
      <c r="AF128" s="190">
        <f>INDEX(Tab_Def_Flows[[Flow_ID]:[CC_DM_source]],MATCH(Tab_Data_Flows[[#This Row],[Name(EN)]],Tab_Def_Flows[Name(EN)],0),15)</f>
        <v>0</v>
      </c>
      <c r="AG128" s="9" t="str">
        <f>IF(K128="Yes",AF128*Tab_Data_Flows[[#This Row],[Flow_Py]]-AJ244,"N.A.")</f>
        <v>N.A.</v>
      </c>
      <c r="AH128" s="9" t="str">
        <f>Tab_Data_Flows[[#This Row],[UoM_Flow_Py]]</f>
        <v>Mg</v>
      </c>
      <c r="AI128" s="190">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35</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276</v>
      </c>
      <c r="AC129" s="190">
        <f>INDEX(Tab_Def_Flows[[Flow_ID]:[CC_DM_source]],MATCH(Tab_Data_Flows[[#This Row],[Name(EN)]],Tab_Def_Flows[Name(EN)],0),13)</f>
        <v>0</v>
      </c>
      <c r="AD129" s="9" t="str">
        <f>IF(J129="Yes",AA129*Tab_Data_Flows[[#This Row],[WC_'[%']]],"N.A.")</f>
        <v>N.A.</v>
      </c>
      <c r="AE129" s="9" t="str">
        <f>Tab_Data_Flows[[#This Row],[UoM_Flow_Py]]</f>
        <v>Mg</v>
      </c>
      <c r="AF129" s="190">
        <f>INDEX(Tab_Def_Flows[[Flow_ID]:[CC_DM_source]],MATCH(Tab_Data_Flows[[#This Row],[Name(EN)]],Tab_Def_Flows[Name(EN)],0),15)</f>
        <v>0</v>
      </c>
      <c r="AG129" s="9" t="str">
        <f>IF(K129="Yes",AF129*Tab_Data_Flows[[#This Row],[Flow_Py]]-AJ245,"N.A.")</f>
        <v>N.A.</v>
      </c>
      <c r="AH129" s="9" t="str">
        <f>Tab_Data_Flows[[#This Row],[UoM_Flow_Py]]</f>
        <v>Mg</v>
      </c>
      <c r="AI129" s="190">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35</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276</v>
      </c>
      <c r="AC130" s="190">
        <f>INDEX(Tab_Def_Flows[[Flow_ID]:[CC_DM_source]],MATCH(Tab_Data_Flows[[#This Row],[Name(EN)]],Tab_Def_Flows[Name(EN)],0),13)</f>
        <v>0</v>
      </c>
      <c r="AD130" s="9" t="str">
        <f>IF(J130="Yes",AA130*Tab_Data_Flows[[#This Row],[WC_'[%']]],"N.A.")</f>
        <v>N.A.</v>
      </c>
      <c r="AE130" s="9" t="str">
        <f>Tab_Data_Flows[[#This Row],[UoM_Flow_Py]]</f>
        <v>Mg</v>
      </c>
      <c r="AF130" s="190">
        <f>INDEX(Tab_Def_Flows[[Flow_ID]:[CC_DM_source]],MATCH(Tab_Data_Flows[[#This Row],[Name(EN)]],Tab_Def_Flows[Name(EN)],0),15)</f>
        <v>0</v>
      </c>
      <c r="AG130" s="9" t="str">
        <f>IF(K130="Yes",AF130*Tab_Data_Flows[[#This Row],[Flow_Py]]-AJ246,"N.A.")</f>
        <v>N.A.</v>
      </c>
      <c r="AH130" s="9" t="str">
        <f>Tab_Data_Flows[[#This Row],[UoM_Flow_Py]]</f>
        <v>Mg</v>
      </c>
      <c r="AI130" s="190">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35</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276</v>
      </c>
      <c r="AC131" s="190">
        <f>INDEX(Tab_Def_Flows[[Flow_ID]:[CC_DM_source]],MATCH(Tab_Data_Flows[[#This Row],[Name(EN)]],Tab_Def_Flows[Name(EN)],0),13)</f>
        <v>0</v>
      </c>
      <c r="AD131" s="9" t="str">
        <f>IF(J131="Yes",AA131*Tab_Data_Flows[[#This Row],[WC_'[%']]],"N.A.")</f>
        <v>N.A.</v>
      </c>
      <c r="AE131" s="9" t="str">
        <f>Tab_Data_Flows[[#This Row],[UoM_Flow_Py]]</f>
        <v>Mg</v>
      </c>
      <c r="AF131" s="190">
        <f>INDEX(Tab_Def_Flows[[Flow_ID]:[CC_DM_source]],MATCH(Tab_Data_Flows[[#This Row],[Name(EN)]],Tab_Def_Flows[Name(EN)],0),15)</f>
        <v>0</v>
      </c>
      <c r="AG131" s="9" t="str">
        <f>IF(K131="Yes",AF131*Tab_Data_Flows[[#This Row],[Flow_Py]]-AJ247,"N.A.")</f>
        <v>N.A.</v>
      </c>
      <c r="AH131" s="9" t="str">
        <f>Tab_Data_Flows[[#This Row],[UoM_Flow_Py]]</f>
        <v>Mg</v>
      </c>
      <c r="AI131" s="190">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35</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276</v>
      </c>
      <c r="AC132" s="190">
        <f>INDEX(Tab_Def_Flows[[Flow_ID]:[CC_DM_source]],MATCH(Tab_Data_Flows[[#This Row],[Name(EN)]],Tab_Def_Flows[Name(EN)],0),13)</f>
        <v>0</v>
      </c>
      <c r="AD132" s="9" t="str">
        <f>IF(J132="Yes",AA132*Tab_Data_Flows[[#This Row],[WC_'[%']]],"N.A.")</f>
        <v>N.A.</v>
      </c>
      <c r="AE132" s="9" t="str">
        <f>Tab_Data_Flows[[#This Row],[UoM_Flow_Py]]</f>
        <v>Mg</v>
      </c>
      <c r="AF132" s="190">
        <f>INDEX(Tab_Def_Flows[[Flow_ID]:[CC_DM_source]],MATCH(Tab_Data_Flows[[#This Row],[Name(EN)]],Tab_Def_Flows[Name(EN)],0),15)</f>
        <v>0</v>
      </c>
      <c r="AG132" s="9" t="str">
        <f>IF(K132="Yes",AF132*Tab_Data_Flows[[#This Row],[Flow_Py]]-AJ248,"N.A.")</f>
        <v>N.A.</v>
      </c>
      <c r="AH132" s="9" t="str">
        <f>Tab_Data_Flows[[#This Row],[UoM_Flow_Py]]</f>
        <v>Mg</v>
      </c>
      <c r="AI132" s="190">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35</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276</v>
      </c>
      <c r="AC133" s="190">
        <f>INDEX(Tab_Def_Flows[[Flow_ID]:[CC_DM_source]],MATCH(Tab_Data_Flows[[#This Row],[Name(EN)]],Tab_Def_Flows[Name(EN)],0),13)</f>
        <v>0</v>
      </c>
      <c r="AD133" s="9" t="str">
        <f>IF(J133="Yes",AA133*Tab_Data_Flows[[#This Row],[WC_'[%']]],"N.A.")</f>
        <v>N.A.</v>
      </c>
      <c r="AE133" s="9" t="str">
        <f>Tab_Data_Flows[[#This Row],[UoM_Flow_Py]]</f>
        <v>Mg</v>
      </c>
      <c r="AF133" s="190">
        <f>INDEX(Tab_Def_Flows[[Flow_ID]:[CC_DM_source]],MATCH(Tab_Data_Flows[[#This Row],[Name(EN)]],Tab_Def_Flows[Name(EN)],0),15)</f>
        <v>0</v>
      </c>
      <c r="AG133" s="9" t="str">
        <f>IF(K133="Yes",AF133*Tab_Data_Flows[[#This Row],[Flow_Py]]-AJ249,"N.A.")</f>
        <v>N.A.</v>
      </c>
      <c r="AH133" s="9" t="str">
        <f>Tab_Data_Flows[[#This Row],[UoM_Flow_Py]]</f>
        <v>Mg</v>
      </c>
      <c r="AI133" s="190">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35</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276</v>
      </c>
      <c r="AC134" s="190">
        <f>INDEX(Tab_Def_Flows[[Flow_ID]:[CC_DM_source]],MATCH(Tab_Data_Flows[[#This Row],[Name(EN)]],Tab_Def_Flows[Name(EN)],0),13)</f>
        <v>0</v>
      </c>
      <c r="AD134" s="9" t="str">
        <f>IF(J134="Yes",AA134*Tab_Data_Flows[[#This Row],[WC_'[%']]],"N.A.")</f>
        <v>N.A.</v>
      </c>
      <c r="AE134" s="9" t="str">
        <f>Tab_Data_Flows[[#This Row],[UoM_Flow_Py]]</f>
        <v>Mg</v>
      </c>
      <c r="AF134" s="190">
        <f>INDEX(Tab_Def_Flows[[Flow_ID]:[CC_DM_source]],MATCH(Tab_Data_Flows[[#This Row],[Name(EN)]],Tab_Def_Flows[Name(EN)],0),15)</f>
        <v>0</v>
      </c>
      <c r="AG134" s="9" t="str">
        <f>IF(K134="Yes",AF134*Tab_Data_Flows[[#This Row],[Flow_Py]]-AJ250,"N.A.")</f>
        <v>N.A.</v>
      </c>
      <c r="AH134" s="9" t="str">
        <f>Tab_Data_Flows[[#This Row],[UoM_Flow_Py]]</f>
        <v>Mg</v>
      </c>
      <c r="AI134" s="190">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35</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276</v>
      </c>
      <c r="AC135" s="190">
        <f>INDEX(Tab_Def_Flows[[Flow_ID]:[CC_DM_source]],MATCH(Tab_Data_Flows[[#This Row],[Name(EN)]],Tab_Def_Flows[Name(EN)],0),13)</f>
        <v>0</v>
      </c>
      <c r="AD135" s="9" t="str">
        <f>IF(J135="Yes",AA135*Tab_Data_Flows[[#This Row],[WC_'[%']]],"N.A.")</f>
        <v>N.A.</v>
      </c>
      <c r="AE135" s="9" t="str">
        <f>Tab_Data_Flows[[#This Row],[UoM_Flow_Py]]</f>
        <v>Mg</v>
      </c>
      <c r="AF135" s="190">
        <f>INDEX(Tab_Def_Flows[[Flow_ID]:[CC_DM_source]],MATCH(Tab_Data_Flows[[#This Row],[Name(EN)]],Tab_Def_Flows[Name(EN)],0),15)</f>
        <v>0</v>
      </c>
      <c r="AG135" s="9" t="str">
        <f>IF(K135="Yes",AF135*Tab_Data_Flows[[#This Row],[Flow_Py]]-AJ251,"N.A.")</f>
        <v>N.A.</v>
      </c>
      <c r="AH135" s="9" t="str">
        <f>Tab_Data_Flows[[#This Row],[UoM_Flow_Py]]</f>
        <v>Mg</v>
      </c>
      <c r="AI135" s="190">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35</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276</v>
      </c>
      <c r="AC136" s="190">
        <f>INDEX(Tab_Def_Flows[[Flow_ID]:[CC_DM_source]],MATCH(Tab_Data_Flows[[#This Row],[Name(EN)]],Tab_Def_Flows[Name(EN)],0),13)</f>
        <v>0</v>
      </c>
      <c r="AD136" s="9" t="str">
        <f>IF(J136="Yes",AA136*Tab_Data_Flows[[#This Row],[WC_'[%']]],"N.A.")</f>
        <v>N.A.</v>
      </c>
      <c r="AE136" s="9" t="str">
        <f>Tab_Data_Flows[[#This Row],[UoM_Flow_Py]]</f>
        <v>Mg</v>
      </c>
      <c r="AF136" s="190">
        <f>INDEX(Tab_Def_Flows[[Flow_ID]:[CC_DM_source]],MATCH(Tab_Data_Flows[[#This Row],[Name(EN)]],Tab_Def_Flows[Name(EN)],0),15)</f>
        <v>0</v>
      </c>
      <c r="AG136" s="9" t="str">
        <f>IF(K136="Yes",AF136*Tab_Data_Flows[[#This Row],[Flow_Py]]-AJ252,"N.A.")</f>
        <v>N.A.</v>
      </c>
      <c r="AH136" s="9" t="str">
        <f>Tab_Data_Flows[[#This Row],[UoM_Flow_Py]]</f>
        <v>Mg</v>
      </c>
      <c r="AI136" s="190">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35</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276</v>
      </c>
      <c r="AC137" s="190">
        <f>INDEX(Tab_Def_Flows[[Flow_ID]:[CC_DM_source]],MATCH(Tab_Data_Flows[[#This Row],[Name(EN)]],Tab_Def_Flows[Name(EN)],0),13)</f>
        <v>0</v>
      </c>
      <c r="AD137" s="9" t="str">
        <f>IF(J137="Yes",AA137*Tab_Data_Flows[[#This Row],[WC_'[%']]],"N.A.")</f>
        <v>N.A.</v>
      </c>
      <c r="AE137" s="9" t="str">
        <f>Tab_Data_Flows[[#This Row],[UoM_Flow_Py]]</f>
        <v>Mg</v>
      </c>
      <c r="AF137" s="190">
        <f>INDEX(Tab_Def_Flows[[Flow_ID]:[CC_DM_source]],MATCH(Tab_Data_Flows[[#This Row],[Name(EN)]],Tab_Def_Flows[Name(EN)],0),15)</f>
        <v>0</v>
      </c>
      <c r="AG137" s="9" t="str">
        <f>IF(K137="Yes",AF137*Tab_Data_Flows[[#This Row],[Flow_Py]]-AJ253,"N.A.")</f>
        <v>N.A.</v>
      </c>
      <c r="AH137" s="9" t="str">
        <f>Tab_Data_Flows[[#This Row],[UoM_Flow_Py]]</f>
        <v>Mg</v>
      </c>
      <c r="AI137" s="190">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35</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276</v>
      </c>
      <c r="AC138" s="190">
        <f>INDEX(Tab_Def_Flows[[Flow_ID]:[CC_DM_source]],MATCH(Tab_Data_Flows[[#This Row],[Name(EN)]],Tab_Def_Flows[Name(EN)],0),13)</f>
        <v>0</v>
      </c>
      <c r="AD138" s="9" t="str">
        <f>IF(J138="Yes",AA138*Tab_Data_Flows[[#This Row],[WC_'[%']]],"N.A.")</f>
        <v>N.A.</v>
      </c>
      <c r="AE138" s="9" t="str">
        <f>Tab_Data_Flows[[#This Row],[UoM_Flow_Py]]</f>
        <v>Mg</v>
      </c>
      <c r="AF138" s="190">
        <f>INDEX(Tab_Def_Flows[[Flow_ID]:[CC_DM_source]],MATCH(Tab_Data_Flows[[#This Row],[Name(EN)]],Tab_Def_Flows[Name(EN)],0),15)</f>
        <v>0</v>
      </c>
      <c r="AG138" s="9" t="str">
        <f>IF(K138="Yes",AF138*Tab_Data_Flows[[#This Row],[Flow_Py]]-AJ254,"N.A.")</f>
        <v>N.A.</v>
      </c>
      <c r="AH138" s="9" t="str">
        <f>Tab_Data_Flows[[#This Row],[UoM_Flow_Py]]</f>
        <v>Mg</v>
      </c>
      <c r="AI138" s="190">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35</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276</v>
      </c>
      <c r="AC139" s="190">
        <f>INDEX(Tab_Def_Flows[[Flow_ID]:[CC_DM_source]],MATCH(Tab_Data_Flows[[#This Row],[Name(EN)]],Tab_Def_Flows[Name(EN)],0),13)</f>
        <v>0</v>
      </c>
      <c r="AD139" s="9" t="str">
        <f>IF(J139="Yes",AA139*Tab_Data_Flows[[#This Row],[WC_'[%']]],"N.A.")</f>
        <v>N.A.</v>
      </c>
      <c r="AE139" s="9" t="str">
        <f>Tab_Data_Flows[[#This Row],[UoM_Flow_Py]]</f>
        <v>Mg</v>
      </c>
      <c r="AF139" s="190">
        <f>INDEX(Tab_Def_Flows[[Flow_ID]:[CC_DM_source]],MATCH(Tab_Data_Flows[[#This Row],[Name(EN)]],Tab_Def_Flows[Name(EN)],0),15)</f>
        <v>0</v>
      </c>
      <c r="AG139" s="9" t="str">
        <f>IF(K139="Yes",AF139*Tab_Data_Flows[[#This Row],[Flow_Py]]-AJ255,"N.A.")</f>
        <v>N.A.</v>
      </c>
      <c r="AH139" s="9" t="str">
        <f>Tab_Data_Flows[[#This Row],[UoM_Flow_Py]]</f>
        <v>Mg</v>
      </c>
      <c r="AI139" s="190">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35</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276</v>
      </c>
      <c r="AC140" s="190">
        <f>INDEX(Tab_Def_Flows[[Flow_ID]:[CC_DM_source]],MATCH(Tab_Data_Flows[[#This Row],[Name(EN)]],Tab_Def_Flows[Name(EN)],0),13)</f>
        <v>0</v>
      </c>
      <c r="AD140" s="9" t="str">
        <f>IF(J140="Yes",AA140*Tab_Data_Flows[[#This Row],[WC_'[%']]],"N.A.")</f>
        <v>N.A.</v>
      </c>
      <c r="AE140" s="9" t="str">
        <f>Tab_Data_Flows[[#This Row],[UoM_Flow_Py]]</f>
        <v>Mg</v>
      </c>
      <c r="AF140" s="190">
        <f>INDEX(Tab_Def_Flows[[Flow_ID]:[CC_DM_source]],MATCH(Tab_Data_Flows[[#This Row],[Name(EN)]],Tab_Def_Flows[Name(EN)],0),15)</f>
        <v>0</v>
      </c>
      <c r="AG140" s="9" t="str">
        <f>IF(K140="Yes",AF140*Tab_Data_Flows[[#This Row],[Flow_Py]]-AJ256,"N.A.")</f>
        <v>N.A.</v>
      </c>
      <c r="AH140" s="9" t="str">
        <f>Tab_Data_Flows[[#This Row],[UoM_Flow_Py]]</f>
        <v>Mg</v>
      </c>
      <c r="AI140" s="190">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35</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276</v>
      </c>
      <c r="AC141" s="190">
        <f>INDEX(Tab_Def_Flows[[Flow_ID]:[CC_DM_source]],MATCH(Tab_Data_Flows[[#This Row],[Name(EN)]],Tab_Def_Flows[Name(EN)],0),13)</f>
        <v>0</v>
      </c>
      <c r="AD141" s="9" t="str">
        <f>IF(J141="Yes",AA141*Tab_Data_Flows[[#This Row],[WC_'[%']]],"N.A.")</f>
        <v>N.A.</v>
      </c>
      <c r="AE141" s="9" t="str">
        <f>Tab_Data_Flows[[#This Row],[UoM_Flow_Py]]</f>
        <v>Mg</v>
      </c>
      <c r="AF141" s="190">
        <f>INDEX(Tab_Def_Flows[[Flow_ID]:[CC_DM_source]],MATCH(Tab_Data_Flows[[#This Row],[Name(EN)]],Tab_Def_Flows[Name(EN)],0),15)</f>
        <v>0</v>
      </c>
      <c r="AG141" s="9" t="str">
        <f>IF(K141="Yes",AF141*Tab_Data_Flows[[#This Row],[Flow_Py]]-AJ257,"N.A.")</f>
        <v>N.A.</v>
      </c>
      <c r="AH141" s="9" t="str">
        <f>Tab_Data_Flows[[#This Row],[UoM_Flow_Py]]</f>
        <v>Mg</v>
      </c>
      <c r="AI141" s="190">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35</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276</v>
      </c>
      <c r="AC142" s="190">
        <f>INDEX(Tab_Def_Flows[[Flow_ID]:[CC_DM_source]],MATCH(Tab_Data_Flows[[#This Row],[Name(EN)]],Tab_Def_Flows[Name(EN)],0),13)</f>
        <v>0</v>
      </c>
      <c r="AD142" s="9" t="str">
        <f>IF(J142="Yes",AA142*Tab_Data_Flows[[#This Row],[WC_'[%']]],"N.A.")</f>
        <v>N.A.</v>
      </c>
      <c r="AE142" s="9" t="str">
        <f>Tab_Data_Flows[[#This Row],[UoM_Flow_Py]]</f>
        <v>Mg</v>
      </c>
      <c r="AF142" s="190">
        <f>INDEX(Tab_Def_Flows[[Flow_ID]:[CC_DM_source]],MATCH(Tab_Data_Flows[[#This Row],[Name(EN)]],Tab_Def_Flows[Name(EN)],0),15)</f>
        <v>0</v>
      </c>
      <c r="AG142" s="9" t="str">
        <f>IF(K142="Yes",AF142*Tab_Data_Flows[[#This Row],[Flow_Py]]-AJ258,"N.A.")</f>
        <v>N.A.</v>
      </c>
      <c r="AH142" s="9" t="str">
        <f>Tab_Data_Flows[[#This Row],[UoM_Flow_Py]]</f>
        <v>Mg</v>
      </c>
      <c r="AI142" s="190">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35</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276</v>
      </c>
      <c r="AC143" s="190">
        <f>INDEX(Tab_Def_Flows[[Flow_ID]:[CC_DM_source]],MATCH(Tab_Data_Flows[[#This Row],[Name(EN)]],Tab_Def_Flows[Name(EN)],0),13)</f>
        <v>0</v>
      </c>
      <c r="AD143" s="9" t="str">
        <f>IF(J143="Yes",AA143*Tab_Data_Flows[[#This Row],[WC_'[%']]],"N.A.")</f>
        <v>N.A.</v>
      </c>
      <c r="AE143" s="9" t="str">
        <f>Tab_Data_Flows[[#This Row],[UoM_Flow_Py]]</f>
        <v>Mg</v>
      </c>
      <c r="AF143" s="190">
        <f>INDEX(Tab_Def_Flows[[Flow_ID]:[CC_DM_source]],MATCH(Tab_Data_Flows[[#This Row],[Name(EN)]],Tab_Def_Flows[Name(EN)],0),15)</f>
        <v>0</v>
      </c>
      <c r="AG143" s="9" t="str">
        <f>IF(K143="Yes",AF143*Tab_Data_Flows[[#This Row],[Flow_Py]]-AJ259,"N.A.")</f>
        <v>N.A.</v>
      </c>
      <c r="AH143" s="9" t="str">
        <f>Tab_Data_Flows[[#This Row],[UoM_Flow_Py]]</f>
        <v>Mg</v>
      </c>
      <c r="AI143" s="190">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35</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276</v>
      </c>
      <c r="AC144" s="190">
        <f>INDEX(Tab_Def_Flows[[Flow_ID]:[CC_DM_source]],MATCH(Tab_Data_Flows[[#This Row],[Name(EN)]],Tab_Def_Flows[Name(EN)],0),13)</f>
        <v>0</v>
      </c>
      <c r="AD144" s="9" t="str">
        <f>IF(J144="Yes",AA144*Tab_Data_Flows[[#This Row],[WC_'[%']]],"N.A.")</f>
        <v>N.A.</v>
      </c>
      <c r="AE144" s="9" t="str">
        <f>Tab_Data_Flows[[#This Row],[UoM_Flow_Py]]</f>
        <v>Mg</v>
      </c>
      <c r="AF144" s="190">
        <f>INDEX(Tab_Def_Flows[[Flow_ID]:[CC_DM_source]],MATCH(Tab_Data_Flows[[#This Row],[Name(EN)]],Tab_Def_Flows[Name(EN)],0),15)</f>
        <v>0</v>
      </c>
      <c r="AG144" s="9" t="str">
        <f>IF(K144="Yes",AF144*Tab_Data_Flows[[#This Row],[Flow_Py]]-AJ260,"N.A.")</f>
        <v>N.A.</v>
      </c>
      <c r="AH144" s="9" t="str">
        <f>Tab_Data_Flows[[#This Row],[UoM_Flow_Py]]</f>
        <v>Mg</v>
      </c>
      <c r="AI144" s="190">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35</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276</v>
      </c>
      <c r="AC145" s="190">
        <f>INDEX(Tab_Def_Flows[[Flow_ID]:[CC_DM_source]],MATCH(Tab_Data_Flows[[#This Row],[Name(EN)]],Tab_Def_Flows[Name(EN)],0),13)</f>
        <v>0</v>
      </c>
      <c r="AD145" s="9" t="str">
        <f>IF(J145="Yes",AA145*Tab_Data_Flows[[#This Row],[WC_'[%']]],"N.A.")</f>
        <v>N.A.</v>
      </c>
      <c r="AE145" s="9" t="str">
        <f>Tab_Data_Flows[[#This Row],[UoM_Flow_Py]]</f>
        <v>Mg</v>
      </c>
      <c r="AF145" s="190">
        <f>INDEX(Tab_Def_Flows[[Flow_ID]:[CC_DM_source]],MATCH(Tab_Data_Flows[[#This Row],[Name(EN)]],Tab_Def_Flows[Name(EN)],0),15)</f>
        <v>0</v>
      </c>
      <c r="AG145" s="9" t="str">
        <f>IF(K145="Yes",AF145*Tab_Data_Flows[[#This Row],[Flow_Py]]-AJ261,"N.A.")</f>
        <v>N.A.</v>
      </c>
      <c r="AH145" s="9" t="str">
        <f>Tab_Data_Flows[[#This Row],[UoM_Flow_Py]]</f>
        <v>Mg</v>
      </c>
      <c r="AI145" s="190">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35</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276</v>
      </c>
      <c r="AC146" s="190">
        <f>INDEX(Tab_Def_Flows[[Flow_ID]:[CC_DM_source]],MATCH(Tab_Data_Flows[[#This Row],[Name(EN)]],Tab_Def_Flows[Name(EN)],0),13)</f>
        <v>0</v>
      </c>
      <c r="AD146" s="9" t="str">
        <f>IF(J146="Yes",AA146*Tab_Data_Flows[[#This Row],[WC_'[%']]],"N.A.")</f>
        <v>N.A.</v>
      </c>
      <c r="AE146" s="9" t="str">
        <f>Tab_Data_Flows[[#This Row],[UoM_Flow_Py]]</f>
        <v>Mg</v>
      </c>
      <c r="AF146" s="190">
        <f>INDEX(Tab_Def_Flows[[Flow_ID]:[CC_DM_source]],MATCH(Tab_Data_Flows[[#This Row],[Name(EN)]],Tab_Def_Flows[Name(EN)],0),15)</f>
        <v>0</v>
      </c>
      <c r="AG146" s="9" t="str">
        <f>IF(K146="Yes",AF146*Tab_Data_Flows[[#This Row],[Flow_Py]]-AJ262,"N.A.")</f>
        <v>N.A.</v>
      </c>
      <c r="AH146" s="9" t="str">
        <f>Tab_Data_Flows[[#This Row],[UoM_Flow_Py]]</f>
        <v>Mg</v>
      </c>
      <c r="AI146" s="190">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35</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105</v>
      </c>
      <c r="O147" s="48"/>
      <c r="P147" s="11"/>
      <c r="Q147" s="11"/>
      <c r="R147" s="11"/>
      <c r="S147" s="11"/>
      <c r="T147" s="11"/>
      <c r="U147" s="11"/>
      <c r="V147" s="11"/>
      <c r="W147" s="11"/>
      <c r="X147" s="11" t="s">
        <v>8</v>
      </c>
      <c r="Y147" s="41"/>
      <c r="Z147" s="11"/>
      <c r="AA147" s="35">
        <f t="shared" si="5"/>
        <v>0</v>
      </c>
      <c r="AB147" s="11" t="s">
        <v>276</v>
      </c>
      <c r="AC147" s="190">
        <f>INDEX(Tab_Def_Flows[[Flow_ID]:[CC_DM_source]],MATCH(Tab_Data_Flows[[#This Row],[Name(EN)]],Tab_Def_Flows[Name(EN)],0),13)</f>
        <v>0</v>
      </c>
      <c r="AD147" s="9" t="str">
        <f>IF(J147="Yes",AA147*Tab_Data_Flows[[#This Row],[WC_'[%']]],"N.A.")</f>
        <v>N.A.</v>
      </c>
      <c r="AE147" s="9" t="str">
        <f>Tab_Data_Flows[[#This Row],[UoM_Flow_Py]]</f>
        <v>Mg</v>
      </c>
      <c r="AF147" s="190">
        <f>INDEX(Tab_Def_Flows[[Flow_ID]:[CC_DM_source]],MATCH(Tab_Data_Flows[[#This Row],[Name(EN)]],Tab_Def_Flows[Name(EN)],0),15)</f>
        <v>0</v>
      </c>
      <c r="AG147" s="9" t="str">
        <f>IF(K147="Yes",AF147*Tab_Data_Flows[[#This Row],[Flow_Py]],"N.A.")</f>
        <v>N.A.</v>
      </c>
      <c r="AH147" s="9" t="str">
        <f>Tab_Data_Flows[[#This Row],[UoM_Flow_Py]]</f>
        <v>Mg</v>
      </c>
      <c r="AI147" s="190">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35</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105</v>
      </c>
      <c r="O148" s="48"/>
      <c r="P148" s="11"/>
      <c r="Q148" s="11"/>
      <c r="R148" s="11"/>
      <c r="S148" s="11"/>
      <c r="T148" s="11"/>
      <c r="U148" s="11"/>
      <c r="V148" s="11"/>
      <c r="W148" s="11"/>
      <c r="X148" s="11" t="s">
        <v>8</v>
      </c>
      <c r="Y148" s="41"/>
      <c r="Z148" s="11"/>
      <c r="AA148" s="35">
        <f t="shared" si="5"/>
        <v>0</v>
      </c>
      <c r="AB148" s="11" t="s">
        <v>276</v>
      </c>
      <c r="AC148" s="190">
        <f>INDEX(Tab_Def_Flows[[Flow_ID]:[CC_DM_source]],MATCH(Tab_Data_Flows[[#This Row],[Name(EN)]],Tab_Def_Flows[Name(EN)],0),13)</f>
        <v>0</v>
      </c>
      <c r="AD148" s="9" t="str">
        <f>IF(J148="Yes",AA148*Tab_Data_Flows[[#This Row],[WC_'[%']]],"N.A.")</f>
        <v>N.A.</v>
      </c>
      <c r="AE148" s="9" t="str">
        <f>Tab_Data_Flows[[#This Row],[UoM_Flow_Py]]</f>
        <v>Mg</v>
      </c>
      <c r="AF148" s="190">
        <f>INDEX(Tab_Def_Flows[[Flow_ID]:[CC_DM_source]],MATCH(Tab_Data_Flows[[#This Row],[Name(EN)]],Tab_Def_Flows[Name(EN)],0),15)</f>
        <v>0</v>
      </c>
      <c r="AG148" s="9" t="str">
        <f>IF(K148="Yes",AF148*Tab_Data_Flows[[#This Row],[Flow_Py]]-AJ264,"N.A.")</f>
        <v>N.A.</v>
      </c>
      <c r="AH148" s="9" t="str">
        <f>Tab_Data_Flows[[#This Row],[UoM_Flow_Py]]</f>
        <v>Mg</v>
      </c>
      <c r="AI148" s="190">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35</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105</v>
      </c>
      <c r="O149" s="48"/>
      <c r="P149" s="11"/>
      <c r="Q149" s="11"/>
      <c r="R149" s="11"/>
      <c r="S149" s="11"/>
      <c r="T149" s="11"/>
      <c r="U149" s="11"/>
      <c r="V149" s="11"/>
      <c r="W149" s="11"/>
      <c r="X149" s="11" t="s">
        <v>8</v>
      </c>
      <c r="Y149" s="41"/>
      <c r="Z149" s="11"/>
      <c r="AA149" s="35">
        <f t="shared" si="5"/>
        <v>0</v>
      </c>
      <c r="AB149" s="11" t="s">
        <v>276</v>
      </c>
      <c r="AC149" s="190">
        <f>INDEX(Tab_Def_Flows[[Flow_ID]:[CC_DM_source]],MATCH(Tab_Data_Flows[[#This Row],[Name(EN)]],Tab_Def_Flows[Name(EN)],0),13)</f>
        <v>0</v>
      </c>
      <c r="AD149" s="9" t="str">
        <f>IF(J149="Yes",AA149*Tab_Data_Flows[[#This Row],[WC_'[%']]],"N.A.")</f>
        <v>N.A.</v>
      </c>
      <c r="AE149" s="9" t="str">
        <f>Tab_Data_Flows[[#This Row],[UoM_Flow_Py]]</f>
        <v>Mg</v>
      </c>
      <c r="AF149" s="190">
        <f>INDEX(Tab_Def_Flows[[Flow_ID]:[CC_DM_source]],MATCH(Tab_Data_Flows[[#This Row],[Name(EN)]],Tab_Def_Flows[Name(EN)],0),15)</f>
        <v>0</v>
      </c>
      <c r="AG149" s="9" t="str">
        <f>IF(K149="Yes",AF149*Tab_Data_Flows[[#This Row],[Flow_Py]]-AJ265,"N.A.")</f>
        <v>N.A.</v>
      </c>
      <c r="AH149" s="9" t="str">
        <f>Tab_Data_Flows[[#This Row],[UoM_Flow_Py]]</f>
        <v>Mg</v>
      </c>
      <c r="AI149" s="190">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35</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105</v>
      </c>
      <c r="O150" s="48"/>
      <c r="P150" s="11"/>
      <c r="Q150" s="11"/>
      <c r="R150" s="11"/>
      <c r="S150" s="11"/>
      <c r="T150" s="11"/>
      <c r="U150" s="11"/>
      <c r="V150" s="11"/>
      <c r="W150" s="11"/>
      <c r="X150" s="11" t="s">
        <v>8</v>
      </c>
      <c r="Y150" s="41"/>
      <c r="Z150" s="11"/>
      <c r="AA150" s="35">
        <f t="shared" si="5"/>
        <v>0</v>
      </c>
      <c r="AB150" s="11" t="s">
        <v>276</v>
      </c>
      <c r="AC150" s="190">
        <f>INDEX(Tab_Def_Flows[[Flow_ID]:[CC_DM_source]],MATCH(Tab_Data_Flows[[#This Row],[Name(EN)]],Tab_Def_Flows[Name(EN)],0),13)</f>
        <v>0</v>
      </c>
      <c r="AD150" s="9" t="str">
        <f>IF(J150="Yes",AA150*Tab_Data_Flows[[#This Row],[WC_'[%']]],"N.A.")</f>
        <v>N.A.</v>
      </c>
      <c r="AE150" s="9" t="str">
        <f>Tab_Data_Flows[[#This Row],[UoM_Flow_Py]]</f>
        <v>Mg</v>
      </c>
      <c r="AF150" s="190">
        <f>INDEX(Tab_Def_Flows[[Flow_ID]:[CC_DM_source]],MATCH(Tab_Data_Flows[[#This Row],[Name(EN)]],Tab_Def_Flows[Name(EN)],0),15)</f>
        <v>0</v>
      </c>
      <c r="AG150" s="9" t="str">
        <f>IF(K150="Yes",AF150*Tab_Data_Flows[[#This Row],[Flow_Py]]-AJ266,"N.A.")</f>
        <v>N.A.</v>
      </c>
      <c r="AH150" s="9" t="str">
        <f>Tab_Data_Flows[[#This Row],[UoM_Flow_Py]]</f>
        <v>Mg</v>
      </c>
      <c r="AI150" s="190">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35</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105</v>
      </c>
      <c r="O151" s="48"/>
      <c r="P151" s="11"/>
      <c r="Q151" s="11"/>
      <c r="R151" s="11"/>
      <c r="S151" s="11"/>
      <c r="T151" s="11"/>
      <c r="U151" s="11"/>
      <c r="V151" s="11"/>
      <c r="W151" s="11"/>
      <c r="X151" s="11" t="s">
        <v>8</v>
      </c>
      <c r="Y151" s="41"/>
      <c r="Z151" s="11"/>
      <c r="AA151" s="35">
        <f t="shared" si="5"/>
        <v>0</v>
      </c>
      <c r="AB151" s="11" t="s">
        <v>276</v>
      </c>
      <c r="AC151" s="190">
        <f>INDEX(Tab_Def_Flows[[Flow_ID]:[CC_DM_source]],MATCH(Tab_Data_Flows[[#This Row],[Name(EN)]],Tab_Def_Flows[Name(EN)],0),13)</f>
        <v>0</v>
      </c>
      <c r="AD151" s="9" t="str">
        <f>IF(J151="Yes",AA151*Tab_Data_Flows[[#This Row],[WC_'[%']]],"N.A.")</f>
        <v>N.A.</v>
      </c>
      <c r="AE151" s="9" t="str">
        <f>Tab_Data_Flows[[#This Row],[UoM_Flow_Py]]</f>
        <v>Mg</v>
      </c>
      <c r="AF151" s="190">
        <f>INDEX(Tab_Def_Flows[[Flow_ID]:[CC_DM_source]],MATCH(Tab_Data_Flows[[#This Row],[Name(EN)]],Tab_Def_Flows[Name(EN)],0),15)</f>
        <v>0</v>
      </c>
      <c r="AG151" s="9" t="str">
        <f>IF(K151="Yes",AF151*Tab_Data_Flows[[#This Row],[Flow_Py]]-AJ267,"N.A.")</f>
        <v>N.A.</v>
      </c>
      <c r="AH151" s="9" t="str">
        <f>Tab_Data_Flows[[#This Row],[UoM_Flow_Py]]</f>
        <v>Mg</v>
      </c>
      <c r="AI151" s="190">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35</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105</v>
      </c>
      <c r="O152" s="48"/>
      <c r="P152" s="11"/>
      <c r="Q152" s="11"/>
      <c r="R152" s="11"/>
      <c r="S152" s="11"/>
      <c r="T152" s="11"/>
      <c r="U152" s="11"/>
      <c r="V152" s="11"/>
      <c r="W152" s="11"/>
      <c r="X152" s="11" t="s">
        <v>8</v>
      </c>
      <c r="Y152" s="41"/>
      <c r="Z152" s="11"/>
      <c r="AA152" s="35">
        <f t="shared" si="5"/>
        <v>0</v>
      </c>
      <c r="AB152" s="11" t="s">
        <v>276</v>
      </c>
      <c r="AC152" s="190">
        <f>INDEX(Tab_Def_Flows[[Flow_ID]:[CC_DM_source]],MATCH(Tab_Data_Flows[[#This Row],[Name(EN)]],Tab_Def_Flows[Name(EN)],0),13)</f>
        <v>0</v>
      </c>
      <c r="AD152" s="9" t="str">
        <f>IF(J152="Yes",AA152*Tab_Data_Flows[[#This Row],[WC_'[%']]],"N.A.")</f>
        <v>N.A.</v>
      </c>
      <c r="AE152" s="9" t="str">
        <f>Tab_Data_Flows[[#This Row],[UoM_Flow_Py]]</f>
        <v>Mg</v>
      </c>
      <c r="AF152" s="190">
        <f>INDEX(Tab_Def_Flows[[Flow_ID]:[CC_DM_source]],MATCH(Tab_Data_Flows[[#This Row],[Name(EN)]],Tab_Def_Flows[Name(EN)],0),15)</f>
        <v>0</v>
      </c>
      <c r="AG152" s="9" t="str">
        <f>IF(K152="Yes",AF152*Tab_Data_Flows[[#This Row],[Flow_Py]]-AJ268,"N.A.")</f>
        <v>N.A.</v>
      </c>
      <c r="AH152" s="9" t="str">
        <f>Tab_Data_Flows[[#This Row],[UoM_Flow_Py]]</f>
        <v>Mg</v>
      </c>
      <c r="AI152" s="190">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35</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105</v>
      </c>
      <c r="O153" s="48"/>
      <c r="P153" s="11"/>
      <c r="Q153" s="11"/>
      <c r="R153" s="11"/>
      <c r="S153" s="11"/>
      <c r="T153" s="11"/>
      <c r="U153" s="11"/>
      <c r="V153" s="11"/>
      <c r="W153" s="11"/>
      <c r="X153" s="11" t="s">
        <v>8</v>
      </c>
      <c r="Y153" s="41"/>
      <c r="Z153" s="11"/>
      <c r="AA153" s="35">
        <f t="shared" si="5"/>
        <v>0</v>
      </c>
      <c r="AB153" s="11" t="s">
        <v>276</v>
      </c>
      <c r="AC153" s="190">
        <f>INDEX(Tab_Def_Flows[[Flow_ID]:[CC_DM_source]],MATCH(Tab_Data_Flows[[#This Row],[Name(EN)]],Tab_Def_Flows[Name(EN)],0),13)</f>
        <v>0</v>
      </c>
      <c r="AD153" s="9" t="str">
        <f>IF(J153="Yes",AA153*Tab_Data_Flows[[#This Row],[WC_'[%']]],"N.A.")</f>
        <v>N.A.</v>
      </c>
      <c r="AE153" s="9" t="str">
        <f>Tab_Data_Flows[[#This Row],[UoM_Flow_Py]]</f>
        <v>Mg</v>
      </c>
      <c r="AF153" s="190">
        <f>INDEX(Tab_Def_Flows[[Flow_ID]:[CC_DM_source]],MATCH(Tab_Data_Flows[[#This Row],[Name(EN)]],Tab_Def_Flows[Name(EN)],0),15)</f>
        <v>0</v>
      </c>
      <c r="AG153" s="9" t="str">
        <f>IF(K153="Yes",AF153*Tab_Data_Flows[[#This Row],[Flow_Py]]-AJ269,"N.A.")</f>
        <v>N.A.</v>
      </c>
      <c r="AH153" s="9" t="str">
        <f>Tab_Data_Flows[[#This Row],[UoM_Flow_Py]]</f>
        <v>Mg</v>
      </c>
      <c r="AI153" s="190">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35</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276</v>
      </c>
      <c r="AC154" s="190">
        <f>INDEX(Tab_Def_Flows[[Flow_ID]:[CC_DM_source]],MATCH(Tab_Data_Flows[[#This Row],[Name(EN)]],Tab_Def_Flows[Name(EN)],0),13)</f>
        <v>0</v>
      </c>
      <c r="AD154" s="9" t="str">
        <f>IF(J154="Yes",AA154*Tab_Data_Flows[[#This Row],[WC_'[%']]],"N.A.")</f>
        <v>N.A.</v>
      </c>
      <c r="AE154" s="9" t="str">
        <f>Tab_Data_Flows[[#This Row],[UoM_Flow_Py]]</f>
        <v>Mg</v>
      </c>
      <c r="AF154" s="190">
        <f>INDEX(Tab_Def_Flows[[Flow_ID]:[CC_DM_source]],MATCH(Tab_Data_Flows[[#This Row],[Name(EN)]],Tab_Def_Flows[Name(EN)],0),15)</f>
        <v>0</v>
      </c>
      <c r="AG154" s="9" t="str">
        <f>IF(K154="Yes",AF154*Tab_Data_Flows[[#This Row],[Flow_Py]]-AJ270,"N.A.")</f>
        <v>N.A.</v>
      </c>
      <c r="AH154" s="9" t="str">
        <f>Tab_Data_Flows[[#This Row],[UoM_Flow_Py]]</f>
        <v>Mg</v>
      </c>
      <c r="AI154" s="190">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35</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276</v>
      </c>
      <c r="AC155" s="190">
        <f>INDEX(Tab_Def_Flows[[Flow_ID]:[CC_DM_source]],MATCH(Tab_Data_Flows[[#This Row],[Name(EN)]],Tab_Def_Flows[Name(EN)],0),13)</f>
        <v>0</v>
      </c>
      <c r="AD155" s="9" t="str">
        <f>IF(J155="Yes",AA155*Tab_Data_Flows[[#This Row],[WC_'[%']]],"N.A.")</f>
        <v>N.A.</v>
      </c>
      <c r="AE155" s="9" t="str">
        <f>Tab_Data_Flows[[#This Row],[UoM_Flow_Py]]</f>
        <v>Mg</v>
      </c>
      <c r="AF155" s="190">
        <f>INDEX(Tab_Def_Flows[[Flow_ID]:[CC_DM_source]],MATCH(Tab_Data_Flows[[#This Row],[Name(EN)]],Tab_Def_Flows[Name(EN)],0),15)</f>
        <v>0</v>
      </c>
      <c r="AG155" s="9" t="str">
        <f>IF(K155="Yes",AF155*Tab_Data_Flows[[#This Row],[Flow_Py]]-AJ271,"N.A.")</f>
        <v>N.A.</v>
      </c>
      <c r="AH155" s="9" t="str">
        <f>Tab_Data_Flows[[#This Row],[UoM_Flow_Py]]</f>
        <v>Mg</v>
      </c>
      <c r="AI155" s="190">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35</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276</v>
      </c>
      <c r="AC156" s="190">
        <f>INDEX(Tab_Def_Flows[[Flow_ID]:[CC_DM_source]],MATCH(Tab_Data_Flows[[#This Row],[Name(EN)]],Tab_Def_Flows[Name(EN)],0),13)</f>
        <v>0</v>
      </c>
      <c r="AD156" s="9" t="str">
        <f>IF(J156="Yes",AA156*Tab_Data_Flows[[#This Row],[WC_'[%']]],"N.A.")</f>
        <v>N.A.</v>
      </c>
      <c r="AE156" s="9" t="str">
        <f>Tab_Data_Flows[[#This Row],[UoM_Flow_Py]]</f>
        <v>Mg</v>
      </c>
      <c r="AF156" s="190">
        <f>INDEX(Tab_Def_Flows[[Flow_ID]:[CC_DM_source]],MATCH(Tab_Data_Flows[[#This Row],[Name(EN)]],Tab_Def_Flows[Name(EN)],0),15)</f>
        <v>0</v>
      </c>
      <c r="AG156" s="9" t="str">
        <f>IF(K156="Yes",AF156*Tab_Data_Flows[[#This Row],[Flow_Py]]-AJ272,"N.A.")</f>
        <v>N.A.</v>
      </c>
      <c r="AH156" s="9" t="str">
        <f>Tab_Data_Flows[[#This Row],[UoM_Flow_Py]]</f>
        <v>Mg</v>
      </c>
      <c r="AI156" s="190">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35</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276</v>
      </c>
      <c r="AC157" s="190">
        <f>INDEX(Tab_Def_Flows[[Flow_ID]:[CC_DM_source]],MATCH(Tab_Data_Flows[[#This Row],[Name(EN)]],Tab_Def_Flows[Name(EN)],0),13)</f>
        <v>0</v>
      </c>
      <c r="AD157" s="9" t="str">
        <f>IF(J157="Yes",AA157*Tab_Data_Flows[[#This Row],[WC_'[%']]],"N.A.")</f>
        <v>N.A.</v>
      </c>
      <c r="AE157" s="9" t="str">
        <f>Tab_Data_Flows[[#This Row],[UoM_Flow_Py]]</f>
        <v>Mg</v>
      </c>
      <c r="AF157" s="190">
        <f>INDEX(Tab_Def_Flows[[Flow_ID]:[CC_DM_source]],MATCH(Tab_Data_Flows[[#This Row],[Name(EN)]],Tab_Def_Flows[Name(EN)],0),15)</f>
        <v>0</v>
      </c>
      <c r="AG157" s="9" t="str">
        <f>IF(K157="Yes",AF157*Tab_Data_Flows[[#This Row],[Flow_Py]]-AJ273,"N.A.")</f>
        <v>N.A.</v>
      </c>
      <c r="AH157" s="9" t="str">
        <f>Tab_Data_Flows[[#This Row],[UoM_Flow_Py]]</f>
        <v>Mg</v>
      </c>
      <c r="AI157" s="190">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35</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276</v>
      </c>
      <c r="AC158" s="190">
        <f>INDEX(Tab_Def_Flows[[Flow_ID]:[CC_DM_source]],MATCH(Tab_Data_Flows[[#This Row],[Name(EN)]],Tab_Def_Flows[Name(EN)],0),13)</f>
        <v>0</v>
      </c>
      <c r="AD158" s="9" t="str">
        <f>IF(J158="Yes",AA158*Tab_Data_Flows[[#This Row],[WC_'[%']]],"N.A.")</f>
        <v>N.A.</v>
      </c>
      <c r="AE158" s="9" t="str">
        <f>Tab_Data_Flows[[#This Row],[UoM_Flow_Py]]</f>
        <v>Mg</v>
      </c>
      <c r="AF158" s="190">
        <f>INDEX(Tab_Def_Flows[[Flow_ID]:[CC_DM_source]],MATCH(Tab_Data_Flows[[#This Row],[Name(EN)]],Tab_Def_Flows[Name(EN)],0),15)</f>
        <v>0</v>
      </c>
      <c r="AG158" s="9" t="str">
        <f>IF(K158="Yes",AF158*Tab_Data_Flows[[#This Row],[Flow_Py]]-AJ274,"N.A.")</f>
        <v>N.A.</v>
      </c>
      <c r="AH158" s="9" t="str">
        <f>Tab_Data_Flows[[#This Row],[UoM_Flow_Py]]</f>
        <v>Mg</v>
      </c>
      <c r="AI158" s="190">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35</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276</v>
      </c>
      <c r="AC159" s="190">
        <f>INDEX(Tab_Def_Flows[[Flow_ID]:[CC_DM_source]],MATCH(Tab_Data_Flows[[#This Row],[Name(EN)]],Tab_Def_Flows[Name(EN)],0),13)</f>
        <v>0</v>
      </c>
      <c r="AD159" s="9" t="str">
        <f>IF(J159="Yes",AA159*Tab_Data_Flows[[#This Row],[WC_'[%']]],"N.A.")</f>
        <v>N.A.</v>
      </c>
      <c r="AE159" s="9" t="str">
        <f>Tab_Data_Flows[[#This Row],[UoM_Flow_Py]]</f>
        <v>Mg</v>
      </c>
      <c r="AF159" s="190">
        <f>INDEX(Tab_Def_Flows[[Flow_ID]:[CC_DM_source]],MATCH(Tab_Data_Flows[[#This Row],[Name(EN)]],Tab_Def_Flows[Name(EN)],0),15)</f>
        <v>0</v>
      </c>
      <c r="AG159" s="9" t="str">
        <f>IF(K159="Yes",AF159*Tab_Data_Flows[[#This Row],[Flow_Py]]-AJ275,"N.A.")</f>
        <v>N.A.</v>
      </c>
      <c r="AH159" s="9" t="str">
        <f>Tab_Data_Flows[[#This Row],[UoM_Flow_Py]]</f>
        <v>Mg</v>
      </c>
      <c r="AI159" s="190">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35</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276</v>
      </c>
      <c r="AC160" s="190">
        <f>INDEX(Tab_Def_Flows[[Flow_ID]:[CC_DM_source]],MATCH(Tab_Data_Flows[[#This Row],[Name(EN)]],Tab_Def_Flows[Name(EN)],0),13)</f>
        <v>0</v>
      </c>
      <c r="AD160" s="9" t="str">
        <f>IF(J160="Yes",AA160*Tab_Data_Flows[[#This Row],[WC_'[%']]],"N.A.")</f>
        <v>N.A.</v>
      </c>
      <c r="AE160" s="9" t="str">
        <f>Tab_Data_Flows[[#This Row],[UoM_Flow_Py]]</f>
        <v>Mg</v>
      </c>
      <c r="AF160" s="190">
        <f>INDEX(Tab_Def_Flows[[Flow_ID]:[CC_DM_source]],MATCH(Tab_Data_Flows[[#This Row],[Name(EN)]],Tab_Def_Flows[Name(EN)],0),15)</f>
        <v>0</v>
      </c>
      <c r="AG160" s="9" t="str">
        <f>IF(K160="Yes",AF160*Tab_Data_Flows[[#This Row],[Flow_Py]]-AJ276,"N.A.")</f>
        <v>N.A.</v>
      </c>
      <c r="AH160" s="9" t="str">
        <f>Tab_Data_Flows[[#This Row],[UoM_Flow_Py]]</f>
        <v>Mg</v>
      </c>
      <c r="AI160" s="190">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35</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276</v>
      </c>
      <c r="AC161" s="190">
        <f>INDEX(Tab_Def_Flows[[Flow_ID]:[CC_DM_source]],MATCH(Tab_Data_Flows[[#This Row],[Name(EN)]],Tab_Def_Flows[Name(EN)],0),13)</f>
        <v>0</v>
      </c>
      <c r="AD161" s="9" t="str">
        <f>IF(J161="Yes",AA161*Tab_Data_Flows[[#This Row],[WC_'[%']]],"N.A.")</f>
        <v>N.A.</v>
      </c>
      <c r="AE161" s="9" t="str">
        <f>Tab_Data_Flows[[#This Row],[UoM_Flow_Py]]</f>
        <v>Mg</v>
      </c>
      <c r="AF161" s="190">
        <f>INDEX(Tab_Def_Flows[[Flow_ID]:[CC_DM_source]],MATCH(Tab_Data_Flows[[#This Row],[Name(EN)]],Tab_Def_Flows[Name(EN)],0),15)</f>
        <v>0</v>
      </c>
      <c r="AG161" s="9" t="str">
        <f>IF(K161="Yes",AF161*Tab_Data_Flows[[#This Row],[Flow_Py]]-AJ277,"N.A.")</f>
        <v>N.A.</v>
      </c>
      <c r="AH161" s="9" t="str">
        <f>Tab_Data_Flows[[#This Row],[UoM_Flow_Py]]</f>
        <v>Mg</v>
      </c>
      <c r="AI161" s="190">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35</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276</v>
      </c>
      <c r="AC162" s="190">
        <f>INDEX(Tab_Def_Flows[[Flow_ID]:[CC_DM_source]],MATCH(Tab_Data_Flows[[#This Row],[Name(EN)]],Tab_Def_Flows[Name(EN)],0),13)</f>
        <v>0</v>
      </c>
      <c r="AD162" s="9" t="str">
        <f>IF(J162="Yes",AA162*Tab_Data_Flows[[#This Row],[WC_'[%']]],"N.A.")</f>
        <v>N.A.</v>
      </c>
      <c r="AE162" s="9" t="str">
        <f>Tab_Data_Flows[[#This Row],[UoM_Flow_Py]]</f>
        <v>Mg</v>
      </c>
      <c r="AF162" s="190">
        <f>INDEX(Tab_Def_Flows[[Flow_ID]:[CC_DM_source]],MATCH(Tab_Data_Flows[[#This Row],[Name(EN)]],Tab_Def_Flows[Name(EN)],0),15)</f>
        <v>0</v>
      </c>
      <c r="AG162" s="9" t="str">
        <f>IF(K162="Yes",AF162*Tab_Data_Flows[[#This Row],[Flow_Py]]-AJ278,"N.A.")</f>
        <v>N.A.</v>
      </c>
      <c r="AH162" s="9" t="str">
        <f>Tab_Data_Flows[[#This Row],[UoM_Flow_Py]]</f>
        <v>Mg</v>
      </c>
      <c r="AI162" s="190">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35</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276</v>
      </c>
      <c r="AC163" s="190">
        <f>INDEX(Tab_Def_Flows[[Flow_ID]:[CC_DM_source]],MATCH(Tab_Data_Flows[[#This Row],[Name(EN)]],Tab_Def_Flows[Name(EN)],0),13)</f>
        <v>0</v>
      </c>
      <c r="AD163" s="9" t="str">
        <f>IF(J163="Yes",AA163*Tab_Data_Flows[[#This Row],[WC_'[%']]],"N.A.")</f>
        <v>N.A.</v>
      </c>
      <c r="AE163" s="9" t="str">
        <f>Tab_Data_Flows[[#This Row],[UoM_Flow_Py]]</f>
        <v>Mg</v>
      </c>
      <c r="AF163" s="190">
        <f>INDEX(Tab_Def_Flows[[Flow_ID]:[CC_DM_source]],MATCH(Tab_Data_Flows[[#This Row],[Name(EN)]],Tab_Def_Flows[Name(EN)],0),15)</f>
        <v>0</v>
      </c>
      <c r="AG163" s="9" t="str">
        <f>IF(K163="Yes",AF163*Tab_Data_Flows[[#This Row],[Flow_Py]]-AJ279,"N.A.")</f>
        <v>N.A.</v>
      </c>
      <c r="AH163" s="9" t="str">
        <f>Tab_Data_Flows[[#This Row],[UoM_Flow_Py]]</f>
        <v>Mg</v>
      </c>
      <c r="AI163" s="190">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35</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276</v>
      </c>
      <c r="AC164" s="190">
        <f>INDEX(Tab_Def_Flows[[Flow_ID]:[CC_DM_source]],MATCH(Tab_Data_Flows[[#This Row],[Name(EN)]],Tab_Def_Flows[Name(EN)],0),13)</f>
        <v>0</v>
      </c>
      <c r="AD164" s="9" t="str">
        <f>IF(J164="Yes",AA164*Tab_Data_Flows[[#This Row],[WC_'[%']]],"N.A.")</f>
        <v>N.A.</v>
      </c>
      <c r="AE164" s="9" t="str">
        <f>Tab_Data_Flows[[#This Row],[UoM_Flow_Py]]</f>
        <v>Mg</v>
      </c>
      <c r="AF164" s="190">
        <f>INDEX(Tab_Def_Flows[[Flow_ID]:[CC_DM_source]],MATCH(Tab_Data_Flows[[#This Row],[Name(EN)]],Tab_Def_Flows[Name(EN)],0),15)</f>
        <v>0</v>
      </c>
      <c r="AG164" s="9" t="str">
        <f>IF(K164="Yes",AF164*Tab_Data_Flows[[#This Row],[Flow_Py]]-AJ280,"N.A.")</f>
        <v>N.A.</v>
      </c>
      <c r="AH164" s="9" t="str">
        <f>Tab_Data_Flows[[#This Row],[UoM_Flow_Py]]</f>
        <v>Mg</v>
      </c>
      <c r="AI164" s="190">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35</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276</v>
      </c>
      <c r="AC165" s="190">
        <f>INDEX(Tab_Def_Flows[[Flow_ID]:[CC_DM_source]],MATCH(Tab_Data_Flows[[#This Row],[Name(EN)]],Tab_Def_Flows[Name(EN)],0),13)</f>
        <v>0</v>
      </c>
      <c r="AD165" s="9" t="str">
        <f>IF(J165="Yes",AA165*Tab_Data_Flows[[#This Row],[WC_'[%']]],"N.A.")</f>
        <v>N.A.</v>
      </c>
      <c r="AE165" s="9" t="str">
        <f>Tab_Data_Flows[[#This Row],[UoM_Flow_Py]]</f>
        <v>Mg</v>
      </c>
      <c r="AF165" s="190">
        <f>INDEX(Tab_Def_Flows[[Flow_ID]:[CC_DM_source]],MATCH(Tab_Data_Flows[[#This Row],[Name(EN)]],Tab_Def_Flows[Name(EN)],0),15)</f>
        <v>0</v>
      </c>
      <c r="AG165" s="9" t="str">
        <f>IF(K165="Yes",AF165*Tab_Data_Flows[[#This Row],[Flow_Py]]-AJ281,"N.A.")</f>
        <v>N.A.</v>
      </c>
      <c r="AH165" s="9" t="str">
        <f>Tab_Data_Flows[[#This Row],[UoM_Flow_Py]]</f>
        <v>Mg</v>
      </c>
      <c r="AI165" s="190">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35</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276</v>
      </c>
      <c r="AC166" s="190">
        <f>INDEX(Tab_Def_Flows[[Flow_ID]:[CC_DM_source]],MATCH(Tab_Data_Flows[[#This Row],[Name(EN)]],Tab_Def_Flows[Name(EN)],0),13)</f>
        <v>0</v>
      </c>
      <c r="AD166" s="9" t="str">
        <f>IF(J166="Yes",AA166*Tab_Data_Flows[[#This Row],[WC_'[%']]],"N.A.")</f>
        <v>N.A.</v>
      </c>
      <c r="AE166" s="9" t="str">
        <f>Tab_Data_Flows[[#This Row],[UoM_Flow_Py]]</f>
        <v>Mg</v>
      </c>
      <c r="AF166" s="190">
        <f>INDEX(Tab_Def_Flows[[Flow_ID]:[CC_DM_source]],MATCH(Tab_Data_Flows[[#This Row],[Name(EN)]],Tab_Def_Flows[Name(EN)],0),15)</f>
        <v>0</v>
      </c>
      <c r="AG166" s="9" t="str">
        <f>IF(K166="Yes",AF166*Tab_Data_Flows[[#This Row],[Flow_Py]]-AJ282,"N.A.")</f>
        <v>N.A.</v>
      </c>
      <c r="AH166" s="9" t="str">
        <f>Tab_Data_Flows[[#This Row],[UoM_Flow_Py]]</f>
        <v>Mg</v>
      </c>
      <c r="AI166" s="190">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35</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276</v>
      </c>
      <c r="AC167" s="190">
        <f>INDEX(Tab_Def_Flows[[Flow_ID]:[CC_DM_source]],MATCH(Tab_Data_Flows[[#This Row],[Name(EN)]],Tab_Def_Flows[Name(EN)],0),13)</f>
        <v>0</v>
      </c>
      <c r="AD167" s="9" t="str">
        <f>IF(J167="Yes",AA167*Tab_Data_Flows[[#This Row],[WC_'[%']]],"N.A.")</f>
        <v>N.A.</v>
      </c>
      <c r="AE167" s="9" t="str">
        <f>Tab_Data_Flows[[#This Row],[UoM_Flow_Py]]</f>
        <v>Mg</v>
      </c>
      <c r="AF167" s="190">
        <f>INDEX(Tab_Def_Flows[[Flow_ID]:[CC_DM_source]],MATCH(Tab_Data_Flows[[#This Row],[Name(EN)]],Tab_Def_Flows[Name(EN)],0),15)</f>
        <v>0</v>
      </c>
      <c r="AG167" s="9" t="str">
        <f>IF(K167="Yes",AF167*Tab_Data_Flows[[#This Row],[Flow_Py]]-AJ283,"N.A.")</f>
        <v>N.A.</v>
      </c>
      <c r="AH167" s="9" t="str">
        <f>Tab_Data_Flows[[#This Row],[UoM_Flow_Py]]</f>
        <v>Mg</v>
      </c>
      <c r="AI167" s="190">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35</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276</v>
      </c>
      <c r="AC168" s="190">
        <f>INDEX(Tab_Def_Flows[[Flow_ID]:[CC_DM_source]],MATCH(Tab_Data_Flows[[#This Row],[Name(EN)]],Tab_Def_Flows[Name(EN)],0),13)</f>
        <v>0</v>
      </c>
      <c r="AD168" s="9" t="str">
        <f>IF(J168="Yes",AA168*Tab_Data_Flows[[#This Row],[WC_'[%']]],"N.A.")</f>
        <v>N.A.</v>
      </c>
      <c r="AE168" s="9" t="str">
        <f>Tab_Data_Flows[[#This Row],[UoM_Flow_Py]]</f>
        <v>Mg</v>
      </c>
      <c r="AF168" s="190">
        <f>INDEX(Tab_Def_Flows[[Flow_ID]:[CC_DM_source]],MATCH(Tab_Data_Flows[[#This Row],[Name(EN)]],Tab_Def_Flows[Name(EN)],0),15)</f>
        <v>0</v>
      </c>
      <c r="AG168" s="9" t="str">
        <f>IF(K168="Yes",AF168*Tab_Data_Flows[[#This Row],[Flow_Py]]-AJ284,"N.A.")</f>
        <v>N.A.</v>
      </c>
      <c r="AH168" s="9" t="str">
        <f>Tab_Data_Flows[[#This Row],[UoM_Flow_Py]]</f>
        <v>Mg</v>
      </c>
      <c r="AI168" s="190">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35</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276</v>
      </c>
      <c r="AC169" s="190">
        <f>INDEX(Tab_Def_Flows[[Flow_ID]:[CC_DM_source]],MATCH(Tab_Data_Flows[[#This Row],[Name(EN)]],Tab_Def_Flows[Name(EN)],0),13)</f>
        <v>0</v>
      </c>
      <c r="AD169" s="9" t="str">
        <f>IF(J169="Yes",AA169*Tab_Data_Flows[[#This Row],[WC_'[%']]],"N.A.")</f>
        <v>N.A.</v>
      </c>
      <c r="AE169" s="9" t="str">
        <f>Tab_Data_Flows[[#This Row],[UoM_Flow_Py]]</f>
        <v>Mg</v>
      </c>
      <c r="AF169" s="190">
        <f>INDEX(Tab_Def_Flows[[Flow_ID]:[CC_DM_source]],MATCH(Tab_Data_Flows[[#This Row],[Name(EN)]],Tab_Def_Flows[Name(EN)],0),15)</f>
        <v>0</v>
      </c>
      <c r="AG169" s="9" t="str">
        <f>IF(K169="Yes",AF169*Tab_Data_Flows[[#This Row],[Flow_Py]]-AJ285,"N.A.")</f>
        <v>N.A.</v>
      </c>
      <c r="AH169" s="9" t="str">
        <f>Tab_Data_Flows[[#This Row],[UoM_Flow_Py]]</f>
        <v>Mg</v>
      </c>
      <c r="AI169" s="190">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35</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276</v>
      </c>
      <c r="AC170" s="190">
        <f>INDEX(Tab_Def_Flows[[Flow_ID]:[CC_DM_source]],MATCH(Tab_Data_Flows[[#This Row],[Name(EN)]],Tab_Def_Flows[Name(EN)],0),13)</f>
        <v>0</v>
      </c>
      <c r="AD170" s="9" t="str">
        <f>IF(J170="Yes",AA170*Tab_Data_Flows[[#This Row],[WC_'[%']]],"N.A.")</f>
        <v>N.A.</v>
      </c>
      <c r="AE170" s="9" t="str">
        <f>Tab_Data_Flows[[#This Row],[UoM_Flow_Py]]</f>
        <v>Mg</v>
      </c>
      <c r="AF170" s="190">
        <f>INDEX(Tab_Def_Flows[[Flow_ID]:[CC_DM_source]],MATCH(Tab_Data_Flows[[#This Row],[Name(EN)]],Tab_Def_Flows[Name(EN)],0),15)</f>
        <v>0</v>
      </c>
      <c r="AG170" s="9" t="str">
        <f>IF(K170="Yes",AF170*Tab_Data_Flows[[#This Row],[Flow_Py]]-AJ286,"N.A.")</f>
        <v>N.A.</v>
      </c>
      <c r="AH170" s="9" t="str">
        <f>Tab_Data_Flows[[#This Row],[UoM_Flow_Py]]</f>
        <v>Mg</v>
      </c>
      <c r="AI170" s="190">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35</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276</v>
      </c>
      <c r="AC171" s="190">
        <f>INDEX(Tab_Def_Flows[[Flow_ID]:[CC_DM_source]],MATCH(Tab_Data_Flows[[#This Row],[Name(EN)]],Tab_Def_Flows[Name(EN)],0),13)</f>
        <v>0</v>
      </c>
      <c r="AD171" s="9" t="str">
        <f>IF(J171="Yes",AA171*Tab_Data_Flows[[#This Row],[WC_'[%']]],"N.A.")</f>
        <v>N.A.</v>
      </c>
      <c r="AE171" s="9" t="str">
        <f>Tab_Data_Flows[[#This Row],[UoM_Flow_Py]]</f>
        <v>Mg</v>
      </c>
      <c r="AF171" s="190">
        <f>INDEX(Tab_Def_Flows[[Flow_ID]:[CC_DM_source]],MATCH(Tab_Data_Flows[[#This Row],[Name(EN)]],Tab_Def_Flows[Name(EN)],0),15)</f>
        <v>0</v>
      </c>
      <c r="AG171" s="9" t="str">
        <f>IF(K171="Yes",AF171*Tab_Data_Flows[[#This Row],[Flow_Py]]-AJ287,"N.A.")</f>
        <v>N.A.</v>
      </c>
      <c r="AH171" s="9" t="str">
        <f>Tab_Data_Flows[[#This Row],[UoM_Flow_Py]]</f>
        <v>Mg</v>
      </c>
      <c r="AI171" s="190">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35</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276</v>
      </c>
      <c r="AC172" s="190">
        <f>INDEX(Tab_Def_Flows[[Flow_ID]:[CC_DM_source]],MATCH(Tab_Data_Flows[[#This Row],[Name(EN)]],Tab_Def_Flows[Name(EN)],0),13)</f>
        <v>0</v>
      </c>
      <c r="AD172" s="9" t="str">
        <f>IF(J172="Yes",AA172*Tab_Data_Flows[[#This Row],[WC_'[%']]],"N.A.")</f>
        <v>N.A.</v>
      </c>
      <c r="AE172" s="9" t="str">
        <f>Tab_Data_Flows[[#This Row],[UoM_Flow_Py]]</f>
        <v>Mg</v>
      </c>
      <c r="AF172" s="190">
        <f>INDEX(Tab_Def_Flows[[Flow_ID]:[CC_DM_source]],MATCH(Tab_Data_Flows[[#This Row],[Name(EN)]],Tab_Def_Flows[Name(EN)],0),15)</f>
        <v>0</v>
      </c>
      <c r="AG172" s="9" t="str">
        <f>IF(K172="Yes",AF172*Tab_Data_Flows[[#This Row],[Flow_Py]]-AJ288,"N.A.")</f>
        <v>N.A.</v>
      </c>
      <c r="AH172" s="9" t="str">
        <f>Tab_Data_Flows[[#This Row],[UoM_Flow_Py]]</f>
        <v>Mg</v>
      </c>
      <c r="AI172" s="190">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35</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276</v>
      </c>
      <c r="AC173" s="190">
        <f>INDEX(Tab_Def_Flows[[Flow_ID]:[CC_DM_source]],MATCH(Tab_Data_Flows[[#This Row],[Name(EN)]],Tab_Def_Flows[Name(EN)],0),13)</f>
        <v>0</v>
      </c>
      <c r="AD173" s="9" t="str">
        <f>IF(J173="Yes",AA173*Tab_Data_Flows[[#This Row],[WC_'[%']]],"N.A.")</f>
        <v>N.A.</v>
      </c>
      <c r="AE173" s="9" t="str">
        <f>Tab_Data_Flows[[#This Row],[UoM_Flow_Py]]</f>
        <v>Mg</v>
      </c>
      <c r="AF173" s="190">
        <f>INDEX(Tab_Def_Flows[[Flow_ID]:[CC_DM_source]],MATCH(Tab_Data_Flows[[#This Row],[Name(EN)]],Tab_Def_Flows[Name(EN)],0),15)</f>
        <v>0</v>
      </c>
      <c r="AG173" s="9" t="str">
        <f>IF(K173="Yes",AF173*Tab_Data_Flows[[#This Row],[Flow_Py]]-AJ289,"N.A.")</f>
        <v>N.A.</v>
      </c>
      <c r="AH173" s="9" t="str">
        <f>Tab_Data_Flows[[#This Row],[UoM_Flow_Py]]</f>
        <v>Mg</v>
      </c>
      <c r="AI173" s="190">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35</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276</v>
      </c>
      <c r="AC174" s="190">
        <f>INDEX(Tab_Def_Flows[[Flow_ID]:[CC_DM_source]],MATCH(Tab_Data_Flows[[#This Row],[Name(EN)]],Tab_Def_Flows[Name(EN)],0),13)</f>
        <v>0</v>
      </c>
      <c r="AD174" s="9" t="str">
        <f>IF(J174="Yes",AA174*Tab_Data_Flows[[#This Row],[WC_'[%']]],"N.A.")</f>
        <v>N.A.</v>
      </c>
      <c r="AE174" s="9" t="str">
        <f>Tab_Data_Flows[[#This Row],[UoM_Flow_Py]]</f>
        <v>Mg</v>
      </c>
      <c r="AF174" s="190">
        <f>INDEX(Tab_Def_Flows[[Flow_ID]:[CC_DM_source]],MATCH(Tab_Data_Flows[[#This Row],[Name(EN)]],Tab_Def_Flows[Name(EN)],0),15)</f>
        <v>0</v>
      </c>
      <c r="AG174" s="9" t="str">
        <f>IF(K174="Yes",AF174*Tab_Data_Flows[[#This Row],[Flow_Py]]-AJ290,"N.A.")</f>
        <v>N.A.</v>
      </c>
      <c r="AH174" s="9" t="str">
        <f>Tab_Data_Flows[[#This Row],[UoM_Flow_Py]]</f>
        <v>Mg</v>
      </c>
      <c r="AI174" s="190">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35</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276</v>
      </c>
      <c r="AC175" s="190">
        <f>INDEX(Tab_Def_Flows[[Flow_ID]:[CC_DM_source]],MATCH(Tab_Data_Flows[[#This Row],[Name(EN)]],Tab_Def_Flows[Name(EN)],0),13)</f>
        <v>0</v>
      </c>
      <c r="AD175" s="9" t="str">
        <f>IF(J175="Yes",AA175*Tab_Data_Flows[[#This Row],[WC_'[%']]],"N.A.")</f>
        <v>N.A.</v>
      </c>
      <c r="AE175" s="9" t="str">
        <f>Tab_Data_Flows[[#This Row],[UoM_Flow_Py]]</f>
        <v>Mg</v>
      </c>
      <c r="AF175" s="190">
        <f>INDEX(Tab_Def_Flows[[Flow_ID]:[CC_DM_source]],MATCH(Tab_Data_Flows[[#This Row],[Name(EN)]],Tab_Def_Flows[Name(EN)],0),15)</f>
        <v>0</v>
      </c>
      <c r="AG175" s="9" t="str">
        <f>IF(K175="Yes",AF175*Tab_Data_Flows[[#This Row],[Flow_Py]]-AJ291,"N.A.")</f>
        <v>N.A.</v>
      </c>
      <c r="AH175" s="9" t="str">
        <f>Tab_Data_Flows[[#This Row],[UoM_Flow_Py]]</f>
        <v>Mg</v>
      </c>
      <c r="AI175" s="190">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35</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105</v>
      </c>
      <c r="O176" s="48"/>
      <c r="P176" s="11"/>
      <c r="Q176" s="11"/>
      <c r="R176" s="11"/>
      <c r="S176" s="11"/>
      <c r="T176" s="11"/>
      <c r="U176" s="11"/>
      <c r="V176" s="11"/>
      <c r="W176" s="11"/>
      <c r="X176" s="11" t="s">
        <v>8</v>
      </c>
      <c r="Y176" s="41"/>
      <c r="Z176" s="11"/>
      <c r="AA176" s="35">
        <f t="shared" si="5"/>
        <v>0</v>
      </c>
      <c r="AB176" s="11" t="s">
        <v>276</v>
      </c>
      <c r="AC176" s="190">
        <f>INDEX(Tab_Def_Flows[[Flow_ID]:[CC_DM_source]],MATCH(Tab_Data_Flows[[#This Row],[Name(EN)]],Tab_Def_Flows[Name(EN)],0),13)</f>
        <v>0</v>
      </c>
      <c r="AD176" s="9" t="str">
        <f>IF(J176="Yes",AA176*Tab_Data_Flows[[#This Row],[WC_'[%']]],"N.A.")</f>
        <v>N.A.</v>
      </c>
      <c r="AE176" s="9" t="str">
        <f>Tab_Data_Flows[[#This Row],[UoM_Flow_Py]]</f>
        <v>Mg</v>
      </c>
      <c r="AF176" s="190">
        <f>INDEX(Tab_Def_Flows[[Flow_ID]:[CC_DM_source]],MATCH(Tab_Data_Flows[[#This Row],[Name(EN)]],Tab_Def_Flows[Name(EN)],0),15)</f>
        <v>0</v>
      </c>
      <c r="AG176" s="9" t="str">
        <f>IF(K176="Yes",AF176*Tab_Data_Flows[[#This Row],[Flow_Py]],"N.A.")</f>
        <v>N.A.</v>
      </c>
      <c r="AH176" s="9" t="str">
        <f>Tab_Data_Flows[[#This Row],[UoM_Flow_Py]]</f>
        <v>Mg</v>
      </c>
      <c r="AI176" s="190">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35</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105</v>
      </c>
      <c r="O177" s="48"/>
      <c r="P177" s="11"/>
      <c r="Q177" s="11"/>
      <c r="R177" s="11"/>
      <c r="S177" s="11"/>
      <c r="T177" s="11"/>
      <c r="U177" s="11"/>
      <c r="V177" s="11"/>
      <c r="W177" s="11"/>
      <c r="X177" s="11" t="s">
        <v>8</v>
      </c>
      <c r="Y177" s="41"/>
      <c r="Z177" s="11"/>
      <c r="AA177" s="35">
        <f t="shared" si="5"/>
        <v>0</v>
      </c>
      <c r="AB177" s="11" t="s">
        <v>276</v>
      </c>
      <c r="AC177" s="190">
        <f>INDEX(Tab_Def_Flows[[Flow_ID]:[CC_DM_source]],MATCH(Tab_Data_Flows[[#This Row],[Name(EN)]],Tab_Def_Flows[Name(EN)],0),13)</f>
        <v>0</v>
      </c>
      <c r="AD177" s="9" t="str">
        <f>IF(J177="Yes",AA177*Tab_Data_Flows[[#This Row],[WC_'[%']]],"N.A.")</f>
        <v>N.A.</v>
      </c>
      <c r="AE177" s="9" t="str">
        <f>Tab_Data_Flows[[#This Row],[UoM_Flow_Py]]</f>
        <v>Mg</v>
      </c>
      <c r="AF177" s="190">
        <f>INDEX(Tab_Def_Flows[[Flow_ID]:[CC_DM_source]],MATCH(Tab_Data_Flows[[#This Row],[Name(EN)]],Tab_Def_Flows[Name(EN)],0),15)</f>
        <v>0</v>
      </c>
      <c r="AG177" s="9" t="str">
        <f>IF(K177="Yes",AF177*Tab_Data_Flows[[#This Row],[Flow_Py]]-AJ293,"N.A.")</f>
        <v>N.A.</v>
      </c>
      <c r="AH177" s="9" t="str">
        <f>Tab_Data_Flows[[#This Row],[UoM_Flow_Py]]</f>
        <v>Mg</v>
      </c>
      <c r="AI177" s="190">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35</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105</v>
      </c>
      <c r="O178" s="48"/>
      <c r="P178" s="11"/>
      <c r="Q178" s="11"/>
      <c r="R178" s="11"/>
      <c r="S178" s="11"/>
      <c r="T178" s="11"/>
      <c r="U178" s="11"/>
      <c r="V178" s="11"/>
      <c r="W178" s="11"/>
      <c r="X178" s="11" t="s">
        <v>8</v>
      </c>
      <c r="Y178" s="41"/>
      <c r="Z178" s="11"/>
      <c r="AA178" s="35">
        <f t="shared" si="5"/>
        <v>0</v>
      </c>
      <c r="AB178" s="11" t="s">
        <v>276</v>
      </c>
      <c r="AC178" s="190">
        <f>INDEX(Tab_Def_Flows[[Flow_ID]:[CC_DM_source]],MATCH(Tab_Data_Flows[[#This Row],[Name(EN)]],Tab_Def_Flows[Name(EN)],0),13)</f>
        <v>0</v>
      </c>
      <c r="AD178" s="9" t="str">
        <f>IF(J178="Yes",AA178*Tab_Data_Flows[[#This Row],[WC_'[%']]],"N.A.")</f>
        <v>N.A.</v>
      </c>
      <c r="AE178" s="9" t="str">
        <f>Tab_Data_Flows[[#This Row],[UoM_Flow_Py]]</f>
        <v>Mg</v>
      </c>
      <c r="AF178" s="190">
        <f>INDEX(Tab_Def_Flows[[Flow_ID]:[CC_DM_source]],MATCH(Tab_Data_Flows[[#This Row],[Name(EN)]],Tab_Def_Flows[Name(EN)],0),15)</f>
        <v>0</v>
      </c>
      <c r="AG178" s="9" t="str">
        <f>IF(K178="Yes",AF178*Tab_Data_Flows[[#This Row],[Flow_Py]]-AJ294,"N.A.")</f>
        <v>N.A.</v>
      </c>
      <c r="AH178" s="9" t="str">
        <f>Tab_Data_Flows[[#This Row],[UoM_Flow_Py]]</f>
        <v>Mg</v>
      </c>
      <c r="AI178" s="190">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35</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105</v>
      </c>
      <c r="O179" s="48"/>
      <c r="P179" s="11"/>
      <c r="Q179" s="11"/>
      <c r="R179" s="11"/>
      <c r="S179" s="11"/>
      <c r="T179" s="11"/>
      <c r="U179" s="11"/>
      <c r="V179" s="11"/>
      <c r="W179" s="11"/>
      <c r="X179" s="11" t="s">
        <v>8</v>
      </c>
      <c r="Y179" s="41"/>
      <c r="Z179" s="11"/>
      <c r="AA179" s="35">
        <f t="shared" si="5"/>
        <v>0</v>
      </c>
      <c r="AB179" s="11" t="s">
        <v>276</v>
      </c>
      <c r="AC179" s="190">
        <f>INDEX(Tab_Def_Flows[[Flow_ID]:[CC_DM_source]],MATCH(Tab_Data_Flows[[#This Row],[Name(EN)]],Tab_Def_Flows[Name(EN)],0),13)</f>
        <v>0</v>
      </c>
      <c r="AD179" s="9" t="str">
        <f>IF(J179="Yes",AA179*Tab_Data_Flows[[#This Row],[WC_'[%']]],"N.A.")</f>
        <v>N.A.</v>
      </c>
      <c r="AE179" s="9" t="str">
        <f>Tab_Data_Flows[[#This Row],[UoM_Flow_Py]]</f>
        <v>Mg</v>
      </c>
      <c r="AF179" s="190">
        <f>INDEX(Tab_Def_Flows[[Flow_ID]:[CC_DM_source]],MATCH(Tab_Data_Flows[[#This Row],[Name(EN)]],Tab_Def_Flows[Name(EN)],0),15)</f>
        <v>0</v>
      </c>
      <c r="AG179" s="9" t="str">
        <f>IF(K179="Yes",AF179*Tab_Data_Flows[[#This Row],[Flow_Py]]-AJ295,"N.A.")</f>
        <v>N.A.</v>
      </c>
      <c r="AH179" s="9" t="str">
        <f>Tab_Data_Flows[[#This Row],[UoM_Flow_Py]]</f>
        <v>Mg</v>
      </c>
      <c r="AI179" s="190">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35</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105</v>
      </c>
      <c r="O180" s="48"/>
      <c r="P180" s="11"/>
      <c r="Q180" s="11"/>
      <c r="R180" s="11"/>
      <c r="S180" s="11"/>
      <c r="T180" s="11"/>
      <c r="U180" s="11"/>
      <c r="V180" s="11"/>
      <c r="W180" s="11"/>
      <c r="X180" s="11" t="s">
        <v>8</v>
      </c>
      <c r="Y180" s="41"/>
      <c r="Z180" s="11"/>
      <c r="AA180" s="35">
        <f t="shared" si="5"/>
        <v>0</v>
      </c>
      <c r="AB180" s="11" t="s">
        <v>276</v>
      </c>
      <c r="AC180" s="190">
        <f>INDEX(Tab_Def_Flows[[Flow_ID]:[CC_DM_source]],MATCH(Tab_Data_Flows[[#This Row],[Name(EN)]],Tab_Def_Flows[Name(EN)],0),13)</f>
        <v>0</v>
      </c>
      <c r="AD180" s="9" t="str">
        <f>IF(J180="Yes",AA180*Tab_Data_Flows[[#This Row],[WC_'[%']]],"N.A.")</f>
        <v>N.A.</v>
      </c>
      <c r="AE180" s="9" t="str">
        <f>Tab_Data_Flows[[#This Row],[UoM_Flow_Py]]</f>
        <v>Mg</v>
      </c>
      <c r="AF180" s="190">
        <f>INDEX(Tab_Def_Flows[[Flow_ID]:[CC_DM_source]],MATCH(Tab_Data_Flows[[#This Row],[Name(EN)]],Tab_Def_Flows[Name(EN)],0),15)</f>
        <v>0</v>
      </c>
      <c r="AG180" s="9" t="str">
        <f>IF(K180="Yes",AF180*Tab_Data_Flows[[#This Row],[Flow_Py]]-AJ296,"N.A.")</f>
        <v>N.A.</v>
      </c>
      <c r="AH180" s="9" t="str">
        <f>Tab_Data_Flows[[#This Row],[UoM_Flow_Py]]</f>
        <v>Mg</v>
      </c>
      <c r="AI180" s="190">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35</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105</v>
      </c>
      <c r="O181" s="48"/>
      <c r="P181" s="11"/>
      <c r="Q181" s="11"/>
      <c r="R181" s="11"/>
      <c r="S181" s="11"/>
      <c r="T181" s="11"/>
      <c r="U181" s="11"/>
      <c r="V181" s="11"/>
      <c r="W181" s="11"/>
      <c r="X181" s="11" t="s">
        <v>8</v>
      </c>
      <c r="Y181" s="41"/>
      <c r="Z181" s="11"/>
      <c r="AA181" s="35">
        <f t="shared" si="5"/>
        <v>0</v>
      </c>
      <c r="AB181" s="11" t="s">
        <v>276</v>
      </c>
      <c r="AC181" s="190">
        <f>INDEX(Tab_Def_Flows[[Flow_ID]:[CC_DM_source]],MATCH(Tab_Data_Flows[[#This Row],[Name(EN)]],Tab_Def_Flows[Name(EN)],0),13)</f>
        <v>0</v>
      </c>
      <c r="AD181" s="9" t="str">
        <f>IF(J181="Yes",AA181*Tab_Data_Flows[[#This Row],[WC_'[%']]],"N.A.")</f>
        <v>N.A.</v>
      </c>
      <c r="AE181" s="9" t="str">
        <f>Tab_Data_Flows[[#This Row],[UoM_Flow_Py]]</f>
        <v>Mg</v>
      </c>
      <c r="AF181" s="190">
        <f>INDEX(Tab_Def_Flows[[Flow_ID]:[CC_DM_source]],MATCH(Tab_Data_Flows[[#This Row],[Name(EN)]],Tab_Def_Flows[Name(EN)],0),15)</f>
        <v>0</v>
      </c>
      <c r="AG181" s="9" t="str">
        <f>IF(K181="Yes",AF181*Tab_Data_Flows[[#This Row],[Flow_Py]]-AJ297,"N.A.")</f>
        <v>N.A.</v>
      </c>
      <c r="AH181" s="9" t="str">
        <f>Tab_Data_Flows[[#This Row],[UoM_Flow_Py]]</f>
        <v>Mg</v>
      </c>
      <c r="AI181" s="190">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35</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105</v>
      </c>
      <c r="O182" s="48"/>
      <c r="P182" s="11"/>
      <c r="Q182" s="11" t="s">
        <v>123</v>
      </c>
      <c r="R182" s="11" t="s">
        <v>123</v>
      </c>
      <c r="S182" s="11" t="s">
        <v>123</v>
      </c>
      <c r="T182" s="11" t="s">
        <v>123</v>
      </c>
      <c r="U182" s="11" t="s">
        <v>123</v>
      </c>
      <c r="V182" s="11" t="s">
        <v>123</v>
      </c>
      <c r="W182" s="11" t="s">
        <v>123</v>
      </c>
      <c r="X182" s="11" t="s">
        <v>8</v>
      </c>
      <c r="Y182" s="41"/>
      <c r="Z182" s="11"/>
      <c r="AA182" s="35">
        <f t="shared" si="5"/>
        <v>0</v>
      </c>
      <c r="AB182" s="11" t="s">
        <v>276</v>
      </c>
      <c r="AC182" s="190">
        <f>INDEX(Tab_Def_Flows[[Flow_ID]:[CC_DM_source]],MATCH(Tab_Data_Flows[[#This Row],[Name(EN)]],Tab_Def_Flows[Name(EN)],0),13)</f>
        <v>0</v>
      </c>
      <c r="AD182" s="9" t="str">
        <f>IF(J182="Yes",AA182*Tab_Data_Flows[[#This Row],[WC_'[%']]],"N.A.")</f>
        <v>N.A.</v>
      </c>
      <c r="AE182" s="9" t="str">
        <f>Tab_Data_Flows[[#This Row],[UoM_Flow_Py]]</f>
        <v>Mg</v>
      </c>
      <c r="AF182" s="190">
        <f>INDEX(Tab_Def_Flows[[Flow_ID]:[CC_DM_source]],MATCH(Tab_Data_Flows[[#This Row],[Name(EN)]],Tab_Def_Flows[Name(EN)],0),15)</f>
        <v>0</v>
      </c>
      <c r="AG182" s="9" t="str">
        <f>IF(K182="Yes",AF182*Tab_Data_Flows[[#This Row],[Flow_Py]]-AJ298,"N.A.")</f>
        <v>N.A.</v>
      </c>
      <c r="AH182" s="9" t="str">
        <f>Tab_Data_Flows[[#This Row],[UoM_Flow_Py]]</f>
        <v>Mg</v>
      </c>
      <c r="AI182" s="190">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35</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276</v>
      </c>
      <c r="AC183" s="190">
        <f>INDEX(Tab_Def_Flows[[Flow_ID]:[CC_DM_source]],MATCH(Tab_Data_Flows[[#This Row],[Name(EN)]],Tab_Def_Flows[Name(EN)],0),13)</f>
        <v>0</v>
      </c>
      <c r="AD183" s="9" t="str">
        <f>IF(J183="Yes",AA183*Tab_Data_Flows[[#This Row],[WC_'[%']]],"N.A.")</f>
        <v>N.A.</v>
      </c>
      <c r="AE183" s="9" t="str">
        <f>Tab_Data_Flows[[#This Row],[UoM_Flow_Py]]</f>
        <v>Mg</v>
      </c>
      <c r="AF183" s="190">
        <f>INDEX(Tab_Def_Flows[[Flow_ID]:[CC_DM_source]],MATCH(Tab_Data_Flows[[#This Row],[Name(EN)]],Tab_Def_Flows[Name(EN)],0),15)</f>
        <v>0</v>
      </c>
      <c r="AG183" s="9" t="str">
        <f>IF(K183="Yes",AF183*Tab_Data_Flows[[#This Row],[Flow_Py]]-AJ299,"N.A.")</f>
        <v>N.A.</v>
      </c>
      <c r="AH183" s="9" t="str">
        <f>Tab_Data_Flows[[#This Row],[UoM_Flow_Py]]</f>
        <v>Mg</v>
      </c>
      <c r="AI183" s="190">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35</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276</v>
      </c>
      <c r="AC184" s="190">
        <f>INDEX(Tab_Def_Flows[[Flow_ID]:[CC_DM_source]],MATCH(Tab_Data_Flows[[#This Row],[Name(EN)]],Tab_Def_Flows[Name(EN)],0),13)</f>
        <v>0</v>
      </c>
      <c r="AD184" s="9" t="str">
        <f>IF(J184="Yes",AA184*Tab_Data_Flows[[#This Row],[WC_'[%']]],"N.A.")</f>
        <v>N.A.</v>
      </c>
      <c r="AE184" s="9" t="str">
        <f>Tab_Data_Flows[[#This Row],[UoM_Flow_Py]]</f>
        <v>Mg</v>
      </c>
      <c r="AF184" s="190">
        <f>INDEX(Tab_Def_Flows[[Flow_ID]:[CC_DM_source]],MATCH(Tab_Data_Flows[[#This Row],[Name(EN)]],Tab_Def_Flows[Name(EN)],0),15)</f>
        <v>0</v>
      </c>
      <c r="AG184" s="9" t="str">
        <f>IF(K184="Yes",AF184*Tab_Data_Flows[[#This Row],[Flow_Py]]-AJ300,"N.A.")</f>
        <v>N.A.</v>
      </c>
      <c r="AH184" s="9" t="str">
        <f>Tab_Data_Flows[[#This Row],[UoM_Flow_Py]]</f>
        <v>Mg</v>
      </c>
      <c r="AI184" s="190">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35</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276</v>
      </c>
      <c r="AC185" s="190">
        <f>INDEX(Tab_Def_Flows[[Flow_ID]:[CC_DM_source]],MATCH(Tab_Data_Flows[[#This Row],[Name(EN)]],Tab_Def_Flows[Name(EN)],0),13)</f>
        <v>0</v>
      </c>
      <c r="AD185" s="9" t="str">
        <f>IF(J185="Yes",AA185*Tab_Data_Flows[[#This Row],[WC_'[%']]],"N.A.")</f>
        <v>N.A.</v>
      </c>
      <c r="AE185" s="9" t="str">
        <f>Tab_Data_Flows[[#This Row],[UoM_Flow_Py]]</f>
        <v>Mg</v>
      </c>
      <c r="AF185" s="190">
        <f>INDEX(Tab_Def_Flows[[Flow_ID]:[CC_DM_source]],MATCH(Tab_Data_Flows[[#This Row],[Name(EN)]],Tab_Def_Flows[Name(EN)],0),15)</f>
        <v>0</v>
      </c>
      <c r="AG185" s="9" t="str">
        <f>IF(K185="Yes",AF185*Tab_Data_Flows[[#This Row],[Flow_Py]]-AJ301,"N.A.")</f>
        <v>N.A.</v>
      </c>
      <c r="AH185" s="9" t="str">
        <f>Tab_Data_Flows[[#This Row],[UoM_Flow_Py]]</f>
        <v>Mg</v>
      </c>
      <c r="AI185" s="190">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35</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276</v>
      </c>
      <c r="AC186" s="190">
        <f>INDEX(Tab_Def_Flows[[Flow_ID]:[CC_DM_source]],MATCH(Tab_Data_Flows[[#This Row],[Name(EN)]],Tab_Def_Flows[Name(EN)],0),13)</f>
        <v>0</v>
      </c>
      <c r="AD186" s="9" t="str">
        <f>IF(J186="Yes",AA186*Tab_Data_Flows[[#This Row],[WC_'[%']]],"N.A.")</f>
        <v>N.A.</v>
      </c>
      <c r="AE186" s="9" t="str">
        <f>Tab_Data_Flows[[#This Row],[UoM_Flow_Py]]</f>
        <v>Mg</v>
      </c>
      <c r="AF186" s="190">
        <f>INDEX(Tab_Def_Flows[[Flow_ID]:[CC_DM_source]],MATCH(Tab_Data_Flows[[#This Row],[Name(EN)]],Tab_Def_Flows[Name(EN)],0),15)</f>
        <v>0</v>
      </c>
      <c r="AG186" s="9" t="str">
        <f>IF(K186="Yes",AF186*Tab_Data_Flows[[#This Row],[Flow_Py]]-AJ302,"N.A.")</f>
        <v>N.A.</v>
      </c>
      <c r="AH186" s="9" t="str">
        <f>Tab_Data_Flows[[#This Row],[UoM_Flow_Py]]</f>
        <v>Mg</v>
      </c>
      <c r="AI186" s="190">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35</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276</v>
      </c>
      <c r="AC187" s="190">
        <f>INDEX(Tab_Def_Flows[[Flow_ID]:[CC_DM_source]],MATCH(Tab_Data_Flows[[#This Row],[Name(EN)]],Tab_Def_Flows[Name(EN)],0),13)</f>
        <v>0</v>
      </c>
      <c r="AD187" s="9" t="str">
        <f>IF(J187="Yes",AA187*Tab_Data_Flows[[#This Row],[WC_'[%']]],"N.A.")</f>
        <v>N.A.</v>
      </c>
      <c r="AE187" s="9" t="str">
        <f>Tab_Data_Flows[[#This Row],[UoM_Flow_Py]]</f>
        <v>Mg</v>
      </c>
      <c r="AF187" s="190">
        <f>INDEX(Tab_Def_Flows[[Flow_ID]:[CC_DM_source]],MATCH(Tab_Data_Flows[[#This Row],[Name(EN)]],Tab_Def_Flows[Name(EN)],0),15)</f>
        <v>0</v>
      </c>
      <c r="AG187" s="9" t="str">
        <f>IF(K187="Yes",AF187*Tab_Data_Flows[[#This Row],[Flow_Py]]-AJ303,"N.A.")</f>
        <v>N.A.</v>
      </c>
      <c r="AH187" s="9" t="str">
        <f>Tab_Data_Flows[[#This Row],[UoM_Flow_Py]]</f>
        <v>Mg</v>
      </c>
      <c r="AI187" s="190">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35</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276</v>
      </c>
      <c r="AC188" s="190">
        <f>INDEX(Tab_Def_Flows[[Flow_ID]:[CC_DM_source]],MATCH(Tab_Data_Flows[[#This Row],[Name(EN)]],Tab_Def_Flows[Name(EN)],0),13)</f>
        <v>0</v>
      </c>
      <c r="AD188" s="9" t="str">
        <f>IF(J188="Yes",AA188*Tab_Data_Flows[[#This Row],[WC_'[%']]],"N.A.")</f>
        <v>N.A.</v>
      </c>
      <c r="AE188" s="9" t="str">
        <f>Tab_Data_Flows[[#This Row],[UoM_Flow_Py]]</f>
        <v>Mg</v>
      </c>
      <c r="AF188" s="190">
        <f>INDEX(Tab_Def_Flows[[Flow_ID]:[CC_DM_source]],MATCH(Tab_Data_Flows[[#This Row],[Name(EN)]],Tab_Def_Flows[Name(EN)],0),15)</f>
        <v>0</v>
      </c>
      <c r="AG188" s="9" t="str">
        <f>IF(K188="Yes",AF188*Tab_Data_Flows[[#This Row],[Flow_Py]]-AJ304,"N.A.")</f>
        <v>N.A.</v>
      </c>
      <c r="AH188" s="9" t="str">
        <f>Tab_Data_Flows[[#This Row],[UoM_Flow_Py]]</f>
        <v>Mg</v>
      </c>
      <c r="AI188" s="190">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35</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276</v>
      </c>
      <c r="AC189" s="190">
        <f>INDEX(Tab_Def_Flows[[Flow_ID]:[CC_DM_source]],MATCH(Tab_Data_Flows[[#This Row],[Name(EN)]],Tab_Def_Flows[Name(EN)],0),13)</f>
        <v>0</v>
      </c>
      <c r="AD189" s="9" t="str">
        <f>IF(J189="Yes",AA189*Tab_Data_Flows[[#This Row],[WC_'[%']]],"N.A.")</f>
        <v>N.A.</v>
      </c>
      <c r="AE189" s="9" t="str">
        <f>Tab_Data_Flows[[#This Row],[UoM_Flow_Py]]</f>
        <v>Mg</v>
      </c>
      <c r="AF189" s="190">
        <f>INDEX(Tab_Def_Flows[[Flow_ID]:[CC_DM_source]],MATCH(Tab_Data_Flows[[#This Row],[Name(EN)]],Tab_Def_Flows[Name(EN)],0),15)</f>
        <v>0</v>
      </c>
      <c r="AG189" s="9" t="str">
        <f>IF(K189="Yes",AF189*Tab_Data_Flows[[#This Row],[Flow_Py]]-AJ305,"N.A.")</f>
        <v>N.A.</v>
      </c>
      <c r="AH189" s="9" t="str">
        <f>Tab_Data_Flows[[#This Row],[UoM_Flow_Py]]</f>
        <v>Mg</v>
      </c>
      <c r="AI189" s="190">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35</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276</v>
      </c>
      <c r="AC190" s="190">
        <f>INDEX(Tab_Def_Flows[[Flow_ID]:[CC_DM_source]],MATCH(Tab_Data_Flows[[#This Row],[Name(EN)]],Tab_Def_Flows[Name(EN)],0),13)</f>
        <v>0</v>
      </c>
      <c r="AD190" s="9" t="str">
        <f>IF(J190="Yes",AA190*Tab_Data_Flows[[#This Row],[WC_'[%']]],"N.A.")</f>
        <v>N.A.</v>
      </c>
      <c r="AE190" s="9" t="str">
        <f>Tab_Data_Flows[[#This Row],[UoM_Flow_Py]]</f>
        <v>Mg</v>
      </c>
      <c r="AF190" s="190">
        <f>INDEX(Tab_Def_Flows[[Flow_ID]:[CC_DM_source]],MATCH(Tab_Data_Flows[[#This Row],[Name(EN)]],Tab_Def_Flows[Name(EN)],0),15)</f>
        <v>0</v>
      </c>
      <c r="AG190" s="9" t="str">
        <f>IF(K190="Yes",AF190*Tab_Data_Flows[[#This Row],[Flow_Py]]-AJ306,"N.A.")</f>
        <v>N.A.</v>
      </c>
      <c r="AH190" s="9" t="str">
        <f>Tab_Data_Flows[[#This Row],[UoM_Flow_Py]]</f>
        <v>Mg</v>
      </c>
      <c r="AI190" s="190">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35</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276</v>
      </c>
      <c r="AC191" s="190">
        <f>INDEX(Tab_Def_Flows[[Flow_ID]:[CC_DM_source]],MATCH(Tab_Data_Flows[[#This Row],[Name(EN)]],Tab_Def_Flows[Name(EN)],0),13)</f>
        <v>0</v>
      </c>
      <c r="AD191" s="9" t="str">
        <f>IF(J191="Yes",AA191*Tab_Data_Flows[[#This Row],[WC_'[%']]],"N.A.")</f>
        <v>N.A.</v>
      </c>
      <c r="AE191" s="9" t="str">
        <f>Tab_Data_Flows[[#This Row],[UoM_Flow_Py]]</f>
        <v>Mg</v>
      </c>
      <c r="AF191" s="190">
        <f>INDEX(Tab_Def_Flows[[Flow_ID]:[CC_DM_source]],MATCH(Tab_Data_Flows[[#This Row],[Name(EN)]],Tab_Def_Flows[Name(EN)],0),15)</f>
        <v>0</v>
      </c>
      <c r="AG191" s="9" t="str">
        <f>IF(K191="Yes",AF191*Tab_Data_Flows[[#This Row],[Flow_Py]]-AJ307,"N.A.")</f>
        <v>N.A.</v>
      </c>
      <c r="AH191" s="9" t="str">
        <f>Tab_Data_Flows[[#This Row],[UoM_Flow_Py]]</f>
        <v>Mg</v>
      </c>
      <c r="AI191" s="190">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35</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276</v>
      </c>
      <c r="AC192" s="190">
        <f>INDEX(Tab_Def_Flows[[Flow_ID]:[CC_DM_source]],MATCH(Tab_Data_Flows[[#This Row],[Name(EN)]],Tab_Def_Flows[Name(EN)],0),13)</f>
        <v>0</v>
      </c>
      <c r="AD192" s="9" t="str">
        <f>IF(J192="Yes",AA192*Tab_Data_Flows[[#This Row],[WC_'[%']]],"N.A.")</f>
        <v>N.A.</v>
      </c>
      <c r="AE192" s="9" t="str">
        <f>Tab_Data_Flows[[#This Row],[UoM_Flow_Py]]</f>
        <v>Mg</v>
      </c>
      <c r="AF192" s="190">
        <f>INDEX(Tab_Def_Flows[[Flow_ID]:[CC_DM_source]],MATCH(Tab_Data_Flows[[#This Row],[Name(EN)]],Tab_Def_Flows[Name(EN)],0),15)</f>
        <v>0</v>
      </c>
      <c r="AG192" s="9" t="str">
        <f>IF(K192="Yes",AF192*Tab_Data_Flows[[#This Row],[Flow_Py]]-AJ308,"N.A.")</f>
        <v>N.A.</v>
      </c>
      <c r="AH192" s="9" t="str">
        <f>Tab_Data_Flows[[#This Row],[UoM_Flow_Py]]</f>
        <v>Mg</v>
      </c>
      <c r="AI192" s="190">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35</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276</v>
      </c>
      <c r="AC193" s="190">
        <f>INDEX(Tab_Def_Flows[[Flow_ID]:[CC_DM_source]],MATCH(Tab_Data_Flows[[#This Row],[Name(EN)]],Tab_Def_Flows[Name(EN)],0),13)</f>
        <v>0</v>
      </c>
      <c r="AD193" s="9" t="str">
        <f>IF(J193="Yes",AA193*Tab_Data_Flows[[#This Row],[WC_'[%']]],"N.A.")</f>
        <v>N.A.</v>
      </c>
      <c r="AE193" s="9" t="str">
        <f>Tab_Data_Flows[[#This Row],[UoM_Flow_Py]]</f>
        <v>Mg</v>
      </c>
      <c r="AF193" s="190">
        <f>INDEX(Tab_Def_Flows[[Flow_ID]:[CC_DM_source]],MATCH(Tab_Data_Flows[[#This Row],[Name(EN)]],Tab_Def_Flows[Name(EN)],0),15)</f>
        <v>0</v>
      </c>
      <c r="AG193" s="9" t="str">
        <f>IF(K193="Yes",AF193*Tab_Data_Flows[[#This Row],[Flow_Py]]-AJ309,"N.A.")</f>
        <v>N.A.</v>
      </c>
      <c r="AH193" s="9" t="str">
        <f>Tab_Data_Flows[[#This Row],[UoM_Flow_Py]]</f>
        <v>Mg</v>
      </c>
      <c r="AI193" s="190">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35</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276</v>
      </c>
      <c r="AC194" s="190">
        <f>INDEX(Tab_Def_Flows[[Flow_ID]:[CC_DM_source]],MATCH(Tab_Data_Flows[[#This Row],[Name(EN)]],Tab_Def_Flows[Name(EN)],0),13)</f>
        <v>0</v>
      </c>
      <c r="AD194" s="9" t="str">
        <f>IF(J194="Yes",AA194*Tab_Data_Flows[[#This Row],[WC_'[%']]],"N.A.")</f>
        <v>N.A.</v>
      </c>
      <c r="AE194" s="9" t="str">
        <f>Tab_Data_Flows[[#This Row],[UoM_Flow_Py]]</f>
        <v>Mg</v>
      </c>
      <c r="AF194" s="190">
        <f>INDEX(Tab_Def_Flows[[Flow_ID]:[CC_DM_source]],MATCH(Tab_Data_Flows[[#This Row],[Name(EN)]],Tab_Def_Flows[Name(EN)],0),15)</f>
        <v>0</v>
      </c>
      <c r="AG194" s="9" t="str">
        <f>IF(K194="Yes",AF194*Tab_Data_Flows[[#This Row],[Flow_Py]]-AJ310,"N.A.")</f>
        <v>N.A.</v>
      </c>
      <c r="AH194" s="9" t="str">
        <f>Tab_Data_Flows[[#This Row],[UoM_Flow_Py]]</f>
        <v>Mg</v>
      </c>
      <c r="AI194" s="190">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35</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276</v>
      </c>
      <c r="AC195" s="190">
        <f>INDEX(Tab_Def_Flows[[Flow_ID]:[CC_DM_source]],MATCH(Tab_Data_Flows[[#This Row],[Name(EN)]],Tab_Def_Flows[Name(EN)],0),13)</f>
        <v>0</v>
      </c>
      <c r="AD195" s="9" t="str">
        <f>IF(J195="Yes",AA195*Tab_Data_Flows[[#This Row],[WC_'[%']]],"N.A.")</f>
        <v>N.A.</v>
      </c>
      <c r="AE195" s="9" t="str">
        <f>Tab_Data_Flows[[#This Row],[UoM_Flow_Py]]</f>
        <v>Mg</v>
      </c>
      <c r="AF195" s="190">
        <f>INDEX(Tab_Def_Flows[[Flow_ID]:[CC_DM_source]],MATCH(Tab_Data_Flows[[#This Row],[Name(EN)]],Tab_Def_Flows[Name(EN)],0),15)</f>
        <v>0</v>
      </c>
      <c r="AG195" s="9" t="str">
        <f>IF(K195="Yes",AF195*Tab_Data_Flows[[#This Row],[Flow_Py]]-AJ311,"N.A.")</f>
        <v>N.A.</v>
      </c>
      <c r="AH195" s="9" t="str">
        <f>Tab_Data_Flows[[#This Row],[UoM_Flow_Py]]</f>
        <v>Mg</v>
      </c>
      <c r="AI195" s="190">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35</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276</v>
      </c>
      <c r="AC196" s="190">
        <f>INDEX(Tab_Def_Flows[[Flow_ID]:[CC_DM_source]],MATCH(Tab_Data_Flows[[#This Row],[Name(EN)]],Tab_Def_Flows[Name(EN)],0),13)</f>
        <v>0</v>
      </c>
      <c r="AD196" s="9" t="str">
        <f>IF(J196="Yes",AA196*Tab_Data_Flows[[#This Row],[WC_'[%']]],"N.A.")</f>
        <v>N.A.</v>
      </c>
      <c r="AE196" s="9" t="str">
        <f>Tab_Data_Flows[[#This Row],[UoM_Flow_Py]]</f>
        <v>Mg</v>
      </c>
      <c r="AF196" s="190">
        <f>INDEX(Tab_Def_Flows[[Flow_ID]:[CC_DM_source]],MATCH(Tab_Data_Flows[[#This Row],[Name(EN)]],Tab_Def_Flows[Name(EN)],0),15)</f>
        <v>0</v>
      </c>
      <c r="AG196" s="9" t="str">
        <f>IF(K196="Yes",AF196*Tab_Data_Flows[[#This Row],[Flow_Py]]-AJ312,"N.A.")</f>
        <v>N.A.</v>
      </c>
      <c r="AH196" s="9" t="str">
        <f>Tab_Data_Flows[[#This Row],[UoM_Flow_Py]]</f>
        <v>Mg</v>
      </c>
      <c r="AI196" s="190">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35</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276</v>
      </c>
      <c r="AC197" s="190">
        <f>INDEX(Tab_Def_Flows[[Flow_ID]:[CC_DM_source]],MATCH(Tab_Data_Flows[[#This Row],[Name(EN)]],Tab_Def_Flows[Name(EN)],0),13)</f>
        <v>0</v>
      </c>
      <c r="AD197" s="9" t="str">
        <f>IF(J197="Yes",AA197*Tab_Data_Flows[[#This Row],[WC_'[%']]],"N.A.")</f>
        <v>N.A.</v>
      </c>
      <c r="AE197" s="9" t="str">
        <f>Tab_Data_Flows[[#This Row],[UoM_Flow_Py]]</f>
        <v>Mg</v>
      </c>
      <c r="AF197" s="190">
        <f>INDEX(Tab_Def_Flows[[Flow_ID]:[CC_DM_source]],MATCH(Tab_Data_Flows[[#This Row],[Name(EN)]],Tab_Def_Flows[Name(EN)],0),15)</f>
        <v>0</v>
      </c>
      <c r="AG197" s="9" t="str">
        <f>IF(K197="Yes",AF197*Tab_Data_Flows[[#This Row],[Flow_Py]]-AJ313,"N.A.")</f>
        <v>N.A.</v>
      </c>
      <c r="AH197" s="9" t="str">
        <f>Tab_Data_Flows[[#This Row],[UoM_Flow_Py]]</f>
        <v>Mg</v>
      </c>
      <c r="AI197" s="190">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35</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276</v>
      </c>
      <c r="AC198" s="190">
        <f>INDEX(Tab_Def_Flows[[Flow_ID]:[CC_DM_source]],MATCH(Tab_Data_Flows[[#This Row],[Name(EN)]],Tab_Def_Flows[Name(EN)],0),13)</f>
        <v>0</v>
      </c>
      <c r="AD198" s="9" t="str">
        <f>IF(J198="Yes",AA198*Tab_Data_Flows[[#This Row],[WC_'[%']]],"N.A.")</f>
        <v>N.A.</v>
      </c>
      <c r="AE198" s="9" t="str">
        <f>Tab_Data_Flows[[#This Row],[UoM_Flow_Py]]</f>
        <v>Mg</v>
      </c>
      <c r="AF198" s="190">
        <f>INDEX(Tab_Def_Flows[[Flow_ID]:[CC_DM_source]],MATCH(Tab_Data_Flows[[#This Row],[Name(EN)]],Tab_Def_Flows[Name(EN)],0),15)</f>
        <v>0</v>
      </c>
      <c r="AG198" s="9" t="str">
        <f>IF(K198="Yes",AF198*Tab_Data_Flows[[#This Row],[Flow_Py]]-AJ314,"N.A.")</f>
        <v>N.A.</v>
      </c>
      <c r="AH198" s="9" t="str">
        <f>Tab_Data_Flows[[#This Row],[UoM_Flow_Py]]</f>
        <v>Mg</v>
      </c>
      <c r="AI198" s="190">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35</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276</v>
      </c>
      <c r="AC199" s="190">
        <f>INDEX(Tab_Def_Flows[[Flow_ID]:[CC_DM_source]],MATCH(Tab_Data_Flows[[#This Row],[Name(EN)]],Tab_Def_Flows[Name(EN)],0),13)</f>
        <v>0</v>
      </c>
      <c r="AD199" s="9" t="str">
        <f>IF(J199="Yes",AA199*Tab_Data_Flows[[#This Row],[WC_'[%']]],"N.A.")</f>
        <v>N.A.</v>
      </c>
      <c r="AE199" s="9" t="str">
        <f>Tab_Data_Flows[[#This Row],[UoM_Flow_Py]]</f>
        <v>Mg</v>
      </c>
      <c r="AF199" s="190">
        <f>INDEX(Tab_Def_Flows[[Flow_ID]:[CC_DM_source]],MATCH(Tab_Data_Flows[[#This Row],[Name(EN)]],Tab_Def_Flows[Name(EN)],0),15)</f>
        <v>0</v>
      </c>
      <c r="AG199" s="9" t="str">
        <f>IF(K199="Yes",AF199*Tab_Data_Flows[[#This Row],[Flow_Py]]-AJ315,"N.A.")</f>
        <v>N.A.</v>
      </c>
      <c r="AH199" s="9" t="str">
        <f>Tab_Data_Flows[[#This Row],[UoM_Flow_Py]]</f>
        <v>Mg</v>
      </c>
      <c r="AI199" s="190">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35</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276</v>
      </c>
      <c r="AC200" s="190">
        <f>INDEX(Tab_Def_Flows[[Flow_ID]:[CC_DM_source]],MATCH(Tab_Data_Flows[[#This Row],[Name(EN)]],Tab_Def_Flows[Name(EN)],0),13)</f>
        <v>0</v>
      </c>
      <c r="AD200" s="9" t="str">
        <f>IF(J200="Yes",AA200*Tab_Data_Flows[[#This Row],[WC_'[%']]],"N.A.")</f>
        <v>N.A.</v>
      </c>
      <c r="AE200" s="9" t="str">
        <f>Tab_Data_Flows[[#This Row],[UoM_Flow_Py]]</f>
        <v>Mg</v>
      </c>
      <c r="AF200" s="190">
        <f>INDEX(Tab_Def_Flows[[Flow_ID]:[CC_DM_source]],MATCH(Tab_Data_Flows[[#This Row],[Name(EN)]],Tab_Def_Flows[Name(EN)],0),15)</f>
        <v>0</v>
      </c>
      <c r="AG200" s="9" t="str">
        <f>IF(K200="Yes",AF200*Tab_Data_Flows[[#This Row],[Flow_Py]]-AJ316,"N.A.")</f>
        <v>N.A.</v>
      </c>
      <c r="AH200" s="9" t="str">
        <f>Tab_Data_Flows[[#This Row],[UoM_Flow_Py]]</f>
        <v>Mg</v>
      </c>
      <c r="AI200" s="190">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35</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276</v>
      </c>
      <c r="AC201" s="190">
        <f>INDEX(Tab_Def_Flows[[Flow_ID]:[CC_DM_source]],MATCH(Tab_Data_Flows[[#This Row],[Name(EN)]],Tab_Def_Flows[Name(EN)],0),13)</f>
        <v>0</v>
      </c>
      <c r="AD201" s="9" t="str">
        <f>IF(J201="Yes",AA201*Tab_Data_Flows[[#This Row],[WC_'[%']]],"N.A.")</f>
        <v>N.A.</v>
      </c>
      <c r="AE201" s="9" t="str">
        <f>Tab_Data_Flows[[#This Row],[UoM_Flow_Py]]</f>
        <v>Mg</v>
      </c>
      <c r="AF201" s="190">
        <f>INDEX(Tab_Def_Flows[[Flow_ID]:[CC_DM_source]],MATCH(Tab_Data_Flows[[#This Row],[Name(EN)]],Tab_Def_Flows[Name(EN)],0),15)</f>
        <v>0</v>
      </c>
      <c r="AG201" s="9" t="str">
        <f>IF(K201="Yes",AF201*Tab_Data_Flows[[#This Row],[Flow_Py]]-AJ317,"N.A.")</f>
        <v>N.A.</v>
      </c>
      <c r="AH201" s="9" t="str">
        <f>Tab_Data_Flows[[#This Row],[UoM_Flow_Py]]</f>
        <v>Mg</v>
      </c>
      <c r="AI201" s="190">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35</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276</v>
      </c>
      <c r="AC202" s="190">
        <f>INDEX(Tab_Def_Flows[[Flow_ID]:[CC_DM_source]],MATCH(Tab_Data_Flows[[#This Row],[Name(EN)]],Tab_Def_Flows[Name(EN)],0),13)</f>
        <v>0</v>
      </c>
      <c r="AD202" s="9" t="str">
        <f>IF(J202="Yes",AA202*Tab_Data_Flows[[#This Row],[WC_'[%']]],"N.A.")</f>
        <v>N.A.</v>
      </c>
      <c r="AE202" s="9" t="str">
        <f>Tab_Data_Flows[[#This Row],[UoM_Flow_Py]]</f>
        <v>Mg</v>
      </c>
      <c r="AF202" s="190">
        <f>INDEX(Tab_Def_Flows[[Flow_ID]:[CC_DM_source]],MATCH(Tab_Data_Flows[[#This Row],[Name(EN)]],Tab_Def_Flows[Name(EN)],0),15)</f>
        <v>0</v>
      </c>
      <c r="AG202" s="9" t="str">
        <f>IF(K202="Yes",AF202*Tab_Data_Flows[[#This Row],[Flow_Py]]-AJ318,"N.A.")</f>
        <v>N.A.</v>
      </c>
      <c r="AH202" s="9" t="str">
        <f>Tab_Data_Flows[[#This Row],[UoM_Flow_Py]]</f>
        <v>Mg</v>
      </c>
      <c r="AI202" s="190">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35</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276</v>
      </c>
      <c r="AC203" s="190">
        <f>INDEX(Tab_Def_Flows[[Flow_ID]:[CC_DM_source]],MATCH(Tab_Data_Flows[[#This Row],[Name(EN)]],Tab_Def_Flows[Name(EN)],0),13)</f>
        <v>0</v>
      </c>
      <c r="AD203" s="9" t="str">
        <f>IF(J203="Yes",AA203*Tab_Data_Flows[[#This Row],[WC_'[%']]],"N.A.")</f>
        <v>N.A.</v>
      </c>
      <c r="AE203" s="9" t="str">
        <f>Tab_Data_Flows[[#This Row],[UoM_Flow_Py]]</f>
        <v>Mg</v>
      </c>
      <c r="AF203" s="190">
        <f>INDEX(Tab_Def_Flows[[Flow_ID]:[CC_DM_source]],MATCH(Tab_Data_Flows[[#This Row],[Name(EN)]],Tab_Def_Flows[Name(EN)],0),15)</f>
        <v>0</v>
      </c>
      <c r="AG203" s="9" t="str">
        <f>IF(K203="Yes",AF203*Tab_Data_Flows[[#This Row],[Flow_Py]]-AJ319,"N.A.")</f>
        <v>N.A.</v>
      </c>
      <c r="AH203" s="9" t="str">
        <f>Tab_Data_Flows[[#This Row],[UoM_Flow_Py]]</f>
        <v>Mg</v>
      </c>
      <c r="AI203" s="190">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35</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276</v>
      </c>
      <c r="AC204" s="190">
        <f>INDEX(Tab_Def_Flows[[Flow_ID]:[CC_DM_source]],MATCH(Tab_Data_Flows[[#This Row],[Name(EN)]],Tab_Def_Flows[Name(EN)],0),13)</f>
        <v>0</v>
      </c>
      <c r="AD204" s="9" t="str">
        <f>IF(J204="Yes",AA204*Tab_Data_Flows[[#This Row],[WC_'[%']]],"N.A.")</f>
        <v>N.A.</v>
      </c>
      <c r="AE204" s="9" t="str">
        <f>Tab_Data_Flows[[#This Row],[UoM_Flow_Py]]</f>
        <v>Mg</v>
      </c>
      <c r="AF204" s="190">
        <f>INDEX(Tab_Def_Flows[[Flow_ID]:[CC_DM_source]],MATCH(Tab_Data_Flows[[#This Row],[Name(EN)]],Tab_Def_Flows[Name(EN)],0),15)</f>
        <v>0</v>
      </c>
      <c r="AG204" s="9" t="str">
        <f>IF(K204="Yes",AF204*Tab_Data_Flows[[#This Row],[Flow_Py]]-AJ320,"N.A.")</f>
        <v>N.A.</v>
      </c>
      <c r="AH204" s="9" t="str">
        <f>Tab_Data_Flows[[#This Row],[UoM_Flow_Py]]</f>
        <v>Mg</v>
      </c>
      <c r="AI204" s="190">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35</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105</v>
      </c>
      <c r="O205" s="48"/>
      <c r="P205" s="11"/>
      <c r="Q205" s="11"/>
      <c r="R205" s="11"/>
      <c r="S205" s="11"/>
      <c r="T205" s="11"/>
      <c r="U205" s="11"/>
      <c r="V205" s="11"/>
      <c r="W205" s="11"/>
      <c r="X205" s="11" t="s">
        <v>8</v>
      </c>
      <c r="Y205" s="41"/>
      <c r="Z205" s="11"/>
      <c r="AA205" s="35">
        <f t="shared" si="7"/>
        <v>0</v>
      </c>
      <c r="AB205" s="11" t="s">
        <v>276</v>
      </c>
      <c r="AC205" s="190">
        <f>INDEX(Tab_Def_Flows[[Flow_ID]:[CC_DM_source]],MATCH(Tab_Data_Flows[[#This Row],[Name(EN)]],Tab_Def_Flows[Name(EN)],0),13)</f>
        <v>0</v>
      </c>
      <c r="AD205" s="9" t="str">
        <f>IF(J205="Yes",AA205*Tab_Data_Flows[[#This Row],[WC_'[%']]],"N.A.")</f>
        <v>N.A.</v>
      </c>
      <c r="AE205" s="9" t="str">
        <f>Tab_Data_Flows[[#This Row],[UoM_Flow_Py]]</f>
        <v>Mg</v>
      </c>
      <c r="AF205" s="190">
        <f>INDEX(Tab_Def_Flows[[Flow_ID]:[CC_DM_source]],MATCH(Tab_Data_Flows[[#This Row],[Name(EN)]],Tab_Def_Flows[Name(EN)],0),15)</f>
        <v>0</v>
      </c>
      <c r="AG205" s="9" t="str">
        <f>IF(K205="Yes",AF205*Tab_Data_Flows[[#This Row],[Flow_Py]],"N.A.")</f>
        <v>N.A.</v>
      </c>
      <c r="AH205" s="9" t="str">
        <f>Tab_Data_Flows[[#This Row],[UoM_Flow_Py]]</f>
        <v>Mg</v>
      </c>
      <c r="AI205" s="190">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35</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105</v>
      </c>
      <c r="O206" s="48"/>
      <c r="P206" s="11"/>
      <c r="Q206" s="11"/>
      <c r="R206" s="11"/>
      <c r="S206" s="11"/>
      <c r="T206" s="11"/>
      <c r="U206" s="11"/>
      <c r="V206" s="11"/>
      <c r="W206" s="11"/>
      <c r="X206" s="11" t="s">
        <v>8</v>
      </c>
      <c r="Y206" s="41"/>
      <c r="Z206" s="11"/>
      <c r="AA206" s="35">
        <f t="shared" si="7"/>
        <v>0</v>
      </c>
      <c r="AB206" s="11" t="s">
        <v>276</v>
      </c>
      <c r="AC206" s="190">
        <f>INDEX(Tab_Def_Flows[[Flow_ID]:[CC_DM_source]],MATCH(Tab_Data_Flows[[#This Row],[Name(EN)]],Tab_Def_Flows[Name(EN)],0),13)</f>
        <v>0</v>
      </c>
      <c r="AD206" s="9" t="str">
        <f>IF(J206="Yes",AA206*Tab_Data_Flows[[#This Row],[WC_'[%']]],"N.A.")</f>
        <v>N.A.</v>
      </c>
      <c r="AE206" s="9" t="str">
        <f>Tab_Data_Flows[[#This Row],[UoM_Flow_Py]]</f>
        <v>Mg</v>
      </c>
      <c r="AF206" s="190">
        <f>INDEX(Tab_Def_Flows[[Flow_ID]:[CC_DM_source]],MATCH(Tab_Data_Flows[[#This Row],[Name(EN)]],Tab_Def_Flows[Name(EN)],0),15)</f>
        <v>0</v>
      </c>
      <c r="AG206" s="9" t="str">
        <f>IF(K206="Yes",AF206*Tab_Data_Flows[[#This Row],[Flow_Py]],"N.A.")</f>
        <v>N.A.</v>
      </c>
      <c r="AH206" s="9" t="str">
        <f>Tab_Data_Flows[[#This Row],[UoM_Flow_Py]]</f>
        <v>Mg</v>
      </c>
      <c r="AI206" s="190">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35</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105</v>
      </c>
      <c r="O207" s="48"/>
      <c r="P207" s="11"/>
      <c r="Q207" s="11"/>
      <c r="R207" s="11"/>
      <c r="S207" s="11"/>
      <c r="T207" s="11"/>
      <c r="U207" s="11"/>
      <c r="V207" s="11"/>
      <c r="W207" s="11"/>
      <c r="X207" s="11" t="s">
        <v>8</v>
      </c>
      <c r="Y207" s="41"/>
      <c r="Z207" s="11"/>
      <c r="AA207" s="35">
        <f t="shared" si="7"/>
        <v>0</v>
      </c>
      <c r="AB207" s="11" t="s">
        <v>276</v>
      </c>
      <c r="AC207" s="190">
        <f>INDEX(Tab_Def_Flows[[Flow_ID]:[CC_DM_source]],MATCH(Tab_Data_Flows[[#This Row],[Name(EN)]],Tab_Def_Flows[Name(EN)],0),13)</f>
        <v>0</v>
      </c>
      <c r="AD207" s="9" t="str">
        <f>IF(J207="Yes",AA207*Tab_Data_Flows[[#This Row],[WC_'[%']]],"N.A.")</f>
        <v>N.A.</v>
      </c>
      <c r="AE207" s="9" t="str">
        <f>Tab_Data_Flows[[#This Row],[UoM_Flow_Py]]</f>
        <v>Mg</v>
      </c>
      <c r="AF207" s="190">
        <f>INDEX(Tab_Def_Flows[[Flow_ID]:[CC_DM_source]],MATCH(Tab_Data_Flows[[#This Row],[Name(EN)]],Tab_Def_Flows[Name(EN)],0),15)</f>
        <v>0</v>
      </c>
      <c r="AG207" s="9" t="str">
        <f>IF(K207="Yes",AF207*Tab_Data_Flows[[#This Row],[Flow_Py]],"N.A.")</f>
        <v>N.A.</v>
      </c>
      <c r="AH207" s="9" t="str">
        <f>Tab_Data_Flows[[#This Row],[UoM_Flow_Py]]</f>
        <v>Mg</v>
      </c>
      <c r="AI207" s="190">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35</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105</v>
      </c>
      <c r="O208" s="48"/>
      <c r="P208" s="11"/>
      <c r="Q208" s="11"/>
      <c r="R208" s="11"/>
      <c r="S208" s="11"/>
      <c r="T208" s="11"/>
      <c r="U208" s="11"/>
      <c r="V208" s="11"/>
      <c r="W208" s="11"/>
      <c r="X208" s="11" t="s">
        <v>8</v>
      </c>
      <c r="Y208" s="41"/>
      <c r="Z208" s="11"/>
      <c r="AA208" s="35">
        <f t="shared" si="7"/>
        <v>0</v>
      </c>
      <c r="AB208" s="11" t="s">
        <v>276</v>
      </c>
      <c r="AC208" s="190">
        <f>INDEX(Tab_Def_Flows[[Flow_ID]:[CC_DM_source]],MATCH(Tab_Data_Flows[[#This Row],[Name(EN)]],Tab_Def_Flows[Name(EN)],0),13)</f>
        <v>0</v>
      </c>
      <c r="AD208" s="9" t="str">
        <f>IF(J208="Yes",AA208*Tab_Data_Flows[[#This Row],[WC_'[%']]],"N.A.")</f>
        <v>N.A.</v>
      </c>
      <c r="AE208" s="9" t="str">
        <f>Tab_Data_Flows[[#This Row],[UoM_Flow_Py]]</f>
        <v>Mg</v>
      </c>
      <c r="AF208" s="190">
        <f>INDEX(Tab_Def_Flows[[Flow_ID]:[CC_DM_source]],MATCH(Tab_Data_Flows[[#This Row],[Name(EN)]],Tab_Def_Flows[Name(EN)],0),15)</f>
        <v>0</v>
      </c>
      <c r="AG208" s="9" t="str">
        <f>IF(K208="Yes",AF208*Tab_Data_Flows[[#This Row],[Flow_Py]],"N.A.")</f>
        <v>N.A.</v>
      </c>
      <c r="AH208" s="9" t="str">
        <f>Tab_Data_Flows[[#This Row],[UoM_Flow_Py]]</f>
        <v>Mg</v>
      </c>
      <c r="AI208" s="190">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35</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105</v>
      </c>
      <c r="O209" s="48"/>
      <c r="P209" s="11"/>
      <c r="Q209" s="11"/>
      <c r="R209" s="11"/>
      <c r="S209" s="11"/>
      <c r="T209" s="11"/>
      <c r="U209" s="11"/>
      <c r="V209" s="11"/>
      <c r="W209" s="11"/>
      <c r="X209" s="11" t="s">
        <v>8</v>
      </c>
      <c r="Y209" s="41"/>
      <c r="Z209" s="11"/>
      <c r="AA209" s="35">
        <f t="shared" si="7"/>
        <v>0</v>
      </c>
      <c r="AB209" s="11" t="s">
        <v>276</v>
      </c>
      <c r="AC209" s="190">
        <f>INDEX(Tab_Def_Flows[[Flow_ID]:[CC_DM_source]],MATCH(Tab_Data_Flows[[#This Row],[Name(EN)]],Tab_Def_Flows[Name(EN)],0),13)</f>
        <v>0</v>
      </c>
      <c r="AD209" s="9" t="str">
        <f>IF(J209="Yes",AA209*Tab_Data_Flows[[#This Row],[WC_'[%']]],"N.A.")</f>
        <v>N.A.</v>
      </c>
      <c r="AE209" s="9" t="str">
        <f>Tab_Data_Flows[[#This Row],[UoM_Flow_Py]]</f>
        <v>Mg</v>
      </c>
      <c r="AF209" s="190">
        <f>INDEX(Tab_Def_Flows[[Flow_ID]:[CC_DM_source]],MATCH(Tab_Data_Flows[[#This Row],[Name(EN)]],Tab_Def_Flows[Name(EN)],0),15)</f>
        <v>0</v>
      </c>
      <c r="AG209" s="9" t="str">
        <f>IF(K209="Yes",AF209*Tab_Data_Flows[[#This Row],[Flow_Py]],"N.A.")</f>
        <v>N.A.</v>
      </c>
      <c r="AH209" s="9" t="str">
        <f>Tab_Data_Flows[[#This Row],[UoM_Flow_Py]]</f>
        <v>Mg</v>
      </c>
      <c r="AI209" s="190">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35</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105</v>
      </c>
      <c r="O210" s="48"/>
      <c r="P210" s="11"/>
      <c r="Q210" s="11"/>
      <c r="R210" s="11"/>
      <c r="S210" s="11"/>
      <c r="T210" s="11"/>
      <c r="U210" s="11"/>
      <c r="V210" s="11"/>
      <c r="W210" s="11"/>
      <c r="X210" s="11" t="s">
        <v>8</v>
      </c>
      <c r="Y210" s="41"/>
      <c r="Z210" s="11"/>
      <c r="AA210" s="35">
        <f t="shared" si="7"/>
        <v>0</v>
      </c>
      <c r="AB210" s="11" t="s">
        <v>276</v>
      </c>
      <c r="AC210" s="190">
        <f>INDEX(Tab_Def_Flows[[Flow_ID]:[CC_DM_source]],MATCH(Tab_Data_Flows[[#This Row],[Name(EN)]],Tab_Def_Flows[Name(EN)],0),13)</f>
        <v>0</v>
      </c>
      <c r="AD210" s="9" t="str">
        <f>IF(J210="Yes",AA210*Tab_Data_Flows[[#This Row],[WC_'[%']]],"N.A.")</f>
        <v>N.A.</v>
      </c>
      <c r="AE210" s="9" t="str">
        <f>Tab_Data_Flows[[#This Row],[UoM_Flow_Py]]</f>
        <v>Mg</v>
      </c>
      <c r="AF210" s="190">
        <f>INDEX(Tab_Def_Flows[[Flow_ID]:[CC_DM_source]],MATCH(Tab_Data_Flows[[#This Row],[Name(EN)]],Tab_Def_Flows[Name(EN)],0),15)</f>
        <v>0</v>
      </c>
      <c r="AG210" s="9" t="str">
        <f>IF(K210="Yes",AF210*Tab_Data_Flows[[#This Row],[Flow_Py]],"N.A.")</f>
        <v>N.A.</v>
      </c>
      <c r="AH210" s="9" t="str">
        <f>Tab_Data_Flows[[#This Row],[UoM_Flow_Py]]</f>
        <v>Mg</v>
      </c>
      <c r="AI210" s="190">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35</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105</v>
      </c>
      <c r="O211" s="48"/>
      <c r="P211" s="11"/>
      <c r="Q211" s="11"/>
      <c r="R211" s="11"/>
      <c r="S211" s="11"/>
      <c r="T211" s="11"/>
      <c r="U211" s="11"/>
      <c r="V211" s="11"/>
      <c r="W211" s="11"/>
      <c r="X211" s="11" t="s">
        <v>8</v>
      </c>
      <c r="Y211" s="41"/>
      <c r="Z211" s="11"/>
      <c r="AA211" s="35">
        <f t="shared" si="7"/>
        <v>0</v>
      </c>
      <c r="AB211" s="11" t="s">
        <v>276</v>
      </c>
      <c r="AC211" s="190">
        <f>INDEX(Tab_Def_Flows[[Flow_ID]:[CC_DM_source]],MATCH(Tab_Data_Flows[[#This Row],[Name(EN)]],Tab_Def_Flows[Name(EN)],0),13)</f>
        <v>0</v>
      </c>
      <c r="AD211" s="9" t="str">
        <f>IF(J211="Yes",AA211*Tab_Data_Flows[[#This Row],[WC_'[%']]],"N.A.")</f>
        <v>N.A.</v>
      </c>
      <c r="AE211" s="9" t="str">
        <f>Tab_Data_Flows[[#This Row],[UoM_Flow_Py]]</f>
        <v>Mg</v>
      </c>
      <c r="AF211" s="190">
        <f>INDEX(Tab_Def_Flows[[Flow_ID]:[CC_DM_source]],MATCH(Tab_Data_Flows[[#This Row],[Name(EN)]],Tab_Def_Flows[Name(EN)],0),15)</f>
        <v>0</v>
      </c>
      <c r="AG211" s="9" t="str">
        <f>IF(K211="Yes",AF211*Tab_Data_Flows[[#This Row],[Flow_Py]],"N.A.")</f>
        <v>N.A.</v>
      </c>
      <c r="AH211" s="9" t="str">
        <f>Tab_Data_Flows[[#This Row],[UoM_Flow_Py]]</f>
        <v>Mg</v>
      </c>
      <c r="AI211" s="190">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35</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276</v>
      </c>
      <c r="AC212" s="190">
        <f>INDEX(Tab_Def_Flows[[Flow_ID]:[CC_DM_source]],MATCH(Tab_Data_Flows[[#This Row],[Name(EN)]],Tab_Def_Flows[Name(EN)],0),13)</f>
        <v>0</v>
      </c>
      <c r="AD212" s="9" t="str">
        <f>IF(J212="Yes",AA212*Tab_Data_Flows[[#This Row],[WC_'[%']]],"N.A.")</f>
        <v>N.A.</v>
      </c>
      <c r="AE212" s="9" t="str">
        <f>Tab_Data_Flows[[#This Row],[UoM_Flow_Py]]</f>
        <v>Mg</v>
      </c>
      <c r="AF212" s="190">
        <f>INDEX(Tab_Def_Flows[[Flow_ID]:[CC_DM_source]],MATCH(Tab_Data_Flows[[#This Row],[Name(EN)]],Tab_Def_Flows[Name(EN)],0),15)</f>
        <v>0</v>
      </c>
      <c r="AG212" s="9" t="str">
        <f>IF(K212="Yes",AF212*Tab_Data_Flows[[#This Row],[Flow_Py]],"N.A.")</f>
        <v>N.A.</v>
      </c>
      <c r="AH212" s="9" t="str">
        <f>Tab_Data_Flows[[#This Row],[UoM_Flow_Py]]</f>
        <v>Mg</v>
      </c>
      <c r="AI212" s="190">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35</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276</v>
      </c>
      <c r="AC213" s="190">
        <f>INDEX(Tab_Def_Flows[[Flow_ID]:[CC_DM_source]],MATCH(Tab_Data_Flows[[#This Row],[Name(EN)]],Tab_Def_Flows[Name(EN)],0),13)</f>
        <v>0</v>
      </c>
      <c r="AD213" s="9" t="str">
        <f>IF(J213="Yes",AA213*Tab_Data_Flows[[#This Row],[WC_'[%']]],"N.A.")</f>
        <v>N.A.</v>
      </c>
      <c r="AE213" s="9" t="str">
        <f>Tab_Data_Flows[[#This Row],[UoM_Flow_Py]]</f>
        <v>Mg</v>
      </c>
      <c r="AF213" s="190">
        <f>INDEX(Tab_Def_Flows[[Flow_ID]:[CC_DM_source]],MATCH(Tab_Data_Flows[[#This Row],[Name(EN)]],Tab_Def_Flows[Name(EN)],0),15)</f>
        <v>0</v>
      </c>
      <c r="AG213" s="9" t="str">
        <f>IF(K213="Yes",AF213*Tab_Data_Flows[[#This Row],[Flow_Py]],"N.A.")</f>
        <v>N.A.</v>
      </c>
      <c r="AH213" s="9" t="str">
        <f>Tab_Data_Flows[[#This Row],[UoM_Flow_Py]]</f>
        <v>Mg</v>
      </c>
      <c r="AI213" s="190">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35</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276</v>
      </c>
      <c r="AC214" s="190">
        <f>INDEX(Tab_Def_Flows[[Flow_ID]:[CC_DM_source]],MATCH(Tab_Data_Flows[[#This Row],[Name(EN)]],Tab_Def_Flows[Name(EN)],0),13)</f>
        <v>0</v>
      </c>
      <c r="AD214" s="9" t="str">
        <f>IF(J214="Yes",AA214*Tab_Data_Flows[[#This Row],[WC_'[%']]],"N.A.")</f>
        <v>N.A.</v>
      </c>
      <c r="AE214" s="9" t="str">
        <f>Tab_Data_Flows[[#This Row],[UoM_Flow_Py]]</f>
        <v>Mg</v>
      </c>
      <c r="AF214" s="190">
        <f>INDEX(Tab_Def_Flows[[Flow_ID]:[CC_DM_source]],MATCH(Tab_Data_Flows[[#This Row],[Name(EN)]],Tab_Def_Flows[Name(EN)],0),15)</f>
        <v>0</v>
      </c>
      <c r="AG214" s="9" t="str">
        <f>IF(K214="Yes",AF214*Tab_Data_Flows[[#This Row],[Flow_Py]],"N.A.")</f>
        <v>N.A.</v>
      </c>
      <c r="AH214" s="9" t="str">
        <f>Tab_Data_Flows[[#This Row],[UoM_Flow_Py]]</f>
        <v>Mg</v>
      </c>
      <c r="AI214" s="190">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35</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276</v>
      </c>
      <c r="AC215" s="190">
        <f>INDEX(Tab_Def_Flows[[Flow_ID]:[CC_DM_source]],MATCH(Tab_Data_Flows[[#This Row],[Name(EN)]],Tab_Def_Flows[Name(EN)],0),13)</f>
        <v>0</v>
      </c>
      <c r="AD215" s="9" t="str">
        <f>IF(J215="Yes",AA215*Tab_Data_Flows[[#This Row],[WC_'[%']]],"N.A.")</f>
        <v>N.A.</v>
      </c>
      <c r="AE215" s="9" t="str">
        <f>Tab_Data_Flows[[#This Row],[UoM_Flow_Py]]</f>
        <v>Mg</v>
      </c>
      <c r="AF215" s="190">
        <f>INDEX(Tab_Def_Flows[[Flow_ID]:[CC_DM_source]],MATCH(Tab_Data_Flows[[#This Row],[Name(EN)]],Tab_Def_Flows[Name(EN)],0),15)</f>
        <v>0</v>
      </c>
      <c r="AG215" s="9" t="str">
        <f>IF(K215="Yes",AF215*Tab_Data_Flows[[#This Row],[Flow_Py]],"N.A.")</f>
        <v>N.A.</v>
      </c>
      <c r="AH215" s="9" t="str">
        <f>Tab_Data_Flows[[#This Row],[UoM_Flow_Py]]</f>
        <v>Mg</v>
      </c>
      <c r="AI215" s="190">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35</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276</v>
      </c>
      <c r="AC216" s="190">
        <f>INDEX(Tab_Def_Flows[[Flow_ID]:[CC_DM_source]],MATCH(Tab_Data_Flows[[#This Row],[Name(EN)]],Tab_Def_Flows[Name(EN)],0),13)</f>
        <v>0</v>
      </c>
      <c r="AD216" s="9" t="str">
        <f>IF(J216="Yes",AA216*Tab_Data_Flows[[#This Row],[WC_'[%']]],"N.A.")</f>
        <v>N.A.</v>
      </c>
      <c r="AE216" s="9" t="str">
        <f>Tab_Data_Flows[[#This Row],[UoM_Flow_Py]]</f>
        <v>Mg</v>
      </c>
      <c r="AF216" s="190">
        <f>INDEX(Tab_Def_Flows[[Flow_ID]:[CC_DM_source]],MATCH(Tab_Data_Flows[[#This Row],[Name(EN)]],Tab_Def_Flows[Name(EN)],0),15)</f>
        <v>0</v>
      </c>
      <c r="AG216" s="9" t="str">
        <f>IF(K216="Yes",AF216*Tab_Data_Flows[[#This Row],[Flow_Py]],"N.A.")</f>
        <v>N.A.</v>
      </c>
      <c r="AH216" s="9" t="str">
        <f>Tab_Data_Flows[[#This Row],[UoM_Flow_Py]]</f>
        <v>Mg</v>
      </c>
      <c r="AI216" s="190">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35</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276</v>
      </c>
      <c r="AC217" s="190">
        <f>INDEX(Tab_Def_Flows[[Flow_ID]:[CC_DM_source]],MATCH(Tab_Data_Flows[[#This Row],[Name(EN)]],Tab_Def_Flows[Name(EN)],0),13)</f>
        <v>0</v>
      </c>
      <c r="AD217" s="9" t="str">
        <f>IF(J217="Yes",AA217*Tab_Data_Flows[[#This Row],[WC_'[%']]],"N.A.")</f>
        <v>N.A.</v>
      </c>
      <c r="AE217" s="9" t="str">
        <f>Tab_Data_Flows[[#This Row],[UoM_Flow_Py]]</f>
        <v>Mg</v>
      </c>
      <c r="AF217" s="190">
        <f>INDEX(Tab_Def_Flows[[Flow_ID]:[CC_DM_source]],MATCH(Tab_Data_Flows[[#This Row],[Name(EN)]],Tab_Def_Flows[Name(EN)],0),15)</f>
        <v>0</v>
      </c>
      <c r="AG217" s="9" t="str">
        <f>IF(K217="Yes",AF217*Tab_Data_Flows[[#This Row],[Flow_Py]],"N.A.")</f>
        <v>N.A.</v>
      </c>
      <c r="AH217" s="9" t="str">
        <f>Tab_Data_Flows[[#This Row],[UoM_Flow_Py]]</f>
        <v>Mg</v>
      </c>
      <c r="AI217" s="190">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35</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276</v>
      </c>
      <c r="AC218" s="190">
        <f>INDEX(Tab_Def_Flows[[Flow_ID]:[CC_DM_source]],MATCH(Tab_Data_Flows[[#This Row],[Name(EN)]],Tab_Def_Flows[Name(EN)],0),13)</f>
        <v>0</v>
      </c>
      <c r="AD218" s="9" t="str">
        <f>IF(J218="Yes",AA218*Tab_Data_Flows[[#This Row],[WC_'[%']]],"N.A.")</f>
        <v>N.A.</v>
      </c>
      <c r="AE218" s="9" t="str">
        <f>Tab_Data_Flows[[#This Row],[UoM_Flow_Py]]</f>
        <v>Mg</v>
      </c>
      <c r="AF218" s="190">
        <f>INDEX(Tab_Def_Flows[[Flow_ID]:[CC_DM_source]],MATCH(Tab_Data_Flows[[#This Row],[Name(EN)]],Tab_Def_Flows[Name(EN)],0),15)</f>
        <v>0</v>
      </c>
      <c r="AG218" s="9" t="str">
        <f>IF(K218="Yes",AF218*Tab_Data_Flows[[#This Row],[Flow_Py]],"N.A.")</f>
        <v>N.A.</v>
      </c>
      <c r="AH218" s="9" t="str">
        <f>Tab_Data_Flows[[#This Row],[UoM_Flow_Py]]</f>
        <v>Mg</v>
      </c>
      <c r="AI218" s="190">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35</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276</v>
      </c>
      <c r="AC219" s="190">
        <f>INDEX(Tab_Def_Flows[[Flow_ID]:[CC_DM_source]],MATCH(Tab_Data_Flows[[#This Row],[Name(EN)]],Tab_Def_Flows[Name(EN)],0),13)</f>
        <v>0</v>
      </c>
      <c r="AD219" s="9" t="str">
        <f>IF(J219="Yes",AA219*Tab_Data_Flows[[#This Row],[WC_'[%']]],"N.A.")</f>
        <v>N.A.</v>
      </c>
      <c r="AE219" s="9" t="str">
        <f>Tab_Data_Flows[[#This Row],[UoM_Flow_Py]]</f>
        <v>Mg</v>
      </c>
      <c r="AF219" s="190">
        <f>INDEX(Tab_Def_Flows[[Flow_ID]:[CC_DM_source]],MATCH(Tab_Data_Flows[[#This Row],[Name(EN)]],Tab_Def_Flows[Name(EN)],0),15)</f>
        <v>0</v>
      </c>
      <c r="AG219" s="9" t="str">
        <f>IF(K219="Yes",AF219*Tab_Data_Flows[[#This Row],[Flow_Py]],"N.A.")</f>
        <v>N.A.</v>
      </c>
      <c r="AH219" s="9" t="str">
        <f>Tab_Data_Flows[[#This Row],[UoM_Flow_Py]]</f>
        <v>Mg</v>
      </c>
      <c r="AI219" s="190">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35</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276</v>
      </c>
      <c r="AC220" s="190">
        <f>INDEX(Tab_Def_Flows[[Flow_ID]:[CC_DM_source]],MATCH(Tab_Data_Flows[[#This Row],[Name(EN)]],Tab_Def_Flows[Name(EN)],0),13)</f>
        <v>0</v>
      </c>
      <c r="AD220" s="9" t="str">
        <f>IF(J220="Yes",AA220*Tab_Data_Flows[[#This Row],[WC_'[%']]],"N.A.")</f>
        <v>N.A.</v>
      </c>
      <c r="AE220" s="9" t="str">
        <f>Tab_Data_Flows[[#This Row],[UoM_Flow_Py]]</f>
        <v>Mg</v>
      </c>
      <c r="AF220" s="190">
        <f>INDEX(Tab_Def_Flows[[Flow_ID]:[CC_DM_source]],MATCH(Tab_Data_Flows[[#This Row],[Name(EN)]],Tab_Def_Flows[Name(EN)],0),15)</f>
        <v>0</v>
      </c>
      <c r="AG220" s="9" t="str">
        <f>IF(K220="Yes",AF220*Tab_Data_Flows[[#This Row],[Flow_Py]],"N.A.")</f>
        <v>N.A.</v>
      </c>
      <c r="AH220" s="9" t="str">
        <f>Tab_Data_Flows[[#This Row],[UoM_Flow_Py]]</f>
        <v>Mg</v>
      </c>
      <c r="AI220" s="190">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35</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276</v>
      </c>
      <c r="AC221" s="190">
        <f>INDEX(Tab_Def_Flows[[Flow_ID]:[CC_DM_source]],MATCH(Tab_Data_Flows[[#This Row],[Name(EN)]],Tab_Def_Flows[Name(EN)],0),13)</f>
        <v>0</v>
      </c>
      <c r="AD221" s="9" t="str">
        <f>IF(J221="Yes",AA221*Tab_Data_Flows[[#This Row],[WC_'[%']]],"N.A.")</f>
        <v>N.A.</v>
      </c>
      <c r="AE221" s="9" t="str">
        <f>Tab_Data_Flows[[#This Row],[UoM_Flow_Py]]</f>
        <v>Mg</v>
      </c>
      <c r="AF221" s="190">
        <f>INDEX(Tab_Def_Flows[[Flow_ID]:[CC_DM_source]],MATCH(Tab_Data_Flows[[#This Row],[Name(EN)]],Tab_Def_Flows[Name(EN)],0),15)</f>
        <v>0</v>
      </c>
      <c r="AG221" s="9" t="str">
        <f>IF(K221="Yes",AF221*Tab_Data_Flows[[#This Row],[Flow_Py]],"N.A.")</f>
        <v>N.A.</v>
      </c>
      <c r="AH221" s="9" t="str">
        <f>Tab_Data_Flows[[#This Row],[UoM_Flow_Py]]</f>
        <v>Mg</v>
      </c>
      <c r="AI221" s="190">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35</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276</v>
      </c>
      <c r="AC222" s="190">
        <f>INDEX(Tab_Def_Flows[[Flow_ID]:[CC_DM_source]],MATCH(Tab_Data_Flows[[#This Row],[Name(EN)]],Tab_Def_Flows[Name(EN)],0),13)</f>
        <v>0</v>
      </c>
      <c r="AD222" s="9" t="str">
        <f>IF(J222="Yes",AA222*Tab_Data_Flows[[#This Row],[WC_'[%']]],"N.A.")</f>
        <v>N.A.</v>
      </c>
      <c r="AE222" s="9" t="str">
        <f>Tab_Data_Flows[[#This Row],[UoM_Flow_Py]]</f>
        <v>Mg</v>
      </c>
      <c r="AF222" s="190">
        <f>INDEX(Tab_Def_Flows[[Flow_ID]:[CC_DM_source]],MATCH(Tab_Data_Flows[[#This Row],[Name(EN)]],Tab_Def_Flows[Name(EN)],0),15)</f>
        <v>0</v>
      </c>
      <c r="AG222" s="9" t="str">
        <f>IF(K222="Yes",AF222*Tab_Data_Flows[[#This Row],[Flow_Py]],"N.A.")</f>
        <v>N.A.</v>
      </c>
      <c r="AH222" s="9" t="str">
        <f>Tab_Data_Flows[[#This Row],[UoM_Flow_Py]]</f>
        <v>Mg</v>
      </c>
      <c r="AI222" s="190">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35</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276</v>
      </c>
      <c r="AC223" s="190">
        <f>INDEX(Tab_Def_Flows[[Flow_ID]:[CC_DM_source]],MATCH(Tab_Data_Flows[[#This Row],[Name(EN)]],Tab_Def_Flows[Name(EN)],0),13)</f>
        <v>0</v>
      </c>
      <c r="AD223" s="9" t="str">
        <f>IF(J223="Yes",AA223*Tab_Data_Flows[[#This Row],[WC_'[%']]],"N.A.")</f>
        <v>N.A.</v>
      </c>
      <c r="AE223" s="9" t="str">
        <f>Tab_Data_Flows[[#This Row],[UoM_Flow_Py]]</f>
        <v>Mg</v>
      </c>
      <c r="AF223" s="190">
        <f>INDEX(Tab_Def_Flows[[Flow_ID]:[CC_DM_source]],MATCH(Tab_Data_Flows[[#This Row],[Name(EN)]],Tab_Def_Flows[Name(EN)],0),15)</f>
        <v>0</v>
      </c>
      <c r="AG223" s="9" t="str">
        <f>IF(K223="Yes",AF223*Tab_Data_Flows[[#This Row],[Flow_Py]],"N.A.")</f>
        <v>N.A.</v>
      </c>
      <c r="AH223" s="9" t="str">
        <f>Tab_Data_Flows[[#This Row],[UoM_Flow_Py]]</f>
        <v>Mg</v>
      </c>
      <c r="AI223" s="190">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35</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276</v>
      </c>
      <c r="AC224" s="190">
        <f>INDEX(Tab_Def_Flows[[Flow_ID]:[CC_DM_source]],MATCH(Tab_Data_Flows[[#This Row],[Name(EN)]],Tab_Def_Flows[Name(EN)],0),13)</f>
        <v>0</v>
      </c>
      <c r="AD224" s="9" t="str">
        <f>IF(J224="Yes",AA224*Tab_Data_Flows[[#This Row],[WC_'[%']]],"N.A.")</f>
        <v>N.A.</v>
      </c>
      <c r="AE224" s="9" t="str">
        <f>Tab_Data_Flows[[#This Row],[UoM_Flow_Py]]</f>
        <v>Mg</v>
      </c>
      <c r="AF224" s="190">
        <f>INDEX(Tab_Def_Flows[[Flow_ID]:[CC_DM_source]],MATCH(Tab_Data_Flows[[#This Row],[Name(EN)]],Tab_Def_Flows[Name(EN)],0),15)</f>
        <v>0</v>
      </c>
      <c r="AG224" s="9" t="str">
        <f>IF(K224="Yes",AF224*Tab_Data_Flows[[#This Row],[Flow_Py]],"N.A.")</f>
        <v>N.A.</v>
      </c>
      <c r="AH224" s="9" t="str">
        <f>Tab_Data_Flows[[#This Row],[UoM_Flow_Py]]</f>
        <v>Mg</v>
      </c>
      <c r="AI224" s="190">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35</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276</v>
      </c>
      <c r="AC225" s="190">
        <f>INDEX(Tab_Def_Flows[[Flow_ID]:[CC_DM_source]],MATCH(Tab_Data_Flows[[#This Row],[Name(EN)]],Tab_Def_Flows[Name(EN)],0),13)</f>
        <v>0</v>
      </c>
      <c r="AD225" s="9" t="str">
        <f>IF(J225="Yes",AA225*Tab_Data_Flows[[#This Row],[WC_'[%']]],"N.A.")</f>
        <v>N.A.</v>
      </c>
      <c r="AE225" s="9" t="str">
        <f>Tab_Data_Flows[[#This Row],[UoM_Flow_Py]]</f>
        <v>Mg</v>
      </c>
      <c r="AF225" s="190">
        <f>INDEX(Tab_Def_Flows[[Flow_ID]:[CC_DM_source]],MATCH(Tab_Data_Flows[[#This Row],[Name(EN)]],Tab_Def_Flows[Name(EN)],0),15)</f>
        <v>0</v>
      </c>
      <c r="AG225" s="9" t="str">
        <f>IF(K225="Yes",AF225*Tab_Data_Flows[[#This Row],[Flow_Py]],"N.A.")</f>
        <v>N.A.</v>
      </c>
      <c r="AH225" s="9" t="str">
        <f>Tab_Data_Flows[[#This Row],[UoM_Flow_Py]]</f>
        <v>Mg</v>
      </c>
      <c r="AI225" s="190">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35</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276</v>
      </c>
      <c r="AC226" s="190">
        <f>INDEX(Tab_Def_Flows[[Flow_ID]:[CC_DM_source]],MATCH(Tab_Data_Flows[[#This Row],[Name(EN)]],Tab_Def_Flows[Name(EN)],0),13)</f>
        <v>0</v>
      </c>
      <c r="AD226" s="9" t="str">
        <f>IF(J226="Yes",AA226*Tab_Data_Flows[[#This Row],[WC_'[%']]],"N.A.")</f>
        <v>N.A.</v>
      </c>
      <c r="AE226" s="9" t="str">
        <f>Tab_Data_Flows[[#This Row],[UoM_Flow_Py]]</f>
        <v>Mg</v>
      </c>
      <c r="AF226" s="190">
        <f>INDEX(Tab_Def_Flows[[Flow_ID]:[CC_DM_source]],MATCH(Tab_Data_Flows[[#This Row],[Name(EN)]],Tab_Def_Flows[Name(EN)],0),15)</f>
        <v>0</v>
      </c>
      <c r="AG226" s="9" t="str">
        <f>IF(K226="Yes",AF226*Tab_Data_Flows[[#This Row],[Flow_Py]],"N.A.")</f>
        <v>N.A.</v>
      </c>
      <c r="AH226" s="9" t="str">
        <f>Tab_Data_Flows[[#This Row],[UoM_Flow_Py]]</f>
        <v>Mg</v>
      </c>
      <c r="AI226" s="190">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35</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276</v>
      </c>
      <c r="AC227" s="190">
        <f>INDEX(Tab_Def_Flows[[Flow_ID]:[CC_DM_source]],MATCH(Tab_Data_Flows[[#This Row],[Name(EN)]],Tab_Def_Flows[Name(EN)],0),13)</f>
        <v>0</v>
      </c>
      <c r="AD227" s="9" t="str">
        <f>IF(J227="Yes",AA227*Tab_Data_Flows[[#This Row],[WC_'[%']]],"N.A.")</f>
        <v>N.A.</v>
      </c>
      <c r="AE227" s="9" t="str">
        <f>Tab_Data_Flows[[#This Row],[UoM_Flow_Py]]</f>
        <v>Mg</v>
      </c>
      <c r="AF227" s="190">
        <f>INDEX(Tab_Def_Flows[[Flow_ID]:[CC_DM_source]],MATCH(Tab_Data_Flows[[#This Row],[Name(EN)]],Tab_Def_Flows[Name(EN)],0),15)</f>
        <v>0</v>
      </c>
      <c r="AG227" s="9" t="str">
        <f>IF(K227="Yes",AF227*Tab_Data_Flows[[#This Row],[Flow_Py]],"N.A.")</f>
        <v>N.A.</v>
      </c>
      <c r="AH227" s="9" t="str">
        <f>Tab_Data_Flows[[#This Row],[UoM_Flow_Py]]</f>
        <v>Mg</v>
      </c>
      <c r="AI227" s="190">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35</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276</v>
      </c>
      <c r="AC228" s="190">
        <f>INDEX(Tab_Def_Flows[[Flow_ID]:[CC_DM_source]],MATCH(Tab_Data_Flows[[#This Row],[Name(EN)]],Tab_Def_Flows[Name(EN)],0),13)</f>
        <v>0</v>
      </c>
      <c r="AD228" s="9" t="str">
        <f>IF(J228="Yes",AA228*Tab_Data_Flows[[#This Row],[WC_'[%']]],"N.A.")</f>
        <v>N.A.</v>
      </c>
      <c r="AE228" s="9" t="str">
        <f>Tab_Data_Flows[[#This Row],[UoM_Flow_Py]]</f>
        <v>Mg</v>
      </c>
      <c r="AF228" s="190">
        <f>INDEX(Tab_Def_Flows[[Flow_ID]:[CC_DM_source]],MATCH(Tab_Data_Flows[[#This Row],[Name(EN)]],Tab_Def_Flows[Name(EN)],0),15)</f>
        <v>0</v>
      </c>
      <c r="AG228" s="9" t="str">
        <f>IF(K228="Yes",AF228*Tab_Data_Flows[[#This Row],[Flow_Py]],"N.A.")</f>
        <v>N.A.</v>
      </c>
      <c r="AH228" s="9" t="str">
        <f>Tab_Data_Flows[[#This Row],[UoM_Flow_Py]]</f>
        <v>Mg</v>
      </c>
      <c r="AI228" s="190">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35</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276</v>
      </c>
      <c r="AC229" s="190">
        <f>INDEX(Tab_Def_Flows[[Flow_ID]:[CC_DM_source]],MATCH(Tab_Data_Flows[[#This Row],[Name(EN)]],Tab_Def_Flows[Name(EN)],0),13)</f>
        <v>0</v>
      </c>
      <c r="AD229" s="9" t="str">
        <f>IF(J229="Yes",AA229*Tab_Data_Flows[[#This Row],[WC_'[%']]],"N.A.")</f>
        <v>N.A.</v>
      </c>
      <c r="AE229" s="9" t="str">
        <f>Tab_Data_Flows[[#This Row],[UoM_Flow_Py]]</f>
        <v>Mg</v>
      </c>
      <c r="AF229" s="190">
        <f>INDEX(Tab_Def_Flows[[Flow_ID]:[CC_DM_source]],MATCH(Tab_Data_Flows[[#This Row],[Name(EN)]],Tab_Def_Flows[Name(EN)],0),15)</f>
        <v>0</v>
      </c>
      <c r="AG229" s="9" t="str">
        <f>IF(K229="Yes",AF229*Tab_Data_Flows[[#This Row],[Flow_Py]],"N.A.")</f>
        <v>N.A.</v>
      </c>
      <c r="AH229" s="9" t="str">
        <f>Tab_Data_Flows[[#This Row],[UoM_Flow_Py]]</f>
        <v>Mg</v>
      </c>
      <c r="AI229" s="190">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35</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276</v>
      </c>
      <c r="AC230" s="190">
        <f>INDEX(Tab_Def_Flows[[Flow_ID]:[CC_DM_source]],MATCH(Tab_Data_Flows[[#This Row],[Name(EN)]],Tab_Def_Flows[Name(EN)],0),13)</f>
        <v>0</v>
      </c>
      <c r="AD230" s="9" t="str">
        <f>IF(J230="Yes",AA230*Tab_Data_Flows[[#This Row],[WC_'[%']]],"N.A.")</f>
        <v>N.A.</v>
      </c>
      <c r="AE230" s="9" t="str">
        <f>Tab_Data_Flows[[#This Row],[UoM_Flow_Py]]</f>
        <v>Mg</v>
      </c>
      <c r="AF230" s="190">
        <f>INDEX(Tab_Def_Flows[[Flow_ID]:[CC_DM_source]],MATCH(Tab_Data_Flows[[#This Row],[Name(EN)]],Tab_Def_Flows[Name(EN)],0),15)</f>
        <v>0</v>
      </c>
      <c r="AG230" s="9" t="str">
        <f>IF(K230="Yes",AF230*Tab_Data_Flows[[#This Row],[Flow_Py]],"N.A.")</f>
        <v>N.A.</v>
      </c>
      <c r="AH230" s="9" t="str">
        <f>Tab_Data_Flows[[#This Row],[UoM_Flow_Py]]</f>
        <v>Mg</v>
      </c>
      <c r="AI230" s="190">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35</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276</v>
      </c>
      <c r="AC231" s="190">
        <f>INDEX(Tab_Def_Flows[[Flow_ID]:[CC_DM_source]],MATCH(Tab_Data_Flows[[#This Row],[Name(EN)]],Tab_Def_Flows[Name(EN)],0),13)</f>
        <v>0</v>
      </c>
      <c r="AD231" s="9" t="str">
        <f>IF(J231="Yes",AA231*Tab_Data_Flows[[#This Row],[WC_'[%']]],"N.A.")</f>
        <v>N.A.</v>
      </c>
      <c r="AE231" s="9" t="str">
        <f>Tab_Data_Flows[[#This Row],[UoM_Flow_Py]]</f>
        <v>Mg</v>
      </c>
      <c r="AF231" s="190">
        <f>INDEX(Tab_Def_Flows[[Flow_ID]:[CC_DM_source]],MATCH(Tab_Data_Flows[[#This Row],[Name(EN)]],Tab_Def_Flows[Name(EN)],0),15)</f>
        <v>0</v>
      </c>
      <c r="AG231" s="9" t="str">
        <f>IF(K231="Yes",AF231*Tab_Data_Flows[[#This Row],[Flow_Py]],"N.A.")</f>
        <v>N.A.</v>
      </c>
      <c r="AH231" s="9" t="str">
        <f>Tab_Data_Flows[[#This Row],[UoM_Flow_Py]]</f>
        <v>Mg</v>
      </c>
      <c r="AI231" s="190">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35</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276</v>
      </c>
      <c r="AC232" s="190">
        <f>INDEX(Tab_Def_Flows[[Flow_ID]:[CC_DM_source]],MATCH(Tab_Data_Flows[[#This Row],[Name(EN)]],Tab_Def_Flows[Name(EN)],0),13)</f>
        <v>0</v>
      </c>
      <c r="AD232" s="9" t="str">
        <f>IF(J232="Yes",AA232*Tab_Data_Flows[[#This Row],[WC_'[%']]],"N.A.")</f>
        <v>N.A.</v>
      </c>
      <c r="AE232" s="9" t="str">
        <f>Tab_Data_Flows[[#This Row],[UoM_Flow_Py]]</f>
        <v>Mg</v>
      </c>
      <c r="AF232" s="190">
        <f>INDEX(Tab_Def_Flows[[Flow_ID]:[CC_DM_source]],MATCH(Tab_Data_Flows[[#This Row],[Name(EN)]],Tab_Def_Flows[Name(EN)],0),15)</f>
        <v>0</v>
      </c>
      <c r="AG232" s="9" t="str">
        <f>IF(K232="Yes",AF232*Tab_Data_Flows[[#This Row],[Flow_Py]],"N.A.")</f>
        <v>N.A.</v>
      </c>
      <c r="AH232" s="9" t="str">
        <f>Tab_Data_Flows[[#This Row],[UoM_Flow_Py]]</f>
        <v>Mg</v>
      </c>
      <c r="AI232" s="190">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35</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276</v>
      </c>
      <c r="AC233" s="190">
        <f>INDEX(Tab_Def_Flows[[Flow_ID]:[CC_DM_source]],MATCH(Tab_Data_Flows[[#This Row],[Name(EN)]],Tab_Def_Flows[Name(EN)],0),13)</f>
        <v>0</v>
      </c>
      <c r="AD233" s="9" t="str">
        <f>IF(J233="Yes",AA233*Tab_Data_Flows[[#This Row],[WC_'[%']]],"N.A.")</f>
        <v>N.A.</v>
      </c>
      <c r="AE233" s="9" t="str">
        <f>Tab_Data_Flows[[#This Row],[UoM_Flow_Py]]</f>
        <v>Mg</v>
      </c>
      <c r="AF233" s="190">
        <f>INDEX(Tab_Def_Flows[[Flow_ID]:[CC_DM_source]],MATCH(Tab_Data_Flows[[#This Row],[Name(EN)]],Tab_Def_Flows[Name(EN)],0),15)</f>
        <v>0</v>
      </c>
      <c r="AG233" s="9" t="str">
        <f>IF(K233="Yes",AF233*Tab_Data_Flows[[#This Row],[Flow_Py]],"N.A.")</f>
        <v>N.A.</v>
      </c>
      <c r="AH233" s="9" t="str">
        <f>Tab_Data_Flows[[#This Row],[UoM_Flow_Py]]</f>
        <v>Mg</v>
      </c>
      <c r="AI233" s="190">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35</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276</v>
      </c>
      <c r="AC234" s="190">
        <f>INDEX(Tab_Def_Flows[[Flow_ID]:[CC_DM_source]],MATCH(Tab_Data_Flows[[#This Row],[Name(EN)]],Tab_Def_Flows[Name(EN)],0),13)</f>
        <v>0</v>
      </c>
      <c r="AD234" s="9" t="str">
        <f>IF(J234="Yes",AA234*Tab_Data_Flows[[#This Row],[WC_'[%']]],"N.A.")</f>
        <v>N.A.</v>
      </c>
      <c r="AE234" s="9" t="str">
        <f>Tab_Data_Flows[[#This Row],[UoM_Flow_Py]]</f>
        <v>Mg</v>
      </c>
      <c r="AF234" s="190">
        <f>INDEX(Tab_Def_Flows[[Flow_ID]:[CC_DM_source]],MATCH(Tab_Data_Flows[[#This Row],[Name(EN)]],Tab_Def_Flows[Name(EN)],0),15)</f>
        <v>0</v>
      </c>
      <c r="AG234" s="9" t="str">
        <f>IF(K234="Yes",AF234*Tab_Data_Flows[[#This Row],[Flow_Py]],"N.A.")</f>
        <v>N.A.</v>
      </c>
      <c r="AH234" s="9" t="str">
        <f>Tab_Data_Flows[[#This Row],[UoM_Flow_Py]]</f>
        <v>Mg</v>
      </c>
      <c r="AI234" s="190">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35</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276</v>
      </c>
      <c r="AC235" s="190">
        <f>INDEX(Tab_Def_Flows[[Flow_ID]:[CC_DM_source]],MATCH(Tab_Data_Flows[[#This Row],[Name(EN)]],Tab_Def_Flows[Name(EN)],0),13)</f>
        <v>0</v>
      </c>
      <c r="AD235" s="9" t="str">
        <f>IF(J235="Yes",AA235*Tab_Data_Flows[[#This Row],[WC_'[%']]],"N.A.")</f>
        <v>N.A.</v>
      </c>
      <c r="AE235" s="9" t="str">
        <f>Tab_Data_Flows[[#This Row],[UoM_Flow_Py]]</f>
        <v>Mg</v>
      </c>
      <c r="AF235" s="190">
        <f>INDEX(Tab_Def_Flows[[Flow_ID]:[CC_DM_source]],MATCH(Tab_Data_Flows[[#This Row],[Name(EN)]],Tab_Def_Flows[Name(EN)],0),15)</f>
        <v>0</v>
      </c>
      <c r="AG235" s="9" t="str">
        <f>IF(K235="Yes",AF235*Tab_Data_Flows[[#This Row],[Flow_Py]],"N.A.")</f>
        <v>N.A.</v>
      </c>
      <c r="AH235" s="9" t="str">
        <f>Tab_Data_Flows[[#This Row],[UoM_Flow_Py]]</f>
        <v>Mg</v>
      </c>
      <c r="AI235" s="190">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35</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276</v>
      </c>
      <c r="AC236" s="190">
        <f>INDEX(Tab_Def_Flows[[Flow_ID]:[CC_DM_source]],MATCH(Tab_Data_Flows[[#This Row],[Name(EN)]],Tab_Def_Flows[Name(EN)],0),13)</f>
        <v>0</v>
      </c>
      <c r="AD236" s="9" t="str">
        <f>IF(J236="Yes",AA236*Tab_Data_Flows[[#This Row],[WC_'[%']]],"N.A.")</f>
        <v>N.A.</v>
      </c>
      <c r="AE236" s="9" t="str">
        <f>Tab_Data_Flows[[#This Row],[UoM_Flow_Py]]</f>
        <v>Mg</v>
      </c>
      <c r="AF236" s="190">
        <f>INDEX(Tab_Def_Flows[[Flow_ID]:[CC_DM_source]],MATCH(Tab_Data_Flows[[#This Row],[Name(EN)]],Tab_Def_Flows[Name(EN)],0),15)</f>
        <v>0</v>
      </c>
      <c r="AG236" s="9" t="str">
        <f>IF(K236="Yes",AF236*Tab_Data_Flows[[#This Row],[Flow_Py]],"N.A.")</f>
        <v>N.A.</v>
      </c>
      <c r="AH236" s="9" t="str">
        <f>Tab_Data_Flows[[#This Row],[UoM_Flow_Py]]</f>
        <v>Mg</v>
      </c>
      <c r="AI236" s="190">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35</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276</v>
      </c>
      <c r="AC237" s="190">
        <f>INDEX(Tab_Def_Flows[[Flow_ID]:[CC_DM_source]],MATCH(Tab_Data_Flows[[#This Row],[Name(EN)]],Tab_Def_Flows[Name(EN)],0),13)</f>
        <v>0</v>
      </c>
      <c r="AD237" s="9" t="str">
        <f>IF(J237="Yes",AA237*Tab_Data_Flows[[#This Row],[WC_'[%']]],"N.A.")</f>
        <v>N.A.</v>
      </c>
      <c r="AE237" s="9" t="str">
        <f>Tab_Data_Flows[[#This Row],[UoM_Flow_Py]]</f>
        <v>Mg</v>
      </c>
      <c r="AF237" s="190">
        <f>INDEX(Tab_Def_Flows[[Flow_ID]:[CC_DM_source]],MATCH(Tab_Data_Flows[[#This Row],[Name(EN)]],Tab_Def_Flows[Name(EN)],0),15)</f>
        <v>0</v>
      </c>
      <c r="AG237" s="9" t="str">
        <f>IF(K237="Yes",AF237*Tab_Data_Flows[[#This Row],[Flow_Py]],"N.A.")</f>
        <v>N.A.</v>
      </c>
      <c r="AH237" s="9" t="str">
        <f>Tab_Data_Flows[[#This Row],[UoM_Flow_Py]]</f>
        <v>Mg</v>
      </c>
      <c r="AI237" s="190">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35</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276</v>
      </c>
      <c r="AC238" s="190">
        <f>INDEX(Tab_Def_Flows[[Flow_ID]:[CC_DM_source]],MATCH(Tab_Data_Flows[[#This Row],[Name(EN)]],Tab_Def_Flows[Name(EN)],0),13)</f>
        <v>0</v>
      </c>
      <c r="AD238" s="9" t="str">
        <f>IF(J238="Yes",AA238*Tab_Data_Flows[[#This Row],[WC_'[%']]],"N.A.")</f>
        <v>N.A.</v>
      </c>
      <c r="AE238" s="9" t="str">
        <f>Tab_Data_Flows[[#This Row],[UoM_Flow_Py]]</f>
        <v>Mg</v>
      </c>
      <c r="AF238" s="190">
        <f>INDEX(Tab_Def_Flows[[Flow_ID]:[CC_DM_source]],MATCH(Tab_Data_Flows[[#This Row],[Name(EN)]],Tab_Def_Flows[Name(EN)],0),15)</f>
        <v>0</v>
      </c>
      <c r="AG238" s="9" t="str">
        <f>IF(K238="Yes",AF238*Tab_Data_Flows[[#This Row],[Flow_Py]],"N.A.")</f>
        <v>N.A.</v>
      </c>
      <c r="AH238" s="9" t="str">
        <f>Tab_Data_Flows[[#This Row],[UoM_Flow_Py]]</f>
        <v>Mg</v>
      </c>
      <c r="AI238" s="190">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35</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276</v>
      </c>
      <c r="AC239" s="190">
        <f>INDEX(Tab_Def_Flows[[Flow_ID]:[CC_DM_source]],MATCH(Tab_Data_Flows[[#This Row],[Name(EN)]],Tab_Def_Flows[Name(EN)],0),13)</f>
        <v>0</v>
      </c>
      <c r="AD239" s="9" t="str">
        <f>IF(J239="Yes",AA239*Tab_Data_Flows[[#This Row],[WC_'[%']]],"N.A.")</f>
        <v>N.A.</v>
      </c>
      <c r="AE239" s="9" t="str">
        <f>Tab_Data_Flows[[#This Row],[UoM_Flow_Py]]</f>
        <v>Mg</v>
      </c>
      <c r="AF239" s="190">
        <f>INDEX(Tab_Def_Flows[[Flow_ID]:[CC_DM_source]],MATCH(Tab_Data_Flows[[#This Row],[Name(EN)]],Tab_Def_Flows[Name(EN)],0),15)</f>
        <v>0</v>
      </c>
      <c r="AG239" s="9" t="str">
        <f>IF(K239="Yes",AF239*Tab_Data_Flows[[#This Row],[Flow_Py]],"N.A.")</f>
        <v>N.A.</v>
      </c>
      <c r="AH239" s="9" t="str">
        <f>Tab_Data_Flows[[#This Row],[UoM_Flow_Py]]</f>
        <v>Mg</v>
      </c>
      <c r="AI239" s="190">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35</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276</v>
      </c>
      <c r="AC240" s="190">
        <f>INDEX(Tab_Def_Flows[[Flow_ID]:[CC_DM_source]],MATCH(Tab_Data_Flows[[#This Row],[Name(EN)]],Tab_Def_Flows[Name(EN)],0),13)</f>
        <v>0</v>
      </c>
      <c r="AD240" s="9" t="str">
        <f>IF(J240="Yes",AA240*Tab_Data_Flows[[#This Row],[WC_'[%']]],"N.A.")</f>
        <v>N.A.</v>
      </c>
      <c r="AE240" s="9" t="str">
        <f>Tab_Data_Flows[[#This Row],[UoM_Flow_Py]]</f>
        <v>Mg</v>
      </c>
      <c r="AF240" s="190">
        <f>INDEX(Tab_Def_Flows[[Flow_ID]:[CC_DM_source]],MATCH(Tab_Data_Flows[[#This Row],[Name(EN)]],Tab_Def_Flows[Name(EN)],0),15)</f>
        <v>0</v>
      </c>
      <c r="AG240" s="9" t="str">
        <f>IF(K240="Yes",AF240*Tab_Data_Flows[[#This Row],[Flow_Py]],"N.A.")</f>
        <v>N.A.</v>
      </c>
      <c r="AH240" s="9" t="str">
        <f>Tab_Data_Flows[[#This Row],[UoM_Flow_Py]]</f>
        <v>Mg</v>
      </c>
      <c r="AI240" s="190">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35</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276</v>
      </c>
      <c r="AC241" s="190">
        <f>INDEX(Tab_Def_Flows[[Flow_ID]:[CC_DM_source]],MATCH(Tab_Data_Flows[[#This Row],[Name(EN)]],Tab_Def_Flows[Name(EN)],0),13)</f>
        <v>0</v>
      </c>
      <c r="AD241" s="9" t="str">
        <f>IF(J241="Yes",AA241*Tab_Data_Flows[[#This Row],[WC_'[%']]],"N.A.")</f>
        <v>N.A.</v>
      </c>
      <c r="AE241" s="9" t="str">
        <f>Tab_Data_Flows[[#This Row],[UoM_Flow_Py]]</f>
        <v>Mg</v>
      </c>
      <c r="AF241" s="190">
        <f>INDEX(Tab_Def_Flows[[Flow_ID]:[CC_DM_source]],MATCH(Tab_Data_Flows[[#This Row],[Name(EN)]],Tab_Def_Flows[Name(EN)],0),15)</f>
        <v>0</v>
      </c>
      <c r="AG241" s="9" t="str">
        <f>IF(K241="Yes",AF241*Tab_Data_Flows[[#This Row],[Flow_Py]],"N.A.")</f>
        <v>N.A.</v>
      </c>
      <c r="AH241" s="9" t="str">
        <f>Tab_Data_Flows[[#This Row],[UoM_Flow_Py]]</f>
        <v>Mg</v>
      </c>
      <c r="AI241" s="190">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35</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276</v>
      </c>
      <c r="AC242" s="190">
        <f>INDEX(Tab_Def_Flows[[Flow_ID]:[CC_DM_source]],MATCH(Tab_Data_Flows[[#This Row],[Name(EN)]],Tab_Def_Flows[Name(EN)],0),13)</f>
        <v>0</v>
      </c>
      <c r="AD242" s="9" t="str">
        <f>IF(J242="Yes",AA242*Tab_Data_Flows[[#This Row],[WC_'[%']]],"N.A.")</f>
        <v>N.A.</v>
      </c>
      <c r="AE242" s="9" t="str">
        <f>Tab_Data_Flows[[#This Row],[UoM_Flow_Py]]</f>
        <v>Mg</v>
      </c>
      <c r="AF242" s="190">
        <f>INDEX(Tab_Def_Flows[[Flow_ID]:[CC_DM_source]],MATCH(Tab_Data_Flows[[#This Row],[Name(EN)]],Tab_Def_Flows[Name(EN)],0),15)</f>
        <v>0</v>
      </c>
      <c r="AG242" s="9" t="str">
        <f>IF(K242="Yes",AF242*Tab_Data_Flows[[#This Row],[Flow_Py]],"N.A.")</f>
        <v>N.A.</v>
      </c>
      <c r="AH242" s="9" t="str">
        <f>Tab_Data_Flows[[#This Row],[UoM_Flow_Py]]</f>
        <v>Mg</v>
      </c>
      <c r="AI242" s="190">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35</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276</v>
      </c>
      <c r="AC243" s="190">
        <f>INDEX(Tab_Def_Flows[[Flow_ID]:[CC_DM_source]],MATCH(Tab_Data_Flows[[#This Row],[Name(EN)]],Tab_Def_Flows[Name(EN)],0),13)</f>
        <v>0</v>
      </c>
      <c r="AD243" s="9" t="str">
        <f>IF(J243="Yes",AA243*Tab_Data_Flows[[#This Row],[WC_'[%']]],"N.A.")</f>
        <v>N.A.</v>
      </c>
      <c r="AE243" s="9" t="str">
        <f>Tab_Data_Flows[[#This Row],[UoM_Flow_Py]]</f>
        <v>Mg</v>
      </c>
      <c r="AF243" s="190">
        <f>INDEX(Tab_Def_Flows[[Flow_ID]:[CC_DM_source]],MATCH(Tab_Data_Flows[[#This Row],[Name(EN)]],Tab_Def_Flows[Name(EN)],0),15)</f>
        <v>0</v>
      </c>
      <c r="AG243" s="9" t="str">
        <f>IF(K243="Yes",AF243*Tab_Data_Flows[[#This Row],[Flow_Py]],"N.A.")</f>
        <v>N.A.</v>
      </c>
      <c r="AH243" s="9" t="str">
        <f>Tab_Data_Flows[[#This Row],[UoM_Flow_Py]]</f>
        <v>Mg</v>
      </c>
      <c r="AI243" s="190">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35</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276</v>
      </c>
      <c r="AC244" s="190">
        <f>INDEX(Tab_Def_Flows[[Flow_ID]:[CC_DM_source]],MATCH(Tab_Data_Flows[[#This Row],[Name(EN)]],Tab_Def_Flows[Name(EN)],0),13)</f>
        <v>0</v>
      </c>
      <c r="AD244" s="9" t="str">
        <f>IF(J244="Yes",AA244*Tab_Data_Flows[[#This Row],[WC_'[%']]],"N.A.")</f>
        <v>N.A.</v>
      </c>
      <c r="AE244" s="9" t="str">
        <f>Tab_Data_Flows[[#This Row],[UoM_Flow_Py]]</f>
        <v>Mg</v>
      </c>
      <c r="AF244" s="190">
        <f>INDEX(Tab_Def_Flows[[Flow_ID]:[CC_DM_source]],MATCH(Tab_Data_Flows[[#This Row],[Name(EN)]],Tab_Def_Flows[Name(EN)],0),15)</f>
        <v>0</v>
      </c>
      <c r="AG244" s="9" t="str">
        <f>IF(K244="Yes",AF244*Tab_Data_Flows[[#This Row],[Flow_Py]],"N.A.")</f>
        <v>N.A.</v>
      </c>
      <c r="AH244" s="9" t="str">
        <f>Tab_Data_Flows[[#This Row],[UoM_Flow_Py]]</f>
        <v>Mg</v>
      </c>
      <c r="AI244" s="190">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35</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276</v>
      </c>
      <c r="AC245" s="190">
        <f>INDEX(Tab_Def_Flows[[Flow_ID]:[CC_DM_source]],MATCH(Tab_Data_Flows[[#This Row],[Name(EN)]],Tab_Def_Flows[Name(EN)],0),13)</f>
        <v>0</v>
      </c>
      <c r="AD245" s="9" t="str">
        <f>IF(J245="Yes",AA245*Tab_Data_Flows[[#This Row],[WC_'[%']]],"N.A.")</f>
        <v>N.A.</v>
      </c>
      <c r="AE245" s="9" t="str">
        <f>Tab_Data_Flows[[#This Row],[UoM_Flow_Py]]</f>
        <v>Mg</v>
      </c>
      <c r="AF245" s="190">
        <f>INDEX(Tab_Def_Flows[[Flow_ID]:[CC_DM_source]],MATCH(Tab_Data_Flows[[#This Row],[Name(EN)]],Tab_Def_Flows[Name(EN)],0),15)</f>
        <v>0</v>
      </c>
      <c r="AG245" s="9" t="str">
        <f>IF(K245="Yes",AF245*Tab_Data_Flows[[#This Row],[Flow_Py]],"N.A.")</f>
        <v>N.A.</v>
      </c>
      <c r="AH245" s="9" t="str">
        <f>Tab_Data_Flows[[#This Row],[UoM_Flow_Py]]</f>
        <v>Mg</v>
      </c>
      <c r="AI245" s="190">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35</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276</v>
      </c>
      <c r="AC246" s="190">
        <f>INDEX(Tab_Def_Flows[[Flow_ID]:[CC_DM_source]],MATCH(Tab_Data_Flows[[#This Row],[Name(EN)]],Tab_Def_Flows[Name(EN)],0),13)</f>
        <v>0</v>
      </c>
      <c r="AD246" s="9" t="str">
        <f>IF(J246="Yes",AA246*Tab_Data_Flows[[#This Row],[WC_'[%']]],"N.A.")</f>
        <v>N.A.</v>
      </c>
      <c r="AE246" s="9" t="str">
        <f>Tab_Data_Flows[[#This Row],[UoM_Flow_Py]]</f>
        <v>Mg</v>
      </c>
      <c r="AF246" s="190">
        <f>INDEX(Tab_Def_Flows[[Flow_ID]:[CC_DM_source]],MATCH(Tab_Data_Flows[[#This Row],[Name(EN)]],Tab_Def_Flows[Name(EN)],0),15)</f>
        <v>0</v>
      </c>
      <c r="AG246" s="9" t="str">
        <f>IF(K246="Yes",AF246*Tab_Data_Flows[[#This Row],[Flow_Py]],"N.A.")</f>
        <v>N.A.</v>
      </c>
      <c r="AH246" s="9" t="str">
        <f>Tab_Data_Flows[[#This Row],[UoM_Flow_Py]]</f>
        <v>Mg</v>
      </c>
      <c r="AI246" s="190">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35</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276</v>
      </c>
      <c r="AC247" s="190">
        <f>INDEX(Tab_Def_Flows[[Flow_ID]:[CC_DM_source]],MATCH(Tab_Data_Flows[[#This Row],[Name(EN)]],Tab_Def_Flows[Name(EN)],0),13)</f>
        <v>0</v>
      </c>
      <c r="AD247" s="9" t="str">
        <f>IF(J247="Yes",AA247*Tab_Data_Flows[[#This Row],[WC_'[%']]],"N.A.")</f>
        <v>N.A.</v>
      </c>
      <c r="AE247" s="9" t="str">
        <f>Tab_Data_Flows[[#This Row],[UoM_Flow_Py]]</f>
        <v>Mg</v>
      </c>
      <c r="AF247" s="190">
        <f>INDEX(Tab_Def_Flows[[Flow_ID]:[CC_DM_source]],MATCH(Tab_Data_Flows[[#This Row],[Name(EN)]],Tab_Def_Flows[Name(EN)],0),15)</f>
        <v>0</v>
      </c>
      <c r="AG247" s="9" t="str">
        <f>IF(K247="Yes",AF247*Tab_Data_Flows[[#This Row],[Flow_Py]],"N.A.")</f>
        <v>N.A.</v>
      </c>
      <c r="AH247" s="9" t="str">
        <f>Tab_Data_Flows[[#This Row],[UoM_Flow_Py]]</f>
        <v>Mg</v>
      </c>
      <c r="AI247" s="190">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35</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276</v>
      </c>
      <c r="AC248" s="190">
        <f>INDEX(Tab_Def_Flows[[Flow_ID]:[CC_DM_source]],MATCH(Tab_Data_Flows[[#This Row],[Name(EN)]],Tab_Def_Flows[Name(EN)],0),13)</f>
        <v>0</v>
      </c>
      <c r="AD248" s="9" t="str">
        <f>IF(J248="Yes",AA248*Tab_Data_Flows[[#This Row],[WC_'[%']]],"N.A.")</f>
        <v>N.A.</v>
      </c>
      <c r="AE248" s="9" t="str">
        <f>Tab_Data_Flows[[#This Row],[UoM_Flow_Py]]</f>
        <v>Mg</v>
      </c>
      <c r="AF248" s="190">
        <f>INDEX(Tab_Def_Flows[[Flow_ID]:[CC_DM_source]],MATCH(Tab_Data_Flows[[#This Row],[Name(EN)]],Tab_Def_Flows[Name(EN)],0),15)</f>
        <v>0</v>
      </c>
      <c r="AG248" s="9" t="str">
        <f>IF(K248="Yes",AF248*Tab_Data_Flows[[#This Row],[Flow_Py]],"N.A.")</f>
        <v>N.A.</v>
      </c>
      <c r="AH248" s="9" t="str">
        <f>Tab_Data_Flows[[#This Row],[UoM_Flow_Py]]</f>
        <v>Mg</v>
      </c>
      <c r="AI248" s="190">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35</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276</v>
      </c>
      <c r="AC249" s="190">
        <f>INDEX(Tab_Def_Flows[[Flow_ID]:[CC_DM_source]],MATCH(Tab_Data_Flows[[#This Row],[Name(EN)]],Tab_Def_Flows[Name(EN)],0),13)</f>
        <v>0</v>
      </c>
      <c r="AD249" s="9" t="str">
        <f>IF(J249="Yes",AA249*Tab_Data_Flows[[#This Row],[WC_'[%']]],"N.A.")</f>
        <v>N.A.</v>
      </c>
      <c r="AE249" s="9" t="str">
        <f>Tab_Data_Flows[[#This Row],[UoM_Flow_Py]]</f>
        <v>Mg</v>
      </c>
      <c r="AF249" s="190">
        <f>INDEX(Tab_Def_Flows[[Flow_ID]:[CC_DM_source]],MATCH(Tab_Data_Flows[[#This Row],[Name(EN)]],Tab_Def_Flows[Name(EN)],0),15)</f>
        <v>0</v>
      </c>
      <c r="AG249" s="9" t="str">
        <f>IF(K249="Yes",AF249*Tab_Data_Flows[[#This Row],[Flow_Py]],"N.A.")</f>
        <v>N.A.</v>
      </c>
      <c r="AH249" s="9" t="str">
        <f>Tab_Data_Flows[[#This Row],[UoM_Flow_Py]]</f>
        <v>Mg</v>
      </c>
      <c r="AI249" s="190">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35</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276</v>
      </c>
      <c r="AC250" s="190">
        <f>INDEX(Tab_Def_Flows[[Flow_ID]:[CC_DM_source]],MATCH(Tab_Data_Flows[[#This Row],[Name(EN)]],Tab_Def_Flows[Name(EN)],0),13)</f>
        <v>0</v>
      </c>
      <c r="AD250" s="9" t="str">
        <f>IF(J250="Yes",AA250*Tab_Data_Flows[[#This Row],[WC_'[%']]],"N.A.")</f>
        <v>N.A.</v>
      </c>
      <c r="AE250" s="9" t="str">
        <f>Tab_Data_Flows[[#This Row],[UoM_Flow_Py]]</f>
        <v>Mg</v>
      </c>
      <c r="AF250" s="190">
        <f>INDEX(Tab_Def_Flows[[Flow_ID]:[CC_DM_source]],MATCH(Tab_Data_Flows[[#This Row],[Name(EN)]],Tab_Def_Flows[Name(EN)],0),15)</f>
        <v>0</v>
      </c>
      <c r="AG250" s="9" t="str">
        <f>IF(K250="Yes",AF250*Tab_Data_Flows[[#This Row],[Flow_Py]],"N.A.")</f>
        <v>N.A.</v>
      </c>
      <c r="AH250" s="9" t="str">
        <f>Tab_Data_Flows[[#This Row],[UoM_Flow_Py]]</f>
        <v>Mg</v>
      </c>
      <c r="AI250" s="190">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35</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276</v>
      </c>
      <c r="AC251" s="190">
        <f>INDEX(Tab_Def_Flows[[Flow_ID]:[CC_DM_source]],MATCH(Tab_Data_Flows[[#This Row],[Name(EN)]],Tab_Def_Flows[Name(EN)],0),13)</f>
        <v>0</v>
      </c>
      <c r="AD251" s="9" t="str">
        <f>IF(J251="Yes",AA251*Tab_Data_Flows[[#This Row],[WC_'[%']]],"N.A.")</f>
        <v>N.A.</v>
      </c>
      <c r="AE251" s="9" t="str">
        <f>Tab_Data_Flows[[#This Row],[UoM_Flow_Py]]</f>
        <v>Mg</v>
      </c>
      <c r="AF251" s="190">
        <f>INDEX(Tab_Def_Flows[[Flow_ID]:[CC_DM_source]],MATCH(Tab_Data_Flows[[#This Row],[Name(EN)]],Tab_Def_Flows[Name(EN)],0),15)</f>
        <v>0</v>
      </c>
      <c r="AG251" s="9" t="str">
        <f>IF(K251="Yes",AF251*Tab_Data_Flows[[#This Row],[Flow_Py]],"N.A.")</f>
        <v>N.A.</v>
      </c>
      <c r="AH251" s="9" t="str">
        <f>Tab_Data_Flows[[#This Row],[UoM_Flow_Py]]</f>
        <v>Mg</v>
      </c>
      <c r="AI251" s="190">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35</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276</v>
      </c>
      <c r="AC252" s="190">
        <f>INDEX(Tab_Def_Flows[[Flow_ID]:[CC_DM_source]],MATCH(Tab_Data_Flows[[#This Row],[Name(EN)]],Tab_Def_Flows[Name(EN)],0),13)</f>
        <v>0</v>
      </c>
      <c r="AD252" s="9" t="str">
        <f>IF(J252="Yes",AA252*Tab_Data_Flows[[#This Row],[WC_'[%']]],"N.A.")</f>
        <v>N.A.</v>
      </c>
      <c r="AE252" s="9" t="str">
        <f>Tab_Data_Flows[[#This Row],[UoM_Flow_Py]]</f>
        <v>Mg</v>
      </c>
      <c r="AF252" s="190">
        <f>INDEX(Tab_Def_Flows[[Flow_ID]:[CC_DM_source]],MATCH(Tab_Data_Flows[[#This Row],[Name(EN)]],Tab_Def_Flows[Name(EN)],0),15)</f>
        <v>0</v>
      </c>
      <c r="AG252" s="9" t="str">
        <f>IF(K252="Yes",AF252*Tab_Data_Flows[[#This Row],[Flow_Py]],"N.A.")</f>
        <v>N.A.</v>
      </c>
      <c r="AH252" s="9" t="str">
        <f>Tab_Data_Flows[[#This Row],[UoM_Flow_Py]]</f>
        <v>Mg</v>
      </c>
      <c r="AI252" s="190">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35</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276</v>
      </c>
      <c r="AC253" s="190">
        <f>INDEX(Tab_Def_Flows[[Flow_ID]:[CC_DM_source]],MATCH(Tab_Data_Flows[[#This Row],[Name(EN)]],Tab_Def_Flows[Name(EN)],0),13)</f>
        <v>0</v>
      </c>
      <c r="AD253" s="9" t="str">
        <f>IF(J253="Yes",AA253*Tab_Data_Flows[[#This Row],[WC_'[%']]],"N.A.")</f>
        <v>N.A.</v>
      </c>
      <c r="AE253" s="9" t="str">
        <f>Tab_Data_Flows[[#This Row],[UoM_Flow_Py]]</f>
        <v>Mg</v>
      </c>
      <c r="AF253" s="190">
        <f>INDEX(Tab_Def_Flows[[Flow_ID]:[CC_DM_source]],MATCH(Tab_Data_Flows[[#This Row],[Name(EN)]],Tab_Def_Flows[Name(EN)],0),15)</f>
        <v>0</v>
      </c>
      <c r="AG253" s="9" t="str">
        <f>IF(K253="Yes",AF253*Tab_Data_Flows[[#This Row],[Flow_Py]],"N.A.")</f>
        <v>N.A.</v>
      </c>
      <c r="AH253" s="9" t="str">
        <f>Tab_Data_Flows[[#This Row],[UoM_Flow_Py]]</f>
        <v>Mg</v>
      </c>
      <c r="AI253" s="190">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35</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276</v>
      </c>
      <c r="AC254" s="190">
        <f>INDEX(Tab_Def_Flows[[Flow_ID]:[CC_DM_source]],MATCH(Tab_Data_Flows[[#This Row],[Name(EN)]],Tab_Def_Flows[Name(EN)],0),13)</f>
        <v>0</v>
      </c>
      <c r="AD254" s="9" t="str">
        <f>IF(J254="Yes",AA254*Tab_Data_Flows[[#This Row],[WC_'[%']]],"N.A.")</f>
        <v>N.A.</v>
      </c>
      <c r="AE254" s="9" t="str">
        <f>Tab_Data_Flows[[#This Row],[UoM_Flow_Py]]</f>
        <v>Mg</v>
      </c>
      <c r="AF254" s="190">
        <f>INDEX(Tab_Def_Flows[[Flow_ID]:[CC_DM_source]],MATCH(Tab_Data_Flows[[#This Row],[Name(EN)]],Tab_Def_Flows[Name(EN)],0),15)</f>
        <v>0</v>
      </c>
      <c r="AG254" s="9" t="str">
        <f>IF(K254="Yes",AF254*Tab_Data_Flows[[#This Row],[Flow_Py]],"N.A.")</f>
        <v>N.A.</v>
      </c>
      <c r="AH254" s="9" t="str">
        <f>Tab_Data_Flows[[#This Row],[UoM_Flow_Py]]</f>
        <v>Mg</v>
      </c>
      <c r="AI254" s="190">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35</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276</v>
      </c>
      <c r="AC255" s="190">
        <f>INDEX(Tab_Def_Flows[[Flow_ID]:[CC_DM_source]],MATCH(Tab_Data_Flows[[#This Row],[Name(EN)]],Tab_Def_Flows[Name(EN)],0),13)</f>
        <v>0</v>
      </c>
      <c r="AD255" s="9" t="str">
        <f>IF(J255="Yes",AA255*Tab_Data_Flows[[#This Row],[WC_'[%']]],"N.A.")</f>
        <v>N.A.</v>
      </c>
      <c r="AE255" s="9" t="str">
        <f>Tab_Data_Flows[[#This Row],[UoM_Flow_Py]]</f>
        <v>Mg</v>
      </c>
      <c r="AF255" s="190">
        <f>INDEX(Tab_Def_Flows[[Flow_ID]:[CC_DM_source]],MATCH(Tab_Data_Flows[[#This Row],[Name(EN)]],Tab_Def_Flows[Name(EN)],0),15)</f>
        <v>0</v>
      </c>
      <c r="AG255" s="9" t="str">
        <f>IF(K255="Yes",AF255*Tab_Data_Flows[[#This Row],[Flow_Py]],"N.A.")</f>
        <v>N.A.</v>
      </c>
      <c r="AH255" s="9" t="str">
        <f>Tab_Data_Flows[[#This Row],[UoM_Flow_Py]]</f>
        <v>Mg</v>
      </c>
      <c r="AI255" s="190">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35</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276</v>
      </c>
      <c r="AC256" s="190">
        <f>INDEX(Tab_Def_Flows[[Flow_ID]:[CC_DM_source]],MATCH(Tab_Data_Flows[[#This Row],[Name(EN)]],Tab_Def_Flows[Name(EN)],0),13)</f>
        <v>0</v>
      </c>
      <c r="AD256" s="9" t="str">
        <f>IF(J256="Yes",AA256*Tab_Data_Flows[[#This Row],[WC_'[%']]],"N.A.")</f>
        <v>N.A.</v>
      </c>
      <c r="AE256" s="9" t="str">
        <f>Tab_Data_Flows[[#This Row],[UoM_Flow_Py]]</f>
        <v>Mg</v>
      </c>
      <c r="AF256" s="190">
        <f>INDEX(Tab_Def_Flows[[Flow_ID]:[CC_DM_source]],MATCH(Tab_Data_Flows[[#This Row],[Name(EN)]],Tab_Def_Flows[Name(EN)],0),15)</f>
        <v>0</v>
      </c>
      <c r="AG256" s="9" t="str">
        <f>IF(K256="Yes",AF256*Tab_Data_Flows[[#This Row],[Flow_Py]],"N.A.")</f>
        <v>N.A.</v>
      </c>
      <c r="AH256" s="9" t="str">
        <f>Tab_Data_Flows[[#This Row],[UoM_Flow_Py]]</f>
        <v>Mg</v>
      </c>
      <c r="AI256" s="190">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35</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276</v>
      </c>
      <c r="AC257" s="190">
        <f>INDEX(Tab_Def_Flows[[Flow_ID]:[CC_DM_source]],MATCH(Tab_Data_Flows[[#This Row],[Name(EN)]],Tab_Def_Flows[Name(EN)],0),13)</f>
        <v>0</v>
      </c>
      <c r="AD257" s="9" t="str">
        <f>IF(J257="Yes",AA257*Tab_Data_Flows[[#This Row],[WC_'[%']]],"N.A.")</f>
        <v>N.A.</v>
      </c>
      <c r="AE257" s="9" t="str">
        <f>Tab_Data_Flows[[#This Row],[UoM_Flow_Py]]</f>
        <v>Mg</v>
      </c>
      <c r="AF257" s="190">
        <f>INDEX(Tab_Def_Flows[[Flow_ID]:[CC_DM_source]],MATCH(Tab_Data_Flows[[#This Row],[Name(EN)]],Tab_Def_Flows[Name(EN)],0),15)</f>
        <v>0</v>
      </c>
      <c r="AG257" s="9" t="str">
        <f>IF(K257="Yes",AF257*Tab_Data_Flows[[#This Row],[Flow_Py]],"N.A.")</f>
        <v>N.A.</v>
      </c>
      <c r="AH257" s="9" t="str">
        <f>Tab_Data_Flows[[#This Row],[UoM_Flow_Py]]</f>
        <v>Mg</v>
      </c>
      <c r="AI257" s="190">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35</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276</v>
      </c>
      <c r="AC258" s="190">
        <f>INDEX(Tab_Def_Flows[[Flow_ID]:[CC_DM_source]],MATCH(Tab_Data_Flows[[#This Row],[Name(EN)]],Tab_Def_Flows[Name(EN)],0),13)</f>
        <v>0</v>
      </c>
      <c r="AD258" s="9" t="str">
        <f>IF(J258="Yes",AA258*Tab_Data_Flows[[#This Row],[WC_'[%']]],"N.A.")</f>
        <v>N.A.</v>
      </c>
      <c r="AE258" s="9" t="str">
        <f>Tab_Data_Flows[[#This Row],[UoM_Flow_Py]]</f>
        <v>Mg</v>
      </c>
      <c r="AF258" s="190">
        <f>INDEX(Tab_Def_Flows[[Flow_ID]:[CC_DM_source]],MATCH(Tab_Data_Flows[[#This Row],[Name(EN)]],Tab_Def_Flows[Name(EN)],0),15)</f>
        <v>0</v>
      </c>
      <c r="AG258" s="9" t="str">
        <f>IF(K258="Yes",AF258*Tab_Data_Flows[[#This Row],[Flow_Py]],"N.A.")</f>
        <v>N.A.</v>
      </c>
      <c r="AH258" s="9" t="str">
        <f>Tab_Data_Flows[[#This Row],[UoM_Flow_Py]]</f>
        <v>Mg</v>
      </c>
      <c r="AI258" s="190">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35</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276</v>
      </c>
      <c r="AC259" s="190">
        <f>INDEX(Tab_Def_Flows[[Flow_ID]:[CC_DM_source]],MATCH(Tab_Data_Flows[[#This Row],[Name(EN)]],Tab_Def_Flows[Name(EN)],0),13)</f>
        <v>0</v>
      </c>
      <c r="AD259" s="9" t="str">
        <f>IF(J259="Yes",AA259*Tab_Data_Flows[[#This Row],[WC_'[%']]],"N.A.")</f>
        <v>N.A.</v>
      </c>
      <c r="AE259" s="9" t="str">
        <f>Tab_Data_Flows[[#This Row],[UoM_Flow_Py]]</f>
        <v>Mg</v>
      </c>
      <c r="AF259" s="190">
        <f>INDEX(Tab_Def_Flows[[Flow_ID]:[CC_DM_source]],MATCH(Tab_Data_Flows[[#This Row],[Name(EN)]],Tab_Def_Flows[Name(EN)],0),15)</f>
        <v>0</v>
      </c>
      <c r="AG259" s="9" t="str">
        <f>IF(K259="Yes",AF259*Tab_Data_Flows[[#This Row],[Flow_Py]],"N.A.")</f>
        <v>N.A.</v>
      </c>
      <c r="AH259" s="9" t="str">
        <f>Tab_Data_Flows[[#This Row],[UoM_Flow_Py]]</f>
        <v>Mg</v>
      </c>
      <c r="AI259" s="190">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35</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276</v>
      </c>
      <c r="AC260" s="190">
        <f>INDEX(Tab_Def_Flows[[Flow_ID]:[CC_DM_source]],MATCH(Tab_Data_Flows[[#This Row],[Name(EN)]],Tab_Def_Flows[Name(EN)],0),13)</f>
        <v>0</v>
      </c>
      <c r="AD260" s="9" t="str">
        <f>IF(J260="Yes",AA260*Tab_Data_Flows[[#This Row],[WC_'[%']]],"N.A.")</f>
        <v>N.A.</v>
      </c>
      <c r="AE260" s="9" t="str">
        <f>Tab_Data_Flows[[#This Row],[UoM_Flow_Py]]</f>
        <v>Mg</v>
      </c>
      <c r="AF260" s="190">
        <f>INDEX(Tab_Def_Flows[[Flow_ID]:[CC_DM_source]],MATCH(Tab_Data_Flows[[#This Row],[Name(EN)]],Tab_Def_Flows[Name(EN)],0),15)</f>
        <v>0</v>
      </c>
      <c r="AG260" s="9" t="str">
        <f>IF(K260="Yes",AF260*Tab_Data_Flows[[#This Row],[Flow_Py]],"N.A.")</f>
        <v>N.A.</v>
      </c>
      <c r="AH260" s="9" t="str">
        <f>Tab_Data_Flows[[#This Row],[UoM_Flow_Py]]</f>
        <v>Mg</v>
      </c>
      <c r="AI260" s="190">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35</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276</v>
      </c>
      <c r="AC261" s="190">
        <f>INDEX(Tab_Def_Flows[[Flow_ID]:[CC_DM_source]],MATCH(Tab_Data_Flows[[#This Row],[Name(EN)]],Tab_Def_Flows[Name(EN)],0),13)</f>
        <v>0</v>
      </c>
      <c r="AD261" s="9" t="str">
        <f>IF(J261="Yes",AA261*Tab_Data_Flows[[#This Row],[WC_'[%']]],"N.A.")</f>
        <v>N.A.</v>
      </c>
      <c r="AE261" s="9" t="str">
        <f>Tab_Data_Flows[[#This Row],[UoM_Flow_Py]]</f>
        <v>Mg</v>
      </c>
      <c r="AF261" s="190">
        <f>INDEX(Tab_Def_Flows[[Flow_ID]:[CC_DM_source]],MATCH(Tab_Data_Flows[[#This Row],[Name(EN)]],Tab_Def_Flows[Name(EN)],0),15)</f>
        <v>0</v>
      </c>
      <c r="AG261" s="9" t="str">
        <f>IF(K261="Yes",AF261*Tab_Data_Flows[[#This Row],[Flow_Py]],"N.A.")</f>
        <v>N.A.</v>
      </c>
      <c r="AH261" s="9" t="str">
        <f>Tab_Data_Flows[[#This Row],[UoM_Flow_Py]]</f>
        <v>Mg</v>
      </c>
      <c r="AI261" s="190">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35</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276</v>
      </c>
      <c r="AC262" s="190">
        <f>INDEX(Tab_Def_Flows[[Flow_ID]:[CC_DM_source]],MATCH(Tab_Data_Flows[[#This Row],[Name(EN)]],Tab_Def_Flows[Name(EN)],0),13)</f>
        <v>0</v>
      </c>
      <c r="AD262" s="9" t="str">
        <f>IF(J262="Yes",AA262*Tab_Data_Flows[[#This Row],[WC_'[%']]],"N.A.")</f>
        <v>N.A.</v>
      </c>
      <c r="AE262" s="9" t="str">
        <f>Tab_Data_Flows[[#This Row],[UoM_Flow_Py]]</f>
        <v>Mg</v>
      </c>
      <c r="AF262" s="190">
        <f>INDEX(Tab_Def_Flows[[Flow_ID]:[CC_DM_source]],MATCH(Tab_Data_Flows[[#This Row],[Name(EN)]],Tab_Def_Flows[Name(EN)],0),15)</f>
        <v>0</v>
      </c>
      <c r="AG262" s="9" t="str">
        <f>IF(K262="Yes",AF262*Tab_Data_Flows[[#This Row],[Flow_Py]],"N.A.")</f>
        <v>N.A.</v>
      </c>
      <c r="AH262" s="9" t="str">
        <f>Tab_Data_Flows[[#This Row],[UoM_Flow_Py]]</f>
        <v>Mg</v>
      </c>
      <c r="AI262" s="190">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35</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276</v>
      </c>
      <c r="AC263" s="190">
        <f>INDEX(Tab_Def_Flows[[Flow_ID]:[CC_DM_source]],MATCH(Tab_Data_Flows[[#This Row],[Name(EN)]],Tab_Def_Flows[Name(EN)],0),13)</f>
        <v>0</v>
      </c>
      <c r="AD263" s="9" t="str">
        <f>IF(J263="Yes",AA263*Tab_Data_Flows[[#This Row],[WC_'[%']]],"N.A.")</f>
        <v>N.A.</v>
      </c>
      <c r="AE263" s="9" t="str">
        <f>Tab_Data_Flows[[#This Row],[UoM_Flow_Py]]</f>
        <v>Mg</v>
      </c>
      <c r="AF263" s="190">
        <f>INDEX(Tab_Def_Flows[[Flow_ID]:[CC_DM_source]],MATCH(Tab_Data_Flows[[#This Row],[Name(EN)]],Tab_Def_Flows[Name(EN)],0),15)</f>
        <v>0</v>
      </c>
      <c r="AG263" s="9" t="str">
        <f>IF(K263="Yes",AF263*Tab_Data_Flows[[#This Row],[Flow_Py]],"N.A.")</f>
        <v>N.A.</v>
      </c>
      <c r="AH263" s="9" t="str">
        <f>Tab_Data_Flows[[#This Row],[UoM_Flow_Py]]</f>
        <v>Mg</v>
      </c>
      <c r="AI263" s="190">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35</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276</v>
      </c>
      <c r="AC264" s="190">
        <f>INDEX(Tab_Def_Flows[[Flow_ID]:[CC_DM_source]],MATCH(Tab_Data_Flows[[#This Row],[Name(EN)]],Tab_Def_Flows[Name(EN)],0),13)</f>
        <v>0</v>
      </c>
      <c r="AD264" s="9" t="str">
        <f>IF(J264="Yes",AA264*Tab_Data_Flows[[#This Row],[WC_'[%']]],"N.A.")</f>
        <v>N.A.</v>
      </c>
      <c r="AE264" s="9" t="str">
        <f>Tab_Data_Flows[[#This Row],[UoM_Flow_Py]]</f>
        <v>Mg</v>
      </c>
      <c r="AF264" s="190">
        <f>INDEX(Tab_Def_Flows[[Flow_ID]:[CC_DM_source]],MATCH(Tab_Data_Flows[[#This Row],[Name(EN)]],Tab_Def_Flows[Name(EN)],0),15)</f>
        <v>0</v>
      </c>
      <c r="AG264" s="9" t="str">
        <f>IF(K264="Yes",AF264*Tab_Data_Flows[[#This Row],[Flow_Py]],"N.A.")</f>
        <v>N.A.</v>
      </c>
      <c r="AH264" s="9" t="str">
        <f>Tab_Data_Flows[[#This Row],[UoM_Flow_Py]]</f>
        <v>Mg</v>
      </c>
      <c r="AI264" s="190">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35</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276</v>
      </c>
      <c r="AC265" s="190">
        <f>INDEX(Tab_Def_Flows[[Flow_ID]:[CC_DM_source]],MATCH(Tab_Data_Flows[[#This Row],[Name(EN)]],Tab_Def_Flows[Name(EN)],0),13)</f>
        <v>0</v>
      </c>
      <c r="AD265" s="9" t="str">
        <f>IF(J265="Yes",AA265*Tab_Data_Flows[[#This Row],[WC_'[%']]],"N.A.")</f>
        <v>N.A.</v>
      </c>
      <c r="AE265" s="9" t="str">
        <f>Tab_Data_Flows[[#This Row],[UoM_Flow_Py]]</f>
        <v>Mg</v>
      </c>
      <c r="AF265" s="190">
        <f>INDEX(Tab_Def_Flows[[Flow_ID]:[CC_DM_source]],MATCH(Tab_Data_Flows[[#This Row],[Name(EN)]],Tab_Def_Flows[Name(EN)],0),15)</f>
        <v>0</v>
      </c>
      <c r="AG265" s="9" t="str">
        <f>IF(K265="Yes",AF265*Tab_Data_Flows[[#This Row],[Flow_Py]],"N.A.")</f>
        <v>N.A.</v>
      </c>
      <c r="AH265" s="9" t="str">
        <f>Tab_Data_Flows[[#This Row],[UoM_Flow_Py]]</f>
        <v>Mg</v>
      </c>
      <c r="AI265" s="190">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35</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276</v>
      </c>
      <c r="AC266" s="190">
        <f>INDEX(Tab_Def_Flows[[Flow_ID]:[CC_DM_source]],MATCH(Tab_Data_Flows[[#This Row],[Name(EN)]],Tab_Def_Flows[Name(EN)],0),13)</f>
        <v>0</v>
      </c>
      <c r="AD266" s="9" t="str">
        <f>IF(J266="Yes",AA266*Tab_Data_Flows[[#This Row],[WC_'[%']]],"N.A.")</f>
        <v>N.A.</v>
      </c>
      <c r="AE266" s="9" t="str">
        <f>Tab_Data_Flows[[#This Row],[UoM_Flow_Py]]</f>
        <v>Mg</v>
      </c>
      <c r="AF266" s="190">
        <f>INDEX(Tab_Def_Flows[[Flow_ID]:[CC_DM_source]],MATCH(Tab_Data_Flows[[#This Row],[Name(EN)]],Tab_Def_Flows[Name(EN)],0),15)</f>
        <v>0</v>
      </c>
      <c r="AG266" s="9" t="str">
        <f>IF(K266="Yes",AF266*Tab_Data_Flows[[#This Row],[Flow_Py]],"N.A.")</f>
        <v>N.A.</v>
      </c>
      <c r="AH266" s="9" t="str">
        <f>Tab_Data_Flows[[#This Row],[UoM_Flow_Py]]</f>
        <v>Mg</v>
      </c>
      <c r="AI266" s="190">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35</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276</v>
      </c>
      <c r="AC267" s="190">
        <f>INDEX(Tab_Def_Flows[[Flow_ID]:[CC_DM_source]],MATCH(Tab_Data_Flows[[#This Row],[Name(EN)]],Tab_Def_Flows[Name(EN)],0),13)</f>
        <v>0</v>
      </c>
      <c r="AD267" s="9" t="str">
        <f>IF(J267="Yes",AA267*Tab_Data_Flows[[#This Row],[WC_'[%']]],"N.A.")</f>
        <v>N.A.</v>
      </c>
      <c r="AE267" s="9" t="str">
        <f>Tab_Data_Flows[[#This Row],[UoM_Flow_Py]]</f>
        <v>Mg</v>
      </c>
      <c r="AF267" s="190">
        <f>INDEX(Tab_Def_Flows[[Flow_ID]:[CC_DM_source]],MATCH(Tab_Data_Flows[[#This Row],[Name(EN)]],Tab_Def_Flows[Name(EN)],0),15)</f>
        <v>0</v>
      </c>
      <c r="AG267" s="9" t="str">
        <f>IF(K267="Yes",AF267*Tab_Data_Flows[[#This Row],[Flow_Py]],"N.A.")</f>
        <v>N.A.</v>
      </c>
      <c r="AH267" s="9" t="str">
        <f>Tab_Data_Flows[[#This Row],[UoM_Flow_Py]]</f>
        <v>Mg</v>
      </c>
      <c r="AI267" s="190">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35</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276</v>
      </c>
      <c r="AC268" s="190">
        <f>INDEX(Tab_Def_Flows[[Flow_ID]:[CC_DM_source]],MATCH(Tab_Data_Flows[[#This Row],[Name(EN)]],Tab_Def_Flows[Name(EN)],0),13)</f>
        <v>0</v>
      </c>
      <c r="AD268" s="9" t="str">
        <f>IF(J268="Yes",AA268*Tab_Data_Flows[[#This Row],[WC_'[%']]],"N.A.")</f>
        <v>N.A.</v>
      </c>
      <c r="AE268" s="9" t="str">
        <f>Tab_Data_Flows[[#This Row],[UoM_Flow_Py]]</f>
        <v>Mg</v>
      </c>
      <c r="AF268" s="190">
        <f>INDEX(Tab_Def_Flows[[Flow_ID]:[CC_DM_source]],MATCH(Tab_Data_Flows[[#This Row],[Name(EN)]],Tab_Def_Flows[Name(EN)],0),15)</f>
        <v>0</v>
      </c>
      <c r="AG268" s="9" t="str">
        <f>IF(K268="Yes",AF268*Tab_Data_Flows[[#This Row],[Flow_Py]],"N.A.")</f>
        <v>N.A.</v>
      </c>
      <c r="AH268" s="9" t="str">
        <f>Tab_Data_Flows[[#This Row],[UoM_Flow_Py]]</f>
        <v>Mg</v>
      </c>
      <c r="AI268" s="190">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35</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276</v>
      </c>
      <c r="AC269" s="190">
        <f>INDEX(Tab_Def_Flows[[Flow_ID]:[CC_DM_source]],MATCH(Tab_Data_Flows[[#This Row],[Name(EN)]],Tab_Def_Flows[Name(EN)],0),13)</f>
        <v>0</v>
      </c>
      <c r="AD269" s="9" t="str">
        <f>IF(J269="Yes",AA269*Tab_Data_Flows[[#This Row],[WC_'[%']]],"N.A.")</f>
        <v>N.A.</v>
      </c>
      <c r="AE269" s="9" t="str">
        <f>Tab_Data_Flows[[#This Row],[UoM_Flow_Py]]</f>
        <v>Mg</v>
      </c>
      <c r="AF269" s="190">
        <f>INDEX(Tab_Def_Flows[[Flow_ID]:[CC_DM_source]],MATCH(Tab_Data_Flows[[#This Row],[Name(EN)]],Tab_Def_Flows[Name(EN)],0),15)</f>
        <v>0</v>
      </c>
      <c r="AG269" s="9" t="str">
        <f>IF(K269="Yes",AF269*Tab_Data_Flows[[#This Row],[Flow_Py]],"N.A.")</f>
        <v>N.A.</v>
      </c>
      <c r="AH269" s="9" t="str">
        <f>Tab_Data_Flows[[#This Row],[UoM_Flow_Py]]</f>
        <v>Mg</v>
      </c>
      <c r="AI269" s="190">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35</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276</v>
      </c>
      <c r="AC270" s="190">
        <f>INDEX(Tab_Def_Flows[[Flow_ID]:[CC_DM_source]],MATCH(Tab_Data_Flows[[#This Row],[Name(EN)]],Tab_Def_Flows[Name(EN)],0),13)</f>
        <v>0</v>
      </c>
      <c r="AD270" s="9" t="str">
        <f>IF(J270="Yes",AA270*Tab_Data_Flows[[#This Row],[WC_'[%']]],"N.A.")</f>
        <v>N.A.</v>
      </c>
      <c r="AE270" s="9" t="str">
        <f>Tab_Data_Flows[[#This Row],[UoM_Flow_Py]]</f>
        <v>Mg</v>
      </c>
      <c r="AF270" s="190">
        <f>INDEX(Tab_Def_Flows[[Flow_ID]:[CC_DM_source]],MATCH(Tab_Data_Flows[[#This Row],[Name(EN)]],Tab_Def_Flows[Name(EN)],0),15)</f>
        <v>0</v>
      </c>
      <c r="AG270" s="9" t="str">
        <f>IF(K270="Yes",AF270*Tab_Data_Flows[[#This Row],[Flow_Py]],"N.A.")</f>
        <v>N.A.</v>
      </c>
      <c r="AH270" s="9" t="str">
        <f>Tab_Data_Flows[[#This Row],[UoM_Flow_Py]]</f>
        <v>Mg</v>
      </c>
      <c r="AI270" s="190">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35</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276</v>
      </c>
      <c r="AC271" s="190">
        <f>INDEX(Tab_Def_Flows[[Flow_ID]:[CC_DM_source]],MATCH(Tab_Data_Flows[[#This Row],[Name(EN)]],Tab_Def_Flows[Name(EN)],0),13)</f>
        <v>0</v>
      </c>
      <c r="AD271" s="9" t="str">
        <f>IF(J271="Yes",AA271*Tab_Data_Flows[[#This Row],[WC_'[%']]],"N.A.")</f>
        <v>N.A.</v>
      </c>
      <c r="AE271" s="9" t="str">
        <f>Tab_Data_Flows[[#This Row],[UoM_Flow_Py]]</f>
        <v>Mg</v>
      </c>
      <c r="AF271" s="190">
        <f>INDEX(Tab_Def_Flows[[Flow_ID]:[CC_DM_source]],MATCH(Tab_Data_Flows[[#This Row],[Name(EN)]],Tab_Def_Flows[Name(EN)],0),15)</f>
        <v>0</v>
      </c>
      <c r="AG271" s="9" t="str">
        <f>IF(K271="Yes",AF271*Tab_Data_Flows[[#This Row],[Flow_Py]],"N.A.")</f>
        <v>N.A.</v>
      </c>
      <c r="AH271" s="9" t="str">
        <f>Tab_Data_Flows[[#This Row],[UoM_Flow_Py]]</f>
        <v>Mg</v>
      </c>
      <c r="AI271" s="190">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35</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276</v>
      </c>
      <c r="AC272" s="190">
        <f>INDEX(Tab_Def_Flows[[Flow_ID]:[CC_DM_source]],MATCH(Tab_Data_Flows[[#This Row],[Name(EN)]],Tab_Def_Flows[Name(EN)],0),13)</f>
        <v>0</v>
      </c>
      <c r="AD272" s="9" t="str">
        <f>IF(J272="Yes",AA272*Tab_Data_Flows[[#This Row],[WC_'[%']]],"N.A.")</f>
        <v>N.A.</v>
      </c>
      <c r="AE272" s="9" t="str">
        <f>Tab_Data_Flows[[#This Row],[UoM_Flow_Py]]</f>
        <v>Mg</v>
      </c>
      <c r="AF272" s="190">
        <f>INDEX(Tab_Def_Flows[[Flow_ID]:[CC_DM_source]],MATCH(Tab_Data_Flows[[#This Row],[Name(EN)]],Tab_Def_Flows[Name(EN)],0),15)</f>
        <v>0</v>
      </c>
      <c r="AG272" s="9" t="str">
        <f>IF(K272="Yes",AF272*Tab_Data_Flows[[#This Row],[Flow_Py]],"N.A.")</f>
        <v>N.A.</v>
      </c>
      <c r="AH272" s="9" t="str">
        <f>Tab_Data_Flows[[#This Row],[UoM_Flow_Py]]</f>
        <v>Mg</v>
      </c>
      <c r="AI272" s="190">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35</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276</v>
      </c>
      <c r="AC273" s="190">
        <f>INDEX(Tab_Def_Flows[[Flow_ID]:[CC_DM_source]],MATCH(Tab_Data_Flows[[#This Row],[Name(EN)]],Tab_Def_Flows[Name(EN)],0),13)</f>
        <v>0</v>
      </c>
      <c r="AD273" s="9" t="str">
        <f>IF(J273="Yes",AA273*Tab_Data_Flows[[#This Row],[WC_'[%']]],"N.A.")</f>
        <v>N.A.</v>
      </c>
      <c r="AE273" s="9" t="str">
        <f>Tab_Data_Flows[[#This Row],[UoM_Flow_Py]]</f>
        <v>Mg</v>
      </c>
      <c r="AF273" s="190">
        <f>INDEX(Tab_Def_Flows[[Flow_ID]:[CC_DM_source]],MATCH(Tab_Data_Flows[[#This Row],[Name(EN)]],Tab_Def_Flows[Name(EN)],0),15)</f>
        <v>0</v>
      </c>
      <c r="AG273" s="9" t="str">
        <f>IF(K273="Yes",AF273*Tab_Data_Flows[[#This Row],[Flow_Py]],"N.A.")</f>
        <v>N.A.</v>
      </c>
      <c r="AH273" s="9" t="str">
        <f>Tab_Data_Flows[[#This Row],[UoM_Flow_Py]]</f>
        <v>Mg</v>
      </c>
      <c r="AI273" s="190">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35</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276</v>
      </c>
      <c r="AC274" s="190">
        <f>INDEX(Tab_Def_Flows[[Flow_ID]:[CC_DM_source]],MATCH(Tab_Data_Flows[[#This Row],[Name(EN)]],Tab_Def_Flows[Name(EN)],0),13)</f>
        <v>0</v>
      </c>
      <c r="AD274" s="9" t="str">
        <f>IF(J274="Yes",AA274*Tab_Data_Flows[[#This Row],[WC_'[%']]],"N.A.")</f>
        <v>N.A.</v>
      </c>
      <c r="AE274" s="9" t="str">
        <f>Tab_Data_Flows[[#This Row],[UoM_Flow_Py]]</f>
        <v>Mg</v>
      </c>
      <c r="AF274" s="190">
        <f>INDEX(Tab_Def_Flows[[Flow_ID]:[CC_DM_source]],MATCH(Tab_Data_Flows[[#This Row],[Name(EN)]],Tab_Def_Flows[Name(EN)],0),15)</f>
        <v>0</v>
      </c>
      <c r="AG274" s="9" t="str">
        <f>IF(K274="Yes",AF274*Tab_Data_Flows[[#This Row],[Flow_Py]],"N.A.")</f>
        <v>N.A.</v>
      </c>
      <c r="AH274" s="9" t="str">
        <f>Tab_Data_Flows[[#This Row],[UoM_Flow_Py]]</f>
        <v>Mg</v>
      </c>
      <c r="AI274" s="190">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35</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276</v>
      </c>
      <c r="AC275" s="190">
        <f>INDEX(Tab_Def_Flows[[Flow_ID]:[CC_DM_source]],MATCH(Tab_Data_Flows[[#This Row],[Name(EN)]],Tab_Def_Flows[Name(EN)],0),13)</f>
        <v>0</v>
      </c>
      <c r="AD275" s="9" t="str">
        <f>IF(J275="Yes",AA275*Tab_Data_Flows[[#This Row],[WC_'[%']]],"N.A.")</f>
        <v>N.A.</v>
      </c>
      <c r="AE275" s="9" t="str">
        <f>Tab_Data_Flows[[#This Row],[UoM_Flow_Py]]</f>
        <v>Mg</v>
      </c>
      <c r="AF275" s="190">
        <f>INDEX(Tab_Def_Flows[[Flow_ID]:[CC_DM_source]],MATCH(Tab_Data_Flows[[#This Row],[Name(EN)]],Tab_Def_Flows[Name(EN)],0),15)</f>
        <v>0</v>
      </c>
      <c r="AG275" s="9" t="str">
        <f>IF(K275="Yes",AF275*Tab_Data_Flows[[#This Row],[Flow_Py]],"N.A.")</f>
        <v>N.A.</v>
      </c>
      <c r="AH275" s="9" t="str">
        <f>Tab_Data_Flows[[#This Row],[UoM_Flow_Py]]</f>
        <v>Mg</v>
      </c>
      <c r="AI275" s="190">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35</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276</v>
      </c>
      <c r="AC276" s="190">
        <f>INDEX(Tab_Def_Flows[[Flow_ID]:[CC_DM_source]],MATCH(Tab_Data_Flows[[#This Row],[Name(EN)]],Tab_Def_Flows[Name(EN)],0),13)</f>
        <v>0</v>
      </c>
      <c r="AD276" s="9" t="str">
        <f>IF(J276="Yes",AA276*Tab_Data_Flows[[#This Row],[WC_'[%']]],"N.A.")</f>
        <v>N.A.</v>
      </c>
      <c r="AE276" s="9" t="str">
        <f>Tab_Data_Flows[[#This Row],[UoM_Flow_Py]]</f>
        <v>Mg</v>
      </c>
      <c r="AF276" s="190">
        <f>INDEX(Tab_Def_Flows[[Flow_ID]:[CC_DM_source]],MATCH(Tab_Data_Flows[[#This Row],[Name(EN)]],Tab_Def_Flows[Name(EN)],0),15)</f>
        <v>0</v>
      </c>
      <c r="AG276" s="9" t="str">
        <f>IF(K276="Yes",AF276*Tab_Data_Flows[[#This Row],[Flow_Py]],"N.A.")</f>
        <v>N.A.</v>
      </c>
      <c r="AH276" s="9" t="str">
        <f>Tab_Data_Flows[[#This Row],[UoM_Flow_Py]]</f>
        <v>Mg</v>
      </c>
      <c r="AI276" s="190">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35</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276</v>
      </c>
      <c r="AC277" s="190">
        <f>INDEX(Tab_Def_Flows[[Flow_ID]:[CC_DM_source]],MATCH(Tab_Data_Flows[[#This Row],[Name(EN)]],Tab_Def_Flows[Name(EN)],0),13)</f>
        <v>0</v>
      </c>
      <c r="AD277" s="9" t="str">
        <f>IF(J277="Yes",AA277*Tab_Data_Flows[[#This Row],[WC_'[%']]],"N.A.")</f>
        <v>N.A.</v>
      </c>
      <c r="AE277" s="9" t="str">
        <f>Tab_Data_Flows[[#This Row],[UoM_Flow_Py]]</f>
        <v>Mg</v>
      </c>
      <c r="AF277" s="190">
        <f>INDEX(Tab_Def_Flows[[Flow_ID]:[CC_DM_source]],MATCH(Tab_Data_Flows[[#This Row],[Name(EN)]],Tab_Def_Flows[Name(EN)],0),15)</f>
        <v>0</v>
      </c>
      <c r="AG277" s="9" t="str">
        <f>IF(K277="Yes",AF277*Tab_Data_Flows[[#This Row],[Flow_Py]],"N.A.")</f>
        <v>N.A.</v>
      </c>
      <c r="AH277" s="9" t="str">
        <f>Tab_Data_Flows[[#This Row],[UoM_Flow_Py]]</f>
        <v>Mg</v>
      </c>
      <c r="AI277" s="190">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35</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276</v>
      </c>
      <c r="AC278" s="190">
        <f>INDEX(Tab_Def_Flows[[Flow_ID]:[CC_DM_source]],MATCH(Tab_Data_Flows[[#This Row],[Name(EN)]],Tab_Def_Flows[Name(EN)],0),13)</f>
        <v>0</v>
      </c>
      <c r="AD278" s="9" t="str">
        <f>IF(J278="Yes",AA278*Tab_Data_Flows[[#This Row],[WC_'[%']]],"N.A.")</f>
        <v>N.A.</v>
      </c>
      <c r="AE278" s="9" t="str">
        <f>Tab_Data_Flows[[#This Row],[UoM_Flow_Py]]</f>
        <v>Mg</v>
      </c>
      <c r="AF278" s="190">
        <f>INDEX(Tab_Def_Flows[[Flow_ID]:[CC_DM_source]],MATCH(Tab_Data_Flows[[#This Row],[Name(EN)]],Tab_Def_Flows[Name(EN)],0),15)</f>
        <v>0</v>
      </c>
      <c r="AG278" s="9" t="str">
        <f>IF(K278="Yes",AF278*Tab_Data_Flows[[#This Row],[Flow_Py]],"N.A.")</f>
        <v>N.A.</v>
      </c>
      <c r="AH278" s="9" t="str">
        <f>Tab_Data_Flows[[#This Row],[UoM_Flow_Py]]</f>
        <v>Mg</v>
      </c>
      <c r="AI278" s="190">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35</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276</v>
      </c>
      <c r="AC279" s="190">
        <f>INDEX(Tab_Def_Flows[[Flow_ID]:[CC_DM_source]],MATCH(Tab_Data_Flows[[#This Row],[Name(EN)]],Tab_Def_Flows[Name(EN)],0),13)</f>
        <v>0</v>
      </c>
      <c r="AD279" s="9" t="str">
        <f>IF(J279="Yes",AA279*Tab_Data_Flows[[#This Row],[WC_'[%']]],"N.A.")</f>
        <v>N.A.</v>
      </c>
      <c r="AE279" s="9" t="str">
        <f>Tab_Data_Flows[[#This Row],[UoM_Flow_Py]]</f>
        <v>Mg</v>
      </c>
      <c r="AF279" s="190">
        <f>INDEX(Tab_Def_Flows[[Flow_ID]:[CC_DM_source]],MATCH(Tab_Data_Flows[[#This Row],[Name(EN)]],Tab_Def_Flows[Name(EN)],0),15)</f>
        <v>0</v>
      </c>
      <c r="AG279" s="9" t="str">
        <f>IF(K279="Yes",AF279*Tab_Data_Flows[[#This Row],[Flow_Py]],"N.A.")</f>
        <v>N.A.</v>
      </c>
      <c r="AH279" s="9" t="str">
        <f>Tab_Data_Flows[[#This Row],[UoM_Flow_Py]]</f>
        <v>Mg</v>
      </c>
      <c r="AI279" s="190">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35</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276</v>
      </c>
      <c r="AC280" s="190">
        <f>INDEX(Tab_Def_Flows[[Flow_ID]:[CC_DM_source]],MATCH(Tab_Data_Flows[[#This Row],[Name(EN)]],Tab_Def_Flows[Name(EN)],0),13)</f>
        <v>0</v>
      </c>
      <c r="AD280" s="9" t="str">
        <f>IF(J280="Yes",AA280*Tab_Data_Flows[[#This Row],[WC_'[%']]],"N.A.")</f>
        <v>N.A.</v>
      </c>
      <c r="AE280" s="9" t="str">
        <f>Tab_Data_Flows[[#This Row],[UoM_Flow_Py]]</f>
        <v>Mg</v>
      </c>
      <c r="AF280" s="190">
        <f>INDEX(Tab_Def_Flows[[Flow_ID]:[CC_DM_source]],MATCH(Tab_Data_Flows[[#This Row],[Name(EN)]],Tab_Def_Flows[Name(EN)],0),15)</f>
        <v>0</v>
      </c>
      <c r="AG280" s="9" t="str">
        <f>IF(K280="Yes",AF280*Tab_Data_Flows[[#This Row],[Flow_Py]],"N.A.")</f>
        <v>N.A.</v>
      </c>
      <c r="AH280" s="9" t="str">
        <f>Tab_Data_Flows[[#This Row],[UoM_Flow_Py]]</f>
        <v>Mg</v>
      </c>
      <c r="AI280" s="190">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35</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276</v>
      </c>
      <c r="AC281" s="190">
        <f>INDEX(Tab_Def_Flows[[Flow_ID]:[CC_DM_source]],MATCH(Tab_Data_Flows[[#This Row],[Name(EN)]],Tab_Def_Flows[Name(EN)],0),13)</f>
        <v>0</v>
      </c>
      <c r="AD281" s="9" t="str">
        <f>IF(J281="Yes",AA281*Tab_Data_Flows[[#This Row],[WC_'[%']]],"N.A.")</f>
        <v>N.A.</v>
      </c>
      <c r="AE281" s="9" t="str">
        <f>Tab_Data_Flows[[#This Row],[UoM_Flow_Py]]</f>
        <v>Mg</v>
      </c>
      <c r="AF281" s="190">
        <f>INDEX(Tab_Def_Flows[[Flow_ID]:[CC_DM_source]],MATCH(Tab_Data_Flows[[#This Row],[Name(EN)]],Tab_Def_Flows[Name(EN)],0),15)</f>
        <v>0</v>
      </c>
      <c r="AG281" s="9" t="str">
        <f>IF(K281="Yes",AF281*Tab_Data_Flows[[#This Row],[Flow_Py]],"N.A.")</f>
        <v>N.A.</v>
      </c>
      <c r="AH281" s="9" t="str">
        <f>Tab_Data_Flows[[#This Row],[UoM_Flow_Py]]</f>
        <v>Mg</v>
      </c>
      <c r="AI281" s="190">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35</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276</v>
      </c>
      <c r="AC282" s="190">
        <f>INDEX(Tab_Def_Flows[[Flow_ID]:[CC_DM_source]],MATCH(Tab_Data_Flows[[#This Row],[Name(EN)]],Tab_Def_Flows[Name(EN)],0),13)</f>
        <v>0</v>
      </c>
      <c r="AD282" s="9" t="str">
        <f>IF(J282="Yes",AA282*Tab_Data_Flows[[#This Row],[WC_'[%']]],"N.A.")</f>
        <v>N.A.</v>
      </c>
      <c r="AE282" s="9" t="str">
        <f>Tab_Data_Flows[[#This Row],[UoM_Flow_Py]]</f>
        <v>Mg</v>
      </c>
      <c r="AF282" s="190">
        <f>INDEX(Tab_Def_Flows[[Flow_ID]:[CC_DM_source]],MATCH(Tab_Data_Flows[[#This Row],[Name(EN)]],Tab_Def_Flows[Name(EN)],0),15)</f>
        <v>0</v>
      </c>
      <c r="AG282" s="9" t="str">
        <f>IF(K282="Yes",AF282*Tab_Data_Flows[[#This Row],[Flow_Py]],"N.A.")</f>
        <v>N.A.</v>
      </c>
      <c r="AH282" s="9" t="str">
        <f>Tab_Data_Flows[[#This Row],[UoM_Flow_Py]]</f>
        <v>Mg</v>
      </c>
      <c r="AI282" s="190">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35</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276</v>
      </c>
      <c r="AC283" s="190">
        <f>INDEX(Tab_Def_Flows[[Flow_ID]:[CC_DM_source]],MATCH(Tab_Data_Flows[[#This Row],[Name(EN)]],Tab_Def_Flows[Name(EN)],0),13)</f>
        <v>0</v>
      </c>
      <c r="AD283" s="9" t="str">
        <f>IF(J283="Yes",AA283*Tab_Data_Flows[[#This Row],[WC_'[%']]],"N.A.")</f>
        <v>N.A.</v>
      </c>
      <c r="AE283" s="9" t="str">
        <f>Tab_Data_Flows[[#This Row],[UoM_Flow_Py]]</f>
        <v>Mg</v>
      </c>
      <c r="AF283" s="190">
        <f>INDEX(Tab_Def_Flows[[Flow_ID]:[CC_DM_source]],MATCH(Tab_Data_Flows[[#This Row],[Name(EN)]],Tab_Def_Flows[Name(EN)],0),15)</f>
        <v>0</v>
      </c>
      <c r="AG283" s="9" t="str">
        <f>IF(K283="Yes",AF283*Tab_Data_Flows[[#This Row],[Flow_Py]],"N.A.")</f>
        <v>N.A.</v>
      </c>
      <c r="AH283" s="9" t="str">
        <f>Tab_Data_Flows[[#This Row],[UoM_Flow_Py]]</f>
        <v>Mg</v>
      </c>
      <c r="AI283" s="190">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35</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276</v>
      </c>
      <c r="AC284" s="190">
        <f>INDEX(Tab_Def_Flows[[Flow_ID]:[CC_DM_source]],MATCH(Tab_Data_Flows[[#This Row],[Name(EN)]],Tab_Def_Flows[Name(EN)],0),13)</f>
        <v>0</v>
      </c>
      <c r="AD284" s="9" t="str">
        <f>IF(J284="Yes",AA284*Tab_Data_Flows[[#This Row],[WC_'[%']]],"N.A.")</f>
        <v>N.A.</v>
      </c>
      <c r="AE284" s="9" t="str">
        <f>Tab_Data_Flows[[#This Row],[UoM_Flow_Py]]</f>
        <v>Mg</v>
      </c>
      <c r="AF284" s="190">
        <f>INDEX(Tab_Def_Flows[[Flow_ID]:[CC_DM_source]],MATCH(Tab_Data_Flows[[#This Row],[Name(EN)]],Tab_Def_Flows[Name(EN)],0),15)</f>
        <v>0</v>
      </c>
      <c r="AG284" s="9" t="str">
        <f>IF(K284="Yes",AF284*Tab_Data_Flows[[#This Row],[Flow_Py]],"N.A.")</f>
        <v>N.A.</v>
      </c>
      <c r="AH284" s="9" t="str">
        <f>Tab_Data_Flows[[#This Row],[UoM_Flow_Py]]</f>
        <v>Mg</v>
      </c>
      <c r="AI284" s="190">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35</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276</v>
      </c>
      <c r="AC285" s="190">
        <f>INDEX(Tab_Def_Flows[[Flow_ID]:[CC_DM_source]],MATCH(Tab_Data_Flows[[#This Row],[Name(EN)]],Tab_Def_Flows[Name(EN)],0),13)</f>
        <v>0</v>
      </c>
      <c r="AD285" s="9" t="str">
        <f>IF(J285="Yes",AA285*Tab_Data_Flows[[#This Row],[WC_'[%']]],"N.A.")</f>
        <v>N.A.</v>
      </c>
      <c r="AE285" s="9" t="str">
        <f>Tab_Data_Flows[[#This Row],[UoM_Flow_Py]]</f>
        <v>Mg</v>
      </c>
      <c r="AF285" s="190">
        <f>INDEX(Tab_Def_Flows[[Flow_ID]:[CC_DM_source]],MATCH(Tab_Data_Flows[[#This Row],[Name(EN)]],Tab_Def_Flows[Name(EN)],0),15)</f>
        <v>0</v>
      </c>
      <c r="AG285" s="9" t="str">
        <f>IF(K285="Yes",AF285*Tab_Data_Flows[[#This Row],[Flow_Py]],"N.A.")</f>
        <v>N.A.</v>
      </c>
      <c r="AH285" s="9" t="str">
        <f>Tab_Data_Flows[[#This Row],[UoM_Flow_Py]]</f>
        <v>Mg</v>
      </c>
      <c r="AI285" s="190">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35</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276</v>
      </c>
      <c r="AC286" s="190">
        <f>INDEX(Tab_Def_Flows[[Flow_ID]:[CC_DM_source]],MATCH(Tab_Data_Flows[[#This Row],[Name(EN)]],Tab_Def_Flows[Name(EN)],0),13)</f>
        <v>0</v>
      </c>
      <c r="AD286" s="9" t="str">
        <f>IF(J286="Yes",AA286*Tab_Data_Flows[[#This Row],[WC_'[%']]],"N.A.")</f>
        <v>N.A.</v>
      </c>
      <c r="AE286" s="9" t="str">
        <f>Tab_Data_Flows[[#This Row],[UoM_Flow_Py]]</f>
        <v>Mg</v>
      </c>
      <c r="AF286" s="190">
        <f>INDEX(Tab_Def_Flows[[Flow_ID]:[CC_DM_source]],MATCH(Tab_Data_Flows[[#This Row],[Name(EN)]],Tab_Def_Flows[Name(EN)],0),15)</f>
        <v>0</v>
      </c>
      <c r="AG286" s="9" t="str">
        <f>IF(K286="Yes",AF286*Tab_Data_Flows[[#This Row],[Flow_Py]],"N.A.")</f>
        <v>N.A.</v>
      </c>
      <c r="AH286" s="9" t="str">
        <f>Tab_Data_Flows[[#This Row],[UoM_Flow_Py]]</f>
        <v>Mg</v>
      </c>
      <c r="AI286" s="190">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35</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276</v>
      </c>
      <c r="AC287" s="190">
        <f>INDEX(Tab_Def_Flows[[Flow_ID]:[CC_DM_source]],MATCH(Tab_Data_Flows[[#This Row],[Name(EN)]],Tab_Def_Flows[Name(EN)],0),13)</f>
        <v>0</v>
      </c>
      <c r="AD287" s="9" t="str">
        <f>IF(J287="Yes",AA287*Tab_Data_Flows[[#This Row],[WC_'[%']]],"N.A.")</f>
        <v>N.A.</v>
      </c>
      <c r="AE287" s="9" t="str">
        <f>Tab_Data_Flows[[#This Row],[UoM_Flow_Py]]</f>
        <v>Mg</v>
      </c>
      <c r="AF287" s="190">
        <f>INDEX(Tab_Def_Flows[[Flow_ID]:[CC_DM_source]],MATCH(Tab_Data_Flows[[#This Row],[Name(EN)]],Tab_Def_Flows[Name(EN)],0),15)</f>
        <v>0</v>
      </c>
      <c r="AG287" s="9" t="str">
        <f>IF(K287="Yes",AF287*Tab_Data_Flows[[#This Row],[Flow_Py]],"N.A.")</f>
        <v>N.A.</v>
      </c>
      <c r="AH287" s="9" t="str">
        <f>Tab_Data_Flows[[#This Row],[UoM_Flow_Py]]</f>
        <v>Mg</v>
      </c>
      <c r="AI287" s="190">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35</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276</v>
      </c>
      <c r="AC288" s="190">
        <f>INDEX(Tab_Def_Flows[[Flow_ID]:[CC_DM_source]],MATCH(Tab_Data_Flows[[#This Row],[Name(EN)]],Tab_Def_Flows[Name(EN)],0),13)</f>
        <v>0</v>
      </c>
      <c r="AD288" s="9" t="str">
        <f>IF(J288="Yes",AA288*Tab_Data_Flows[[#This Row],[WC_'[%']]],"N.A.")</f>
        <v>N.A.</v>
      </c>
      <c r="AE288" s="9" t="str">
        <f>Tab_Data_Flows[[#This Row],[UoM_Flow_Py]]</f>
        <v>Mg</v>
      </c>
      <c r="AF288" s="190">
        <f>INDEX(Tab_Def_Flows[[Flow_ID]:[CC_DM_source]],MATCH(Tab_Data_Flows[[#This Row],[Name(EN)]],Tab_Def_Flows[Name(EN)],0),15)</f>
        <v>0</v>
      </c>
      <c r="AG288" s="9" t="str">
        <f>IF(K288="Yes",AF288*Tab_Data_Flows[[#This Row],[Flow_Py]],"N.A.")</f>
        <v>N.A.</v>
      </c>
      <c r="AH288" s="9" t="str">
        <f>Tab_Data_Flows[[#This Row],[UoM_Flow_Py]]</f>
        <v>Mg</v>
      </c>
      <c r="AI288" s="190">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35</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276</v>
      </c>
      <c r="AC289" s="190">
        <f>INDEX(Tab_Def_Flows[[Flow_ID]:[CC_DM_source]],MATCH(Tab_Data_Flows[[#This Row],[Name(EN)]],Tab_Def_Flows[Name(EN)],0),13)</f>
        <v>0</v>
      </c>
      <c r="AD289" s="9" t="str">
        <f>IF(J289="Yes",AA289*Tab_Data_Flows[[#This Row],[WC_'[%']]],"N.A.")</f>
        <v>N.A.</v>
      </c>
      <c r="AE289" s="9" t="str">
        <f>Tab_Data_Flows[[#This Row],[UoM_Flow_Py]]</f>
        <v>Mg</v>
      </c>
      <c r="AF289" s="190">
        <f>INDEX(Tab_Def_Flows[[Flow_ID]:[CC_DM_source]],MATCH(Tab_Data_Flows[[#This Row],[Name(EN)]],Tab_Def_Flows[Name(EN)],0),15)</f>
        <v>0</v>
      </c>
      <c r="AG289" s="9" t="str">
        <f>IF(K289="Yes",AF289*Tab_Data_Flows[[#This Row],[Flow_Py]],"N.A.")</f>
        <v>N.A.</v>
      </c>
      <c r="AH289" s="9" t="str">
        <f>Tab_Data_Flows[[#This Row],[UoM_Flow_Py]]</f>
        <v>Mg</v>
      </c>
      <c r="AI289" s="190">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35</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276</v>
      </c>
      <c r="AC290" s="190">
        <f>INDEX(Tab_Def_Flows[[Flow_ID]:[CC_DM_source]],MATCH(Tab_Data_Flows[[#This Row],[Name(EN)]],Tab_Def_Flows[Name(EN)],0),13)</f>
        <v>0</v>
      </c>
      <c r="AD290" s="9" t="str">
        <f>IF(J290="Yes",AA290*Tab_Data_Flows[[#This Row],[WC_'[%']]],"N.A.")</f>
        <v>N.A.</v>
      </c>
      <c r="AE290" s="9" t="str">
        <f>Tab_Data_Flows[[#This Row],[UoM_Flow_Py]]</f>
        <v>Mg</v>
      </c>
      <c r="AF290" s="190">
        <f>INDEX(Tab_Def_Flows[[Flow_ID]:[CC_DM_source]],MATCH(Tab_Data_Flows[[#This Row],[Name(EN)]],Tab_Def_Flows[Name(EN)],0),15)</f>
        <v>0</v>
      </c>
      <c r="AG290" s="9" t="str">
        <f>IF(K290="Yes",AF290*Tab_Data_Flows[[#This Row],[Flow_Py]],"N.A.")</f>
        <v>N.A.</v>
      </c>
      <c r="AH290" s="9" t="str">
        <f>Tab_Data_Flows[[#This Row],[UoM_Flow_Py]]</f>
        <v>Mg</v>
      </c>
      <c r="AI290" s="190">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35</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276</v>
      </c>
      <c r="AC291" s="190">
        <f>INDEX(Tab_Def_Flows[[Flow_ID]:[CC_DM_source]],MATCH(Tab_Data_Flows[[#This Row],[Name(EN)]],Tab_Def_Flows[Name(EN)],0),13)</f>
        <v>0</v>
      </c>
      <c r="AD291" s="9" t="str">
        <f>IF(J291="Yes",AA291*Tab_Data_Flows[[#This Row],[WC_'[%']]],"N.A.")</f>
        <v>N.A.</v>
      </c>
      <c r="AE291" s="9" t="str">
        <f>Tab_Data_Flows[[#This Row],[UoM_Flow_Py]]</f>
        <v>Mg</v>
      </c>
      <c r="AF291" s="190">
        <f>INDEX(Tab_Def_Flows[[Flow_ID]:[CC_DM_source]],MATCH(Tab_Data_Flows[[#This Row],[Name(EN)]],Tab_Def_Flows[Name(EN)],0),15)</f>
        <v>0</v>
      </c>
      <c r="AG291" s="9" t="str">
        <f>IF(K291="Yes",AF291*Tab_Data_Flows[[#This Row],[Flow_Py]],"N.A.")</f>
        <v>N.A.</v>
      </c>
      <c r="AH291" s="9" t="str">
        <f>Tab_Data_Flows[[#This Row],[UoM_Flow_Py]]</f>
        <v>Mg</v>
      </c>
      <c r="AI291" s="190">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35</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276</v>
      </c>
      <c r="AC292" s="190">
        <f>INDEX(Tab_Def_Flows[[Flow_ID]:[CC_DM_source]],MATCH(Tab_Data_Flows[[#This Row],[Name(EN)]],Tab_Def_Flows[Name(EN)],0),13)</f>
        <v>0</v>
      </c>
      <c r="AD292" s="9" t="str">
        <f>IF(J292="Yes",AA292*Tab_Data_Flows[[#This Row],[WC_'[%']]],"N.A.")</f>
        <v>N.A.</v>
      </c>
      <c r="AE292" s="9" t="str">
        <f>Tab_Data_Flows[[#This Row],[UoM_Flow_Py]]</f>
        <v>Mg</v>
      </c>
      <c r="AF292" s="190">
        <f>INDEX(Tab_Def_Flows[[Flow_ID]:[CC_DM_source]],MATCH(Tab_Data_Flows[[#This Row],[Name(EN)]],Tab_Def_Flows[Name(EN)],0),15)</f>
        <v>0</v>
      </c>
      <c r="AG292" s="9" t="str">
        <f>IF(K292="Yes",AF292*Tab_Data_Flows[[#This Row],[Flow_Py]],"N.A.")</f>
        <v>N.A.</v>
      </c>
      <c r="AH292" s="9" t="str">
        <f>Tab_Data_Flows[[#This Row],[UoM_Flow_Py]]</f>
        <v>Mg</v>
      </c>
      <c r="AI292" s="190">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35</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276</v>
      </c>
      <c r="AC293" s="190">
        <f>INDEX(Tab_Def_Flows[[Flow_ID]:[CC_DM_source]],MATCH(Tab_Data_Flows[[#This Row],[Name(EN)]],Tab_Def_Flows[Name(EN)],0),13)</f>
        <v>0</v>
      </c>
      <c r="AD293" s="9" t="str">
        <f>IF(J293="Yes",AA293*Tab_Data_Flows[[#This Row],[WC_'[%']]],"N.A.")</f>
        <v>N.A.</v>
      </c>
      <c r="AE293" s="9" t="str">
        <f>Tab_Data_Flows[[#This Row],[UoM_Flow_Py]]</f>
        <v>Mg</v>
      </c>
      <c r="AF293" s="190">
        <f>INDEX(Tab_Def_Flows[[Flow_ID]:[CC_DM_source]],MATCH(Tab_Data_Flows[[#This Row],[Name(EN)]],Tab_Def_Flows[Name(EN)],0),15)</f>
        <v>0</v>
      </c>
      <c r="AG293" s="9" t="str">
        <f>IF(K293="Yes",AF293*Tab_Data_Flows[[#This Row],[Flow_Py]],"N.A.")</f>
        <v>N.A.</v>
      </c>
      <c r="AH293" s="9" t="str">
        <f>Tab_Data_Flows[[#This Row],[UoM_Flow_Py]]</f>
        <v>Mg</v>
      </c>
      <c r="AI293" s="190">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35</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276</v>
      </c>
      <c r="AC294" s="190">
        <f>INDEX(Tab_Def_Flows[[Flow_ID]:[CC_DM_source]],MATCH(Tab_Data_Flows[[#This Row],[Name(EN)]],Tab_Def_Flows[Name(EN)],0),13)</f>
        <v>0</v>
      </c>
      <c r="AD294" s="9" t="str">
        <f>IF(J294="Yes",AA294*Tab_Data_Flows[[#This Row],[WC_'[%']]],"N.A.")</f>
        <v>N.A.</v>
      </c>
      <c r="AE294" s="9" t="str">
        <f>Tab_Data_Flows[[#This Row],[UoM_Flow_Py]]</f>
        <v>Mg</v>
      </c>
      <c r="AF294" s="190">
        <f>INDEX(Tab_Def_Flows[[Flow_ID]:[CC_DM_source]],MATCH(Tab_Data_Flows[[#This Row],[Name(EN)]],Tab_Def_Flows[Name(EN)],0),15)</f>
        <v>0</v>
      </c>
      <c r="AG294" s="9" t="str">
        <f>IF(K294="Yes",AF294*Tab_Data_Flows[[#This Row],[Flow_Py]],"N.A.")</f>
        <v>N.A.</v>
      </c>
      <c r="AH294" s="9" t="str">
        <f>Tab_Data_Flows[[#This Row],[UoM_Flow_Py]]</f>
        <v>Mg</v>
      </c>
      <c r="AI294" s="190">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35</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276</v>
      </c>
      <c r="AC295" s="190">
        <f>INDEX(Tab_Def_Flows[[Flow_ID]:[CC_DM_source]],MATCH(Tab_Data_Flows[[#This Row],[Name(EN)]],Tab_Def_Flows[Name(EN)],0),13)</f>
        <v>0</v>
      </c>
      <c r="AD295" s="9" t="str">
        <f>IF(J295="Yes",AA295*Tab_Data_Flows[[#This Row],[WC_'[%']]],"N.A.")</f>
        <v>N.A.</v>
      </c>
      <c r="AE295" s="9" t="str">
        <f>Tab_Data_Flows[[#This Row],[UoM_Flow_Py]]</f>
        <v>Mg</v>
      </c>
      <c r="AF295" s="190">
        <f>INDEX(Tab_Def_Flows[[Flow_ID]:[CC_DM_source]],MATCH(Tab_Data_Flows[[#This Row],[Name(EN)]],Tab_Def_Flows[Name(EN)],0),15)</f>
        <v>0</v>
      </c>
      <c r="AG295" s="9" t="str">
        <f>IF(K295="Yes",AF295*Tab_Data_Flows[[#This Row],[Flow_Py]],"N.A.")</f>
        <v>N.A.</v>
      </c>
      <c r="AH295" s="9" t="str">
        <f>Tab_Data_Flows[[#This Row],[UoM_Flow_Py]]</f>
        <v>Mg</v>
      </c>
      <c r="AI295" s="190">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35</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276</v>
      </c>
      <c r="AC296" s="190">
        <f>INDEX(Tab_Def_Flows[[Flow_ID]:[CC_DM_source]],MATCH(Tab_Data_Flows[[#This Row],[Name(EN)]],Tab_Def_Flows[Name(EN)],0),13)</f>
        <v>0</v>
      </c>
      <c r="AD296" s="9" t="str">
        <f>IF(J296="Yes",AA296*Tab_Data_Flows[[#This Row],[WC_'[%']]],"N.A.")</f>
        <v>N.A.</v>
      </c>
      <c r="AE296" s="9" t="str">
        <f>Tab_Data_Flows[[#This Row],[UoM_Flow_Py]]</f>
        <v>Mg</v>
      </c>
      <c r="AF296" s="190">
        <f>INDEX(Tab_Def_Flows[[Flow_ID]:[CC_DM_source]],MATCH(Tab_Data_Flows[[#This Row],[Name(EN)]],Tab_Def_Flows[Name(EN)],0),15)</f>
        <v>0</v>
      </c>
      <c r="AG296" s="9" t="str">
        <f>IF(K296="Yes",AF296*Tab_Data_Flows[[#This Row],[Flow_Py]],"N.A.")</f>
        <v>N.A.</v>
      </c>
      <c r="AH296" s="9" t="str">
        <f>Tab_Data_Flows[[#This Row],[UoM_Flow_Py]]</f>
        <v>Mg</v>
      </c>
      <c r="AI296" s="190">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35</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276</v>
      </c>
      <c r="AC297" s="190">
        <f>INDEX(Tab_Def_Flows[[Flow_ID]:[CC_DM_source]],MATCH(Tab_Data_Flows[[#This Row],[Name(EN)]],Tab_Def_Flows[Name(EN)],0),13)</f>
        <v>0</v>
      </c>
      <c r="AD297" s="9" t="str">
        <f>IF(J297="Yes",AA297*Tab_Data_Flows[[#This Row],[WC_'[%']]],"N.A.")</f>
        <v>N.A.</v>
      </c>
      <c r="AE297" s="9" t="str">
        <f>Tab_Data_Flows[[#This Row],[UoM_Flow_Py]]</f>
        <v>Mg</v>
      </c>
      <c r="AF297" s="190">
        <f>INDEX(Tab_Def_Flows[[Flow_ID]:[CC_DM_source]],MATCH(Tab_Data_Flows[[#This Row],[Name(EN)]],Tab_Def_Flows[Name(EN)],0),15)</f>
        <v>0</v>
      </c>
      <c r="AG297" s="9" t="str">
        <f>IF(K297="Yes",AF297*Tab_Data_Flows[[#This Row],[Flow_Py]],"N.A.")</f>
        <v>N.A.</v>
      </c>
      <c r="AH297" s="9" t="str">
        <f>Tab_Data_Flows[[#This Row],[UoM_Flow_Py]]</f>
        <v>Mg</v>
      </c>
      <c r="AI297" s="190">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35</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276</v>
      </c>
      <c r="AC298" s="190">
        <f>INDEX(Tab_Def_Flows[[Flow_ID]:[CC_DM_source]],MATCH(Tab_Data_Flows[[#This Row],[Name(EN)]],Tab_Def_Flows[Name(EN)],0),13)</f>
        <v>0</v>
      </c>
      <c r="AD298" s="9" t="str">
        <f>IF(J298="Yes",AA298*Tab_Data_Flows[[#This Row],[WC_'[%']]],"N.A.")</f>
        <v>N.A.</v>
      </c>
      <c r="AE298" s="9" t="str">
        <f>Tab_Data_Flows[[#This Row],[UoM_Flow_Py]]</f>
        <v>Mg</v>
      </c>
      <c r="AF298" s="190">
        <f>INDEX(Tab_Def_Flows[[Flow_ID]:[CC_DM_source]],MATCH(Tab_Data_Flows[[#This Row],[Name(EN)]],Tab_Def_Flows[Name(EN)],0),15)</f>
        <v>0</v>
      </c>
      <c r="AG298" s="9" t="str">
        <f>IF(K298="Yes",AF298*Tab_Data_Flows[[#This Row],[Flow_Py]],"N.A.")</f>
        <v>N.A.</v>
      </c>
      <c r="AH298" s="9" t="str">
        <f>Tab_Data_Flows[[#This Row],[UoM_Flow_Py]]</f>
        <v>Mg</v>
      </c>
      <c r="AI298" s="190">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35</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276</v>
      </c>
      <c r="AC299" s="190">
        <f>INDEX(Tab_Def_Flows[[Flow_ID]:[CC_DM_source]],MATCH(Tab_Data_Flows[[#This Row],[Name(EN)]],Tab_Def_Flows[Name(EN)],0),13)</f>
        <v>0</v>
      </c>
      <c r="AD299" s="9" t="str">
        <f>IF(J299="Yes",AA299*Tab_Data_Flows[[#This Row],[WC_'[%']]],"N.A.")</f>
        <v>N.A.</v>
      </c>
      <c r="AE299" s="9" t="str">
        <f>Tab_Data_Flows[[#This Row],[UoM_Flow_Py]]</f>
        <v>Mg</v>
      </c>
      <c r="AF299" s="190">
        <f>INDEX(Tab_Def_Flows[[Flow_ID]:[CC_DM_source]],MATCH(Tab_Data_Flows[[#This Row],[Name(EN)]],Tab_Def_Flows[Name(EN)],0),15)</f>
        <v>0</v>
      </c>
      <c r="AG299" s="9" t="str">
        <f>IF(K299="Yes",AF299*Tab_Data_Flows[[#This Row],[Flow_Py]],"N.A.")</f>
        <v>N.A.</v>
      </c>
      <c r="AH299" s="9" t="str">
        <f>Tab_Data_Flows[[#This Row],[UoM_Flow_Py]]</f>
        <v>Mg</v>
      </c>
      <c r="AI299" s="190">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35</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276</v>
      </c>
      <c r="AC300" s="190">
        <f>INDEX(Tab_Def_Flows[[Flow_ID]:[CC_DM_source]],MATCH(Tab_Data_Flows[[#This Row],[Name(EN)]],Tab_Def_Flows[Name(EN)],0),13)</f>
        <v>0</v>
      </c>
      <c r="AD300" s="9" t="str">
        <f>IF(J300="Yes",AA300*Tab_Data_Flows[[#This Row],[WC_'[%']]],"N.A.")</f>
        <v>N.A.</v>
      </c>
      <c r="AE300" s="9" t="str">
        <f>Tab_Data_Flows[[#This Row],[UoM_Flow_Py]]</f>
        <v>Mg</v>
      </c>
      <c r="AF300" s="190">
        <f>INDEX(Tab_Def_Flows[[Flow_ID]:[CC_DM_source]],MATCH(Tab_Data_Flows[[#This Row],[Name(EN)]],Tab_Def_Flows[Name(EN)],0),15)</f>
        <v>0</v>
      </c>
      <c r="AG300" s="9" t="str">
        <f>IF(K300="Yes",AF300*Tab_Data_Flows[[#This Row],[Flow_Py]],"N.A.")</f>
        <v>N.A.</v>
      </c>
      <c r="AH300" s="9" t="str">
        <f>Tab_Data_Flows[[#This Row],[UoM_Flow_Py]]</f>
        <v>Mg</v>
      </c>
      <c r="AI300" s="190">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35</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276</v>
      </c>
      <c r="AC301" s="190">
        <f>INDEX(Tab_Def_Flows[[Flow_ID]:[CC_DM_source]],MATCH(Tab_Data_Flows[[#This Row],[Name(EN)]],Tab_Def_Flows[Name(EN)],0),13)</f>
        <v>0</v>
      </c>
      <c r="AD301" s="9" t="str">
        <f>IF(J301="Yes",AA301*Tab_Data_Flows[[#This Row],[WC_'[%']]],"N.A.")</f>
        <v>N.A.</v>
      </c>
      <c r="AE301" s="9" t="str">
        <f>Tab_Data_Flows[[#This Row],[UoM_Flow_Py]]</f>
        <v>Mg</v>
      </c>
      <c r="AF301" s="190">
        <f>INDEX(Tab_Def_Flows[[Flow_ID]:[CC_DM_source]],MATCH(Tab_Data_Flows[[#This Row],[Name(EN)]],Tab_Def_Flows[Name(EN)],0),15)</f>
        <v>0</v>
      </c>
      <c r="AG301" s="9" t="str">
        <f>IF(K301="Yes",AF301*Tab_Data_Flows[[#This Row],[Flow_Py]],"N.A.")</f>
        <v>N.A.</v>
      </c>
      <c r="AH301" s="9" t="str">
        <f>Tab_Data_Flows[[#This Row],[UoM_Flow_Py]]</f>
        <v>Mg</v>
      </c>
      <c r="AI301" s="190">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35</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276</v>
      </c>
      <c r="AC302" s="190">
        <f>INDEX(Tab_Def_Flows[[Flow_ID]:[CC_DM_source]],MATCH(Tab_Data_Flows[[#This Row],[Name(EN)]],Tab_Def_Flows[Name(EN)],0),13)</f>
        <v>0</v>
      </c>
      <c r="AD302" s="9" t="str">
        <f>IF(J302="Yes",AA302*Tab_Data_Flows[[#This Row],[WC_'[%']]],"N.A.")</f>
        <v>N.A.</v>
      </c>
      <c r="AE302" s="9" t="str">
        <f>Tab_Data_Flows[[#This Row],[UoM_Flow_Py]]</f>
        <v>Mg</v>
      </c>
      <c r="AF302" s="190">
        <f>INDEX(Tab_Def_Flows[[Flow_ID]:[CC_DM_source]],MATCH(Tab_Data_Flows[[#This Row],[Name(EN)]],Tab_Def_Flows[Name(EN)],0),15)</f>
        <v>0</v>
      </c>
      <c r="AG302" s="9" t="str">
        <f>IF(K302="Yes",AF302*Tab_Data_Flows[[#This Row],[Flow_Py]],"N.A.")</f>
        <v>N.A.</v>
      </c>
      <c r="AH302" s="9" t="str">
        <f>Tab_Data_Flows[[#This Row],[UoM_Flow_Py]]</f>
        <v>Mg</v>
      </c>
      <c r="AI302" s="190">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35</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276</v>
      </c>
      <c r="AC303" s="190">
        <f>INDEX(Tab_Def_Flows[[Flow_ID]:[CC_DM_source]],MATCH(Tab_Data_Flows[[#This Row],[Name(EN)]],Tab_Def_Flows[Name(EN)],0),13)</f>
        <v>0</v>
      </c>
      <c r="AD303" s="9" t="str">
        <f>IF(J303="Yes",AA303*Tab_Data_Flows[[#This Row],[WC_'[%']]],"N.A.")</f>
        <v>N.A.</v>
      </c>
      <c r="AE303" s="9" t="str">
        <f>Tab_Data_Flows[[#This Row],[UoM_Flow_Py]]</f>
        <v>Mg</v>
      </c>
      <c r="AF303" s="190">
        <f>INDEX(Tab_Def_Flows[[Flow_ID]:[CC_DM_source]],MATCH(Tab_Data_Flows[[#This Row],[Name(EN)]],Tab_Def_Flows[Name(EN)],0),15)</f>
        <v>0</v>
      </c>
      <c r="AG303" s="9" t="str">
        <f>IF(K303="Yes",AF303*Tab_Data_Flows[[#This Row],[Flow_Py]],"N.A.")</f>
        <v>N.A.</v>
      </c>
      <c r="AH303" s="9" t="str">
        <f>Tab_Data_Flows[[#This Row],[UoM_Flow_Py]]</f>
        <v>Mg</v>
      </c>
      <c r="AI303" s="190">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35</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276</v>
      </c>
      <c r="AC304" s="190">
        <f>INDEX(Tab_Def_Flows[[Flow_ID]:[CC_DM_source]],MATCH(Tab_Data_Flows[[#This Row],[Name(EN)]],Tab_Def_Flows[Name(EN)],0),13)</f>
        <v>0</v>
      </c>
      <c r="AD304" s="9" t="str">
        <f>IF(J304="Yes",AA304*Tab_Data_Flows[[#This Row],[WC_'[%']]],"N.A.")</f>
        <v>N.A.</v>
      </c>
      <c r="AE304" s="9" t="str">
        <f>Tab_Data_Flows[[#This Row],[UoM_Flow_Py]]</f>
        <v>Mg</v>
      </c>
      <c r="AF304" s="190">
        <f>INDEX(Tab_Def_Flows[[Flow_ID]:[CC_DM_source]],MATCH(Tab_Data_Flows[[#This Row],[Name(EN)]],Tab_Def_Flows[Name(EN)],0),15)</f>
        <v>0</v>
      </c>
      <c r="AG304" s="9" t="str">
        <f>IF(K304="Yes",AF304*Tab_Data_Flows[[#This Row],[Flow_Py]],"N.A.")</f>
        <v>N.A.</v>
      </c>
      <c r="AH304" s="9" t="str">
        <f>Tab_Data_Flows[[#This Row],[UoM_Flow_Py]]</f>
        <v>Mg</v>
      </c>
      <c r="AI304" s="190">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35</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276</v>
      </c>
      <c r="AC305" s="190">
        <f>INDEX(Tab_Def_Flows[[Flow_ID]:[CC_DM_source]],MATCH(Tab_Data_Flows[[#This Row],[Name(EN)]],Tab_Def_Flows[Name(EN)],0),13)</f>
        <v>0</v>
      </c>
      <c r="AD305" s="9" t="str">
        <f>IF(J305="Yes",AA305*Tab_Data_Flows[[#This Row],[WC_'[%']]],"N.A.")</f>
        <v>N.A.</v>
      </c>
      <c r="AE305" s="9" t="str">
        <f>Tab_Data_Flows[[#This Row],[UoM_Flow_Py]]</f>
        <v>Mg</v>
      </c>
      <c r="AF305" s="190">
        <f>INDEX(Tab_Def_Flows[[Flow_ID]:[CC_DM_source]],MATCH(Tab_Data_Flows[[#This Row],[Name(EN)]],Tab_Def_Flows[Name(EN)],0),15)</f>
        <v>0</v>
      </c>
      <c r="AG305" s="9" t="str">
        <f>IF(K305="Yes",AF305*Tab_Data_Flows[[#This Row],[Flow_Py]],"N.A.")</f>
        <v>N.A.</v>
      </c>
      <c r="AH305" s="9" t="str">
        <f>Tab_Data_Flows[[#This Row],[UoM_Flow_Py]]</f>
        <v>Mg</v>
      </c>
      <c r="AI305" s="190">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35</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276</v>
      </c>
      <c r="AC306" s="190">
        <f>INDEX(Tab_Def_Flows[[Flow_ID]:[CC_DM_source]],MATCH(Tab_Data_Flows[[#This Row],[Name(EN)]],Tab_Def_Flows[Name(EN)],0),13)</f>
        <v>0</v>
      </c>
      <c r="AD306" s="9" t="str">
        <f>IF(J306="Yes",AA306*Tab_Data_Flows[[#This Row],[WC_'[%']]],"N.A.")</f>
        <v>N.A.</v>
      </c>
      <c r="AE306" s="9" t="str">
        <f>Tab_Data_Flows[[#This Row],[UoM_Flow_Py]]</f>
        <v>Mg</v>
      </c>
      <c r="AF306" s="190">
        <f>INDEX(Tab_Def_Flows[[Flow_ID]:[CC_DM_source]],MATCH(Tab_Data_Flows[[#This Row],[Name(EN)]],Tab_Def_Flows[Name(EN)],0),15)</f>
        <v>0</v>
      </c>
      <c r="AG306" s="9" t="str">
        <f>IF(K306="Yes",AF306*Tab_Data_Flows[[#This Row],[Flow_Py]],"N.A.")</f>
        <v>N.A.</v>
      </c>
      <c r="AH306" s="9" t="str">
        <f>Tab_Data_Flows[[#This Row],[UoM_Flow_Py]]</f>
        <v>Mg</v>
      </c>
      <c r="AI306" s="190">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35</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276</v>
      </c>
      <c r="AC307" s="190">
        <f>INDEX(Tab_Def_Flows[[Flow_ID]:[CC_DM_source]],MATCH(Tab_Data_Flows[[#This Row],[Name(EN)]],Tab_Def_Flows[Name(EN)],0),13)</f>
        <v>0</v>
      </c>
      <c r="AD307" s="9" t="str">
        <f>IF(J307="Yes",AA307*Tab_Data_Flows[[#This Row],[WC_'[%']]],"N.A.")</f>
        <v>N.A.</v>
      </c>
      <c r="AE307" s="9" t="str">
        <f>Tab_Data_Flows[[#This Row],[UoM_Flow_Py]]</f>
        <v>Mg</v>
      </c>
      <c r="AF307" s="190">
        <f>INDEX(Tab_Def_Flows[[Flow_ID]:[CC_DM_source]],MATCH(Tab_Data_Flows[[#This Row],[Name(EN)]],Tab_Def_Flows[Name(EN)],0),15)</f>
        <v>0</v>
      </c>
      <c r="AG307" s="9" t="str">
        <f>IF(K307="Yes",AF307*Tab_Data_Flows[[#This Row],[Flow_Py]],"N.A.")</f>
        <v>N.A.</v>
      </c>
      <c r="AH307" s="9" t="str">
        <f>Tab_Data_Flows[[#This Row],[UoM_Flow_Py]]</f>
        <v>Mg</v>
      </c>
      <c r="AI307" s="190">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35</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276</v>
      </c>
      <c r="AC308" s="190">
        <f>INDEX(Tab_Def_Flows[[Flow_ID]:[CC_DM_source]],MATCH(Tab_Data_Flows[[#This Row],[Name(EN)]],Tab_Def_Flows[Name(EN)],0),13)</f>
        <v>0</v>
      </c>
      <c r="AD308" s="9" t="str">
        <f>IF(J308="Yes",AA308*Tab_Data_Flows[[#This Row],[WC_'[%']]],"N.A.")</f>
        <v>N.A.</v>
      </c>
      <c r="AE308" s="9" t="str">
        <f>Tab_Data_Flows[[#This Row],[UoM_Flow_Py]]</f>
        <v>Mg</v>
      </c>
      <c r="AF308" s="190">
        <f>INDEX(Tab_Def_Flows[[Flow_ID]:[CC_DM_source]],MATCH(Tab_Data_Flows[[#This Row],[Name(EN)]],Tab_Def_Flows[Name(EN)],0),15)</f>
        <v>0</v>
      </c>
      <c r="AG308" s="9" t="str">
        <f>IF(K308="Yes",AF308*Tab_Data_Flows[[#This Row],[Flow_Py]],"N.A.")</f>
        <v>N.A.</v>
      </c>
      <c r="AH308" s="9" t="str">
        <f>Tab_Data_Flows[[#This Row],[UoM_Flow_Py]]</f>
        <v>Mg</v>
      </c>
      <c r="AI308" s="190">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35</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276</v>
      </c>
      <c r="AC309" s="190">
        <f>INDEX(Tab_Def_Flows[[Flow_ID]:[CC_DM_source]],MATCH(Tab_Data_Flows[[#This Row],[Name(EN)]],Tab_Def_Flows[Name(EN)],0),13)</f>
        <v>0</v>
      </c>
      <c r="AD309" s="9" t="str">
        <f>IF(J309="Yes",AA309*Tab_Data_Flows[[#This Row],[WC_'[%']]],"N.A.")</f>
        <v>N.A.</v>
      </c>
      <c r="AE309" s="9" t="str">
        <f>Tab_Data_Flows[[#This Row],[UoM_Flow_Py]]</f>
        <v>Mg</v>
      </c>
      <c r="AF309" s="190">
        <f>INDEX(Tab_Def_Flows[[Flow_ID]:[CC_DM_source]],MATCH(Tab_Data_Flows[[#This Row],[Name(EN)]],Tab_Def_Flows[Name(EN)],0),15)</f>
        <v>0</v>
      </c>
      <c r="AG309" s="9" t="str">
        <f>IF(K309="Yes",AF309*Tab_Data_Flows[[#This Row],[Flow_Py]],"N.A.")</f>
        <v>N.A.</v>
      </c>
      <c r="AH309" s="9" t="str">
        <f>Tab_Data_Flows[[#This Row],[UoM_Flow_Py]]</f>
        <v>Mg</v>
      </c>
      <c r="AI309" s="190">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35</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276</v>
      </c>
      <c r="AC310" s="190">
        <f>INDEX(Tab_Def_Flows[[Flow_ID]:[CC_DM_source]],MATCH(Tab_Data_Flows[[#This Row],[Name(EN)]],Tab_Def_Flows[Name(EN)],0),13)</f>
        <v>0</v>
      </c>
      <c r="AD310" s="9" t="str">
        <f>IF(J310="Yes",AA310*Tab_Data_Flows[[#This Row],[WC_'[%']]],"N.A.")</f>
        <v>N.A.</v>
      </c>
      <c r="AE310" s="9" t="str">
        <f>Tab_Data_Flows[[#This Row],[UoM_Flow_Py]]</f>
        <v>Mg</v>
      </c>
      <c r="AF310" s="190">
        <f>INDEX(Tab_Def_Flows[[Flow_ID]:[CC_DM_source]],MATCH(Tab_Data_Flows[[#This Row],[Name(EN)]],Tab_Def_Flows[Name(EN)],0),15)</f>
        <v>0</v>
      </c>
      <c r="AG310" s="9" t="str">
        <f>IF(K310="Yes",AF310*Tab_Data_Flows[[#This Row],[Flow_Py]],"N.A.")</f>
        <v>N.A.</v>
      </c>
      <c r="AH310" s="9" t="str">
        <f>Tab_Data_Flows[[#This Row],[UoM_Flow_Py]]</f>
        <v>Mg</v>
      </c>
      <c r="AI310" s="190">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35</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276</v>
      </c>
      <c r="AC311" s="190">
        <f>INDEX(Tab_Def_Flows[[Flow_ID]:[CC_DM_source]],MATCH(Tab_Data_Flows[[#This Row],[Name(EN)]],Tab_Def_Flows[Name(EN)],0),13)</f>
        <v>0</v>
      </c>
      <c r="AD311" s="9" t="str">
        <f>IF(J311="Yes",AA311*Tab_Data_Flows[[#This Row],[WC_'[%']]],"N.A.")</f>
        <v>N.A.</v>
      </c>
      <c r="AE311" s="9" t="str">
        <f>Tab_Data_Flows[[#This Row],[UoM_Flow_Py]]</f>
        <v>Mg</v>
      </c>
      <c r="AF311" s="190">
        <f>INDEX(Tab_Def_Flows[[Flow_ID]:[CC_DM_source]],MATCH(Tab_Data_Flows[[#This Row],[Name(EN)]],Tab_Def_Flows[Name(EN)],0),15)</f>
        <v>0</v>
      </c>
      <c r="AG311" s="9" t="str">
        <f>IF(K311="Yes",AF311*Tab_Data_Flows[[#This Row],[Flow_Py]],"N.A.")</f>
        <v>N.A.</v>
      </c>
      <c r="AH311" s="9" t="str">
        <f>Tab_Data_Flows[[#This Row],[UoM_Flow_Py]]</f>
        <v>Mg</v>
      </c>
      <c r="AI311" s="190">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35</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276</v>
      </c>
      <c r="AC312" s="190">
        <f>INDEX(Tab_Def_Flows[[Flow_ID]:[CC_DM_source]],MATCH(Tab_Data_Flows[[#This Row],[Name(EN)]],Tab_Def_Flows[Name(EN)],0),13)</f>
        <v>0</v>
      </c>
      <c r="AD312" s="9" t="str">
        <f>IF(J312="Yes",AA312*Tab_Data_Flows[[#This Row],[WC_'[%']]],"N.A.")</f>
        <v>N.A.</v>
      </c>
      <c r="AE312" s="9" t="str">
        <f>Tab_Data_Flows[[#This Row],[UoM_Flow_Py]]</f>
        <v>Mg</v>
      </c>
      <c r="AF312" s="190">
        <f>INDEX(Tab_Def_Flows[[Flow_ID]:[CC_DM_source]],MATCH(Tab_Data_Flows[[#This Row],[Name(EN)]],Tab_Def_Flows[Name(EN)],0),15)</f>
        <v>0</v>
      </c>
      <c r="AG312" s="9" t="str">
        <f>IF(K312="Yes",AF312*Tab_Data_Flows[[#This Row],[Flow_Py]],"N.A.")</f>
        <v>N.A.</v>
      </c>
      <c r="AH312" s="9" t="str">
        <f>Tab_Data_Flows[[#This Row],[UoM_Flow_Py]]</f>
        <v>Mg</v>
      </c>
      <c r="AI312" s="190">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35</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276</v>
      </c>
      <c r="AC313" s="190">
        <f>INDEX(Tab_Def_Flows[[Flow_ID]:[CC_DM_source]],MATCH(Tab_Data_Flows[[#This Row],[Name(EN)]],Tab_Def_Flows[Name(EN)],0),13)</f>
        <v>0</v>
      </c>
      <c r="AD313" s="9" t="str">
        <f>IF(J313="Yes",AA313*Tab_Data_Flows[[#This Row],[WC_'[%']]],"N.A.")</f>
        <v>N.A.</v>
      </c>
      <c r="AE313" s="9" t="str">
        <f>Tab_Data_Flows[[#This Row],[UoM_Flow_Py]]</f>
        <v>Mg</v>
      </c>
      <c r="AF313" s="190">
        <f>INDEX(Tab_Def_Flows[[Flow_ID]:[CC_DM_source]],MATCH(Tab_Data_Flows[[#This Row],[Name(EN)]],Tab_Def_Flows[Name(EN)],0),15)</f>
        <v>0</v>
      </c>
      <c r="AG313" s="9" t="str">
        <f>IF(K313="Yes",AF313*Tab_Data_Flows[[#This Row],[Flow_Py]],"N.A.")</f>
        <v>N.A.</v>
      </c>
      <c r="AH313" s="9" t="str">
        <f>Tab_Data_Flows[[#This Row],[UoM_Flow_Py]]</f>
        <v>Mg</v>
      </c>
      <c r="AI313" s="190">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35</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276</v>
      </c>
      <c r="AC314" s="190">
        <f>INDEX(Tab_Def_Flows[[Flow_ID]:[CC_DM_source]],MATCH(Tab_Data_Flows[[#This Row],[Name(EN)]],Tab_Def_Flows[Name(EN)],0),13)</f>
        <v>0</v>
      </c>
      <c r="AD314" s="9" t="str">
        <f>IF(J314="Yes",AA314*Tab_Data_Flows[[#This Row],[WC_'[%']]],"N.A.")</f>
        <v>N.A.</v>
      </c>
      <c r="AE314" s="9" t="str">
        <f>Tab_Data_Flows[[#This Row],[UoM_Flow_Py]]</f>
        <v>Mg</v>
      </c>
      <c r="AF314" s="190">
        <f>INDEX(Tab_Def_Flows[[Flow_ID]:[CC_DM_source]],MATCH(Tab_Data_Flows[[#This Row],[Name(EN)]],Tab_Def_Flows[Name(EN)],0),15)</f>
        <v>0</v>
      </c>
      <c r="AG314" s="9" t="str">
        <f>IF(K314="Yes",AF314*Tab_Data_Flows[[#This Row],[Flow_Py]],"N.A.")</f>
        <v>N.A.</v>
      </c>
      <c r="AH314" s="9" t="str">
        <f>Tab_Data_Flows[[#This Row],[UoM_Flow_Py]]</f>
        <v>Mg</v>
      </c>
      <c r="AI314" s="190">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35</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276</v>
      </c>
      <c r="AC315" s="190">
        <f>INDEX(Tab_Def_Flows[[Flow_ID]:[CC_DM_source]],MATCH(Tab_Data_Flows[[#This Row],[Name(EN)]],Tab_Def_Flows[Name(EN)],0),13)</f>
        <v>0</v>
      </c>
      <c r="AD315" s="9" t="str">
        <f>IF(J315="Yes",AA315*Tab_Data_Flows[[#This Row],[WC_'[%']]],"N.A.")</f>
        <v>N.A.</v>
      </c>
      <c r="AE315" s="9" t="str">
        <f>Tab_Data_Flows[[#This Row],[UoM_Flow_Py]]</f>
        <v>Mg</v>
      </c>
      <c r="AF315" s="190">
        <f>INDEX(Tab_Def_Flows[[Flow_ID]:[CC_DM_source]],MATCH(Tab_Data_Flows[[#This Row],[Name(EN)]],Tab_Def_Flows[Name(EN)],0),15)</f>
        <v>0</v>
      </c>
      <c r="AG315" s="9" t="str">
        <f>IF(K315="Yes",AF315*Tab_Data_Flows[[#This Row],[Flow_Py]],"N.A.")</f>
        <v>N.A.</v>
      </c>
      <c r="AH315" s="9" t="str">
        <f>Tab_Data_Flows[[#This Row],[UoM_Flow_Py]]</f>
        <v>Mg</v>
      </c>
      <c r="AI315" s="190">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35</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276</v>
      </c>
      <c r="AC316" s="190">
        <f>INDEX(Tab_Def_Flows[[Flow_ID]:[CC_DM_source]],MATCH(Tab_Data_Flows[[#This Row],[Name(EN)]],Tab_Def_Flows[Name(EN)],0),13)</f>
        <v>0</v>
      </c>
      <c r="AD316" s="9" t="str">
        <f>IF(J316="Yes",AA316*Tab_Data_Flows[[#This Row],[WC_'[%']]],"N.A.")</f>
        <v>N.A.</v>
      </c>
      <c r="AE316" s="9" t="str">
        <f>Tab_Data_Flows[[#This Row],[UoM_Flow_Py]]</f>
        <v>Mg</v>
      </c>
      <c r="AF316" s="190">
        <f>INDEX(Tab_Def_Flows[[Flow_ID]:[CC_DM_source]],MATCH(Tab_Data_Flows[[#This Row],[Name(EN)]],Tab_Def_Flows[Name(EN)],0),15)</f>
        <v>0</v>
      </c>
      <c r="AG316" s="9" t="str">
        <f>IF(K316="Yes",AF316*Tab_Data_Flows[[#This Row],[Flow_Py]],"N.A.")</f>
        <v>N.A.</v>
      </c>
      <c r="AH316" s="9" t="str">
        <f>Tab_Data_Flows[[#This Row],[UoM_Flow_Py]]</f>
        <v>Mg</v>
      </c>
      <c r="AI316" s="190">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35</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276</v>
      </c>
      <c r="AC317" s="190">
        <f>INDEX(Tab_Def_Flows[[Flow_ID]:[CC_DM_source]],MATCH(Tab_Data_Flows[[#This Row],[Name(EN)]],Tab_Def_Flows[Name(EN)],0),13)</f>
        <v>0</v>
      </c>
      <c r="AD317" s="9" t="str">
        <f>IF(J317="Yes",AA317*Tab_Data_Flows[[#This Row],[WC_'[%']]],"N.A.")</f>
        <v>N.A.</v>
      </c>
      <c r="AE317" s="9" t="str">
        <f>Tab_Data_Flows[[#This Row],[UoM_Flow_Py]]</f>
        <v>Mg</v>
      </c>
      <c r="AF317" s="190">
        <f>INDEX(Tab_Def_Flows[[Flow_ID]:[CC_DM_source]],MATCH(Tab_Data_Flows[[#This Row],[Name(EN)]],Tab_Def_Flows[Name(EN)],0),15)</f>
        <v>0</v>
      </c>
      <c r="AG317" s="9" t="str">
        <f>IF(K317="Yes",AF317*Tab_Data_Flows[[#This Row],[Flow_Py]],"N.A.")</f>
        <v>N.A.</v>
      </c>
      <c r="AH317" s="9" t="str">
        <f>Tab_Data_Flows[[#This Row],[UoM_Flow_Py]]</f>
        <v>Mg</v>
      </c>
      <c r="AI317" s="190">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35</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276</v>
      </c>
      <c r="AC318" s="190">
        <f>INDEX(Tab_Def_Flows[[Flow_ID]:[CC_DM_source]],MATCH(Tab_Data_Flows[[#This Row],[Name(EN)]],Tab_Def_Flows[Name(EN)],0),13)</f>
        <v>0</v>
      </c>
      <c r="AD318" s="9" t="str">
        <f>IF(J318="Yes",AA318*Tab_Data_Flows[[#This Row],[WC_'[%']]],"N.A.")</f>
        <v>N.A.</v>
      </c>
      <c r="AE318" s="9" t="str">
        <f>Tab_Data_Flows[[#This Row],[UoM_Flow_Py]]</f>
        <v>Mg</v>
      </c>
      <c r="AF318" s="190">
        <f>INDEX(Tab_Def_Flows[[Flow_ID]:[CC_DM_source]],MATCH(Tab_Data_Flows[[#This Row],[Name(EN)]],Tab_Def_Flows[Name(EN)],0),15)</f>
        <v>0</v>
      </c>
      <c r="AG318" s="9" t="str">
        <f>IF(K318="Yes",AF318*Tab_Data_Flows[[#This Row],[Flow_Py]],"N.A.")</f>
        <v>N.A.</v>
      </c>
      <c r="AH318" s="9" t="str">
        <f>Tab_Data_Flows[[#This Row],[UoM_Flow_Py]]</f>
        <v>Mg</v>
      </c>
      <c r="AI318" s="190">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35</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276</v>
      </c>
      <c r="AC319" s="190">
        <f>INDEX(Tab_Def_Flows[[Flow_ID]:[CC_DM_source]],MATCH(Tab_Data_Flows[[#This Row],[Name(EN)]],Tab_Def_Flows[Name(EN)],0),13)</f>
        <v>0</v>
      </c>
      <c r="AD319" s="9" t="str">
        <f>IF(J319="Yes",AA319*Tab_Data_Flows[[#This Row],[WC_'[%']]],"N.A.")</f>
        <v>N.A.</v>
      </c>
      <c r="AE319" s="9" t="str">
        <f>Tab_Data_Flows[[#This Row],[UoM_Flow_Py]]</f>
        <v>Mg</v>
      </c>
      <c r="AF319" s="190">
        <f>INDEX(Tab_Def_Flows[[Flow_ID]:[CC_DM_source]],MATCH(Tab_Data_Flows[[#This Row],[Name(EN)]],Tab_Def_Flows[Name(EN)],0),15)</f>
        <v>0</v>
      </c>
      <c r="AG319" s="9" t="str">
        <f>IF(K319="Yes",AF319*Tab_Data_Flows[[#This Row],[Flow_Py]],"N.A.")</f>
        <v>N.A.</v>
      </c>
      <c r="AH319" s="9" t="str">
        <f>Tab_Data_Flows[[#This Row],[UoM_Flow_Py]]</f>
        <v>Mg</v>
      </c>
      <c r="AI319" s="190">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35</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276</v>
      </c>
      <c r="AC320" s="190">
        <f>INDEX(Tab_Def_Flows[[Flow_ID]:[CC_DM_source]],MATCH(Tab_Data_Flows[[#This Row],[Name(EN)]],Tab_Def_Flows[Name(EN)],0),13)</f>
        <v>0</v>
      </c>
      <c r="AD320" s="9" t="str">
        <f>IF(J320="Yes",AA320*Tab_Data_Flows[[#This Row],[WC_'[%']]],"N.A.")</f>
        <v>N.A.</v>
      </c>
      <c r="AE320" s="9" t="str">
        <f>Tab_Data_Flows[[#This Row],[UoM_Flow_Py]]</f>
        <v>Mg</v>
      </c>
      <c r="AF320" s="190">
        <f>INDEX(Tab_Def_Flows[[Flow_ID]:[CC_DM_source]],MATCH(Tab_Data_Flows[[#This Row],[Name(EN)]],Tab_Def_Flows[Name(EN)],0),15)</f>
        <v>0</v>
      </c>
      <c r="AG320" s="9" t="str">
        <f>IF(K320="Yes",AF320*Tab_Data_Flows[[#This Row],[Flow_Py]],"N.A.")</f>
        <v>N.A.</v>
      </c>
      <c r="AH320" s="9" t="str">
        <f>Tab_Data_Flows[[#This Row],[UoM_Flow_Py]]</f>
        <v>Mg</v>
      </c>
      <c r="AI320" s="190">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35</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276</v>
      </c>
      <c r="AC321" s="190">
        <f>INDEX(Tab_Def_Flows[[Flow_ID]:[CC_DM_source]],MATCH(Tab_Data_Flows[[#This Row],[Name(EN)]],Tab_Def_Flows[Name(EN)],0),13)</f>
        <v>0</v>
      </c>
      <c r="AD321" s="9" t="str">
        <f>IF(J321="Yes",AA321*Tab_Data_Flows[[#This Row],[WC_'[%']]],"N.A.")</f>
        <v>N.A.</v>
      </c>
      <c r="AE321" s="9" t="str">
        <f>Tab_Data_Flows[[#This Row],[UoM_Flow_Py]]</f>
        <v>Mg</v>
      </c>
      <c r="AF321" s="190">
        <f>INDEX(Tab_Def_Flows[[Flow_ID]:[CC_DM_source]],MATCH(Tab_Data_Flows[[#This Row],[Name(EN)]],Tab_Def_Flows[Name(EN)],0),15)</f>
        <v>0</v>
      </c>
      <c r="AG321" s="9" t="str">
        <f>IF(K321="Yes",AF321*Tab_Data_Flows[[#This Row],[Flow_Py]],"N.A.")</f>
        <v>N.A.</v>
      </c>
      <c r="AH321" s="9" t="str">
        <f>Tab_Data_Flows[[#This Row],[UoM_Flow_Py]]</f>
        <v>Mg</v>
      </c>
      <c r="AI321" s="190">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35</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276</v>
      </c>
      <c r="AC322" s="190">
        <f>INDEX(Tab_Def_Flows[[Flow_ID]:[CC_DM_source]],MATCH(Tab_Data_Flows[[#This Row],[Name(EN)]],Tab_Def_Flows[Name(EN)],0),13)</f>
        <v>0</v>
      </c>
      <c r="AD322" s="9" t="str">
        <f>IF(J322="Yes",AA322*Tab_Data_Flows[[#This Row],[WC_'[%']]],"N.A.")</f>
        <v>N.A.</v>
      </c>
      <c r="AE322" s="9" t="str">
        <f>Tab_Data_Flows[[#This Row],[UoM_Flow_Py]]</f>
        <v>Mg</v>
      </c>
      <c r="AF322" s="190">
        <f>INDEX(Tab_Def_Flows[[Flow_ID]:[CC_DM_source]],MATCH(Tab_Data_Flows[[#This Row],[Name(EN)]],Tab_Def_Flows[Name(EN)],0),15)</f>
        <v>0</v>
      </c>
      <c r="AG322" s="9" t="str">
        <f>IF(K322="Yes",AF322*Tab_Data_Flows[[#This Row],[Flow_Py]],"N.A.")</f>
        <v>N.A.</v>
      </c>
      <c r="AH322" s="9" t="str">
        <f>Tab_Data_Flows[[#This Row],[UoM_Flow_Py]]</f>
        <v>Mg</v>
      </c>
      <c r="AI322" s="190">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35</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276</v>
      </c>
      <c r="AC323" s="190">
        <f>INDEX(Tab_Def_Flows[[Flow_ID]:[CC_DM_source]],MATCH(Tab_Data_Flows[[#This Row],[Name(EN)]],Tab_Def_Flows[Name(EN)],0),13)</f>
        <v>0</v>
      </c>
      <c r="AD323" s="9" t="str">
        <f>IF(J323="Yes",AA323*Tab_Data_Flows[[#This Row],[WC_'[%']]],"N.A.")</f>
        <v>N.A.</v>
      </c>
      <c r="AE323" s="9" t="str">
        <f>Tab_Data_Flows[[#This Row],[UoM_Flow_Py]]</f>
        <v>Mg</v>
      </c>
      <c r="AF323" s="190">
        <f>INDEX(Tab_Def_Flows[[Flow_ID]:[CC_DM_source]],MATCH(Tab_Data_Flows[[#This Row],[Name(EN)]],Tab_Def_Flows[Name(EN)],0),15)</f>
        <v>0</v>
      </c>
      <c r="AG323" s="9" t="str">
        <f>IF(K323="Yes",AF323*Tab_Data_Flows[[#This Row],[Flow_Py]],"N.A.")</f>
        <v>N.A.</v>
      </c>
      <c r="AH323" s="9" t="str">
        <f>Tab_Data_Flows[[#This Row],[UoM_Flow_Py]]</f>
        <v>Mg</v>
      </c>
      <c r="AI323" s="190">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35</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276</v>
      </c>
      <c r="AC324" s="190">
        <f>INDEX(Tab_Def_Flows[[Flow_ID]:[CC_DM_source]],MATCH(Tab_Data_Flows[[#This Row],[Name(EN)]],Tab_Def_Flows[Name(EN)],0),13)</f>
        <v>0</v>
      </c>
      <c r="AD324" s="9" t="str">
        <f>IF(J324="Yes",AA324*Tab_Data_Flows[[#This Row],[WC_'[%']]],"N.A.")</f>
        <v>N.A.</v>
      </c>
      <c r="AE324" s="9" t="str">
        <f>Tab_Data_Flows[[#This Row],[UoM_Flow_Py]]</f>
        <v>Mg</v>
      </c>
      <c r="AF324" s="190">
        <f>INDEX(Tab_Def_Flows[[Flow_ID]:[CC_DM_source]],MATCH(Tab_Data_Flows[[#This Row],[Name(EN)]],Tab_Def_Flows[Name(EN)],0),15)</f>
        <v>0</v>
      </c>
      <c r="AG324" s="9" t="str">
        <f>IF(K324="Yes",AF324*Tab_Data_Flows[[#This Row],[Flow_Py]],"N.A.")</f>
        <v>N.A.</v>
      </c>
      <c r="AH324" s="9" t="str">
        <f>Tab_Data_Flows[[#This Row],[UoM_Flow_Py]]</f>
        <v>Mg</v>
      </c>
      <c r="AI324" s="190">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35</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276</v>
      </c>
      <c r="AC325" s="190">
        <f>INDEX(Tab_Def_Flows[[Flow_ID]:[CC_DM_source]],MATCH(Tab_Data_Flows[[#This Row],[Name(EN)]],Tab_Def_Flows[Name(EN)],0),13)</f>
        <v>0</v>
      </c>
      <c r="AD325" s="9" t="str">
        <f>IF(J325="Yes",AA325*Tab_Data_Flows[[#This Row],[WC_'[%']]],"N.A.")</f>
        <v>N.A.</v>
      </c>
      <c r="AE325" s="9" t="str">
        <f>Tab_Data_Flows[[#This Row],[UoM_Flow_Py]]</f>
        <v>Mg</v>
      </c>
      <c r="AF325" s="190">
        <f>INDEX(Tab_Def_Flows[[Flow_ID]:[CC_DM_source]],MATCH(Tab_Data_Flows[[#This Row],[Name(EN)]],Tab_Def_Flows[Name(EN)],0),15)</f>
        <v>0</v>
      </c>
      <c r="AG325" s="9" t="str">
        <f>IF(K325="Yes",AF325*Tab_Data_Flows[[#This Row],[Flow_Py]],"N.A.")</f>
        <v>N.A.</v>
      </c>
      <c r="AH325" s="9" t="str">
        <f>Tab_Data_Flows[[#This Row],[UoM_Flow_Py]]</f>
        <v>Mg</v>
      </c>
      <c r="AI325" s="190">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35</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276</v>
      </c>
      <c r="AC326" s="190">
        <f>INDEX(Tab_Def_Flows[[Flow_ID]:[CC_DM_source]],MATCH(Tab_Data_Flows[[#This Row],[Name(EN)]],Tab_Def_Flows[Name(EN)],0),13)</f>
        <v>0</v>
      </c>
      <c r="AD326" s="9" t="str">
        <f>IF(J326="Yes",AA326*Tab_Data_Flows[[#This Row],[WC_'[%']]],"N.A.")</f>
        <v>N.A.</v>
      </c>
      <c r="AE326" s="9" t="str">
        <f>Tab_Data_Flows[[#This Row],[UoM_Flow_Py]]</f>
        <v>Mg</v>
      </c>
      <c r="AF326" s="190">
        <f>INDEX(Tab_Def_Flows[[Flow_ID]:[CC_DM_source]],MATCH(Tab_Data_Flows[[#This Row],[Name(EN)]],Tab_Def_Flows[Name(EN)],0),15)</f>
        <v>0</v>
      </c>
      <c r="AG326" s="9" t="str">
        <f>IF(K326="Yes",AF326*Tab_Data_Flows[[#This Row],[Flow_Py]],"N.A.")</f>
        <v>N.A.</v>
      </c>
      <c r="AH326" s="9" t="str">
        <f>Tab_Data_Flows[[#This Row],[UoM_Flow_Py]]</f>
        <v>Mg</v>
      </c>
      <c r="AI326" s="190">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35</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276</v>
      </c>
      <c r="AC327" s="190">
        <f>INDEX(Tab_Def_Flows[[Flow_ID]:[CC_DM_source]],MATCH(Tab_Data_Flows[[#This Row],[Name(EN)]],Tab_Def_Flows[Name(EN)],0),13)</f>
        <v>0</v>
      </c>
      <c r="AD327" s="9" t="str">
        <f>IF(J327="Yes",AA327*Tab_Data_Flows[[#This Row],[WC_'[%']]],"N.A.")</f>
        <v>N.A.</v>
      </c>
      <c r="AE327" s="9" t="str">
        <f>Tab_Data_Flows[[#This Row],[UoM_Flow_Py]]</f>
        <v>Mg</v>
      </c>
      <c r="AF327" s="190">
        <f>INDEX(Tab_Def_Flows[[Flow_ID]:[CC_DM_source]],MATCH(Tab_Data_Flows[[#This Row],[Name(EN)]],Tab_Def_Flows[Name(EN)],0),15)</f>
        <v>0</v>
      </c>
      <c r="AG327" s="9" t="str">
        <f>IF(K327="Yes",AF327*Tab_Data_Flows[[#This Row],[Flow_Py]],"N.A.")</f>
        <v>N.A.</v>
      </c>
      <c r="AH327" s="9" t="str">
        <f>Tab_Data_Flows[[#This Row],[UoM_Flow_Py]]</f>
        <v>Mg</v>
      </c>
      <c r="AI327" s="190">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35</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276</v>
      </c>
      <c r="AC328" s="190">
        <f>INDEX(Tab_Def_Flows[[Flow_ID]:[CC_DM_source]],MATCH(Tab_Data_Flows[[#This Row],[Name(EN)]],Tab_Def_Flows[Name(EN)],0),13)</f>
        <v>0</v>
      </c>
      <c r="AD328" s="9" t="str">
        <f>IF(J328="Yes",AA328*Tab_Data_Flows[[#This Row],[WC_'[%']]],"N.A.")</f>
        <v>N.A.</v>
      </c>
      <c r="AE328" s="9" t="str">
        <f>Tab_Data_Flows[[#This Row],[UoM_Flow_Py]]</f>
        <v>Mg</v>
      </c>
      <c r="AF328" s="190">
        <f>INDEX(Tab_Def_Flows[[Flow_ID]:[CC_DM_source]],MATCH(Tab_Data_Flows[[#This Row],[Name(EN)]],Tab_Def_Flows[Name(EN)],0),15)</f>
        <v>0</v>
      </c>
      <c r="AG328" s="9" t="str">
        <f>IF(K328="Yes",AF328*Tab_Data_Flows[[#This Row],[Flow_Py]],"N.A.")</f>
        <v>N.A.</v>
      </c>
      <c r="AH328" s="9" t="str">
        <f>Tab_Data_Flows[[#This Row],[UoM_Flow_Py]]</f>
        <v>Mg</v>
      </c>
      <c r="AI328" s="190">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35</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276</v>
      </c>
      <c r="AC329" s="190">
        <f>INDEX(Tab_Def_Flows[[Flow_ID]:[CC_DM_source]],MATCH(Tab_Data_Flows[[#This Row],[Name(EN)]],Tab_Def_Flows[Name(EN)],0),13)</f>
        <v>0</v>
      </c>
      <c r="AD329" s="9" t="str">
        <f>IF(J329="Yes",AA329*Tab_Data_Flows[[#This Row],[WC_'[%']]],"N.A.")</f>
        <v>N.A.</v>
      </c>
      <c r="AE329" s="9" t="str">
        <f>Tab_Data_Flows[[#This Row],[UoM_Flow_Py]]</f>
        <v>Mg</v>
      </c>
      <c r="AF329" s="190">
        <f>INDEX(Tab_Def_Flows[[Flow_ID]:[CC_DM_source]],MATCH(Tab_Data_Flows[[#This Row],[Name(EN)]],Tab_Def_Flows[Name(EN)],0),15)</f>
        <v>0</v>
      </c>
      <c r="AG329" s="9" t="str">
        <f>IF(K329="Yes",AF329*Tab_Data_Flows[[#This Row],[Flow_Py]],"N.A.")</f>
        <v>N.A.</v>
      </c>
      <c r="AH329" s="9" t="str">
        <f>Tab_Data_Flows[[#This Row],[UoM_Flow_Py]]</f>
        <v>Mg</v>
      </c>
      <c r="AI329" s="190">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35</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276</v>
      </c>
      <c r="AC330" s="190">
        <f>INDEX(Tab_Def_Flows[[Flow_ID]:[CC_DM_source]],MATCH(Tab_Data_Flows[[#This Row],[Name(EN)]],Tab_Def_Flows[Name(EN)],0),13)</f>
        <v>0</v>
      </c>
      <c r="AD330" s="9" t="str">
        <f>IF(J330="Yes",AA330*Tab_Data_Flows[[#This Row],[WC_'[%']]],"N.A.")</f>
        <v>N.A.</v>
      </c>
      <c r="AE330" s="9" t="str">
        <f>Tab_Data_Flows[[#This Row],[UoM_Flow_Py]]</f>
        <v>Mg</v>
      </c>
      <c r="AF330" s="190">
        <f>INDEX(Tab_Def_Flows[[Flow_ID]:[CC_DM_source]],MATCH(Tab_Data_Flows[[#This Row],[Name(EN)]],Tab_Def_Flows[Name(EN)],0),15)</f>
        <v>0</v>
      </c>
      <c r="AG330" s="9" t="str">
        <f>IF(K330="Yes",AF330*Tab_Data_Flows[[#This Row],[Flow_Py]],"N.A.")</f>
        <v>N.A.</v>
      </c>
      <c r="AH330" s="9" t="str">
        <f>Tab_Data_Flows[[#This Row],[UoM_Flow_Py]]</f>
        <v>Mg</v>
      </c>
      <c r="AI330" s="190">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35</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276</v>
      </c>
      <c r="AC331" s="190">
        <f>INDEX(Tab_Def_Flows[[Flow_ID]:[CC_DM_source]],MATCH(Tab_Data_Flows[[#This Row],[Name(EN)]],Tab_Def_Flows[Name(EN)],0),13)</f>
        <v>0</v>
      </c>
      <c r="AD331" s="9" t="str">
        <f>IF(J331="Yes",AA331*Tab_Data_Flows[[#This Row],[WC_'[%']]],"N.A.")</f>
        <v>N.A.</v>
      </c>
      <c r="AE331" s="9" t="str">
        <f>Tab_Data_Flows[[#This Row],[UoM_Flow_Py]]</f>
        <v>Mg</v>
      </c>
      <c r="AF331" s="190">
        <f>INDEX(Tab_Def_Flows[[Flow_ID]:[CC_DM_source]],MATCH(Tab_Data_Flows[[#This Row],[Name(EN)]],Tab_Def_Flows[Name(EN)],0),15)</f>
        <v>0</v>
      </c>
      <c r="AG331" s="9" t="str">
        <f>IF(K331="Yes",AF331*Tab_Data_Flows[[#This Row],[Flow_Py]],"N.A.")</f>
        <v>N.A.</v>
      </c>
      <c r="AH331" s="9" t="str">
        <f>Tab_Data_Flows[[#This Row],[UoM_Flow_Py]]</f>
        <v>Mg</v>
      </c>
      <c r="AI331" s="190">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35</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276</v>
      </c>
      <c r="AC332" s="190">
        <f>INDEX(Tab_Def_Flows[[Flow_ID]:[CC_DM_source]],MATCH(Tab_Data_Flows[[#This Row],[Name(EN)]],Tab_Def_Flows[Name(EN)],0),13)</f>
        <v>0</v>
      </c>
      <c r="AD332" s="9" t="str">
        <f>IF(J332="Yes",AA332*Tab_Data_Flows[[#This Row],[WC_'[%']]],"N.A.")</f>
        <v>N.A.</v>
      </c>
      <c r="AE332" s="9" t="str">
        <f>Tab_Data_Flows[[#This Row],[UoM_Flow_Py]]</f>
        <v>Mg</v>
      </c>
      <c r="AF332" s="190">
        <f>INDEX(Tab_Def_Flows[[Flow_ID]:[CC_DM_source]],MATCH(Tab_Data_Flows[[#This Row],[Name(EN)]],Tab_Def_Flows[Name(EN)],0),15)</f>
        <v>0</v>
      </c>
      <c r="AG332" s="9" t="str">
        <f>IF(K332="Yes",AF332*Tab_Data_Flows[[#This Row],[Flow_Py]],"N.A.")</f>
        <v>N.A.</v>
      </c>
      <c r="AH332" s="9" t="str">
        <f>Tab_Data_Flows[[#This Row],[UoM_Flow_Py]]</f>
        <v>Mg</v>
      </c>
      <c r="AI332" s="190">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35</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276</v>
      </c>
      <c r="AC333" s="190">
        <f>INDEX(Tab_Def_Flows[[Flow_ID]:[CC_DM_source]],MATCH(Tab_Data_Flows[[#This Row],[Name(EN)]],Tab_Def_Flows[Name(EN)],0),13)</f>
        <v>0</v>
      </c>
      <c r="AD333" s="9" t="str">
        <f>IF(J333="Yes",AA333*Tab_Data_Flows[[#This Row],[WC_'[%']]],"N.A.")</f>
        <v>N.A.</v>
      </c>
      <c r="AE333" s="9" t="str">
        <f>Tab_Data_Flows[[#This Row],[UoM_Flow_Py]]</f>
        <v>Mg</v>
      </c>
      <c r="AF333" s="190">
        <f>INDEX(Tab_Def_Flows[[Flow_ID]:[CC_DM_source]],MATCH(Tab_Data_Flows[[#This Row],[Name(EN)]],Tab_Def_Flows[Name(EN)],0),15)</f>
        <v>0</v>
      </c>
      <c r="AG333" s="9" t="str">
        <f>IF(K333="Yes",AF333*Tab_Data_Flows[[#This Row],[Flow_Py]],"N.A.")</f>
        <v>N.A.</v>
      </c>
      <c r="AH333" s="9" t="str">
        <f>Tab_Data_Flows[[#This Row],[UoM_Flow_Py]]</f>
        <v>Mg</v>
      </c>
      <c r="AI333" s="190">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35</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276</v>
      </c>
      <c r="AC334" s="190">
        <f>INDEX(Tab_Def_Flows[[Flow_ID]:[CC_DM_source]],MATCH(Tab_Data_Flows[[#This Row],[Name(EN)]],Tab_Def_Flows[Name(EN)],0),13)</f>
        <v>0</v>
      </c>
      <c r="AD334" s="9" t="str">
        <f>IF(J334="Yes",AA334*Tab_Data_Flows[[#This Row],[WC_'[%']]],"N.A.")</f>
        <v>N.A.</v>
      </c>
      <c r="AE334" s="9" t="str">
        <f>Tab_Data_Flows[[#This Row],[UoM_Flow_Py]]</f>
        <v>Mg</v>
      </c>
      <c r="AF334" s="190">
        <f>INDEX(Tab_Def_Flows[[Flow_ID]:[CC_DM_source]],MATCH(Tab_Data_Flows[[#This Row],[Name(EN)]],Tab_Def_Flows[Name(EN)],0),15)</f>
        <v>0</v>
      </c>
      <c r="AG334" s="9" t="str">
        <f>IF(K334="Yes",AF334*Tab_Data_Flows[[#This Row],[Flow_Py]],"N.A.")</f>
        <v>N.A.</v>
      </c>
      <c r="AH334" s="9" t="str">
        <f>Tab_Data_Flows[[#This Row],[UoM_Flow_Py]]</f>
        <v>Mg</v>
      </c>
      <c r="AI334" s="190">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35</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276</v>
      </c>
      <c r="AC335" s="190">
        <f>INDEX(Tab_Def_Flows[[Flow_ID]:[CC_DM_source]],MATCH(Tab_Data_Flows[[#This Row],[Name(EN)]],Tab_Def_Flows[Name(EN)],0),13)</f>
        <v>0</v>
      </c>
      <c r="AD335" s="9" t="str">
        <f>IF(J335="Yes",AA335*Tab_Data_Flows[[#This Row],[WC_'[%']]],"N.A.")</f>
        <v>N.A.</v>
      </c>
      <c r="AE335" s="9" t="str">
        <f>Tab_Data_Flows[[#This Row],[UoM_Flow_Py]]</f>
        <v>Mg</v>
      </c>
      <c r="AF335" s="190">
        <f>INDEX(Tab_Def_Flows[[Flow_ID]:[CC_DM_source]],MATCH(Tab_Data_Flows[[#This Row],[Name(EN)]],Tab_Def_Flows[Name(EN)],0),15)</f>
        <v>0</v>
      </c>
      <c r="AG335" s="9" t="str">
        <f>IF(K335="Yes",AF335*Tab_Data_Flows[[#This Row],[Flow_Py]],"N.A.")</f>
        <v>N.A.</v>
      </c>
      <c r="AH335" s="9" t="str">
        <f>Tab_Data_Flows[[#This Row],[UoM_Flow_Py]]</f>
        <v>Mg</v>
      </c>
      <c r="AI335" s="190">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35</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276</v>
      </c>
      <c r="AC336" s="190">
        <f>INDEX(Tab_Def_Flows[[Flow_ID]:[CC_DM_source]],MATCH(Tab_Data_Flows[[#This Row],[Name(EN)]],Tab_Def_Flows[Name(EN)],0),13)</f>
        <v>0</v>
      </c>
      <c r="AD336" s="9" t="str">
        <f>IF(J336="Yes",AA336*Tab_Data_Flows[[#This Row],[WC_'[%']]],"N.A.")</f>
        <v>N.A.</v>
      </c>
      <c r="AE336" s="9" t="str">
        <f>Tab_Data_Flows[[#This Row],[UoM_Flow_Py]]</f>
        <v>Mg</v>
      </c>
      <c r="AF336" s="190">
        <f>INDEX(Tab_Def_Flows[[Flow_ID]:[CC_DM_source]],MATCH(Tab_Data_Flows[[#This Row],[Name(EN)]],Tab_Def_Flows[Name(EN)],0),15)</f>
        <v>0</v>
      </c>
      <c r="AG336" s="9" t="str">
        <f>IF(K336="Yes",AF336*Tab_Data_Flows[[#This Row],[Flow_Py]],"N.A.")</f>
        <v>N.A.</v>
      </c>
      <c r="AH336" s="9" t="str">
        <f>Tab_Data_Flows[[#This Row],[UoM_Flow_Py]]</f>
        <v>Mg</v>
      </c>
      <c r="AI336" s="190">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35</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276</v>
      </c>
      <c r="AC337" s="190">
        <f>INDEX(Tab_Def_Flows[[Flow_ID]:[CC_DM_source]],MATCH(Tab_Data_Flows[[#This Row],[Name(EN)]],Tab_Def_Flows[Name(EN)],0),13)</f>
        <v>0</v>
      </c>
      <c r="AD337" s="9" t="str">
        <f>IF(J337="Yes",AA337*Tab_Data_Flows[[#This Row],[WC_'[%']]],"N.A.")</f>
        <v>N.A.</v>
      </c>
      <c r="AE337" s="9" t="str">
        <f>Tab_Data_Flows[[#This Row],[UoM_Flow_Py]]</f>
        <v>Mg</v>
      </c>
      <c r="AF337" s="190">
        <f>INDEX(Tab_Def_Flows[[Flow_ID]:[CC_DM_source]],MATCH(Tab_Data_Flows[[#This Row],[Name(EN)]],Tab_Def_Flows[Name(EN)],0),15)</f>
        <v>0</v>
      </c>
      <c r="AG337" s="9" t="str">
        <f>IF(K337="Yes",AF337*Tab_Data_Flows[[#This Row],[Flow_Py]],"N.A.")</f>
        <v>N.A.</v>
      </c>
      <c r="AH337" s="9" t="str">
        <f>Tab_Data_Flows[[#This Row],[UoM_Flow_Py]]</f>
        <v>Mg</v>
      </c>
      <c r="AI337" s="190">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35</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276</v>
      </c>
      <c r="AC338" s="190">
        <f>INDEX(Tab_Def_Flows[[Flow_ID]:[CC_DM_source]],MATCH(Tab_Data_Flows[[#This Row],[Name(EN)]],Tab_Def_Flows[Name(EN)],0),13)</f>
        <v>0</v>
      </c>
      <c r="AD338" s="9" t="str">
        <f>IF(J338="Yes",AA338*Tab_Data_Flows[[#This Row],[WC_'[%']]],"N.A.")</f>
        <v>N.A.</v>
      </c>
      <c r="AE338" s="9" t="str">
        <f>Tab_Data_Flows[[#This Row],[UoM_Flow_Py]]</f>
        <v>Mg</v>
      </c>
      <c r="AF338" s="190">
        <f>INDEX(Tab_Def_Flows[[Flow_ID]:[CC_DM_source]],MATCH(Tab_Data_Flows[[#This Row],[Name(EN)]],Tab_Def_Flows[Name(EN)],0),15)</f>
        <v>0</v>
      </c>
      <c r="AG338" s="9" t="str">
        <f>IF(K338="Yes",AF338*Tab_Data_Flows[[#This Row],[Flow_Py]],"N.A.")</f>
        <v>N.A.</v>
      </c>
      <c r="AH338" s="9" t="str">
        <f>Tab_Data_Flows[[#This Row],[UoM_Flow_Py]]</f>
        <v>Mg</v>
      </c>
      <c r="AI338" s="190">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35</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276</v>
      </c>
      <c r="AC339" s="190">
        <f>INDEX(Tab_Def_Flows[[Flow_ID]:[CC_DM_source]],MATCH(Tab_Data_Flows[[#This Row],[Name(EN)]],Tab_Def_Flows[Name(EN)],0),13)</f>
        <v>0</v>
      </c>
      <c r="AD339" s="9" t="str">
        <f>IF(J339="Yes",AA339*Tab_Data_Flows[[#This Row],[WC_'[%']]],"N.A.")</f>
        <v>N.A.</v>
      </c>
      <c r="AE339" s="9" t="str">
        <f>Tab_Data_Flows[[#This Row],[UoM_Flow_Py]]</f>
        <v>Mg</v>
      </c>
      <c r="AF339" s="190">
        <f>INDEX(Tab_Def_Flows[[Flow_ID]:[CC_DM_source]],MATCH(Tab_Data_Flows[[#This Row],[Name(EN)]],Tab_Def_Flows[Name(EN)],0),15)</f>
        <v>0</v>
      </c>
      <c r="AG339" s="9" t="str">
        <f>IF(K339="Yes",AF339*Tab_Data_Flows[[#This Row],[Flow_Py]],"N.A.")</f>
        <v>N.A.</v>
      </c>
      <c r="AH339" s="9" t="str">
        <f>Tab_Data_Flows[[#This Row],[UoM_Flow_Py]]</f>
        <v>Mg</v>
      </c>
      <c r="AI339" s="190">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35</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276</v>
      </c>
      <c r="AC340" s="190">
        <f>INDEX(Tab_Def_Flows[[Flow_ID]:[CC_DM_source]],MATCH(Tab_Data_Flows[[#This Row],[Name(EN)]],Tab_Def_Flows[Name(EN)],0),13)</f>
        <v>0</v>
      </c>
      <c r="AD340" s="9" t="str">
        <f>IF(J340="Yes",AA340*Tab_Data_Flows[[#This Row],[WC_'[%']]],"N.A.")</f>
        <v>N.A.</v>
      </c>
      <c r="AE340" s="9" t="str">
        <f>Tab_Data_Flows[[#This Row],[UoM_Flow_Py]]</f>
        <v>Mg</v>
      </c>
      <c r="AF340" s="190">
        <f>INDEX(Tab_Def_Flows[[Flow_ID]:[CC_DM_source]],MATCH(Tab_Data_Flows[[#This Row],[Name(EN)]],Tab_Def_Flows[Name(EN)],0),15)</f>
        <v>0</v>
      </c>
      <c r="AG340" s="9" t="str">
        <f>IF(K340="Yes",AF340*Tab_Data_Flows[[#This Row],[Flow_Py]],"N.A.")</f>
        <v>N.A.</v>
      </c>
      <c r="AH340" s="9" t="str">
        <f>Tab_Data_Flows[[#This Row],[UoM_Flow_Py]]</f>
        <v>Mg</v>
      </c>
      <c r="AI340" s="190">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35</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276</v>
      </c>
      <c r="AC341" s="190">
        <f>INDEX(Tab_Def_Flows[[Flow_ID]:[CC_DM_source]],MATCH(Tab_Data_Flows[[#This Row],[Name(EN)]],Tab_Def_Flows[Name(EN)],0),13)</f>
        <v>0</v>
      </c>
      <c r="AD341" s="9" t="str">
        <f>IF(J341="Yes",AA341*Tab_Data_Flows[[#This Row],[WC_'[%']]],"N.A.")</f>
        <v>N.A.</v>
      </c>
      <c r="AE341" s="9" t="str">
        <f>Tab_Data_Flows[[#This Row],[UoM_Flow_Py]]</f>
        <v>Mg</v>
      </c>
      <c r="AF341" s="190">
        <f>INDEX(Tab_Def_Flows[[Flow_ID]:[CC_DM_source]],MATCH(Tab_Data_Flows[[#This Row],[Name(EN)]],Tab_Def_Flows[Name(EN)],0),15)</f>
        <v>0</v>
      </c>
      <c r="AG341" s="9" t="str">
        <f>IF(K341="Yes",AF341*Tab_Data_Flows[[#This Row],[Flow_Py]],"N.A.")</f>
        <v>N.A.</v>
      </c>
      <c r="AH341" s="9" t="str">
        <f>Tab_Data_Flows[[#This Row],[UoM_Flow_Py]]</f>
        <v>Mg</v>
      </c>
      <c r="AI341" s="190">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35</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276</v>
      </c>
      <c r="AC342" s="190">
        <f>INDEX(Tab_Def_Flows[[Flow_ID]:[CC_DM_source]],MATCH(Tab_Data_Flows[[#This Row],[Name(EN)]],Tab_Def_Flows[Name(EN)],0),13)</f>
        <v>0</v>
      </c>
      <c r="AD342" s="9" t="str">
        <f>IF(J342="Yes",AA342*Tab_Data_Flows[[#This Row],[WC_'[%']]],"N.A.")</f>
        <v>N.A.</v>
      </c>
      <c r="AE342" s="9" t="str">
        <f>Tab_Data_Flows[[#This Row],[UoM_Flow_Py]]</f>
        <v>Mg</v>
      </c>
      <c r="AF342" s="190">
        <f>INDEX(Tab_Def_Flows[[Flow_ID]:[CC_DM_source]],MATCH(Tab_Data_Flows[[#This Row],[Name(EN)]],Tab_Def_Flows[Name(EN)],0),15)</f>
        <v>0</v>
      </c>
      <c r="AG342" s="9" t="str">
        <f>IF(K342="Yes",AF342*Tab_Data_Flows[[#This Row],[Flow_Py]],"N.A.")</f>
        <v>N.A.</v>
      </c>
      <c r="AH342" s="9" t="str">
        <f>Tab_Data_Flows[[#This Row],[UoM_Flow_Py]]</f>
        <v>Mg</v>
      </c>
      <c r="AI342" s="190">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35</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276</v>
      </c>
      <c r="AC343" s="190">
        <f>INDEX(Tab_Def_Flows[[Flow_ID]:[CC_DM_source]],MATCH(Tab_Data_Flows[[#This Row],[Name(EN)]],Tab_Def_Flows[Name(EN)],0),13)</f>
        <v>0</v>
      </c>
      <c r="AD343" s="9" t="str">
        <f>IF(J343="Yes",AA343*Tab_Data_Flows[[#This Row],[WC_'[%']]],"N.A.")</f>
        <v>N.A.</v>
      </c>
      <c r="AE343" s="9" t="str">
        <f>Tab_Data_Flows[[#This Row],[UoM_Flow_Py]]</f>
        <v>Mg</v>
      </c>
      <c r="AF343" s="190">
        <f>INDEX(Tab_Def_Flows[[Flow_ID]:[CC_DM_source]],MATCH(Tab_Data_Flows[[#This Row],[Name(EN)]],Tab_Def_Flows[Name(EN)],0),15)</f>
        <v>0</v>
      </c>
      <c r="AG343" s="9" t="str">
        <f>IF(K343="Yes",AF343*Tab_Data_Flows[[#This Row],[Flow_Py]],"N.A.")</f>
        <v>N.A.</v>
      </c>
      <c r="AH343" s="9" t="str">
        <f>Tab_Data_Flows[[#This Row],[UoM_Flow_Py]]</f>
        <v>Mg</v>
      </c>
      <c r="AI343" s="190">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35</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276</v>
      </c>
      <c r="AC344" s="190">
        <f>INDEX(Tab_Def_Flows[[Flow_ID]:[CC_DM_source]],MATCH(Tab_Data_Flows[[#This Row],[Name(EN)]],Tab_Def_Flows[Name(EN)],0),13)</f>
        <v>0</v>
      </c>
      <c r="AD344" s="9" t="str">
        <f>IF(J344="Yes",AA344*Tab_Data_Flows[[#This Row],[WC_'[%']]],"N.A.")</f>
        <v>N.A.</v>
      </c>
      <c r="AE344" s="9" t="str">
        <f>Tab_Data_Flows[[#This Row],[UoM_Flow_Py]]</f>
        <v>Mg</v>
      </c>
      <c r="AF344" s="190">
        <f>INDEX(Tab_Def_Flows[[Flow_ID]:[CC_DM_source]],MATCH(Tab_Data_Flows[[#This Row],[Name(EN)]],Tab_Def_Flows[Name(EN)],0),15)</f>
        <v>0</v>
      </c>
      <c r="AG344" s="9" t="str">
        <f>IF(K344="Yes",AF344*Tab_Data_Flows[[#This Row],[Flow_Py]],"N.A.")</f>
        <v>N.A.</v>
      </c>
      <c r="AH344" s="9" t="str">
        <f>Tab_Data_Flows[[#This Row],[UoM_Flow_Py]]</f>
        <v>Mg</v>
      </c>
      <c r="AI344" s="190">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35</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276</v>
      </c>
      <c r="AC345" s="190">
        <f>INDEX(Tab_Def_Flows[[Flow_ID]:[CC_DM_source]],MATCH(Tab_Data_Flows[[#This Row],[Name(EN)]],Tab_Def_Flows[Name(EN)],0),13)</f>
        <v>0</v>
      </c>
      <c r="AD345" s="9" t="str">
        <f>IF(J345="Yes",AA345*Tab_Data_Flows[[#This Row],[WC_'[%']]],"N.A.")</f>
        <v>N.A.</v>
      </c>
      <c r="AE345" s="9" t="str">
        <f>Tab_Data_Flows[[#This Row],[UoM_Flow_Py]]</f>
        <v>Mg</v>
      </c>
      <c r="AF345" s="190">
        <f>INDEX(Tab_Def_Flows[[Flow_ID]:[CC_DM_source]],MATCH(Tab_Data_Flows[[#This Row],[Name(EN)]],Tab_Def_Flows[Name(EN)],0),15)</f>
        <v>0</v>
      </c>
      <c r="AG345" s="9" t="str">
        <f>IF(K345="Yes",AF345*Tab_Data_Flows[[#This Row],[Flow_Py]],"N.A.")</f>
        <v>N.A.</v>
      </c>
      <c r="AH345" s="9" t="str">
        <f>Tab_Data_Flows[[#This Row],[UoM_Flow_Py]]</f>
        <v>Mg</v>
      </c>
      <c r="AI345" s="190">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35</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276</v>
      </c>
      <c r="AC346" s="190">
        <f>INDEX(Tab_Def_Flows[[Flow_ID]:[CC_DM_source]],MATCH(Tab_Data_Flows[[#This Row],[Name(EN)]],Tab_Def_Flows[Name(EN)],0),13)</f>
        <v>0</v>
      </c>
      <c r="AD346" s="9" t="str">
        <f>IF(J346="Yes",AA346*Tab_Data_Flows[[#This Row],[WC_'[%']]],"N.A.")</f>
        <v>N.A.</v>
      </c>
      <c r="AE346" s="9" t="str">
        <f>Tab_Data_Flows[[#This Row],[UoM_Flow_Py]]</f>
        <v>Mg</v>
      </c>
      <c r="AF346" s="190">
        <f>INDEX(Tab_Def_Flows[[Flow_ID]:[CC_DM_source]],MATCH(Tab_Data_Flows[[#This Row],[Name(EN)]],Tab_Def_Flows[Name(EN)],0),15)</f>
        <v>0</v>
      </c>
      <c r="AG346" s="9" t="str">
        <f>IF(K346="Yes",AF346*Tab_Data_Flows[[#This Row],[Flow_Py]],"N.A.")</f>
        <v>N.A.</v>
      </c>
      <c r="AH346" s="9" t="str">
        <f>Tab_Data_Flows[[#This Row],[UoM_Flow_Py]]</f>
        <v>Mg</v>
      </c>
      <c r="AI346" s="190">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35</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276</v>
      </c>
      <c r="AC347" s="190">
        <f>INDEX(Tab_Def_Flows[[Flow_ID]:[CC_DM_source]],MATCH(Tab_Data_Flows[[#This Row],[Name(EN)]],Tab_Def_Flows[Name(EN)],0),13)</f>
        <v>0</v>
      </c>
      <c r="AD347" s="9" t="str">
        <f>IF(J347="Yes",AA347*Tab_Data_Flows[[#This Row],[WC_'[%']]],"N.A.")</f>
        <v>N.A.</v>
      </c>
      <c r="AE347" s="9" t="str">
        <f>Tab_Data_Flows[[#This Row],[UoM_Flow_Py]]</f>
        <v>Mg</v>
      </c>
      <c r="AF347" s="190">
        <f>INDEX(Tab_Def_Flows[[Flow_ID]:[CC_DM_source]],MATCH(Tab_Data_Flows[[#This Row],[Name(EN)]],Tab_Def_Flows[Name(EN)],0),15)</f>
        <v>0</v>
      </c>
      <c r="AG347" s="9" t="str">
        <f>IF(K347="Yes",AF347*Tab_Data_Flows[[#This Row],[Flow_Py]],"N.A.")</f>
        <v>N.A.</v>
      </c>
      <c r="AH347" s="9" t="str">
        <f>Tab_Data_Flows[[#This Row],[UoM_Flow_Py]]</f>
        <v>Mg</v>
      </c>
      <c r="AI347" s="190">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35</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276</v>
      </c>
      <c r="AC348" s="190">
        <f>INDEX(Tab_Def_Flows[[Flow_ID]:[CC_DM_source]],MATCH(Tab_Data_Flows[[#This Row],[Name(EN)]],Tab_Def_Flows[Name(EN)],0),13)</f>
        <v>0</v>
      </c>
      <c r="AD348" s="9" t="str">
        <f>IF(J348="Yes",AA348*Tab_Data_Flows[[#This Row],[WC_'[%']]],"N.A.")</f>
        <v>N.A.</v>
      </c>
      <c r="AE348" s="9" t="str">
        <f>Tab_Data_Flows[[#This Row],[UoM_Flow_Py]]</f>
        <v>Mg</v>
      </c>
      <c r="AF348" s="190">
        <f>INDEX(Tab_Def_Flows[[Flow_ID]:[CC_DM_source]],MATCH(Tab_Data_Flows[[#This Row],[Name(EN)]],Tab_Def_Flows[Name(EN)],0),15)</f>
        <v>0</v>
      </c>
      <c r="AG348" s="9" t="str">
        <f>IF(K348="Yes",AF348*Tab_Data_Flows[[#This Row],[Flow_Py]],"N.A.")</f>
        <v>N.A.</v>
      </c>
      <c r="AH348" s="9" t="str">
        <f>Tab_Data_Flows[[#This Row],[UoM_Flow_Py]]</f>
        <v>Mg</v>
      </c>
      <c r="AI348" s="190">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35</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276</v>
      </c>
      <c r="AC349" s="190">
        <f>INDEX(Tab_Def_Flows[[Flow_ID]:[CC_DM_source]],MATCH(Tab_Data_Flows[[#This Row],[Name(EN)]],Tab_Def_Flows[Name(EN)],0),13)</f>
        <v>0</v>
      </c>
      <c r="AD349" s="9" t="str">
        <f>IF(J349="Yes",AA349*Tab_Data_Flows[[#This Row],[WC_'[%']]],"N.A.")</f>
        <v>N.A.</v>
      </c>
      <c r="AE349" s="9" t="str">
        <f>Tab_Data_Flows[[#This Row],[UoM_Flow_Py]]</f>
        <v>Mg</v>
      </c>
      <c r="AF349" s="190">
        <f>INDEX(Tab_Def_Flows[[Flow_ID]:[CC_DM_source]],MATCH(Tab_Data_Flows[[#This Row],[Name(EN)]],Tab_Def_Flows[Name(EN)],0),15)</f>
        <v>0</v>
      </c>
      <c r="AG349" s="9" t="str">
        <f>IF(K349="Yes",AF349*Tab_Data_Flows[[#This Row],[Flow_Py]],"N.A.")</f>
        <v>N.A.</v>
      </c>
      <c r="AH349" s="9" t="str">
        <f>Tab_Data_Flows[[#This Row],[UoM_Flow_Py]]</f>
        <v>Mg</v>
      </c>
      <c r="AI349" s="190">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35</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276</v>
      </c>
      <c r="AC350" s="190">
        <f>INDEX(Tab_Def_Flows[[Flow_ID]:[CC_DM_source]],MATCH(Tab_Data_Flows[[#This Row],[Name(EN)]],Tab_Def_Flows[Name(EN)],0),13)</f>
        <v>0</v>
      </c>
      <c r="AD350" s="9" t="str">
        <f>IF(J350="Yes",AA350*Tab_Data_Flows[[#This Row],[WC_'[%']]],"N.A.")</f>
        <v>N.A.</v>
      </c>
      <c r="AE350" s="9" t="str">
        <f>Tab_Data_Flows[[#This Row],[UoM_Flow_Py]]</f>
        <v>Mg</v>
      </c>
      <c r="AF350" s="190">
        <f>INDEX(Tab_Def_Flows[[Flow_ID]:[CC_DM_source]],MATCH(Tab_Data_Flows[[#This Row],[Name(EN)]],Tab_Def_Flows[Name(EN)],0),15)</f>
        <v>0</v>
      </c>
      <c r="AG350" s="9" t="str">
        <f>IF(K350="Yes",AF350*Tab_Data_Flows[[#This Row],[Flow_Py]],"N.A.")</f>
        <v>N.A.</v>
      </c>
      <c r="AH350" s="9" t="str">
        <f>Tab_Data_Flows[[#This Row],[UoM_Flow_Py]]</f>
        <v>Mg</v>
      </c>
      <c r="AI350" s="190">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'1_1_Definition_Flows'!$D$2:$D$79</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4"/>
  <sheetViews>
    <sheetView zoomScale="145" zoomScaleNormal="145" workbookViewId="0">
      <pane xSplit="4" topLeftCell="I1" activePane="topRight" state="frozen"/>
      <selection pane="topRight" activeCell="D18" sqref="D18"/>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hidden="1" customWidth="1"/>
    <col min="28" max="28" width="15.5703125" hidden="1" customWidth="1"/>
    <col min="29" max="29" width="26.5703125" hidden="1" customWidth="1"/>
    <col min="30" max="30" width="15.5703125" hidden="1" customWidth="1"/>
    <col min="31" max="31" width="31.42578125" hidden="1" customWidth="1"/>
    <col min="32" max="32" width="0" hidden="1" customWidth="1"/>
    <col min="33" max="33" width="18" hidden="1" customWidth="1"/>
    <col min="34" max="34" width="0" hidden="1" customWidth="1"/>
    <col min="35" max="35" width="17.140625" hidden="1" customWidth="1"/>
    <col min="36" max="36" width="14" hidden="1" customWidth="1"/>
    <col min="37" max="37" width="17" hidden="1" customWidth="1"/>
    <col min="38" max="38" width="0" hidden="1" customWidth="1"/>
  </cols>
  <sheetData>
    <row r="1" spans="1:38" ht="15.75" thickBot="1" x14ac:dyDescent="0.3">
      <c r="A1" s="193" t="s">
        <v>88</v>
      </c>
      <c r="B1" s="193" t="s">
        <v>32</v>
      </c>
      <c r="C1" s="193" t="s">
        <v>62</v>
      </c>
      <c r="D1" s="193" t="s">
        <v>90</v>
      </c>
      <c r="E1" s="193" t="s">
        <v>37</v>
      </c>
      <c r="F1" s="193" t="s">
        <v>63</v>
      </c>
      <c r="G1" s="193" t="s">
        <v>64</v>
      </c>
      <c r="H1" s="193" t="s">
        <v>6</v>
      </c>
      <c r="I1" s="193" t="s">
        <v>121</v>
      </c>
      <c r="J1" s="193" t="s">
        <v>65</v>
      </c>
      <c r="K1" s="193" t="s">
        <v>277</v>
      </c>
      <c r="L1" s="193" t="s">
        <v>92</v>
      </c>
      <c r="M1" s="193" t="s">
        <v>300</v>
      </c>
      <c r="N1" s="193" t="s">
        <v>305</v>
      </c>
      <c r="O1" s="193" t="s">
        <v>306</v>
      </c>
      <c r="P1" s="193" t="s">
        <v>333</v>
      </c>
      <c r="Q1" s="193" t="s">
        <v>66</v>
      </c>
      <c r="R1" s="193" t="s">
        <v>67</v>
      </c>
      <c r="S1" s="193" t="s">
        <v>68</v>
      </c>
      <c r="T1" s="193" t="s">
        <v>72</v>
      </c>
      <c r="U1" s="193" t="s">
        <v>69</v>
      </c>
      <c r="V1" s="193" t="s">
        <v>73</v>
      </c>
      <c r="W1" s="193" t="s">
        <v>70</v>
      </c>
      <c r="X1" s="193" t="s">
        <v>74</v>
      </c>
      <c r="Y1" s="193" t="s">
        <v>71</v>
      </c>
      <c r="Z1" s="193" t="s">
        <v>75</v>
      </c>
      <c r="AA1" s="193" t="s">
        <v>76</v>
      </c>
      <c r="AB1" s="193" t="s">
        <v>82</v>
      </c>
      <c r="AC1" s="193" t="s">
        <v>77</v>
      </c>
      <c r="AD1" s="193" t="s">
        <v>83</v>
      </c>
      <c r="AE1" s="193" t="s">
        <v>78</v>
      </c>
      <c r="AF1" s="193" t="s">
        <v>84</v>
      </c>
      <c r="AG1" s="193" t="s">
        <v>79</v>
      </c>
      <c r="AH1" s="193" t="s">
        <v>85</v>
      </c>
      <c r="AI1" s="193" t="s">
        <v>80</v>
      </c>
      <c r="AJ1" s="193" t="s">
        <v>86</v>
      </c>
      <c r="AK1" s="193" t="s">
        <v>81</v>
      </c>
      <c r="AL1" s="193" t="s">
        <v>87</v>
      </c>
    </row>
    <row r="2" spans="1:38" x14ac:dyDescent="0.25">
      <c r="A2" s="194" t="b">
        <v>1</v>
      </c>
      <c r="B2" s="43" t="s">
        <v>144</v>
      </c>
      <c r="C2" s="9" t="str">
        <f>LEFT(B2,2)</f>
        <v>00</v>
      </c>
      <c r="D2" s="11" t="s">
        <v>446</v>
      </c>
      <c r="E2" s="11"/>
      <c r="F2" s="11"/>
      <c r="G2" s="11"/>
      <c r="H2" s="37"/>
      <c r="I2" s="189" t="s">
        <v>122</v>
      </c>
      <c r="J2" s="189" t="s">
        <v>8</v>
      </c>
      <c r="K2" s="189" t="s">
        <v>8</v>
      </c>
      <c r="L2" s="189" t="s">
        <v>7</v>
      </c>
      <c r="M2" s="189" t="s">
        <v>8</v>
      </c>
      <c r="N2" s="189" t="s">
        <v>8</v>
      </c>
      <c r="O2" s="189" t="s">
        <v>8</v>
      </c>
      <c r="P2" s="184">
        <v>1</v>
      </c>
      <c r="Q2" s="11" t="s">
        <v>299</v>
      </c>
      <c r="R2" s="10" t="e">
        <f>_xlfn.XLOOKUP(Q2,Tab_Def_Flows[Name(EN)],Tab_Def_Flows[Flow_ID],,0,)</f>
        <v>#N/A</v>
      </c>
      <c r="S2" s="11" t="s">
        <v>35</v>
      </c>
      <c r="T2" s="10" t="str">
        <f>_xlfn.XLOOKUP(S2,Tab_Def_Flows[Name(EN)],Tab_Def_Flows[Flow_ID],,0,)</f>
        <v>N.A.</v>
      </c>
      <c r="U2" s="11" t="s">
        <v>35</v>
      </c>
      <c r="V2" s="10" t="str">
        <f>_xlfn.XLOOKUP(U2,Tab_Def_Flows[Name(EN)],Tab_Def_Flows[Flow_ID],,0,)</f>
        <v>N.A.</v>
      </c>
      <c r="W2" s="11" t="s">
        <v>35</v>
      </c>
      <c r="X2" s="10" t="str">
        <f>_xlfn.XLOOKUP(W2,Tab_Def_Flows[Name(EN)],Tab_Def_Flows[Flow_ID],,0,)</f>
        <v>N.A.</v>
      </c>
      <c r="Y2" s="11" t="s">
        <v>35</v>
      </c>
      <c r="Z2" s="15" t="str">
        <f>_xlfn.XLOOKUP(Y2,Tab_Def_Flows[Name(EN)],Tab_Def_Flows[Flow_ID],,0,)</f>
        <v>N.A.</v>
      </c>
      <c r="AA2" s="189" t="s">
        <v>278</v>
      </c>
      <c r="AB2" s="12" t="str">
        <f>_xlfn.XLOOKUP(AA2,Tab_Def_Flows[Name(EN)],Tab_Def_Flows[Flow_ID],,0,)</f>
        <v>F_00_02</v>
      </c>
      <c r="AC2" s="189" t="s">
        <v>35</v>
      </c>
      <c r="AD2" s="12" t="str">
        <f>_xlfn.XLOOKUP(AC2,Tab_Def_Flows[Name(EN)],Tab_Def_Flows[Flow_ID],,0,)</f>
        <v>N.A.</v>
      </c>
      <c r="AE2" s="189" t="s">
        <v>35</v>
      </c>
      <c r="AF2" s="12" t="str">
        <f>_xlfn.XLOOKUP(AE2,Tab_Def_Flows[Name(EN)],Tab_Def_Flows[Flow_ID],,0,)</f>
        <v>N.A.</v>
      </c>
      <c r="AG2" s="189" t="s">
        <v>35</v>
      </c>
      <c r="AH2" s="12" t="str">
        <f>_xlfn.XLOOKUP(AG2,Tab_Def_Flows[Name(EN)],Tab_Def_Flows[Flow_ID],,0,)</f>
        <v>N.A.</v>
      </c>
      <c r="AI2" s="189" t="s">
        <v>35</v>
      </c>
      <c r="AJ2" s="12" t="str">
        <f>_xlfn.XLOOKUP(AI2,Tab_Def_Flows[Name(EN)],Tab_Def_Flows[Flow_ID],,0,)</f>
        <v>N.A.</v>
      </c>
      <c r="AK2" s="189" t="s">
        <v>35</v>
      </c>
      <c r="AL2" s="13" t="str">
        <f>_xlfn.XLOOKUP(AK2,Tab_Def_Flows[Name(EN)],Tab_Def_Flows[Flow_ID],,0,)</f>
        <v>N.A.</v>
      </c>
    </row>
    <row r="3" spans="1:38" x14ac:dyDescent="0.25">
      <c r="A3" s="194" t="b">
        <v>1</v>
      </c>
      <c r="B3" s="43" t="s">
        <v>132</v>
      </c>
      <c r="C3" s="9" t="str">
        <f t="shared" ref="C3:C54" si="0">LEFT(B3,2)</f>
        <v>01</v>
      </c>
      <c r="D3" s="11" t="s">
        <v>447</v>
      </c>
      <c r="E3" s="11"/>
      <c r="F3" s="11"/>
      <c r="G3" s="11"/>
      <c r="H3" s="37"/>
      <c r="I3" s="189" t="s">
        <v>122</v>
      </c>
      <c r="J3" s="189" t="s">
        <v>8</v>
      </c>
      <c r="K3" s="189" t="s">
        <v>8</v>
      </c>
      <c r="L3" s="189" t="s">
        <v>7</v>
      </c>
      <c r="M3" s="189" t="s">
        <v>8</v>
      </c>
      <c r="N3" s="189" t="s">
        <v>8</v>
      </c>
      <c r="O3" s="189" t="s">
        <v>8</v>
      </c>
      <c r="P3" s="184">
        <v>1</v>
      </c>
      <c r="Q3" s="11" t="s">
        <v>35</v>
      </c>
      <c r="R3" s="9" t="str">
        <f>_xlfn.XLOOKUP(Q3,Tab_Def_Flows[Name(EN)],Tab_Def_Flows[Flow_ID],,0,)</f>
        <v>N.A.</v>
      </c>
      <c r="S3" s="11" t="s">
        <v>35</v>
      </c>
      <c r="T3" s="9" t="str">
        <f>_xlfn.XLOOKUP(S3,Tab_Def_Flows[Name(EN)],Tab_Def_Flows[Flow_ID],,0,)</f>
        <v>N.A.</v>
      </c>
      <c r="U3" s="11" t="s">
        <v>35</v>
      </c>
      <c r="V3" s="9" t="str">
        <f>_xlfn.XLOOKUP(U3,Tab_Def_Flows[Name(EN)],Tab_Def_Flows[Flow_ID],,0,)</f>
        <v>N.A.</v>
      </c>
      <c r="W3" s="11" t="s">
        <v>35</v>
      </c>
      <c r="X3" s="9" t="str">
        <f>_xlfn.XLOOKUP(W3,Tab_Def_Flows[Name(EN)],Tab_Def_Flows[Flow_ID],,0,)</f>
        <v>N.A.</v>
      </c>
      <c r="Y3" s="11" t="s">
        <v>35</v>
      </c>
      <c r="Z3" s="13" t="str">
        <f>_xlfn.XLOOKUP(Y3,Tab_Def_Flows[Name(EN)],Tab_Def_Flows[Flow_ID],,0,)</f>
        <v>N.A.</v>
      </c>
      <c r="AA3" s="189" t="s">
        <v>279</v>
      </c>
      <c r="AB3" s="9" t="str">
        <f>_xlfn.XLOOKUP(AA3,Tab_Def_Flows[Name(EN)],Tab_Def_Flows[Flow_ID],,0,)</f>
        <v>F_01_02</v>
      </c>
      <c r="AC3" s="189" t="s">
        <v>35</v>
      </c>
      <c r="AD3" s="9" t="str">
        <f>_xlfn.XLOOKUP(AC3,Tab_Def_Flows[Name(EN)],Tab_Def_Flows[Flow_ID],,0,)</f>
        <v>N.A.</v>
      </c>
      <c r="AE3" s="189" t="s">
        <v>35</v>
      </c>
      <c r="AF3" s="9" t="str">
        <f>_xlfn.XLOOKUP(AE3,Tab_Def_Flows[Name(EN)],Tab_Def_Flows[Flow_ID],,0,)</f>
        <v>N.A.</v>
      </c>
      <c r="AG3" s="189" t="s">
        <v>35</v>
      </c>
      <c r="AH3" s="9" t="str">
        <f>_xlfn.XLOOKUP(AG3,Tab_Def_Flows[Name(EN)],Tab_Def_Flows[Flow_ID],,0,)</f>
        <v>N.A.</v>
      </c>
      <c r="AI3" s="189" t="s">
        <v>35</v>
      </c>
      <c r="AJ3" s="9" t="str">
        <f>_xlfn.XLOOKUP(AI3,Tab_Def_Flows[Name(EN)],Tab_Def_Flows[Flow_ID],,0,)</f>
        <v>N.A.</v>
      </c>
      <c r="AK3" s="189" t="s">
        <v>35</v>
      </c>
      <c r="AL3" s="13" t="str">
        <f>_xlfn.XLOOKUP(AK3,Tab_Def_Flows[Name(EN)],Tab_Def_Flows[Flow_ID],,0,)</f>
        <v>N.A.</v>
      </c>
    </row>
    <row r="4" spans="1:38" x14ac:dyDescent="0.25">
      <c r="A4" s="194" t="b">
        <v>1</v>
      </c>
      <c r="B4" s="43" t="s">
        <v>133</v>
      </c>
      <c r="C4" s="9" t="str">
        <f t="shared" si="0"/>
        <v>02</v>
      </c>
      <c r="D4" s="11" t="s">
        <v>191</v>
      </c>
      <c r="E4" s="11"/>
      <c r="F4" s="11"/>
      <c r="G4" s="11"/>
      <c r="H4" s="37"/>
      <c r="I4" s="189" t="s">
        <v>122</v>
      </c>
      <c r="J4" s="189" t="s">
        <v>8</v>
      </c>
      <c r="K4" s="189" t="s">
        <v>8</v>
      </c>
      <c r="L4" s="189" t="s">
        <v>8</v>
      </c>
      <c r="M4" s="189" t="s">
        <v>8</v>
      </c>
      <c r="N4" s="189" t="s">
        <v>8</v>
      </c>
      <c r="O4" s="189" t="s">
        <v>8</v>
      </c>
      <c r="P4" s="184">
        <v>1</v>
      </c>
      <c r="Q4" s="11" t="s">
        <v>35</v>
      </c>
      <c r="R4" s="9" t="str">
        <f>_xlfn.XLOOKUP(Q4,Tab_Def_Flows[Name(EN)],Tab_Def_Flows[Flow_ID],,0,)</f>
        <v>N.A.</v>
      </c>
      <c r="S4" s="11" t="s">
        <v>35</v>
      </c>
      <c r="T4" s="9" t="str">
        <f>_xlfn.XLOOKUP(S4,Tab_Def_Flows[Name(EN)],Tab_Def_Flows[Flow_ID],,0,)</f>
        <v>N.A.</v>
      </c>
      <c r="U4" s="11" t="s">
        <v>35</v>
      </c>
      <c r="V4" s="9" t="str">
        <f>_xlfn.XLOOKUP(U4,Tab_Def_Flows[Name(EN)],Tab_Def_Flows[Flow_ID],,0,)</f>
        <v>N.A.</v>
      </c>
      <c r="W4" s="11" t="s">
        <v>35</v>
      </c>
      <c r="X4" s="9" t="str">
        <f>_xlfn.XLOOKUP(W4,Tab_Def_Flows[Name(EN)],Tab_Def_Flows[Flow_ID],,0,)</f>
        <v>N.A.</v>
      </c>
      <c r="Y4" s="11" t="s">
        <v>35</v>
      </c>
      <c r="Z4" s="13" t="str">
        <f>_xlfn.XLOOKUP(Y4,Tab_Def_Flows[Name(EN)],Tab_Def_Flows[Flow_ID],,0,)</f>
        <v>N.A.</v>
      </c>
      <c r="AA4" s="189" t="s">
        <v>271</v>
      </c>
      <c r="AB4" s="9" t="str">
        <f>_xlfn.XLOOKUP(AA4,Tab_Def_Flows[Name(EN)],Tab_Def_Flows[Flow_ID],,0,)</f>
        <v>F_02_03</v>
      </c>
      <c r="AC4" s="189" t="s">
        <v>35</v>
      </c>
      <c r="AD4" s="9" t="str">
        <f>_xlfn.XLOOKUP(AC4,Tab_Def_Flows[Name(EN)],Tab_Def_Flows[Flow_ID],,0,)</f>
        <v>N.A.</v>
      </c>
      <c r="AE4" s="189" t="s">
        <v>35</v>
      </c>
      <c r="AF4" s="9" t="str">
        <f>_xlfn.XLOOKUP(AE4,Tab_Def_Flows[Name(EN)],Tab_Def_Flows[Flow_ID],,0,)</f>
        <v>N.A.</v>
      </c>
      <c r="AG4" s="189" t="s">
        <v>35</v>
      </c>
      <c r="AH4" s="9" t="str">
        <f>_xlfn.XLOOKUP(AG4,Tab_Def_Flows[Name(EN)],Tab_Def_Flows[Flow_ID],,0,)</f>
        <v>N.A.</v>
      </c>
      <c r="AI4" s="189" t="s">
        <v>35</v>
      </c>
      <c r="AJ4" s="9" t="str">
        <f>_xlfn.XLOOKUP(AI4,Tab_Def_Flows[Name(EN)],Tab_Def_Flows[Flow_ID],,0,)</f>
        <v>N.A.</v>
      </c>
      <c r="AK4" s="189" t="s">
        <v>35</v>
      </c>
      <c r="AL4" s="13" t="str">
        <f>_xlfn.XLOOKUP(AK4,Tab_Def_Flows[Name(EN)],Tab_Def_Flows[Flow_ID],,0,)</f>
        <v>N.A.</v>
      </c>
    </row>
    <row r="5" spans="1:38" x14ac:dyDescent="0.25">
      <c r="A5" s="194" t="b">
        <v>1</v>
      </c>
      <c r="B5" s="43" t="s">
        <v>134</v>
      </c>
      <c r="C5" s="9" t="str">
        <f t="shared" si="0"/>
        <v>03</v>
      </c>
      <c r="D5" s="11" t="s">
        <v>298</v>
      </c>
      <c r="E5" s="11"/>
      <c r="F5" s="11"/>
      <c r="G5" s="11"/>
      <c r="H5" s="37"/>
      <c r="I5" s="189" t="s">
        <v>122</v>
      </c>
      <c r="J5" s="189" t="s">
        <v>7</v>
      </c>
      <c r="K5" s="189" t="s">
        <v>8</v>
      </c>
      <c r="L5" s="189" t="s">
        <v>8</v>
      </c>
      <c r="M5" s="189" t="s">
        <v>8</v>
      </c>
      <c r="N5" s="189" t="s">
        <v>8</v>
      </c>
      <c r="O5" s="189" t="s">
        <v>8</v>
      </c>
      <c r="P5" s="184">
        <v>2</v>
      </c>
      <c r="Q5" s="11" t="s">
        <v>35</v>
      </c>
      <c r="R5" s="12" t="str">
        <f>_xlfn.XLOOKUP(Q5,Tab_Def_Flows[Name(EN)],Tab_Def_Flows[Flow_ID],,0,)</f>
        <v>N.A.</v>
      </c>
      <c r="S5" s="11" t="s">
        <v>35</v>
      </c>
      <c r="T5" s="12" t="str">
        <f>_xlfn.XLOOKUP(S5,Tab_Def_Flows[Name(EN)],Tab_Def_Flows[Flow_ID],,0,)</f>
        <v>N.A.</v>
      </c>
      <c r="U5" s="11" t="s">
        <v>35</v>
      </c>
      <c r="V5" s="12" t="str">
        <f>_xlfn.XLOOKUP(U5,Tab_Def_Flows[Name(EN)],Tab_Def_Flows[Flow_ID],,0,)</f>
        <v>N.A.</v>
      </c>
      <c r="W5" s="11" t="s">
        <v>35</v>
      </c>
      <c r="X5" s="12" t="str">
        <f>_xlfn.XLOOKUP(W5,Tab_Def_Flows[Name(EN)],Tab_Def_Flows[Flow_ID],,0,)</f>
        <v>N.A.</v>
      </c>
      <c r="Y5" s="11" t="s">
        <v>35</v>
      </c>
      <c r="Z5" s="13" t="str">
        <f>_xlfn.XLOOKUP(Y5,Tab_Def_Flows[Name(EN)],Tab_Def_Flows[Flow_ID],,0,)</f>
        <v>N.A.</v>
      </c>
      <c r="AA5" s="189" t="s">
        <v>272</v>
      </c>
      <c r="AB5" s="12" t="str">
        <f>_xlfn.XLOOKUP(AA5,Tab_Def_Flows[Name(EN)],Tab_Def_Flows[Flow_ID],,0,)</f>
        <v>F_03_04</v>
      </c>
      <c r="AC5" s="189" t="s">
        <v>273</v>
      </c>
      <c r="AD5" s="12" t="str">
        <f>_xlfn.XLOOKUP(AC5,Tab_Def_Flows[Name(EN)],Tab_Def_Flows[Flow_ID],,0,)</f>
        <v>F_03_05</v>
      </c>
      <c r="AE5" s="189" t="s">
        <v>35</v>
      </c>
      <c r="AF5" s="12" t="str">
        <f>_xlfn.XLOOKUP(AE5,Tab_Def_Flows[Name(EN)],Tab_Def_Flows[Flow_ID],,0,)</f>
        <v>N.A.</v>
      </c>
      <c r="AG5" s="189" t="s">
        <v>35</v>
      </c>
      <c r="AH5" s="12" t="str">
        <f>_xlfn.XLOOKUP(AG5,Tab_Def_Flows[Name(EN)],Tab_Def_Flows[Flow_ID],,0,)</f>
        <v>N.A.</v>
      </c>
      <c r="AI5" s="189" t="s">
        <v>35</v>
      </c>
      <c r="AJ5" s="12" t="str">
        <f>_xlfn.XLOOKUP(AI5,Tab_Def_Flows[Name(EN)],Tab_Def_Flows[Flow_ID],,0,)</f>
        <v>N.A.</v>
      </c>
      <c r="AK5" s="189" t="s">
        <v>35</v>
      </c>
      <c r="AL5" s="13" t="str">
        <f>_xlfn.XLOOKUP(AK5,Tab_Def_Flows[Name(EN)],Tab_Def_Flows[Flow_ID],,0,)</f>
        <v>N.A.</v>
      </c>
    </row>
    <row r="6" spans="1:38" x14ac:dyDescent="0.25">
      <c r="A6" s="194" t="b">
        <v>1</v>
      </c>
      <c r="B6" s="43" t="s">
        <v>135</v>
      </c>
      <c r="C6" s="9" t="str">
        <f t="shared" si="0"/>
        <v>04</v>
      </c>
      <c r="D6" s="11" t="s">
        <v>375</v>
      </c>
      <c r="E6" s="11"/>
      <c r="F6" s="11"/>
      <c r="G6" s="11"/>
      <c r="H6" s="37"/>
      <c r="I6" s="189" t="s">
        <v>122</v>
      </c>
      <c r="J6" s="189" t="s">
        <v>7</v>
      </c>
      <c r="K6" s="189" t="s">
        <v>8</v>
      </c>
      <c r="L6" s="189" t="s">
        <v>8</v>
      </c>
      <c r="M6" s="189" t="s">
        <v>8</v>
      </c>
      <c r="N6" s="189" t="s">
        <v>8</v>
      </c>
      <c r="O6" s="189" t="s">
        <v>8</v>
      </c>
      <c r="P6" s="184">
        <v>2</v>
      </c>
      <c r="Q6" s="11" t="s">
        <v>35</v>
      </c>
      <c r="R6" s="12" t="str">
        <f>_xlfn.XLOOKUP(Q6,Tab_Def_Flows[Name(EN)],Tab_Def_Flows[Flow_ID],,0,)</f>
        <v>N.A.</v>
      </c>
      <c r="S6" s="11" t="s">
        <v>35</v>
      </c>
      <c r="T6" s="12" t="str">
        <f>_xlfn.XLOOKUP(S6,Tab_Def_Flows[Name(EN)],Tab_Def_Flows[Flow_ID],,0,)</f>
        <v>N.A.</v>
      </c>
      <c r="U6" s="11" t="s">
        <v>35</v>
      </c>
      <c r="V6" s="12" t="str">
        <f>_xlfn.XLOOKUP(U6,Tab_Def_Flows[Name(EN)],Tab_Def_Flows[Flow_ID],,0,)</f>
        <v>N.A.</v>
      </c>
      <c r="W6" s="11" t="s">
        <v>35</v>
      </c>
      <c r="X6" s="12" t="str">
        <f>_xlfn.XLOOKUP(W6,Tab_Def_Flows[Name(EN)],Tab_Def_Flows[Flow_ID],,0,)</f>
        <v>N.A.</v>
      </c>
      <c r="Y6" s="11" t="s">
        <v>35</v>
      </c>
      <c r="Z6" s="13" t="str">
        <f>_xlfn.XLOOKUP(Y6,Tab_Def_Flows[Name(EN)],Tab_Def_Flows[Flow_ID],,0,)</f>
        <v>N.A.</v>
      </c>
      <c r="AA6" s="189" t="s">
        <v>274</v>
      </c>
      <c r="AB6" s="12" t="str">
        <f>_xlfn.XLOOKUP(AA6,Tab_Def_Flows[Name(EN)],Tab_Def_Flows[Flow_ID],,0,)</f>
        <v>F_04_00</v>
      </c>
      <c r="AC6" s="189" t="s">
        <v>275</v>
      </c>
      <c r="AD6" s="12" t="str">
        <f>_xlfn.XLOOKUP(AC6,Tab_Def_Flows[Name(EN)],Tab_Def_Flows[Flow_ID],,0,)</f>
        <v>F_04_01</v>
      </c>
      <c r="AE6" s="189" t="s">
        <v>35</v>
      </c>
      <c r="AF6" s="12" t="str">
        <f>_xlfn.XLOOKUP(AE6,Tab_Def_Flows[Name(EN)],Tab_Def_Flows[Flow_ID],,0,)</f>
        <v>N.A.</v>
      </c>
      <c r="AG6" s="189" t="s">
        <v>35</v>
      </c>
      <c r="AH6" s="12" t="str">
        <f>_xlfn.XLOOKUP(AG6,Tab_Def_Flows[Name(EN)],Tab_Def_Flows[Flow_ID],,0,)</f>
        <v>N.A.</v>
      </c>
      <c r="AI6" s="189" t="s">
        <v>35</v>
      </c>
      <c r="AJ6" s="12" t="str">
        <f>_xlfn.XLOOKUP(AI6,Tab_Def_Flows[Name(EN)],Tab_Def_Flows[Flow_ID],,0,)</f>
        <v>N.A.</v>
      </c>
      <c r="AK6" s="189" t="s">
        <v>35</v>
      </c>
      <c r="AL6" s="13" t="str">
        <f>_xlfn.XLOOKUP(AK6,Tab_Def_Flows[Name(EN)],Tab_Def_Flows[Flow_ID],,0,)</f>
        <v>N.A.</v>
      </c>
    </row>
    <row r="7" spans="1:38" x14ac:dyDescent="0.25">
      <c r="A7" s="194" t="b">
        <v>1</v>
      </c>
      <c r="B7" s="43" t="s">
        <v>136</v>
      </c>
      <c r="C7" s="9" t="str">
        <f t="shared" si="0"/>
        <v>05</v>
      </c>
      <c r="D7" s="11" t="s">
        <v>482</v>
      </c>
      <c r="E7" s="11"/>
      <c r="F7" s="11"/>
      <c r="G7" s="11"/>
      <c r="H7" s="37"/>
      <c r="I7" s="189" t="s">
        <v>122</v>
      </c>
      <c r="J7" s="189" t="s">
        <v>7</v>
      </c>
      <c r="K7" s="189" t="s">
        <v>7</v>
      </c>
      <c r="L7" s="189" t="s">
        <v>8</v>
      </c>
      <c r="M7" s="189" t="s">
        <v>8</v>
      </c>
      <c r="N7" s="189" t="s">
        <v>8</v>
      </c>
      <c r="O7" s="189" t="s">
        <v>8</v>
      </c>
      <c r="P7" s="184">
        <v>3</v>
      </c>
      <c r="Q7" s="11" t="s">
        <v>35</v>
      </c>
      <c r="R7" s="9" t="str">
        <f>_xlfn.XLOOKUP(Q7,Tab_Def_Flows[Name(EN)],Tab_Def_Flows[Flow_ID],,0,)</f>
        <v>N.A.</v>
      </c>
      <c r="S7" s="11" t="s">
        <v>35</v>
      </c>
      <c r="T7" s="9" t="str">
        <f>_xlfn.XLOOKUP(S7,Tab_Def_Flows[Name(EN)],Tab_Def_Flows[Flow_ID],,0,)</f>
        <v>N.A.</v>
      </c>
      <c r="U7" s="11" t="s">
        <v>35</v>
      </c>
      <c r="V7" s="9" t="str">
        <f>_xlfn.XLOOKUP(U7,Tab_Def_Flows[Name(EN)],Tab_Def_Flows[Flow_ID],,0,)</f>
        <v>N.A.</v>
      </c>
      <c r="W7" s="11" t="s">
        <v>35</v>
      </c>
      <c r="X7" s="9" t="str">
        <f>_xlfn.XLOOKUP(W7,Tab_Def_Flows[Name(EN)],Tab_Def_Flows[Flow_ID],,0,)</f>
        <v>N.A.</v>
      </c>
      <c r="Y7" s="11" t="s">
        <v>35</v>
      </c>
      <c r="Z7" s="20" t="str">
        <f>_xlfn.XLOOKUP(Y7,Tab_Def_Flows[Name(EN)],Tab_Def_Flows[Flow_ID],,0,)</f>
        <v>N.A.</v>
      </c>
      <c r="AA7" s="189" t="s">
        <v>382</v>
      </c>
      <c r="AB7" s="9" t="str">
        <f>_xlfn.XLOOKUP(AA7,Tab_Def_Flows[Name(EN)],Tab_Def_Flows[Flow_ID],,0,)</f>
        <v>F_05_06</v>
      </c>
      <c r="AC7" s="189" t="s">
        <v>380</v>
      </c>
      <c r="AD7" s="9" t="str">
        <f>_xlfn.XLOOKUP(AC7,Tab_Def_Flows[Name(EN)],Tab_Def_Flows[Flow_ID],,0,)</f>
        <v>F_05_07</v>
      </c>
      <c r="AE7" s="189" t="s">
        <v>35</v>
      </c>
      <c r="AF7" s="9" t="str">
        <f>_xlfn.XLOOKUP(AE7,Tab_Def_Flows[Name(EN)],Tab_Def_Flows[Flow_ID],,0,)</f>
        <v>N.A.</v>
      </c>
      <c r="AG7" s="189" t="s">
        <v>35</v>
      </c>
      <c r="AH7" s="9" t="str">
        <f>_xlfn.XLOOKUP(AG7,Tab_Def_Flows[Name(EN)],Tab_Def_Flows[Flow_ID],,0,)</f>
        <v>N.A.</v>
      </c>
      <c r="AI7" s="189" t="s">
        <v>35</v>
      </c>
      <c r="AJ7" s="9" t="str">
        <f>_xlfn.XLOOKUP(AI7,Tab_Def_Flows[Name(EN)],Tab_Def_Flows[Flow_ID],,0,)</f>
        <v>N.A.</v>
      </c>
      <c r="AK7" s="189" t="s">
        <v>35</v>
      </c>
      <c r="AL7" s="13" t="str">
        <f>_xlfn.XLOOKUP(AK7,Tab_Def_Flows[Name(EN)],Tab_Def_Flows[Flow_ID],,0,)</f>
        <v>N.A.</v>
      </c>
    </row>
    <row r="8" spans="1:38" x14ac:dyDescent="0.25">
      <c r="A8" s="194" t="b">
        <v>1</v>
      </c>
      <c r="B8" s="43" t="s">
        <v>137</v>
      </c>
      <c r="C8" s="9" t="str">
        <f t="shared" si="0"/>
        <v>06</v>
      </c>
      <c r="D8" s="11" t="s">
        <v>473</v>
      </c>
      <c r="E8" s="11"/>
      <c r="F8" s="11"/>
      <c r="G8" s="11"/>
      <c r="H8" s="37"/>
      <c r="I8" s="189" t="s">
        <v>122</v>
      </c>
      <c r="J8" s="189" t="s">
        <v>7</v>
      </c>
      <c r="K8" s="189" t="s">
        <v>8</v>
      </c>
      <c r="L8" s="189" t="s">
        <v>8</v>
      </c>
      <c r="M8" s="189" t="s">
        <v>8</v>
      </c>
      <c r="N8" s="189" t="s">
        <v>8</v>
      </c>
      <c r="O8" s="189" t="s">
        <v>8</v>
      </c>
      <c r="P8" s="184">
        <v>1</v>
      </c>
      <c r="Q8" s="11" t="s">
        <v>35</v>
      </c>
      <c r="R8" s="9" t="str">
        <f>_xlfn.XLOOKUP(Q8,Tab_Def_Flows[Name(EN)],Tab_Def_Flows[Flow_ID],,0,)</f>
        <v>N.A.</v>
      </c>
      <c r="S8" s="11" t="s">
        <v>35</v>
      </c>
      <c r="T8" s="9" t="str">
        <f>_xlfn.XLOOKUP(S8,Tab_Def_Flows[Name(EN)],Tab_Def_Flows[Flow_ID],,0,)</f>
        <v>N.A.</v>
      </c>
      <c r="U8" s="11" t="s">
        <v>35</v>
      </c>
      <c r="V8" s="9" t="str">
        <f>_xlfn.XLOOKUP(U8,Tab_Def_Flows[Name(EN)],Tab_Def_Flows[Flow_ID],,0,)</f>
        <v>N.A.</v>
      </c>
      <c r="W8" s="11" t="s">
        <v>35</v>
      </c>
      <c r="X8" s="9" t="str">
        <f>_xlfn.XLOOKUP(W8,Tab_Def_Flows[Name(EN)],Tab_Def_Flows[Flow_ID],,0,)</f>
        <v>N.A.</v>
      </c>
      <c r="Y8" s="11" t="s">
        <v>35</v>
      </c>
      <c r="Z8" s="17" t="str">
        <f>_xlfn.XLOOKUP(Y8,Tab_Def_Flows[Name(EN)],Tab_Def_Flows[Flow_ID],,0,)</f>
        <v>N.A.</v>
      </c>
      <c r="AA8" s="189" t="s">
        <v>381</v>
      </c>
      <c r="AB8" s="9" t="str">
        <f>_xlfn.XLOOKUP(AA8,Tab_Def_Flows[Name(EN)],Tab_Def_Flows[Flow_ID],,0,)</f>
        <v>F_06_08</v>
      </c>
      <c r="AC8" s="189" t="s">
        <v>35</v>
      </c>
      <c r="AD8" s="9" t="str">
        <f>_xlfn.XLOOKUP(AC8,Tab_Def_Flows[Name(EN)],Tab_Def_Flows[Flow_ID],,0,)</f>
        <v>N.A.</v>
      </c>
      <c r="AE8" s="189" t="s">
        <v>35</v>
      </c>
      <c r="AF8" s="9" t="str">
        <f>_xlfn.XLOOKUP(AE8,Tab_Def_Flows[Name(EN)],Tab_Def_Flows[Flow_ID],,0,)</f>
        <v>N.A.</v>
      </c>
      <c r="AG8" s="189" t="s">
        <v>35</v>
      </c>
      <c r="AH8" s="9" t="str">
        <f>_xlfn.XLOOKUP(AG8,Tab_Def_Flows[Name(EN)],Tab_Def_Flows[Flow_ID],,0,)</f>
        <v>N.A.</v>
      </c>
      <c r="AI8" s="189" t="s">
        <v>35</v>
      </c>
      <c r="AJ8" s="9" t="str">
        <f>_xlfn.XLOOKUP(AI8,Tab_Def_Flows[Name(EN)],Tab_Def_Flows[Flow_ID],,0,)</f>
        <v>N.A.</v>
      </c>
      <c r="AK8" s="189" t="s">
        <v>35</v>
      </c>
      <c r="AL8" s="13" t="str">
        <f>_xlfn.XLOOKUP(AK8,Tab_Def_Flows[Name(EN)],Tab_Def_Flows[Flow_ID],,0,)</f>
        <v>N.A.</v>
      </c>
    </row>
    <row r="9" spans="1:38" x14ac:dyDescent="0.25">
      <c r="A9" s="194" t="b">
        <v>1</v>
      </c>
      <c r="B9" s="43" t="s">
        <v>138</v>
      </c>
      <c r="C9" s="9" t="str">
        <f t="shared" si="0"/>
        <v>07</v>
      </c>
      <c r="D9" s="11" t="s">
        <v>374</v>
      </c>
      <c r="E9" s="11"/>
      <c r="F9" s="11"/>
      <c r="G9" s="11"/>
      <c r="H9" s="37"/>
      <c r="I9" s="189" t="s">
        <v>122</v>
      </c>
      <c r="J9" s="189" t="s">
        <v>7</v>
      </c>
      <c r="K9" s="189" t="s">
        <v>8</v>
      </c>
      <c r="L9" s="189" t="s">
        <v>8</v>
      </c>
      <c r="M9" s="189" t="s">
        <v>8</v>
      </c>
      <c r="N9" s="189" t="s">
        <v>8</v>
      </c>
      <c r="O9" s="189" t="s">
        <v>8</v>
      </c>
      <c r="P9" s="184">
        <v>2</v>
      </c>
      <c r="Q9" s="11" t="s">
        <v>35</v>
      </c>
      <c r="R9" s="9" t="str">
        <f>_xlfn.XLOOKUP(Q9,Tab_Def_Flows[Name(EN)],Tab_Def_Flows[Flow_ID],,0,)</f>
        <v>N.A.</v>
      </c>
      <c r="S9" s="11" t="s">
        <v>35</v>
      </c>
      <c r="T9" s="9" t="str">
        <f>_xlfn.XLOOKUP(S9,Tab_Def_Flows[Name(EN)],Tab_Def_Flows[Flow_ID],,0,)</f>
        <v>N.A.</v>
      </c>
      <c r="U9" s="11" t="s">
        <v>35</v>
      </c>
      <c r="V9" s="9" t="str">
        <f>_xlfn.XLOOKUP(U9,Tab_Def_Flows[Name(EN)],Tab_Def_Flows[Flow_ID],,0,)</f>
        <v>N.A.</v>
      </c>
      <c r="W9" s="11" t="s">
        <v>35</v>
      </c>
      <c r="X9" s="9" t="str">
        <f>_xlfn.XLOOKUP(W9,Tab_Def_Flows[Name(EN)],Tab_Def_Flows[Flow_ID],,0,)</f>
        <v>N.A.</v>
      </c>
      <c r="Y9" s="11" t="s">
        <v>35</v>
      </c>
      <c r="Z9" s="17" t="str">
        <f>_xlfn.XLOOKUP(Y9,Tab_Def_Flows[Name(EN)],Tab_Def_Flows[Flow_ID],,0,)</f>
        <v>N.A.</v>
      </c>
      <c r="AA9" s="189" t="s">
        <v>376</v>
      </c>
      <c r="AB9" s="9" t="str">
        <f>_xlfn.XLOOKUP(AA9,Tab_Def_Flows[Name(EN)],Tab_Def_Flows[Flow_ID],,0,)</f>
        <v>F_07_00</v>
      </c>
      <c r="AC9" s="189" t="s">
        <v>376</v>
      </c>
      <c r="AD9" s="9" t="str">
        <f>_xlfn.XLOOKUP(AC9,Tab_Def_Flows[Name(EN)],Tab_Def_Flows[Flow_ID],,0,)</f>
        <v>F_07_00</v>
      </c>
      <c r="AE9" s="189" t="s">
        <v>35</v>
      </c>
      <c r="AF9" s="9" t="str">
        <f>_xlfn.XLOOKUP(AE9,Tab_Def_Flows[Name(EN)],Tab_Def_Flows[Flow_ID],,0,)</f>
        <v>N.A.</v>
      </c>
      <c r="AG9" s="189" t="s">
        <v>35</v>
      </c>
      <c r="AH9" s="9" t="str">
        <f>_xlfn.XLOOKUP(AG9,Tab_Def_Flows[Name(EN)],Tab_Def_Flows[Flow_ID],,0,)</f>
        <v>N.A.</v>
      </c>
      <c r="AI9" s="189" t="s">
        <v>35</v>
      </c>
      <c r="AJ9" s="9" t="str">
        <f>_xlfn.XLOOKUP(AI9,Tab_Def_Flows[Name(EN)],Tab_Def_Flows[Flow_ID],,0,)</f>
        <v>N.A.</v>
      </c>
      <c r="AK9" s="189" t="s">
        <v>35</v>
      </c>
      <c r="AL9" s="13" t="str">
        <f>_xlfn.XLOOKUP(AK9,Tab_Def_Flows[Name(EN)],Tab_Def_Flows[Flow_ID],,0,)</f>
        <v>N.A.</v>
      </c>
    </row>
    <row r="10" spans="1:38" x14ac:dyDescent="0.25">
      <c r="A10" s="194" t="b">
        <v>1</v>
      </c>
      <c r="B10" s="43" t="s">
        <v>139</v>
      </c>
      <c r="C10" s="9" t="str">
        <f t="shared" si="0"/>
        <v>08</v>
      </c>
      <c r="D10" s="11" t="s">
        <v>472</v>
      </c>
      <c r="E10" s="11"/>
      <c r="F10" s="11"/>
      <c r="G10" s="11"/>
      <c r="H10" s="37"/>
      <c r="I10" s="189" t="s">
        <v>122</v>
      </c>
      <c r="J10" s="189" t="s">
        <v>7</v>
      </c>
      <c r="K10" s="189" t="s">
        <v>8</v>
      </c>
      <c r="L10" s="189" t="s">
        <v>7</v>
      </c>
      <c r="M10" s="189" t="s">
        <v>8</v>
      </c>
      <c r="N10" s="189" t="s">
        <v>8</v>
      </c>
      <c r="O10" s="189" t="s">
        <v>7</v>
      </c>
      <c r="P10" s="11">
        <v>2</v>
      </c>
      <c r="Q10" s="11" t="s">
        <v>35</v>
      </c>
      <c r="R10" s="9" t="str">
        <f>_xlfn.XLOOKUP(Q10,Tab_Def_Flows[Name(EN)],Tab_Def_Flows[Flow_ID],,0,)</f>
        <v>N.A.</v>
      </c>
      <c r="S10" s="11" t="s">
        <v>35</v>
      </c>
      <c r="T10" s="9" t="str">
        <f>_xlfn.XLOOKUP(S10,Tab_Def_Flows[Name(EN)],Tab_Def_Flows[Flow_ID],,0,)</f>
        <v>N.A.</v>
      </c>
      <c r="U10" s="11" t="s">
        <v>35</v>
      </c>
      <c r="V10" s="9" t="str">
        <f>_xlfn.XLOOKUP(U10,Tab_Def_Flows[Name(EN)],Tab_Def_Flows[Flow_ID],,0,)</f>
        <v>N.A.</v>
      </c>
      <c r="W10" s="11" t="s">
        <v>35</v>
      </c>
      <c r="X10" s="9" t="str">
        <f>_xlfn.XLOOKUP(W10,Tab_Def_Flows[Name(EN)],Tab_Def_Flows[Flow_ID],,0,)</f>
        <v>N.A.</v>
      </c>
      <c r="Y10" s="11" t="s">
        <v>35</v>
      </c>
      <c r="Z10" s="17" t="str">
        <f>_xlfn.XLOOKUP(Y10,Tab_Def_Flows[Name(EN)],Tab_Def_Flows[Flow_ID],,0,)</f>
        <v>N.A.</v>
      </c>
      <c r="AA10" s="189" t="s">
        <v>378</v>
      </c>
      <c r="AB10" s="9" t="e">
        <f>_xlfn.XLOOKUP(AA10,Tab_Def_Flows[Name(EN)],Tab_Def_Flows[Flow_ID],,0,)</f>
        <v>#N/A</v>
      </c>
      <c r="AC10" s="189" t="s">
        <v>379</v>
      </c>
      <c r="AD10" s="9" t="e">
        <f>_xlfn.XLOOKUP(AC10,Tab_Def_Flows[Name(EN)],Tab_Def_Flows[Flow_ID],,0,)</f>
        <v>#N/A</v>
      </c>
      <c r="AE10" s="189" t="s">
        <v>35</v>
      </c>
      <c r="AF10" s="9" t="str">
        <f>_xlfn.XLOOKUP(AE10,Tab_Def_Flows[Name(EN)],Tab_Def_Flows[Flow_ID],,0,)</f>
        <v>N.A.</v>
      </c>
      <c r="AG10" s="189" t="s">
        <v>35</v>
      </c>
      <c r="AH10" s="9" t="str">
        <f>_xlfn.XLOOKUP(AG10,Tab_Def_Flows[Name(EN)],Tab_Def_Flows[Flow_ID],,0,)</f>
        <v>N.A.</v>
      </c>
      <c r="AI10" s="189" t="s">
        <v>35</v>
      </c>
      <c r="AJ10" s="9" t="str">
        <f>_xlfn.XLOOKUP(AI10,Tab_Def_Flows[Name(EN)],Tab_Def_Flows[Flow_ID],,0,)</f>
        <v>N.A.</v>
      </c>
      <c r="AK10" s="189" t="s">
        <v>35</v>
      </c>
      <c r="AL10" s="13" t="str">
        <f>_xlfn.XLOOKUP(AK10,Tab_Def_Flows[Name(EN)],Tab_Def_Flows[Flow_ID],,0,)</f>
        <v>N.A.</v>
      </c>
    </row>
    <row r="11" spans="1:38" x14ac:dyDescent="0.25">
      <c r="A11" s="194" t="b">
        <v>1</v>
      </c>
      <c r="B11" s="43" t="s">
        <v>140</v>
      </c>
      <c r="C11" s="9" t="str">
        <f t="shared" si="0"/>
        <v>09</v>
      </c>
      <c r="D11" s="11" t="s">
        <v>470</v>
      </c>
      <c r="E11" s="11"/>
      <c r="F11" s="11"/>
      <c r="G11" s="11"/>
      <c r="H11" s="37"/>
      <c r="I11" s="189" t="s">
        <v>122</v>
      </c>
      <c r="J11" s="189" t="s">
        <v>7</v>
      </c>
      <c r="K11" s="189" t="s">
        <v>8</v>
      </c>
      <c r="L11" s="189" t="s">
        <v>8</v>
      </c>
      <c r="M11" s="189" t="s">
        <v>8</v>
      </c>
      <c r="N11" s="189" t="s">
        <v>8</v>
      </c>
      <c r="O11" s="189" t="s">
        <v>8</v>
      </c>
      <c r="P11" s="11">
        <v>3</v>
      </c>
      <c r="Q11" s="11" t="s">
        <v>35</v>
      </c>
      <c r="R11" s="9" t="str">
        <f>_xlfn.XLOOKUP(Q11,Tab_Def_Flows[Name(EN)],Tab_Def_Flows[Flow_ID],,0,)</f>
        <v>N.A.</v>
      </c>
      <c r="S11" s="11" t="s">
        <v>35</v>
      </c>
      <c r="T11" s="9" t="str">
        <f>_xlfn.XLOOKUP(S11,Tab_Def_Flows[Name(EN)],Tab_Def_Flows[Flow_ID],,0,)</f>
        <v>N.A.</v>
      </c>
      <c r="U11" s="11" t="s">
        <v>35</v>
      </c>
      <c r="V11" s="9" t="str">
        <f>_xlfn.XLOOKUP(U11,Tab_Def_Flows[Name(EN)],Tab_Def_Flows[Flow_ID],,0,)</f>
        <v>N.A.</v>
      </c>
      <c r="W11" s="11" t="s">
        <v>35</v>
      </c>
      <c r="X11" s="9" t="str">
        <f>_xlfn.XLOOKUP(W11,Tab_Def_Flows[Name(EN)],Tab_Def_Flows[Flow_ID],,0,)</f>
        <v>N.A.</v>
      </c>
      <c r="Y11" s="11" t="s">
        <v>35</v>
      </c>
      <c r="Z11" s="21" t="str">
        <f>_xlfn.XLOOKUP(Y11,Tab_Def_Flows[Name(EN)],Tab_Def_Flows[Flow_ID],,0,)</f>
        <v>N.A.</v>
      </c>
      <c r="AA11" s="189" t="s">
        <v>35</v>
      </c>
      <c r="AB11" s="9" t="str">
        <f>_xlfn.XLOOKUP(AA11,Tab_Def_Flows[Name(EN)],Tab_Def_Flows[Flow_ID],,0,)</f>
        <v>N.A.</v>
      </c>
      <c r="AC11" s="189" t="s">
        <v>35</v>
      </c>
      <c r="AD11" s="9" t="str">
        <f>_xlfn.XLOOKUP(AC11,Tab_Def_Flows[Name(EN)],Tab_Def_Flows[Flow_ID],,0,)</f>
        <v>N.A.</v>
      </c>
      <c r="AE11" s="189" t="s">
        <v>35</v>
      </c>
      <c r="AF11" s="9" t="str">
        <f>_xlfn.XLOOKUP(AE11,Tab_Def_Flows[Name(EN)],Tab_Def_Flows[Flow_ID],,0,)</f>
        <v>N.A.</v>
      </c>
      <c r="AG11" s="189" t="s">
        <v>35</v>
      </c>
      <c r="AH11" s="9" t="str">
        <f>_xlfn.XLOOKUP(AG11,Tab_Def_Flows[Name(EN)],Tab_Def_Flows[Flow_ID],,0,)</f>
        <v>N.A.</v>
      </c>
      <c r="AI11" s="189" t="s">
        <v>35</v>
      </c>
      <c r="AJ11" s="9" t="str">
        <f>_xlfn.XLOOKUP(AI11,Tab_Def_Flows[Name(EN)],Tab_Def_Flows[Flow_ID],,0,)</f>
        <v>N.A.</v>
      </c>
      <c r="AK11" s="189" t="s">
        <v>35</v>
      </c>
      <c r="AL11" s="13" t="str">
        <f>_xlfn.XLOOKUP(AK11,Tab_Def_Flows[Name(EN)],Tab_Def_Flows[Flow_ID],,0,)</f>
        <v>N.A.</v>
      </c>
    </row>
    <row r="12" spans="1:38" x14ac:dyDescent="0.25">
      <c r="A12" s="194" t="b">
        <v>1</v>
      </c>
      <c r="B12" s="43" t="s">
        <v>145</v>
      </c>
      <c r="C12" s="9" t="str">
        <f t="shared" si="0"/>
        <v>10</v>
      </c>
      <c r="D12" s="11" t="s">
        <v>471</v>
      </c>
      <c r="E12" s="11"/>
      <c r="F12" s="11"/>
      <c r="G12" s="11"/>
      <c r="H12" s="37"/>
      <c r="I12" s="189" t="s">
        <v>122</v>
      </c>
      <c r="J12" s="189" t="s">
        <v>7</v>
      </c>
      <c r="K12" s="189" t="s">
        <v>8</v>
      </c>
      <c r="L12" s="189" t="s">
        <v>7</v>
      </c>
      <c r="M12" s="189" t="s">
        <v>8</v>
      </c>
      <c r="N12" s="189" t="s">
        <v>8</v>
      </c>
      <c r="O12" s="189" t="s">
        <v>7</v>
      </c>
      <c r="P12" s="11">
        <v>2</v>
      </c>
      <c r="Q12" s="11" t="s">
        <v>35</v>
      </c>
      <c r="R12" s="12" t="str">
        <f>_xlfn.XLOOKUP(Q12,Tab_Def_Flows[Name(EN)],Tab_Def_Flows[Flow_ID],,0,)</f>
        <v>N.A.</v>
      </c>
      <c r="S12" s="11" t="s">
        <v>35</v>
      </c>
      <c r="T12" s="12" t="str">
        <f>_xlfn.XLOOKUP(S12,Tab_Def_Flows[Name(EN)],Tab_Def_Flows[Flow_ID],,0,)</f>
        <v>N.A.</v>
      </c>
      <c r="U12" s="11" t="s">
        <v>35</v>
      </c>
      <c r="V12" s="12" t="str">
        <f>_xlfn.XLOOKUP(U12,Tab_Def_Flows[Name(EN)],Tab_Def_Flows[Flow_ID],,0,)</f>
        <v>N.A.</v>
      </c>
      <c r="W12" s="11" t="s">
        <v>35</v>
      </c>
      <c r="X12" s="12" t="str">
        <f>_xlfn.XLOOKUP(W12,Tab_Def_Flows[Name(EN)],Tab_Def_Flows[Flow_ID],,0,)</f>
        <v>N.A.</v>
      </c>
      <c r="Y12" s="11" t="s">
        <v>35</v>
      </c>
      <c r="Z12" s="13" t="str">
        <f>_xlfn.XLOOKUP(Y12,Tab_Def_Flows[Name(EN)],Tab_Def_Flows[Flow_ID],,0,)</f>
        <v>N.A.</v>
      </c>
      <c r="AA12" s="189" t="s">
        <v>35</v>
      </c>
      <c r="AB12" s="12" t="str">
        <f>_xlfn.XLOOKUP(AA12,Tab_Def_Flows[Name(EN)],Tab_Def_Flows[Flow_ID],,0,)</f>
        <v>N.A.</v>
      </c>
      <c r="AC12" s="189" t="s">
        <v>35</v>
      </c>
      <c r="AD12" s="12" t="str">
        <f>_xlfn.XLOOKUP(AC12,Tab_Def_Flows[Name(EN)],Tab_Def_Flows[Flow_ID],,0,)</f>
        <v>N.A.</v>
      </c>
      <c r="AE12" s="189" t="s">
        <v>35</v>
      </c>
      <c r="AF12" s="12" t="str">
        <f>_xlfn.XLOOKUP(AE12,Tab_Def_Flows[Name(EN)],Tab_Def_Flows[Flow_ID],,0,)</f>
        <v>N.A.</v>
      </c>
      <c r="AG12" s="189" t="s">
        <v>35</v>
      </c>
      <c r="AH12" s="12" t="str">
        <f>_xlfn.XLOOKUP(AG12,Tab_Def_Flows[Name(EN)],Tab_Def_Flows[Flow_ID],,0,)</f>
        <v>N.A.</v>
      </c>
      <c r="AI12" s="189" t="s">
        <v>35</v>
      </c>
      <c r="AJ12" s="12" t="str">
        <f>_xlfn.XLOOKUP(AI12,Tab_Def_Flows[Name(EN)],Tab_Def_Flows[Flow_ID],,0,)</f>
        <v>N.A.</v>
      </c>
      <c r="AK12" s="189" t="s">
        <v>35</v>
      </c>
      <c r="AL12" s="13" t="str">
        <f>_xlfn.XLOOKUP(AK12,Tab_Def_Flows[Name(EN)],Tab_Def_Flows[Flow_ID],,0,)</f>
        <v>N.A.</v>
      </c>
    </row>
    <row r="13" spans="1:38" x14ac:dyDescent="0.25">
      <c r="A13" s="194" t="b">
        <v>0</v>
      </c>
      <c r="B13" s="43" t="s">
        <v>146</v>
      </c>
      <c r="C13" s="9" t="str">
        <f t="shared" si="0"/>
        <v>11</v>
      </c>
      <c r="D13" s="11"/>
      <c r="E13" s="11"/>
      <c r="F13" s="11"/>
      <c r="G13" s="11"/>
      <c r="H13" s="37"/>
      <c r="I13" s="189"/>
      <c r="J13" s="189"/>
      <c r="K13" s="189"/>
      <c r="L13" s="189"/>
      <c r="M13" s="189"/>
      <c r="N13" s="189"/>
      <c r="O13" s="189"/>
      <c r="P13" s="11"/>
      <c r="Q13" s="11" t="s">
        <v>35</v>
      </c>
      <c r="R13" s="12" t="str">
        <f>_xlfn.XLOOKUP(Q13,Tab_Def_Flows[Name(EN)],Tab_Def_Flows[Flow_ID],,0,)</f>
        <v>N.A.</v>
      </c>
      <c r="S13" s="11" t="s">
        <v>35</v>
      </c>
      <c r="T13" s="12" t="str">
        <f>_xlfn.XLOOKUP(S13,Tab_Def_Flows[Name(EN)],Tab_Def_Flows[Flow_ID],,0,)</f>
        <v>N.A.</v>
      </c>
      <c r="U13" s="11" t="s">
        <v>35</v>
      </c>
      <c r="V13" s="12" t="str">
        <f>_xlfn.XLOOKUP(U13,Tab_Def_Flows[Name(EN)],Tab_Def_Flows[Flow_ID],,0,)</f>
        <v>N.A.</v>
      </c>
      <c r="W13" s="11" t="s">
        <v>35</v>
      </c>
      <c r="X13" s="12" t="str">
        <f>_xlfn.XLOOKUP(W13,Tab_Def_Flows[Name(EN)],Tab_Def_Flows[Flow_ID],,0,)</f>
        <v>N.A.</v>
      </c>
      <c r="Y13" s="11" t="s">
        <v>35</v>
      </c>
      <c r="Z13" s="13" t="str">
        <f>_xlfn.XLOOKUP(Y13,Tab_Def_Flows[Name(EN)],Tab_Def_Flows[Flow_ID],,0,)</f>
        <v>N.A.</v>
      </c>
      <c r="AA13" s="189" t="s">
        <v>35</v>
      </c>
      <c r="AB13" s="12" t="str">
        <f>_xlfn.XLOOKUP(AA13,Tab_Def_Flows[Name(EN)],Tab_Def_Flows[Flow_ID],,0,)</f>
        <v>N.A.</v>
      </c>
      <c r="AC13" s="189" t="s">
        <v>35</v>
      </c>
      <c r="AD13" s="12" t="str">
        <f>_xlfn.XLOOKUP(AC13,Tab_Def_Flows[Name(EN)],Tab_Def_Flows[Flow_ID],,0,)</f>
        <v>N.A.</v>
      </c>
      <c r="AE13" s="189" t="s">
        <v>35</v>
      </c>
      <c r="AF13" s="12" t="str">
        <f>_xlfn.XLOOKUP(AE13,Tab_Def_Flows[Name(EN)],Tab_Def_Flows[Flow_ID],,0,)</f>
        <v>N.A.</v>
      </c>
      <c r="AG13" s="189" t="s">
        <v>35</v>
      </c>
      <c r="AH13" s="12" t="str">
        <f>_xlfn.XLOOKUP(AG13,Tab_Def_Flows[Name(EN)],Tab_Def_Flows[Flow_ID],,0,)</f>
        <v>N.A.</v>
      </c>
      <c r="AI13" s="189" t="s">
        <v>35</v>
      </c>
      <c r="AJ13" s="12" t="str">
        <f>_xlfn.XLOOKUP(AI13,Tab_Def_Flows[Name(EN)],Tab_Def_Flows[Flow_ID],,0,)</f>
        <v>N.A.</v>
      </c>
      <c r="AK13" s="189" t="s">
        <v>35</v>
      </c>
      <c r="AL13" s="13" t="str">
        <f>_xlfn.XLOOKUP(AK13,Tab_Def_Flows[Name(EN)],Tab_Def_Flows[Flow_ID],,0,)</f>
        <v>N.A.</v>
      </c>
    </row>
    <row r="14" spans="1:38" x14ac:dyDescent="0.25">
      <c r="A14" s="194" t="b">
        <v>0</v>
      </c>
      <c r="B14" s="43" t="s">
        <v>147</v>
      </c>
      <c r="C14" s="9" t="str">
        <f t="shared" si="0"/>
        <v>12</v>
      </c>
      <c r="D14" s="11"/>
      <c r="E14" s="11"/>
      <c r="F14" s="11"/>
      <c r="G14" s="11"/>
      <c r="H14" s="37"/>
      <c r="I14" s="189"/>
      <c r="J14" s="189"/>
      <c r="K14" s="189"/>
      <c r="L14" s="189"/>
      <c r="M14" s="189"/>
      <c r="N14" s="189"/>
      <c r="O14" s="189"/>
      <c r="P14" s="11"/>
      <c r="Q14" s="11" t="s">
        <v>35</v>
      </c>
      <c r="R14" s="12" t="str">
        <f>_xlfn.XLOOKUP(Q14,Tab_Def_Flows[Name(EN)],Tab_Def_Flows[Flow_ID],,0,)</f>
        <v>N.A.</v>
      </c>
      <c r="S14" s="11" t="s">
        <v>35</v>
      </c>
      <c r="T14" s="12" t="str">
        <f>_xlfn.XLOOKUP(S14,Tab_Def_Flows[Name(EN)],Tab_Def_Flows[Flow_ID],,0,)</f>
        <v>N.A.</v>
      </c>
      <c r="U14" s="11" t="s">
        <v>35</v>
      </c>
      <c r="V14" s="12" t="str">
        <f>_xlfn.XLOOKUP(U14,Tab_Def_Flows[Name(EN)],Tab_Def_Flows[Flow_ID],,0,)</f>
        <v>N.A.</v>
      </c>
      <c r="W14" s="11" t="s">
        <v>35</v>
      </c>
      <c r="X14" s="12" t="str">
        <f>_xlfn.XLOOKUP(W14,Tab_Def_Flows[Name(EN)],Tab_Def_Flows[Flow_ID],,0,)</f>
        <v>N.A.</v>
      </c>
      <c r="Y14" s="11" t="s">
        <v>35</v>
      </c>
      <c r="Z14" s="13" t="str">
        <f>_xlfn.XLOOKUP(Y14,Tab_Def_Flows[Name(EN)],Tab_Def_Flows[Flow_ID],,0,)</f>
        <v>N.A.</v>
      </c>
      <c r="AA14" s="189" t="s">
        <v>35</v>
      </c>
      <c r="AB14" s="12" t="str">
        <f>_xlfn.XLOOKUP(AA14,Tab_Def_Flows[Name(EN)],Tab_Def_Flows[Flow_ID],,0,)</f>
        <v>N.A.</v>
      </c>
      <c r="AC14" s="189" t="s">
        <v>35</v>
      </c>
      <c r="AD14" s="12" t="str">
        <f>_xlfn.XLOOKUP(AC14,Tab_Def_Flows[Name(EN)],Tab_Def_Flows[Flow_ID],,0,)</f>
        <v>N.A.</v>
      </c>
      <c r="AE14" s="189" t="s">
        <v>35</v>
      </c>
      <c r="AF14" s="12" t="str">
        <f>_xlfn.XLOOKUP(AE14,Tab_Def_Flows[Name(EN)],Tab_Def_Flows[Flow_ID],,0,)</f>
        <v>N.A.</v>
      </c>
      <c r="AG14" s="189" t="s">
        <v>35</v>
      </c>
      <c r="AH14" s="12" t="str">
        <f>_xlfn.XLOOKUP(AG14,Tab_Def_Flows[Name(EN)],Tab_Def_Flows[Flow_ID],,0,)</f>
        <v>N.A.</v>
      </c>
      <c r="AI14" s="189" t="s">
        <v>35</v>
      </c>
      <c r="AJ14" s="12" t="str">
        <f>_xlfn.XLOOKUP(AI14,Tab_Def_Flows[Name(EN)],Tab_Def_Flows[Flow_ID],,0,)</f>
        <v>N.A.</v>
      </c>
      <c r="AK14" s="189" t="s">
        <v>35</v>
      </c>
      <c r="AL14" s="13" t="str">
        <f>_xlfn.XLOOKUP(AK14,Tab_Def_Flows[Name(EN)],Tab_Def_Flows[Flow_ID],,0,)</f>
        <v>N.A.</v>
      </c>
    </row>
    <row r="15" spans="1:38" x14ac:dyDescent="0.25">
      <c r="A15" s="194" t="b">
        <v>0</v>
      </c>
      <c r="B15" s="43" t="s">
        <v>148</v>
      </c>
      <c r="C15" s="9" t="str">
        <f t="shared" si="0"/>
        <v>13</v>
      </c>
      <c r="D15" s="11"/>
      <c r="E15" s="11"/>
      <c r="F15" s="11"/>
      <c r="G15" s="11"/>
      <c r="H15" s="37"/>
      <c r="I15" s="189"/>
      <c r="J15" s="189"/>
      <c r="K15" s="189"/>
      <c r="L15" s="189"/>
      <c r="M15" s="189"/>
      <c r="N15" s="189"/>
      <c r="O15" s="189"/>
      <c r="P15" s="11"/>
      <c r="Q15" s="11" t="s">
        <v>35</v>
      </c>
      <c r="R15" s="12" t="str">
        <f>_xlfn.XLOOKUP(Q15,Tab_Def_Flows[Name(EN)],Tab_Def_Flows[Flow_ID],,0,)</f>
        <v>N.A.</v>
      </c>
      <c r="S15" s="11" t="s">
        <v>35</v>
      </c>
      <c r="T15" s="12" t="str">
        <f>_xlfn.XLOOKUP(S15,Tab_Def_Flows[Name(EN)],Tab_Def_Flows[Flow_ID],,0,)</f>
        <v>N.A.</v>
      </c>
      <c r="U15" s="11" t="s">
        <v>35</v>
      </c>
      <c r="V15" s="12" t="str">
        <f>_xlfn.XLOOKUP(U15,Tab_Def_Flows[Name(EN)],Tab_Def_Flows[Flow_ID],,0,)</f>
        <v>N.A.</v>
      </c>
      <c r="W15" s="11" t="s">
        <v>35</v>
      </c>
      <c r="X15" s="12" t="str">
        <f>_xlfn.XLOOKUP(W15,Tab_Def_Flows[Name(EN)],Tab_Def_Flows[Flow_ID],,0,)</f>
        <v>N.A.</v>
      </c>
      <c r="Y15" s="11" t="s">
        <v>35</v>
      </c>
      <c r="Z15" s="13" t="str">
        <f>_xlfn.XLOOKUP(Y15,Tab_Def_Flows[Name(EN)],Tab_Def_Flows[Flow_ID],,0,)</f>
        <v>N.A.</v>
      </c>
      <c r="AA15" s="189" t="s">
        <v>35</v>
      </c>
      <c r="AB15" s="12" t="str">
        <f>_xlfn.XLOOKUP(AA15,Tab_Def_Flows[Name(EN)],Tab_Def_Flows[Flow_ID],,0,)</f>
        <v>N.A.</v>
      </c>
      <c r="AC15" s="189" t="s">
        <v>35</v>
      </c>
      <c r="AD15" s="12" t="str">
        <f>_xlfn.XLOOKUP(AC15,Tab_Def_Flows[Name(EN)],Tab_Def_Flows[Flow_ID],,0,)</f>
        <v>N.A.</v>
      </c>
      <c r="AE15" s="189" t="s">
        <v>35</v>
      </c>
      <c r="AF15" s="12" t="str">
        <f>_xlfn.XLOOKUP(AE15,Tab_Def_Flows[Name(EN)],Tab_Def_Flows[Flow_ID],,0,)</f>
        <v>N.A.</v>
      </c>
      <c r="AG15" s="189" t="s">
        <v>35</v>
      </c>
      <c r="AH15" s="12" t="str">
        <f>_xlfn.XLOOKUP(AG15,Tab_Def_Flows[Name(EN)],Tab_Def_Flows[Flow_ID],,0,)</f>
        <v>N.A.</v>
      </c>
      <c r="AI15" s="189" t="s">
        <v>35</v>
      </c>
      <c r="AJ15" s="12" t="str">
        <f>_xlfn.XLOOKUP(AI15,Tab_Def_Flows[Name(EN)],Tab_Def_Flows[Flow_ID],,0,)</f>
        <v>N.A.</v>
      </c>
      <c r="AK15" s="189" t="s">
        <v>35</v>
      </c>
      <c r="AL15" s="13" t="str">
        <f>_xlfn.XLOOKUP(AK15,Tab_Def_Flows[Name(EN)],Tab_Def_Flows[Flow_ID],,0,)</f>
        <v>N.A.</v>
      </c>
    </row>
    <row r="16" spans="1:38" x14ac:dyDescent="0.25">
      <c r="A16" s="194" t="b">
        <v>0</v>
      </c>
      <c r="B16" s="43" t="s">
        <v>149</v>
      </c>
      <c r="C16" s="9" t="str">
        <f t="shared" si="0"/>
        <v>14</v>
      </c>
      <c r="D16" s="11"/>
      <c r="E16" s="11"/>
      <c r="F16" s="11"/>
      <c r="G16" s="11"/>
      <c r="H16" s="37"/>
      <c r="I16" s="189"/>
      <c r="J16" s="189"/>
      <c r="K16" s="189"/>
      <c r="L16" s="189"/>
      <c r="M16" s="189"/>
      <c r="N16" s="189"/>
      <c r="O16" s="189"/>
      <c r="P16" s="11"/>
      <c r="Q16" s="11" t="s">
        <v>35</v>
      </c>
      <c r="R16" s="12" t="str">
        <f>_xlfn.XLOOKUP(Q16,Tab_Def_Flows[Name(EN)],Tab_Def_Flows[Flow_ID],,0,)</f>
        <v>N.A.</v>
      </c>
      <c r="S16" s="11" t="s">
        <v>35</v>
      </c>
      <c r="T16" s="12" t="str">
        <f>_xlfn.XLOOKUP(S16,Tab_Def_Flows[Name(EN)],Tab_Def_Flows[Flow_ID],,0,)</f>
        <v>N.A.</v>
      </c>
      <c r="U16" s="11" t="s">
        <v>35</v>
      </c>
      <c r="V16" s="12" t="str">
        <f>_xlfn.XLOOKUP(U16,Tab_Def_Flows[Name(EN)],Tab_Def_Flows[Flow_ID],,0,)</f>
        <v>N.A.</v>
      </c>
      <c r="W16" s="11" t="s">
        <v>35</v>
      </c>
      <c r="X16" s="12" t="str">
        <f>_xlfn.XLOOKUP(W16,Tab_Def_Flows[Name(EN)],Tab_Def_Flows[Flow_ID],,0,)</f>
        <v>N.A.</v>
      </c>
      <c r="Y16" s="11" t="s">
        <v>35</v>
      </c>
      <c r="Z16" s="13" t="str">
        <f>_xlfn.XLOOKUP(Y16,Tab_Def_Flows[Name(EN)],Tab_Def_Flows[Flow_ID],,0,)</f>
        <v>N.A.</v>
      </c>
      <c r="AA16" s="189" t="s">
        <v>35</v>
      </c>
      <c r="AB16" s="12" t="str">
        <f>_xlfn.XLOOKUP(AA16,Tab_Def_Flows[Name(EN)],Tab_Def_Flows[Flow_ID],,0,)</f>
        <v>N.A.</v>
      </c>
      <c r="AC16" s="189" t="s">
        <v>35</v>
      </c>
      <c r="AD16" s="12" t="str">
        <f>_xlfn.XLOOKUP(AC16,Tab_Def_Flows[Name(EN)],Tab_Def_Flows[Flow_ID],,0,)</f>
        <v>N.A.</v>
      </c>
      <c r="AE16" s="189" t="s">
        <v>35</v>
      </c>
      <c r="AF16" s="12" t="str">
        <f>_xlfn.XLOOKUP(AE16,Tab_Def_Flows[Name(EN)],Tab_Def_Flows[Flow_ID],,0,)</f>
        <v>N.A.</v>
      </c>
      <c r="AG16" s="189" t="s">
        <v>35</v>
      </c>
      <c r="AH16" s="12" t="str">
        <f>_xlfn.XLOOKUP(AG16,Tab_Def_Flows[Name(EN)],Tab_Def_Flows[Flow_ID],,0,)</f>
        <v>N.A.</v>
      </c>
      <c r="AI16" s="189" t="s">
        <v>35</v>
      </c>
      <c r="AJ16" s="12" t="str">
        <f>_xlfn.XLOOKUP(AI16,Tab_Def_Flows[Name(EN)],Tab_Def_Flows[Flow_ID],,0,)</f>
        <v>N.A.</v>
      </c>
      <c r="AK16" s="189" t="s">
        <v>35</v>
      </c>
      <c r="AL16" s="13" t="str">
        <f>_xlfn.XLOOKUP(AK16,Tab_Def_Flows[Name(EN)],Tab_Def_Flows[Flow_ID],,0,)</f>
        <v>N.A.</v>
      </c>
    </row>
    <row r="17" spans="1:38" ht="15.75" thickBot="1" x14ac:dyDescent="0.3">
      <c r="A17" s="194" t="b">
        <v>0</v>
      </c>
      <c r="B17" s="43" t="s">
        <v>150</v>
      </c>
      <c r="C17" s="9" t="str">
        <f t="shared" si="0"/>
        <v>15</v>
      </c>
      <c r="D17" s="11"/>
      <c r="E17" s="11"/>
      <c r="F17" s="11"/>
      <c r="G17" s="11"/>
      <c r="H17" s="37"/>
      <c r="I17" s="189"/>
      <c r="J17" s="189"/>
      <c r="K17" s="189"/>
      <c r="L17" s="189"/>
      <c r="M17" s="189"/>
      <c r="N17" s="189"/>
      <c r="O17" s="189"/>
      <c r="P17" s="11"/>
      <c r="Q17" s="11" t="s">
        <v>35</v>
      </c>
      <c r="R17" s="12" t="str">
        <f>_xlfn.XLOOKUP(Q17,Tab_Def_Flows[Name(EN)],Tab_Def_Flows[Flow_ID],,0,)</f>
        <v>N.A.</v>
      </c>
      <c r="S17" s="11" t="s">
        <v>35</v>
      </c>
      <c r="T17" s="12" t="str">
        <f>_xlfn.XLOOKUP(S17,Tab_Def_Flows[Name(EN)],Tab_Def_Flows[Flow_ID],,0,)</f>
        <v>N.A.</v>
      </c>
      <c r="U17" s="11" t="s">
        <v>35</v>
      </c>
      <c r="V17" s="12" t="str">
        <f>_xlfn.XLOOKUP(U17,Tab_Def_Flows[Name(EN)],Tab_Def_Flows[Flow_ID],,0,)</f>
        <v>N.A.</v>
      </c>
      <c r="W17" s="11" t="s">
        <v>35</v>
      </c>
      <c r="X17" s="12" t="str">
        <f>_xlfn.XLOOKUP(W17,Tab_Def_Flows[Name(EN)],Tab_Def_Flows[Flow_ID],,0,)</f>
        <v>N.A.</v>
      </c>
      <c r="Y17" s="11" t="s">
        <v>35</v>
      </c>
      <c r="Z17" s="13" t="str">
        <f>_xlfn.XLOOKUP(Y17,Tab_Def_Flows[Name(EN)],Tab_Def_Flows[Flow_ID],,0,)</f>
        <v>N.A.</v>
      </c>
      <c r="AA17" s="189" t="s">
        <v>35</v>
      </c>
      <c r="AB17" s="12" t="str">
        <f>_xlfn.XLOOKUP(AA17,Tab_Def_Flows[Name(EN)],Tab_Def_Flows[Flow_ID],,0,)</f>
        <v>N.A.</v>
      </c>
      <c r="AC17" s="189" t="s">
        <v>35</v>
      </c>
      <c r="AD17" s="12" t="str">
        <f>_xlfn.XLOOKUP(AC17,Tab_Def_Flows[Name(EN)],Tab_Def_Flows[Flow_ID],,0,)</f>
        <v>N.A.</v>
      </c>
      <c r="AE17" s="189" t="s">
        <v>35</v>
      </c>
      <c r="AF17" s="12" t="str">
        <f>_xlfn.XLOOKUP(AE17,Tab_Def_Flows[Name(EN)],Tab_Def_Flows[Flow_ID],,0,)</f>
        <v>N.A.</v>
      </c>
      <c r="AG17" s="189" t="s">
        <v>35</v>
      </c>
      <c r="AH17" s="12" t="str">
        <f>_xlfn.XLOOKUP(AG17,Tab_Def_Flows[Name(EN)],Tab_Def_Flows[Flow_ID],,0,)</f>
        <v>N.A.</v>
      </c>
      <c r="AI17" s="189" t="s">
        <v>35</v>
      </c>
      <c r="AJ17" s="12" t="str">
        <f>_xlfn.XLOOKUP(AI17,Tab_Def_Flows[Name(EN)],Tab_Def_Flows[Flow_ID],,0,)</f>
        <v>N.A.</v>
      </c>
      <c r="AK17" s="189" t="s">
        <v>35</v>
      </c>
      <c r="AL17" s="13" t="str">
        <f>_xlfn.XLOOKUP(AK17,Tab_Def_Flows[Name(EN)],Tab_Def_Flows[Flow_ID],,0,)</f>
        <v>N.A.</v>
      </c>
    </row>
    <row r="18" spans="1:38" x14ac:dyDescent="0.25">
      <c r="A18" s="194" t="b">
        <v>0</v>
      </c>
      <c r="B18" s="43" t="s">
        <v>151</v>
      </c>
      <c r="C18" s="9" t="str">
        <f t="shared" si="0"/>
        <v>16</v>
      </c>
      <c r="D18" s="11"/>
      <c r="E18" s="11"/>
      <c r="F18" s="11"/>
      <c r="G18" s="11"/>
      <c r="H18" s="37"/>
      <c r="I18" s="189"/>
      <c r="J18" s="189"/>
      <c r="K18" s="189"/>
      <c r="L18" s="189"/>
      <c r="M18" s="189"/>
      <c r="N18" s="189"/>
      <c r="O18" s="189"/>
      <c r="P18" s="11"/>
      <c r="Q18" s="11" t="s">
        <v>35</v>
      </c>
      <c r="R18" s="10" t="str">
        <f>_xlfn.XLOOKUP(Q18,Tab_Def_Flows[Name(EN)],Tab_Def_Flows[Flow_ID],,0,)</f>
        <v>N.A.</v>
      </c>
      <c r="S18" s="11" t="s">
        <v>35</v>
      </c>
      <c r="T18" s="10" t="str">
        <f>_xlfn.XLOOKUP(S18,Tab_Def_Flows[Name(EN)],Tab_Def_Flows[Flow_ID],,0,)</f>
        <v>N.A.</v>
      </c>
      <c r="U18" s="11" t="s">
        <v>35</v>
      </c>
      <c r="V18" s="10" t="str">
        <f>_xlfn.XLOOKUP(U18,Tab_Def_Flows[Name(EN)],Tab_Def_Flows[Flow_ID],,0,)</f>
        <v>N.A.</v>
      </c>
      <c r="W18" s="11" t="s">
        <v>35</v>
      </c>
      <c r="X18" s="10" t="str">
        <f>_xlfn.XLOOKUP(W18,Tab_Def_Flows[Name(EN)],Tab_Def_Flows[Flow_ID],,0,)</f>
        <v>N.A.</v>
      </c>
      <c r="Y18" s="11" t="s">
        <v>35</v>
      </c>
      <c r="Z18" s="15" t="str">
        <f>_xlfn.XLOOKUP(Y18,Tab_Def_Flows[Name(EN)],Tab_Def_Flows[Flow_ID],,0,)</f>
        <v>N.A.</v>
      </c>
      <c r="AA18" s="189" t="s">
        <v>35</v>
      </c>
      <c r="AB18" s="12" t="str">
        <f>_xlfn.XLOOKUP(AA18,Tab_Def_Flows[Name(EN)],Tab_Def_Flows[Flow_ID],,0,)</f>
        <v>N.A.</v>
      </c>
      <c r="AC18" s="189" t="s">
        <v>35</v>
      </c>
      <c r="AD18" s="12" t="str">
        <f>_xlfn.XLOOKUP(AC18,Tab_Def_Flows[Name(EN)],Tab_Def_Flows[Flow_ID],,0,)</f>
        <v>N.A.</v>
      </c>
      <c r="AE18" s="189" t="s">
        <v>35</v>
      </c>
      <c r="AF18" s="12" t="str">
        <f>_xlfn.XLOOKUP(AE18,Tab_Def_Flows[Name(EN)],Tab_Def_Flows[Flow_ID],,0,)</f>
        <v>N.A.</v>
      </c>
      <c r="AG18" s="189" t="s">
        <v>35</v>
      </c>
      <c r="AH18" s="12" t="str">
        <f>_xlfn.XLOOKUP(AG18,Tab_Def_Flows[Name(EN)],Tab_Def_Flows[Flow_ID],,0,)</f>
        <v>N.A.</v>
      </c>
      <c r="AI18" s="189" t="s">
        <v>35</v>
      </c>
      <c r="AJ18" s="12" t="str">
        <f>_xlfn.XLOOKUP(AI18,Tab_Def_Flows[Name(EN)],Tab_Def_Flows[Flow_ID],,0,)</f>
        <v>N.A.</v>
      </c>
      <c r="AK18" s="189" t="s">
        <v>35</v>
      </c>
      <c r="AL18" s="13" t="str">
        <f>_xlfn.XLOOKUP(AK18,Tab_Def_Flows[Name(EN)],Tab_Def_Flows[Flow_ID],,0,)</f>
        <v>N.A.</v>
      </c>
    </row>
    <row r="19" spans="1:38" x14ac:dyDescent="0.25">
      <c r="A19" s="194" t="b">
        <v>0</v>
      </c>
      <c r="B19" s="43" t="s">
        <v>152</v>
      </c>
      <c r="C19" s="9" t="str">
        <f t="shared" si="0"/>
        <v>17</v>
      </c>
      <c r="D19" s="11"/>
      <c r="E19" s="11"/>
      <c r="F19" s="11"/>
      <c r="G19" s="11"/>
      <c r="H19" s="37"/>
      <c r="I19" s="189"/>
      <c r="J19" s="189"/>
      <c r="K19" s="189"/>
      <c r="L19" s="189"/>
      <c r="M19" s="189"/>
      <c r="N19" s="189"/>
      <c r="O19" s="189"/>
      <c r="P19" s="11"/>
      <c r="Q19" s="11" t="s">
        <v>35</v>
      </c>
      <c r="R19" s="12" t="str">
        <f>_xlfn.XLOOKUP(Q19,Tab_Def_Flows[Name(EN)],Tab_Def_Flows[Flow_ID],,0,)</f>
        <v>N.A.</v>
      </c>
      <c r="S19" s="11" t="s">
        <v>35</v>
      </c>
      <c r="T19" s="12" t="str">
        <f>_xlfn.XLOOKUP(S19,Tab_Def_Flows[Name(EN)],Tab_Def_Flows[Flow_ID],,0,)</f>
        <v>N.A.</v>
      </c>
      <c r="U19" s="11" t="s">
        <v>35</v>
      </c>
      <c r="V19" s="12" t="str">
        <f>_xlfn.XLOOKUP(U19,Tab_Def_Flows[Name(EN)],Tab_Def_Flows[Flow_ID],,0,)</f>
        <v>N.A.</v>
      </c>
      <c r="W19" s="11" t="s">
        <v>35</v>
      </c>
      <c r="X19" s="12" t="str">
        <f>_xlfn.XLOOKUP(W19,Tab_Def_Flows[Name(EN)],Tab_Def_Flows[Flow_ID],,0,)</f>
        <v>N.A.</v>
      </c>
      <c r="Y19" s="11" t="s">
        <v>35</v>
      </c>
      <c r="Z19" s="13" t="str">
        <f>_xlfn.XLOOKUP(Y19,Tab_Def_Flows[Name(EN)],Tab_Def_Flows[Flow_ID],,0,)</f>
        <v>N.A.</v>
      </c>
      <c r="AA19" s="189" t="s">
        <v>35</v>
      </c>
      <c r="AB19" s="12" t="str">
        <f>_xlfn.XLOOKUP(AA19,Tab_Def_Flows[Name(EN)],Tab_Def_Flows[Flow_ID],,0,)</f>
        <v>N.A.</v>
      </c>
      <c r="AC19" s="189" t="s">
        <v>35</v>
      </c>
      <c r="AD19" s="12" t="str">
        <f>_xlfn.XLOOKUP(AC19,Tab_Def_Flows[Name(EN)],Tab_Def_Flows[Flow_ID],,0,)</f>
        <v>N.A.</v>
      </c>
      <c r="AE19" s="189" t="s">
        <v>35</v>
      </c>
      <c r="AF19" s="12" t="str">
        <f>_xlfn.XLOOKUP(AE19,Tab_Def_Flows[Name(EN)],Tab_Def_Flows[Flow_ID],,0,)</f>
        <v>N.A.</v>
      </c>
      <c r="AG19" s="189" t="s">
        <v>35</v>
      </c>
      <c r="AH19" s="12" t="str">
        <f>_xlfn.XLOOKUP(AG19,Tab_Def_Flows[Name(EN)],Tab_Def_Flows[Flow_ID],,0,)</f>
        <v>N.A.</v>
      </c>
      <c r="AI19" s="189" t="s">
        <v>35</v>
      </c>
      <c r="AJ19" s="12" t="str">
        <f>_xlfn.XLOOKUP(AI19,Tab_Def_Flows[Name(EN)],Tab_Def_Flows[Flow_ID],,0,)</f>
        <v>N.A.</v>
      </c>
      <c r="AK19" s="189" t="s">
        <v>35</v>
      </c>
      <c r="AL19" s="13" t="str">
        <f>_xlfn.XLOOKUP(AK19,Tab_Def_Flows[Name(EN)],Tab_Def_Flows[Flow_ID],,0,)</f>
        <v>N.A.</v>
      </c>
    </row>
    <row r="20" spans="1:38" x14ac:dyDescent="0.25">
      <c r="A20" s="194" t="b">
        <v>0</v>
      </c>
      <c r="B20" s="43" t="s">
        <v>153</v>
      </c>
      <c r="C20" s="9" t="str">
        <f t="shared" si="0"/>
        <v>18</v>
      </c>
      <c r="D20" s="11"/>
      <c r="E20" s="11"/>
      <c r="F20" s="11"/>
      <c r="G20" s="11"/>
      <c r="H20" s="37"/>
      <c r="I20" s="189"/>
      <c r="J20" s="189"/>
      <c r="K20" s="189"/>
      <c r="L20" s="189"/>
      <c r="M20" s="189"/>
      <c r="N20" s="189"/>
      <c r="O20" s="189"/>
      <c r="P20" s="11"/>
      <c r="Q20" s="11" t="s">
        <v>35</v>
      </c>
      <c r="R20" s="12" t="str">
        <f>_xlfn.XLOOKUP(Q20,Tab_Def_Flows[Name(EN)],Tab_Def_Flows[Flow_ID],,0,)</f>
        <v>N.A.</v>
      </c>
      <c r="S20" s="11" t="s">
        <v>35</v>
      </c>
      <c r="T20" s="12" t="str">
        <f>_xlfn.XLOOKUP(S20,Tab_Def_Flows[Name(EN)],Tab_Def_Flows[Flow_ID],,0,)</f>
        <v>N.A.</v>
      </c>
      <c r="U20" s="11" t="s">
        <v>35</v>
      </c>
      <c r="V20" s="12" t="str">
        <f>_xlfn.XLOOKUP(U20,Tab_Def_Flows[Name(EN)],Tab_Def_Flows[Flow_ID],,0,)</f>
        <v>N.A.</v>
      </c>
      <c r="W20" s="11" t="s">
        <v>35</v>
      </c>
      <c r="X20" s="12" t="str">
        <f>_xlfn.XLOOKUP(W20,Tab_Def_Flows[Name(EN)],Tab_Def_Flows[Flow_ID],,0,)</f>
        <v>N.A.</v>
      </c>
      <c r="Y20" s="11" t="s">
        <v>35</v>
      </c>
      <c r="Z20" s="13" t="str">
        <f>_xlfn.XLOOKUP(Y20,Tab_Def_Flows[Name(EN)],Tab_Def_Flows[Flow_ID],,0,)</f>
        <v>N.A.</v>
      </c>
      <c r="AA20" s="189" t="s">
        <v>35</v>
      </c>
      <c r="AB20" s="12" t="str">
        <f>_xlfn.XLOOKUP(AA20,Tab_Def_Flows[Name(EN)],Tab_Def_Flows[Flow_ID],,0,)</f>
        <v>N.A.</v>
      </c>
      <c r="AC20" s="189" t="s">
        <v>35</v>
      </c>
      <c r="AD20" s="12" t="str">
        <f>_xlfn.XLOOKUP(AC20,Tab_Def_Flows[Name(EN)],Tab_Def_Flows[Flow_ID],,0,)</f>
        <v>N.A.</v>
      </c>
      <c r="AE20" s="189" t="s">
        <v>35</v>
      </c>
      <c r="AF20" s="12" t="str">
        <f>_xlfn.XLOOKUP(AE20,Tab_Def_Flows[Name(EN)],Tab_Def_Flows[Flow_ID],,0,)</f>
        <v>N.A.</v>
      </c>
      <c r="AG20" s="189" t="s">
        <v>35</v>
      </c>
      <c r="AH20" s="12" t="str">
        <f>_xlfn.XLOOKUP(AG20,Tab_Def_Flows[Name(EN)],Tab_Def_Flows[Flow_ID],,0,)</f>
        <v>N.A.</v>
      </c>
      <c r="AI20" s="189" t="s">
        <v>35</v>
      </c>
      <c r="AJ20" s="12" t="str">
        <f>_xlfn.XLOOKUP(AI20,Tab_Def_Flows[Name(EN)],Tab_Def_Flows[Flow_ID],,0,)</f>
        <v>N.A.</v>
      </c>
      <c r="AK20" s="189" t="s">
        <v>35</v>
      </c>
      <c r="AL20" s="13" t="str">
        <f>_xlfn.XLOOKUP(AK20,Tab_Def_Flows[Name(EN)],Tab_Def_Flows[Flow_ID],,0,)</f>
        <v>N.A.</v>
      </c>
    </row>
    <row r="21" spans="1:38" x14ac:dyDescent="0.25">
      <c r="A21" s="194" t="b">
        <v>0</v>
      </c>
      <c r="B21" s="43" t="s">
        <v>154</v>
      </c>
      <c r="C21" s="9" t="str">
        <f t="shared" si="0"/>
        <v>19</v>
      </c>
      <c r="D21" s="11"/>
      <c r="E21" s="11"/>
      <c r="F21" s="11"/>
      <c r="G21" s="11"/>
      <c r="H21" s="37"/>
      <c r="I21" s="189"/>
      <c r="J21" s="189"/>
      <c r="K21" s="189"/>
      <c r="L21" s="189"/>
      <c r="M21" s="189"/>
      <c r="N21" s="189"/>
      <c r="O21" s="189"/>
      <c r="P21" s="11"/>
      <c r="Q21" s="11" t="s">
        <v>35</v>
      </c>
      <c r="R21" s="12" t="str">
        <f>_xlfn.XLOOKUP(Q21,Tab_Def_Flows[Name(EN)],Tab_Def_Flows[Flow_ID],,0,)</f>
        <v>N.A.</v>
      </c>
      <c r="S21" s="11" t="s">
        <v>35</v>
      </c>
      <c r="T21" s="12" t="str">
        <f>_xlfn.XLOOKUP(S21,Tab_Def_Flows[Name(EN)],Tab_Def_Flows[Flow_ID],,0,)</f>
        <v>N.A.</v>
      </c>
      <c r="U21" s="11" t="s">
        <v>35</v>
      </c>
      <c r="V21" s="12" t="str">
        <f>_xlfn.XLOOKUP(U21,Tab_Def_Flows[Name(EN)],Tab_Def_Flows[Flow_ID],,0,)</f>
        <v>N.A.</v>
      </c>
      <c r="W21" s="11" t="s">
        <v>35</v>
      </c>
      <c r="X21" s="12" t="str">
        <f>_xlfn.XLOOKUP(W21,Tab_Def_Flows[Name(EN)],Tab_Def_Flows[Flow_ID],,0,)</f>
        <v>N.A.</v>
      </c>
      <c r="Y21" s="11" t="s">
        <v>35</v>
      </c>
      <c r="Z21" s="13" t="str">
        <f>_xlfn.XLOOKUP(Y21,Tab_Def_Flows[Name(EN)],Tab_Def_Flows[Flow_ID],,0,)</f>
        <v>N.A.</v>
      </c>
      <c r="AA21" s="189" t="s">
        <v>35</v>
      </c>
      <c r="AB21" s="12" t="str">
        <f>_xlfn.XLOOKUP(AA21,Tab_Def_Flows[Name(EN)],Tab_Def_Flows[Flow_ID],,0,)</f>
        <v>N.A.</v>
      </c>
      <c r="AC21" s="189" t="s">
        <v>35</v>
      </c>
      <c r="AD21" s="12" t="str">
        <f>_xlfn.XLOOKUP(AC21,Tab_Def_Flows[Name(EN)],Tab_Def_Flows[Flow_ID],,0,)</f>
        <v>N.A.</v>
      </c>
      <c r="AE21" s="189" t="s">
        <v>35</v>
      </c>
      <c r="AF21" s="12" t="str">
        <f>_xlfn.XLOOKUP(AE21,Tab_Def_Flows[Name(EN)],Tab_Def_Flows[Flow_ID],,0,)</f>
        <v>N.A.</v>
      </c>
      <c r="AG21" s="189" t="s">
        <v>35</v>
      </c>
      <c r="AH21" s="12" t="str">
        <f>_xlfn.XLOOKUP(AG21,Tab_Def_Flows[Name(EN)],Tab_Def_Flows[Flow_ID],,0,)</f>
        <v>N.A.</v>
      </c>
      <c r="AI21" s="189" t="s">
        <v>35</v>
      </c>
      <c r="AJ21" s="12" t="str">
        <f>_xlfn.XLOOKUP(AI21,Tab_Def_Flows[Name(EN)],Tab_Def_Flows[Flow_ID],,0,)</f>
        <v>N.A.</v>
      </c>
      <c r="AK21" s="189" t="s">
        <v>35</v>
      </c>
      <c r="AL21" s="13" t="str">
        <f>_xlfn.XLOOKUP(AK21,Tab_Def_Flows[Name(EN)],Tab_Def_Flows[Flow_ID],,0,)</f>
        <v>N.A.</v>
      </c>
    </row>
    <row r="22" spans="1:38" x14ac:dyDescent="0.25">
      <c r="A22" s="194" t="b">
        <v>0</v>
      </c>
      <c r="B22" s="43" t="s">
        <v>155</v>
      </c>
      <c r="C22" s="9" t="str">
        <f t="shared" si="0"/>
        <v>20</v>
      </c>
      <c r="D22" s="11"/>
      <c r="E22" s="11"/>
      <c r="F22" s="11"/>
      <c r="G22" s="11"/>
      <c r="H22" s="37"/>
      <c r="I22" s="189"/>
      <c r="J22" s="189"/>
      <c r="K22" s="189"/>
      <c r="L22" s="189"/>
      <c r="M22" s="189"/>
      <c r="N22" s="189"/>
      <c r="O22" s="189"/>
      <c r="P22" s="11"/>
      <c r="Q22" s="11" t="s">
        <v>35</v>
      </c>
      <c r="R22" s="12" t="str">
        <f>_xlfn.XLOOKUP(Q22,Tab_Def_Flows[Name(EN)],Tab_Def_Flows[Flow_ID],,0,)</f>
        <v>N.A.</v>
      </c>
      <c r="S22" s="11" t="s">
        <v>35</v>
      </c>
      <c r="T22" s="12" t="str">
        <f>_xlfn.XLOOKUP(S22,Tab_Def_Flows[Name(EN)],Tab_Def_Flows[Flow_ID],,0,)</f>
        <v>N.A.</v>
      </c>
      <c r="U22" s="11" t="s">
        <v>35</v>
      </c>
      <c r="V22" s="12" t="str">
        <f>_xlfn.XLOOKUP(U22,Tab_Def_Flows[Name(EN)],Tab_Def_Flows[Flow_ID],,0,)</f>
        <v>N.A.</v>
      </c>
      <c r="W22" s="11" t="s">
        <v>35</v>
      </c>
      <c r="X22" s="12" t="str">
        <f>_xlfn.XLOOKUP(W22,Tab_Def_Flows[Name(EN)],Tab_Def_Flows[Flow_ID],,0,)</f>
        <v>N.A.</v>
      </c>
      <c r="Y22" s="11" t="s">
        <v>35</v>
      </c>
      <c r="Z22" s="13" t="str">
        <f>_xlfn.XLOOKUP(Y22,Tab_Def_Flows[Name(EN)],Tab_Def_Flows[Flow_ID],,0,)</f>
        <v>N.A.</v>
      </c>
      <c r="AA22" s="189" t="s">
        <v>35</v>
      </c>
      <c r="AB22" s="12" t="str">
        <f>_xlfn.XLOOKUP(AA22,Tab_Def_Flows[Name(EN)],Tab_Def_Flows[Flow_ID],,0,)</f>
        <v>N.A.</v>
      </c>
      <c r="AC22" s="189" t="s">
        <v>35</v>
      </c>
      <c r="AD22" s="12" t="str">
        <f>_xlfn.XLOOKUP(AC22,Tab_Def_Flows[Name(EN)],Tab_Def_Flows[Flow_ID],,0,)</f>
        <v>N.A.</v>
      </c>
      <c r="AE22" s="189" t="s">
        <v>35</v>
      </c>
      <c r="AF22" s="12" t="str">
        <f>_xlfn.XLOOKUP(AE22,Tab_Def_Flows[Name(EN)],Tab_Def_Flows[Flow_ID],,0,)</f>
        <v>N.A.</v>
      </c>
      <c r="AG22" s="189" t="s">
        <v>35</v>
      </c>
      <c r="AH22" s="12" t="str">
        <f>_xlfn.XLOOKUP(AG22,Tab_Def_Flows[Name(EN)],Tab_Def_Flows[Flow_ID],,0,)</f>
        <v>N.A.</v>
      </c>
      <c r="AI22" s="189" t="s">
        <v>35</v>
      </c>
      <c r="AJ22" s="12" t="str">
        <f>_xlfn.XLOOKUP(AI22,Tab_Def_Flows[Name(EN)],Tab_Def_Flows[Flow_ID],,0,)</f>
        <v>N.A.</v>
      </c>
      <c r="AK22" s="189" t="s">
        <v>35</v>
      </c>
      <c r="AL22" s="13" t="str">
        <f>_xlfn.XLOOKUP(AK22,Tab_Def_Flows[Name(EN)],Tab_Def_Flows[Flow_ID],,0,)</f>
        <v>N.A.</v>
      </c>
    </row>
    <row r="23" spans="1:38" x14ac:dyDescent="0.25">
      <c r="A23" s="194" t="b">
        <v>0</v>
      </c>
      <c r="B23" s="43" t="s">
        <v>156</v>
      </c>
      <c r="C23" s="9" t="str">
        <f t="shared" si="0"/>
        <v>21</v>
      </c>
      <c r="D23" s="11"/>
      <c r="E23" s="11"/>
      <c r="F23" s="11"/>
      <c r="G23" s="11"/>
      <c r="H23" s="37"/>
      <c r="I23" s="189"/>
      <c r="J23" s="189"/>
      <c r="K23" s="189"/>
      <c r="L23" s="189"/>
      <c r="M23" s="189"/>
      <c r="N23" s="189"/>
      <c r="O23" s="189"/>
      <c r="P23" s="11"/>
      <c r="Q23" s="11" t="s">
        <v>35</v>
      </c>
      <c r="R23" s="12" t="str">
        <f>_xlfn.XLOOKUP(Q23,Tab_Def_Flows[Name(EN)],Tab_Def_Flows[Flow_ID],,0,)</f>
        <v>N.A.</v>
      </c>
      <c r="S23" s="11" t="s">
        <v>35</v>
      </c>
      <c r="T23" s="12" t="str">
        <f>_xlfn.XLOOKUP(S23,Tab_Def_Flows[Name(EN)],Tab_Def_Flows[Flow_ID],,0,)</f>
        <v>N.A.</v>
      </c>
      <c r="U23" s="11" t="s">
        <v>35</v>
      </c>
      <c r="V23" s="12" t="str">
        <f>_xlfn.XLOOKUP(U23,Tab_Def_Flows[Name(EN)],Tab_Def_Flows[Flow_ID],,0,)</f>
        <v>N.A.</v>
      </c>
      <c r="W23" s="11" t="s">
        <v>35</v>
      </c>
      <c r="X23" s="12" t="str">
        <f>_xlfn.XLOOKUP(W23,Tab_Def_Flows[Name(EN)],Tab_Def_Flows[Flow_ID],,0,)</f>
        <v>N.A.</v>
      </c>
      <c r="Y23" s="11" t="s">
        <v>35</v>
      </c>
      <c r="Z23" s="13" t="str">
        <f>_xlfn.XLOOKUP(Y23,Tab_Def_Flows[Name(EN)],Tab_Def_Flows[Flow_ID],,0,)</f>
        <v>N.A.</v>
      </c>
      <c r="AA23" s="189" t="s">
        <v>35</v>
      </c>
      <c r="AB23" s="12" t="str">
        <f>_xlfn.XLOOKUP(AA23,Tab_Def_Flows[Name(EN)],Tab_Def_Flows[Flow_ID],,0,)</f>
        <v>N.A.</v>
      </c>
      <c r="AC23" s="189" t="s">
        <v>35</v>
      </c>
      <c r="AD23" s="12" t="str">
        <f>_xlfn.XLOOKUP(AC23,Tab_Def_Flows[Name(EN)],Tab_Def_Flows[Flow_ID],,0,)</f>
        <v>N.A.</v>
      </c>
      <c r="AE23" s="189" t="s">
        <v>35</v>
      </c>
      <c r="AF23" s="12" t="str">
        <f>_xlfn.XLOOKUP(AE23,Tab_Def_Flows[Name(EN)],Tab_Def_Flows[Flow_ID],,0,)</f>
        <v>N.A.</v>
      </c>
      <c r="AG23" s="189" t="s">
        <v>35</v>
      </c>
      <c r="AH23" s="12" t="str">
        <f>_xlfn.XLOOKUP(AG23,Tab_Def_Flows[Name(EN)],Tab_Def_Flows[Flow_ID],,0,)</f>
        <v>N.A.</v>
      </c>
      <c r="AI23" s="189" t="s">
        <v>35</v>
      </c>
      <c r="AJ23" s="12" t="str">
        <f>_xlfn.XLOOKUP(AI23,Tab_Def_Flows[Name(EN)],Tab_Def_Flows[Flow_ID],,0,)</f>
        <v>N.A.</v>
      </c>
      <c r="AK23" s="189" t="s">
        <v>35</v>
      </c>
      <c r="AL23" s="13" t="str">
        <f>_xlfn.XLOOKUP(AK23,Tab_Def_Flows[Name(EN)],Tab_Def_Flows[Flow_ID],,0,)</f>
        <v>N.A.</v>
      </c>
    </row>
    <row r="24" spans="1:38" x14ac:dyDescent="0.25">
      <c r="A24" s="194" t="b">
        <v>0</v>
      </c>
      <c r="B24" s="43" t="s">
        <v>157</v>
      </c>
      <c r="C24" s="9" t="str">
        <f t="shared" si="0"/>
        <v>22</v>
      </c>
      <c r="D24" s="11"/>
      <c r="E24" s="11"/>
      <c r="F24" s="11"/>
      <c r="G24" s="11"/>
      <c r="H24" s="37"/>
      <c r="I24" s="189"/>
      <c r="J24" s="189"/>
      <c r="K24" s="189"/>
      <c r="L24" s="189"/>
      <c r="M24" s="189"/>
      <c r="N24" s="189"/>
      <c r="O24" s="189"/>
      <c r="P24" s="11"/>
      <c r="Q24" s="11" t="s">
        <v>35</v>
      </c>
      <c r="R24" s="12" t="str">
        <f>_xlfn.XLOOKUP(Q24,Tab_Def_Flows[Name(EN)],Tab_Def_Flows[Flow_ID],,0,)</f>
        <v>N.A.</v>
      </c>
      <c r="S24" s="11" t="s">
        <v>35</v>
      </c>
      <c r="T24" s="12" t="str">
        <f>_xlfn.XLOOKUP(S24,Tab_Def_Flows[Name(EN)],Tab_Def_Flows[Flow_ID],,0,)</f>
        <v>N.A.</v>
      </c>
      <c r="U24" s="11" t="s">
        <v>35</v>
      </c>
      <c r="V24" s="12" t="str">
        <f>_xlfn.XLOOKUP(U24,Tab_Def_Flows[Name(EN)],Tab_Def_Flows[Flow_ID],,0,)</f>
        <v>N.A.</v>
      </c>
      <c r="W24" s="11" t="s">
        <v>35</v>
      </c>
      <c r="X24" s="12" t="str">
        <f>_xlfn.XLOOKUP(W24,Tab_Def_Flows[Name(EN)],Tab_Def_Flows[Flow_ID],,0,)</f>
        <v>N.A.</v>
      </c>
      <c r="Y24" s="11" t="s">
        <v>35</v>
      </c>
      <c r="Z24" s="13" t="str">
        <f>_xlfn.XLOOKUP(Y24,Tab_Def_Flows[Name(EN)],Tab_Def_Flows[Flow_ID],,0,)</f>
        <v>N.A.</v>
      </c>
      <c r="AA24" s="189" t="s">
        <v>35</v>
      </c>
      <c r="AB24" s="12" t="str">
        <f>_xlfn.XLOOKUP(AA24,Tab_Def_Flows[Name(EN)],Tab_Def_Flows[Flow_ID],,0,)</f>
        <v>N.A.</v>
      </c>
      <c r="AC24" s="189" t="s">
        <v>35</v>
      </c>
      <c r="AD24" s="12" t="str">
        <f>_xlfn.XLOOKUP(AC24,Tab_Def_Flows[Name(EN)],Tab_Def_Flows[Flow_ID],,0,)</f>
        <v>N.A.</v>
      </c>
      <c r="AE24" s="189" t="s">
        <v>35</v>
      </c>
      <c r="AF24" s="12" t="str">
        <f>_xlfn.XLOOKUP(AE24,Tab_Def_Flows[Name(EN)],Tab_Def_Flows[Flow_ID],,0,)</f>
        <v>N.A.</v>
      </c>
      <c r="AG24" s="189" t="s">
        <v>35</v>
      </c>
      <c r="AH24" s="12" t="str">
        <f>_xlfn.XLOOKUP(AG24,Tab_Def_Flows[Name(EN)],Tab_Def_Flows[Flow_ID],,0,)</f>
        <v>N.A.</v>
      </c>
      <c r="AI24" s="189" t="s">
        <v>35</v>
      </c>
      <c r="AJ24" s="12" t="str">
        <f>_xlfn.XLOOKUP(AI24,Tab_Def_Flows[Name(EN)],Tab_Def_Flows[Flow_ID],,0,)</f>
        <v>N.A.</v>
      </c>
      <c r="AK24" s="189" t="s">
        <v>35</v>
      </c>
      <c r="AL24" s="13" t="str">
        <f>_xlfn.XLOOKUP(AK24,Tab_Def_Flows[Name(EN)],Tab_Def_Flows[Flow_ID],,0,)</f>
        <v>N.A.</v>
      </c>
    </row>
    <row r="25" spans="1:38" x14ac:dyDescent="0.25">
      <c r="A25" s="194" t="b">
        <v>0</v>
      </c>
      <c r="B25" s="43" t="s">
        <v>158</v>
      </c>
      <c r="C25" s="9" t="str">
        <f t="shared" si="0"/>
        <v>23</v>
      </c>
      <c r="D25" s="11"/>
      <c r="E25" s="11"/>
      <c r="F25" s="11"/>
      <c r="G25" s="11"/>
      <c r="H25" s="37"/>
      <c r="I25" s="189"/>
      <c r="J25" s="189"/>
      <c r="K25" s="189"/>
      <c r="L25" s="189"/>
      <c r="M25" s="189"/>
      <c r="N25" s="189"/>
      <c r="O25" s="189"/>
      <c r="P25" s="11"/>
      <c r="Q25" s="11" t="s">
        <v>35</v>
      </c>
      <c r="R25" s="12" t="str">
        <f>_xlfn.XLOOKUP(Q25,Tab_Def_Flows[Name(EN)],Tab_Def_Flows[Flow_ID],,0,)</f>
        <v>N.A.</v>
      </c>
      <c r="S25" s="11" t="s">
        <v>35</v>
      </c>
      <c r="T25" s="12" t="str">
        <f>_xlfn.XLOOKUP(S25,Tab_Def_Flows[Name(EN)],Tab_Def_Flows[Flow_ID],,0,)</f>
        <v>N.A.</v>
      </c>
      <c r="U25" s="11" t="s">
        <v>35</v>
      </c>
      <c r="V25" s="12" t="str">
        <f>_xlfn.XLOOKUP(U25,Tab_Def_Flows[Name(EN)],Tab_Def_Flows[Flow_ID],,0,)</f>
        <v>N.A.</v>
      </c>
      <c r="W25" s="11" t="s">
        <v>35</v>
      </c>
      <c r="X25" s="12" t="str">
        <f>_xlfn.XLOOKUP(W25,Tab_Def_Flows[Name(EN)],Tab_Def_Flows[Flow_ID],,0,)</f>
        <v>N.A.</v>
      </c>
      <c r="Y25" s="11" t="s">
        <v>35</v>
      </c>
      <c r="Z25" s="13" t="str">
        <f>_xlfn.XLOOKUP(Y25,Tab_Def_Flows[Name(EN)],Tab_Def_Flows[Flow_ID],,0,)</f>
        <v>N.A.</v>
      </c>
      <c r="AA25" s="189" t="s">
        <v>35</v>
      </c>
      <c r="AB25" s="12" t="str">
        <f>_xlfn.XLOOKUP(AA25,Tab_Def_Flows[Name(EN)],Tab_Def_Flows[Flow_ID],,0,)</f>
        <v>N.A.</v>
      </c>
      <c r="AC25" s="189" t="s">
        <v>35</v>
      </c>
      <c r="AD25" s="12" t="str">
        <f>_xlfn.XLOOKUP(AC25,Tab_Def_Flows[Name(EN)],Tab_Def_Flows[Flow_ID],,0,)</f>
        <v>N.A.</v>
      </c>
      <c r="AE25" s="189" t="s">
        <v>35</v>
      </c>
      <c r="AF25" s="12" t="str">
        <f>_xlfn.XLOOKUP(AE25,Tab_Def_Flows[Name(EN)],Tab_Def_Flows[Flow_ID],,0,)</f>
        <v>N.A.</v>
      </c>
      <c r="AG25" s="189" t="s">
        <v>35</v>
      </c>
      <c r="AH25" s="12" t="str">
        <f>_xlfn.XLOOKUP(AG25,Tab_Def_Flows[Name(EN)],Tab_Def_Flows[Flow_ID],,0,)</f>
        <v>N.A.</v>
      </c>
      <c r="AI25" s="189" t="s">
        <v>35</v>
      </c>
      <c r="AJ25" s="12" t="str">
        <f>_xlfn.XLOOKUP(AI25,Tab_Def_Flows[Name(EN)],Tab_Def_Flows[Flow_ID],,0,)</f>
        <v>N.A.</v>
      </c>
      <c r="AK25" s="189" t="s">
        <v>35</v>
      </c>
      <c r="AL25" s="13" t="str">
        <f>_xlfn.XLOOKUP(AK25,Tab_Def_Flows[Name(EN)],Tab_Def_Flows[Flow_ID],,0,)</f>
        <v>N.A.</v>
      </c>
    </row>
    <row r="26" spans="1:38" x14ac:dyDescent="0.25">
      <c r="A26" s="194" t="b">
        <v>0</v>
      </c>
      <c r="B26" s="43" t="s">
        <v>159</v>
      </c>
      <c r="C26" s="9" t="str">
        <f t="shared" si="0"/>
        <v>24</v>
      </c>
      <c r="D26" s="11"/>
      <c r="E26" s="11"/>
      <c r="F26" s="11"/>
      <c r="G26" s="11"/>
      <c r="H26" s="37"/>
      <c r="I26" s="189"/>
      <c r="J26" s="189"/>
      <c r="K26" s="189"/>
      <c r="L26" s="189"/>
      <c r="M26" s="189"/>
      <c r="N26" s="189"/>
      <c r="O26" s="189"/>
      <c r="P26" s="11"/>
      <c r="Q26" s="11" t="s">
        <v>35</v>
      </c>
      <c r="R26" s="12" t="str">
        <f>_xlfn.XLOOKUP(Q26,Tab_Def_Flows[Name(EN)],Tab_Def_Flows[Flow_ID],,0,)</f>
        <v>N.A.</v>
      </c>
      <c r="S26" s="11" t="s">
        <v>35</v>
      </c>
      <c r="T26" s="12" t="str">
        <f>_xlfn.XLOOKUP(S26,Tab_Def_Flows[Name(EN)],Tab_Def_Flows[Flow_ID],,0,)</f>
        <v>N.A.</v>
      </c>
      <c r="U26" s="11" t="s">
        <v>35</v>
      </c>
      <c r="V26" s="12" t="str">
        <f>_xlfn.XLOOKUP(U26,Tab_Def_Flows[Name(EN)],Tab_Def_Flows[Flow_ID],,0,)</f>
        <v>N.A.</v>
      </c>
      <c r="W26" s="11" t="s">
        <v>35</v>
      </c>
      <c r="X26" s="12" t="str">
        <f>_xlfn.XLOOKUP(W26,Tab_Def_Flows[Name(EN)],Tab_Def_Flows[Flow_ID],,0,)</f>
        <v>N.A.</v>
      </c>
      <c r="Y26" s="11" t="s">
        <v>35</v>
      </c>
      <c r="Z26" s="13" t="str">
        <f>_xlfn.XLOOKUP(Y26,Tab_Def_Flows[Name(EN)],Tab_Def_Flows[Flow_ID],,0,)</f>
        <v>N.A.</v>
      </c>
      <c r="AA26" s="189" t="s">
        <v>35</v>
      </c>
      <c r="AB26" s="12" t="str">
        <f>_xlfn.XLOOKUP(AA26,Tab_Def_Flows[Name(EN)],Tab_Def_Flows[Flow_ID],,0,)</f>
        <v>N.A.</v>
      </c>
      <c r="AC26" s="189" t="s">
        <v>35</v>
      </c>
      <c r="AD26" s="12" t="str">
        <f>_xlfn.XLOOKUP(AC26,Tab_Def_Flows[Name(EN)],Tab_Def_Flows[Flow_ID],,0,)</f>
        <v>N.A.</v>
      </c>
      <c r="AE26" s="189" t="s">
        <v>35</v>
      </c>
      <c r="AF26" s="12" t="str">
        <f>_xlfn.XLOOKUP(AE26,Tab_Def_Flows[Name(EN)],Tab_Def_Flows[Flow_ID],,0,)</f>
        <v>N.A.</v>
      </c>
      <c r="AG26" s="189" t="s">
        <v>35</v>
      </c>
      <c r="AH26" s="12" t="str">
        <f>_xlfn.XLOOKUP(AG26,Tab_Def_Flows[Name(EN)],Tab_Def_Flows[Flow_ID],,0,)</f>
        <v>N.A.</v>
      </c>
      <c r="AI26" s="189" t="s">
        <v>35</v>
      </c>
      <c r="AJ26" s="12" t="str">
        <f>_xlfn.XLOOKUP(AI26,Tab_Def_Flows[Name(EN)],Tab_Def_Flows[Flow_ID],,0,)</f>
        <v>N.A.</v>
      </c>
      <c r="AK26" s="189" t="s">
        <v>35</v>
      </c>
      <c r="AL26" s="13" t="str">
        <f>_xlfn.XLOOKUP(AK26,Tab_Def_Flows[Name(EN)],Tab_Def_Flows[Flow_ID],,0,)</f>
        <v>N.A.</v>
      </c>
    </row>
    <row r="27" spans="1:38" x14ac:dyDescent="0.25">
      <c r="A27" s="194" t="b">
        <v>0</v>
      </c>
      <c r="B27" s="43" t="s">
        <v>160</v>
      </c>
      <c r="C27" s="9" t="str">
        <f t="shared" si="0"/>
        <v>25</v>
      </c>
      <c r="D27" s="11"/>
      <c r="E27" s="11"/>
      <c r="F27" s="11"/>
      <c r="G27" s="11"/>
      <c r="H27" s="37"/>
      <c r="I27" s="189"/>
      <c r="J27" s="189"/>
      <c r="K27" s="189"/>
      <c r="L27" s="189"/>
      <c r="M27" s="189"/>
      <c r="N27" s="189"/>
      <c r="O27" s="189"/>
      <c r="P27" s="11"/>
      <c r="Q27" s="11" t="s">
        <v>35</v>
      </c>
      <c r="R27" s="12" t="str">
        <f>_xlfn.XLOOKUP(Q27,Tab_Def_Flows[Name(EN)],Tab_Def_Flows[Flow_ID],,0,)</f>
        <v>N.A.</v>
      </c>
      <c r="S27" s="11" t="s">
        <v>35</v>
      </c>
      <c r="T27" s="12" t="str">
        <f>_xlfn.XLOOKUP(S27,Tab_Def_Flows[Name(EN)],Tab_Def_Flows[Flow_ID],,0,)</f>
        <v>N.A.</v>
      </c>
      <c r="U27" s="11" t="s">
        <v>35</v>
      </c>
      <c r="V27" s="12" t="str">
        <f>_xlfn.XLOOKUP(U27,Tab_Def_Flows[Name(EN)],Tab_Def_Flows[Flow_ID],,0,)</f>
        <v>N.A.</v>
      </c>
      <c r="W27" s="11" t="s">
        <v>35</v>
      </c>
      <c r="X27" s="12" t="str">
        <f>_xlfn.XLOOKUP(W27,Tab_Def_Flows[Name(EN)],Tab_Def_Flows[Flow_ID],,0,)</f>
        <v>N.A.</v>
      </c>
      <c r="Y27" s="11" t="s">
        <v>35</v>
      </c>
      <c r="Z27" s="13" t="str">
        <f>_xlfn.XLOOKUP(Y27,Tab_Def_Flows[Name(EN)],Tab_Def_Flows[Flow_ID],,0,)</f>
        <v>N.A.</v>
      </c>
      <c r="AA27" s="189" t="s">
        <v>35</v>
      </c>
      <c r="AB27" s="12" t="str">
        <f>_xlfn.XLOOKUP(AA27,Tab_Def_Flows[Name(EN)],Tab_Def_Flows[Flow_ID],,0,)</f>
        <v>N.A.</v>
      </c>
      <c r="AC27" s="189" t="s">
        <v>35</v>
      </c>
      <c r="AD27" s="12" t="str">
        <f>_xlfn.XLOOKUP(AC27,Tab_Def_Flows[Name(EN)],Tab_Def_Flows[Flow_ID],,0,)</f>
        <v>N.A.</v>
      </c>
      <c r="AE27" s="189" t="s">
        <v>35</v>
      </c>
      <c r="AF27" s="12" t="str">
        <f>_xlfn.XLOOKUP(AE27,Tab_Def_Flows[Name(EN)],Tab_Def_Flows[Flow_ID],,0,)</f>
        <v>N.A.</v>
      </c>
      <c r="AG27" s="189" t="s">
        <v>35</v>
      </c>
      <c r="AH27" s="12" t="str">
        <f>_xlfn.XLOOKUP(AG27,Tab_Def_Flows[Name(EN)],Tab_Def_Flows[Flow_ID],,0,)</f>
        <v>N.A.</v>
      </c>
      <c r="AI27" s="189" t="s">
        <v>35</v>
      </c>
      <c r="AJ27" s="12" t="str">
        <f>_xlfn.XLOOKUP(AI27,Tab_Def_Flows[Name(EN)],Tab_Def_Flows[Flow_ID],,0,)</f>
        <v>N.A.</v>
      </c>
      <c r="AK27" s="189" t="s">
        <v>35</v>
      </c>
      <c r="AL27" s="13" t="str">
        <f>_xlfn.XLOOKUP(AK27,Tab_Def_Flows[Name(EN)],Tab_Def_Flows[Flow_ID],,0,)</f>
        <v>N.A.</v>
      </c>
    </row>
    <row r="28" spans="1:38" x14ac:dyDescent="0.25">
      <c r="A28" s="194" t="b">
        <v>0</v>
      </c>
      <c r="B28" s="43" t="s">
        <v>161</v>
      </c>
      <c r="C28" s="9" t="str">
        <f t="shared" si="0"/>
        <v>26</v>
      </c>
      <c r="D28" s="11"/>
      <c r="E28" s="11"/>
      <c r="F28" s="11"/>
      <c r="G28" s="11"/>
      <c r="H28" s="37"/>
      <c r="I28" s="189"/>
      <c r="J28" s="189"/>
      <c r="K28" s="189"/>
      <c r="L28" s="189"/>
      <c r="M28" s="189"/>
      <c r="N28" s="189"/>
      <c r="O28" s="189"/>
      <c r="P28" s="11"/>
      <c r="Q28" s="11" t="s">
        <v>35</v>
      </c>
      <c r="R28" s="12" t="str">
        <f>_xlfn.XLOOKUP(Q28,Tab_Def_Flows[Name(EN)],Tab_Def_Flows[Flow_ID],,0,)</f>
        <v>N.A.</v>
      </c>
      <c r="S28" s="11" t="s">
        <v>35</v>
      </c>
      <c r="T28" s="12" t="str">
        <f>_xlfn.XLOOKUP(S28,Tab_Def_Flows[Name(EN)],Tab_Def_Flows[Flow_ID],,0,)</f>
        <v>N.A.</v>
      </c>
      <c r="U28" s="11" t="s">
        <v>35</v>
      </c>
      <c r="V28" s="12" t="str">
        <f>_xlfn.XLOOKUP(U28,Tab_Def_Flows[Name(EN)],Tab_Def_Flows[Flow_ID],,0,)</f>
        <v>N.A.</v>
      </c>
      <c r="W28" s="11" t="s">
        <v>35</v>
      </c>
      <c r="X28" s="12" t="str">
        <f>_xlfn.XLOOKUP(W28,Tab_Def_Flows[Name(EN)],Tab_Def_Flows[Flow_ID],,0,)</f>
        <v>N.A.</v>
      </c>
      <c r="Y28" s="11" t="s">
        <v>35</v>
      </c>
      <c r="Z28" s="13" t="str">
        <f>_xlfn.XLOOKUP(Y28,Tab_Def_Flows[Name(EN)],Tab_Def_Flows[Flow_ID],,0,)</f>
        <v>N.A.</v>
      </c>
      <c r="AA28" s="189" t="s">
        <v>35</v>
      </c>
      <c r="AB28" s="12" t="str">
        <f>_xlfn.XLOOKUP(AA28,Tab_Def_Flows[Name(EN)],Tab_Def_Flows[Flow_ID],,0,)</f>
        <v>N.A.</v>
      </c>
      <c r="AC28" s="189" t="s">
        <v>35</v>
      </c>
      <c r="AD28" s="12" t="str">
        <f>_xlfn.XLOOKUP(AC28,Tab_Def_Flows[Name(EN)],Tab_Def_Flows[Flow_ID],,0,)</f>
        <v>N.A.</v>
      </c>
      <c r="AE28" s="189" t="s">
        <v>35</v>
      </c>
      <c r="AF28" s="12" t="str">
        <f>_xlfn.XLOOKUP(AE28,Tab_Def_Flows[Name(EN)],Tab_Def_Flows[Flow_ID],,0,)</f>
        <v>N.A.</v>
      </c>
      <c r="AG28" s="189" t="s">
        <v>35</v>
      </c>
      <c r="AH28" s="12" t="str">
        <f>_xlfn.XLOOKUP(AG28,Tab_Def_Flows[Name(EN)],Tab_Def_Flows[Flow_ID],,0,)</f>
        <v>N.A.</v>
      </c>
      <c r="AI28" s="189" t="s">
        <v>35</v>
      </c>
      <c r="AJ28" s="12" t="str">
        <f>_xlfn.XLOOKUP(AI28,Tab_Def_Flows[Name(EN)],Tab_Def_Flows[Flow_ID],,0,)</f>
        <v>N.A.</v>
      </c>
      <c r="AK28" s="189" t="s">
        <v>35</v>
      </c>
      <c r="AL28" s="13" t="str">
        <f>_xlfn.XLOOKUP(AK28,Tab_Def_Flows[Name(EN)],Tab_Def_Flows[Flow_ID],,0,)</f>
        <v>N.A.</v>
      </c>
    </row>
    <row r="29" spans="1:38" x14ac:dyDescent="0.25">
      <c r="A29" s="194" t="b">
        <v>0</v>
      </c>
      <c r="B29" s="43" t="s">
        <v>162</v>
      </c>
      <c r="C29" s="9" t="str">
        <f t="shared" si="0"/>
        <v>27</v>
      </c>
      <c r="D29" s="11"/>
      <c r="E29" s="11"/>
      <c r="F29" s="11"/>
      <c r="G29" s="11"/>
      <c r="H29" s="37"/>
      <c r="I29" s="189"/>
      <c r="J29" s="189"/>
      <c r="K29" s="189"/>
      <c r="L29" s="189"/>
      <c r="M29" s="189"/>
      <c r="N29" s="189"/>
      <c r="O29" s="189"/>
      <c r="P29" s="11"/>
      <c r="Q29" s="11" t="s">
        <v>35</v>
      </c>
      <c r="R29" s="12" t="str">
        <f>_xlfn.XLOOKUP(Q29,Tab_Def_Flows[Name(EN)],Tab_Def_Flows[Flow_ID],,0,)</f>
        <v>N.A.</v>
      </c>
      <c r="S29" s="11" t="s">
        <v>35</v>
      </c>
      <c r="T29" s="12" t="str">
        <f>_xlfn.XLOOKUP(S29,Tab_Def_Flows[Name(EN)],Tab_Def_Flows[Flow_ID],,0,)</f>
        <v>N.A.</v>
      </c>
      <c r="U29" s="11" t="s">
        <v>35</v>
      </c>
      <c r="V29" s="12" t="str">
        <f>_xlfn.XLOOKUP(U29,Tab_Def_Flows[Name(EN)],Tab_Def_Flows[Flow_ID],,0,)</f>
        <v>N.A.</v>
      </c>
      <c r="W29" s="11" t="s">
        <v>35</v>
      </c>
      <c r="X29" s="12" t="str">
        <f>_xlfn.XLOOKUP(W29,Tab_Def_Flows[Name(EN)],Tab_Def_Flows[Flow_ID],,0,)</f>
        <v>N.A.</v>
      </c>
      <c r="Y29" s="11" t="s">
        <v>35</v>
      </c>
      <c r="Z29" s="13" t="str">
        <f>_xlfn.XLOOKUP(Y29,Tab_Def_Flows[Name(EN)],Tab_Def_Flows[Flow_ID],,0,)</f>
        <v>N.A.</v>
      </c>
      <c r="AA29" s="189" t="s">
        <v>35</v>
      </c>
      <c r="AB29" s="12" t="str">
        <f>_xlfn.XLOOKUP(AA29,Tab_Def_Flows[Name(EN)],Tab_Def_Flows[Flow_ID],,0,)</f>
        <v>N.A.</v>
      </c>
      <c r="AC29" s="189" t="s">
        <v>35</v>
      </c>
      <c r="AD29" s="12" t="str">
        <f>_xlfn.XLOOKUP(AC29,Tab_Def_Flows[Name(EN)],Tab_Def_Flows[Flow_ID],,0,)</f>
        <v>N.A.</v>
      </c>
      <c r="AE29" s="189" t="s">
        <v>35</v>
      </c>
      <c r="AF29" s="12" t="str">
        <f>_xlfn.XLOOKUP(AE29,Tab_Def_Flows[Name(EN)],Tab_Def_Flows[Flow_ID],,0,)</f>
        <v>N.A.</v>
      </c>
      <c r="AG29" s="189" t="s">
        <v>35</v>
      </c>
      <c r="AH29" s="12" t="str">
        <f>_xlfn.XLOOKUP(AG29,Tab_Def_Flows[Name(EN)],Tab_Def_Flows[Flow_ID],,0,)</f>
        <v>N.A.</v>
      </c>
      <c r="AI29" s="189" t="s">
        <v>35</v>
      </c>
      <c r="AJ29" s="12" t="str">
        <f>_xlfn.XLOOKUP(AI29,Tab_Def_Flows[Name(EN)],Tab_Def_Flows[Flow_ID],,0,)</f>
        <v>N.A.</v>
      </c>
      <c r="AK29" s="189" t="s">
        <v>35</v>
      </c>
      <c r="AL29" s="13" t="str">
        <f>_xlfn.XLOOKUP(AK29,Tab_Def_Flows[Name(EN)],Tab_Def_Flows[Flow_ID],,0,)</f>
        <v>N.A.</v>
      </c>
    </row>
    <row r="30" spans="1:38" x14ac:dyDescent="0.25">
      <c r="A30" s="194" t="b">
        <v>0</v>
      </c>
      <c r="B30" s="43" t="s">
        <v>163</v>
      </c>
      <c r="C30" s="9" t="str">
        <f t="shared" si="0"/>
        <v>28</v>
      </c>
      <c r="D30" s="11"/>
      <c r="E30" s="11"/>
      <c r="F30" s="11"/>
      <c r="G30" s="11"/>
      <c r="H30" s="37"/>
      <c r="I30" s="189"/>
      <c r="J30" s="189"/>
      <c r="K30" s="189"/>
      <c r="L30" s="189"/>
      <c r="M30" s="189"/>
      <c r="N30" s="189"/>
      <c r="O30" s="189"/>
      <c r="P30" s="11"/>
      <c r="Q30" s="11" t="s">
        <v>35</v>
      </c>
      <c r="R30" s="12" t="str">
        <f>_xlfn.XLOOKUP(Q30,Tab_Def_Flows[Name(EN)],Tab_Def_Flows[Flow_ID],,0,)</f>
        <v>N.A.</v>
      </c>
      <c r="S30" s="11" t="s">
        <v>35</v>
      </c>
      <c r="T30" s="12" t="str">
        <f>_xlfn.XLOOKUP(S30,Tab_Def_Flows[Name(EN)],Tab_Def_Flows[Flow_ID],,0,)</f>
        <v>N.A.</v>
      </c>
      <c r="U30" s="11" t="s">
        <v>35</v>
      </c>
      <c r="V30" s="12" t="str">
        <f>_xlfn.XLOOKUP(U30,Tab_Def_Flows[Name(EN)],Tab_Def_Flows[Flow_ID],,0,)</f>
        <v>N.A.</v>
      </c>
      <c r="W30" s="11" t="s">
        <v>35</v>
      </c>
      <c r="X30" s="12" t="str">
        <f>_xlfn.XLOOKUP(W30,Tab_Def_Flows[Name(EN)],Tab_Def_Flows[Flow_ID],,0,)</f>
        <v>N.A.</v>
      </c>
      <c r="Y30" s="11" t="s">
        <v>35</v>
      </c>
      <c r="Z30" s="13" t="str">
        <f>_xlfn.XLOOKUP(Y30,Tab_Def_Flows[Name(EN)],Tab_Def_Flows[Flow_ID],,0,)</f>
        <v>N.A.</v>
      </c>
      <c r="AA30" s="189" t="s">
        <v>35</v>
      </c>
      <c r="AB30" s="12" t="str">
        <f>_xlfn.XLOOKUP(AA30,Tab_Def_Flows[Name(EN)],Tab_Def_Flows[Flow_ID],,0,)</f>
        <v>N.A.</v>
      </c>
      <c r="AC30" s="189" t="s">
        <v>35</v>
      </c>
      <c r="AD30" s="12" t="str">
        <f>_xlfn.XLOOKUP(AC30,Tab_Def_Flows[Name(EN)],Tab_Def_Flows[Flow_ID],,0,)</f>
        <v>N.A.</v>
      </c>
      <c r="AE30" s="189" t="s">
        <v>35</v>
      </c>
      <c r="AF30" s="12" t="str">
        <f>_xlfn.XLOOKUP(AE30,Tab_Def_Flows[Name(EN)],Tab_Def_Flows[Flow_ID],,0,)</f>
        <v>N.A.</v>
      </c>
      <c r="AG30" s="189" t="s">
        <v>35</v>
      </c>
      <c r="AH30" s="12" t="str">
        <f>_xlfn.XLOOKUP(AG30,Tab_Def_Flows[Name(EN)],Tab_Def_Flows[Flow_ID],,0,)</f>
        <v>N.A.</v>
      </c>
      <c r="AI30" s="189" t="s">
        <v>35</v>
      </c>
      <c r="AJ30" s="12" t="str">
        <f>_xlfn.XLOOKUP(AI30,Tab_Def_Flows[Name(EN)],Tab_Def_Flows[Flow_ID],,0,)</f>
        <v>N.A.</v>
      </c>
      <c r="AK30" s="189" t="s">
        <v>35</v>
      </c>
      <c r="AL30" s="13" t="str">
        <f>_xlfn.XLOOKUP(AK30,Tab_Def_Flows[Name(EN)],Tab_Def_Flows[Flow_ID],,0,)</f>
        <v>N.A.</v>
      </c>
    </row>
    <row r="31" spans="1:38" x14ac:dyDescent="0.25">
      <c r="A31" s="194" t="b">
        <v>0</v>
      </c>
      <c r="B31" s="43" t="s">
        <v>164</v>
      </c>
      <c r="C31" s="9" t="str">
        <f t="shared" si="0"/>
        <v>29</v>
      </c>
      <c r="D31" s="11"/>
      <c r="E31" s="11"/>
      <c r="F31" s="11"/>
      <c r="G31" s="11"/>
      <c r="H31" s="37"/>
      <c r="I31" s="189"/>
      <c r="J31" s="189"/>
      <c r="K31" s="189"/>
      <c r="L31" s="189"/>
      <c r="M31" s="189"/>
      <c r="N31" s="189"/>
      <c r="O31" s="189"/>
      <c r="P31" s="11"/>
      <c r="Q31" s="11" t="s">
        <v>35</v>
      </c>
      <c r="R31" s="12" t="str">
        <f>_xlfn.XLOOKUP(Q31,Tab_Def_Flows[Name(EN)],Tab_Def_Flows[Flow_ID],,0,)</f>
        <v>N.A.</v>
      </c>
      <c r="S31" s="11" t="s">
        <v>35</v>
      </c>
      <c r="T31" s="12" t="str">
        <f>_xlfn.XLOOKUP(S31,Tab_Def_Flows[Name(EN)],Tab_Def_Flows[Flow_ID],,0,)</f>
        <v>N.A.</v>
      </c>
      <c r="U31" s="11" t="s">
        <v>35</v>
      </c>
      <c r="V31" s="12" t="str">
        <f>_xlfn.XLOOKUP(U31,Tab_Def_Flows[Name(EN)],Tab_Def_Flows[Flow_ID],,0,)</f>
        <v>N.A.</v>
      </c>
      <c r="W31" s="11" t="s">
        <v>35</v>
      </c>
      <c r="X31" s="12" t="str">
        <f>_xlfn.XLOOKUP(W31,Tab_Def_Flows[Name(EN)],Tab_Def_Flows[Flow_ID],,0,)</f>
        <v>N.A.</v>
      </c>
      <c r="Y31" s="11" t="s">
        <v>35</v>
      </c>
      <c r="Z31" s="13" t="str">
        <f>_xlfn.XLOOKUP(Y31,Tab_Def_Flows[Name(EN)],Tab_Def_Flows[Flow_ID],,0,)</f>
        <v>N.A.</v>
      </c>
      <c r="AA31" s="189" t="s">
        <v>35</v>
      </c>
      <c r="AB31" s="12" t="str">
        <f>_xlfn.XLOOKUP(AA31,Tab_Def_Flows[Name(EN)],Tab_Def_Flows[Flow_ID],,0,)</f>
        <v>N.A.</v>
      </c>
      <c r="AC31" s="189" t="s">
        <v>35</v>
      </c>
      <c r="AD31" s="12" t="str">
        <f>_xlfn.XLOOKUP(AC31,Tab_Def_Flows[Name(EN)],Tab_Def_Flows[Flow_ID],,0,)</f>
        <v>N.A.</v>
      </c>
      <c r="AE31" s="189" t="s">
        <v>35</v>
      </c>
      <c r="AF31" s="12" t="str">
        <f>_xlfn.XLOOKUP(AE31,Tab_Def_Flows[Name(EN)],Tab_Def_Flows[Flow_ID],,0,)</f>
        <v>N.A.</v>
      </c>
      <c r="AG31" s="189" t="s">
        <v>35</v>
      </c>
      <c r="AH31" s="12" t="str">
        <f>_xlfn.XLOOKUP(AG31,Tab_Def_Flows[Name(EN)],Tab_Def_Flows[Flow_ID],,0,)</f>
        <v>N.A.</v>
      </c>
      <c r="AI31" s="189" t="s">
        <v>35</v>
      </c>
      <c r="AJ31" s="12" t="str">
        <f>_xlfn.XLOOKUP(AI31,Tab_Def_Flows[Name(EN)],Tab_Def_Flows[Flow_ID],,0,)</f>
        <v>N.A.</v>
      </c>
      <c r="AK31" s="189" t="s">
        <v>35</v>
      </c>
      <c r="AL31" s="13" t="str">
        <f>_xlfn.XLOOKUP(AK31,Tab_Def_Flows[Name(EN)],Tab_Def_Flows[Flow_ID],,0,)</f>
        <v>N.A.</v>
      </c>
    </row>
    <row r="32" spans="1:38" x14ac:dyDescent="0.25">
      <c r="A32" s="194" t="b">
        <v>0</v>
      </c>
      <c r="B32" s="43" t="s">
        <v>165</v>
      </c>
      <c r="C32" s="9" t="str">
        <f t="shared" si="0"/>
        <v>30</v>
      </c>
      <c r="D32" s="11"/>
      <c r="E32" s="11"/>
      <c r="F32" s="11"/>
      <c r="G32" s="11"/>
      <c r="H32" s="37"/>
      <c r="I32" s="189"/>
      <c r="J32" s="189"/>
      <c r="K32" s="189"/>
      <c r="L32" s="189"/>
      <c r="M32" s="189"/>
      <c r="N32" s="189"/>
      <c r="O32" s="189"/>
      <c r="P32" s="11"/>
      <c r="Q32" s="11" t="s">
        <v>35</v>
      </c>
      <c r="R32" s="12" t="str">
        <f>_xlfn.XLOOKUP(Q32,Tab_Def_Flows[Name(EN)],Tab_Def_Flows[Flow_ID],,0,)</f>
        <v>N.A.</v>
      </c>
      <c r="S32" s="11" t="s">
        <v>35</v>
      </c>
      <c r="T32" s="12" t="str">
        <f>_xlfn.XLOOKUP(S32,Tab_Def_Flows[Name(EN)],Tab_Def_Flows[Flow_ID],,0,)</f>
        <v>N.A.</v>
      </c>
      <c r="U32" s="11" t="s">
        <v>35</v>
      </c>
      <c r="V32" s="12" t="str">
        <f>_xlfn.XLOOKUP(U32,Tab_Def_Flows[Name(EN)],Tab_Def_Flows[Flow_ID],,0,)</f>
        <v>N.A.</v>
      </c>
      <c r="W32" s="11" t="s">
        <v>35</v>
      </c>
      <c r="X32" s="12" t="str">
        <f>_xlfn.XLOOKUP(W32,Tab_Def_Flows[Name(EN)],Tab_Def_Flows[Flow_ID],,0,)</f>
        <v>N.A.</v>
      </c>
      <c r="Y32" s="11" t="s">
        <v>35</v>
      </c>
      <c r="Z32" s="13" t="str">
        <f>_xlfn.XLOOKUP(Y32,Tab_Def_Flows[Name(EN)],Tab_Def_Flows[Flow_ID],,0,)</f>
        <v>N.A.</v>
      </c>
      <c r="AA32" s="189" t="s">
        <v>35</v>
      </c>
      <c r="AB32" s="12" t="str">
        <f>_xlfn.XLOOKUP(AA32,Tab_Def_Flows[Name(EN)],Tab_Def_Flows[Flow_ID],,0,)</f>
        <v>N.A.</v>
      </c>
      <c r="AC32" s="189" t="s">
        <v>35</v>
      </c>
      <c r="AD32" s="12" t="str">
        <f>_xlfn.XLOOKUP(AC32,Tab_Def_Flows[Name(EN)],Tab_Def_Flows[Flow_ID],,0,)</f>
        <v>N.A.</v>
      </c>
      <c r="AE32" s="189" t="s">
        <v>35</v>
      </c>
      <c r="AF32" s="12" t="str">
        <f>_xlfn.XLOOKUP(AE32,Tab_Def_Flows[Name(EN)],Tab_Def_Flows[Flow_ID],,0,)</f>
        <v>N.A.</v>
      </c>
      <c r="AG32" s="189" t="s">
        <v>35</v>
      </c>
      <c r="AH32" s="12" t="str">
        <f>_xlfn.XLOOKUP(AG32,Tab_Def_Flows[Name(EN)],Tab_Def_Flows[Flow_ID],,0,)</f>
        <v>N.A.</v>
      </c>
      <c r="AI32" s="189" t="s">
        <v>35</v>
      </c>
      <c r="AJ32" s="12" t="str">
        <f>_xlfn.XLOOKUP(AI32,Tab_Def_Flows[Name(EN)],Tab_Def_Flows[Flow_ID],,0,)</f>
        <v>N.A.</v>
      </c>
      <c r="AK32" s="189" t="s">
        <v>35</v>
      </c>
      <c r="AL32" s="13" t="str">
        <f>_xlfn.XLOOKUP(AK32,Tab_Def_Flows[Name(EN)],Tab_Def_Flows[Flow_ID],,0,)</f>
        <v>N.A.</v>
      </c>
    </row>
    <row r="33" spans="1:38" x14ac:dyDescent="0.25">
      <c r="A33" s="194" t="b">
        <v>0</v>
      </c>
      <c r="B33" s="43" t="s">
        <v>166</v>
      </c>
      <c r="C33" s="9" t="str">
        <f t="shared" si="0"/>
        <v>31</v>
      </c>
      <c r="D33" s="11"/>
      <c r="E33" s="11"/>
      <c r="F33" s="11"/>
      <c r="G33" s="11"/>
      <c r="H33" s="37"/>
      <c r="I33" s="189"/>
      <c r="J33" s="189"/>
      <c r="K33" s="189"/>
      <c r="L33" s="189"/>
      <c r="M33" s="189"/>
      <c r="N33" s="189"/>
      <c r="O33" s="189"/>
      <c r="P33" s="11"/>
      <c r="Q33" s="11" t="s">
        <v>35</v>
      </c>
      <c r="R33" s="12" t="str">
        <f>_xlfn.XLOOKUP(Q33,Tab_Def_Flows[Name(EN)],Tab_Def_Flows[Flow_ID],,0,)</f>
        <v>N.A.</v>
      </c>
      <c r="S33" s="11" t="s">
        <v>35</v>
      </c>
      <c r="T33" s="12" t="str">
        <f>_xlfn.XLOOKUP(S33,Tab_Def_Flows[Name(EN)],Tab_Def_Flows[Flow_ID],,0,)</f>
        <v>N.A.</v>
      </c>
      <c r="U33" s="11" t="s">
        <v>35</v>
      </c>
      <c r="V33" s="12" t="str">
        <f>_xlfn.XLOOKUP(U33,Tab_Def_Flows[Name(EN)],Tab_Def_Flows[Flow_ID],,0,)</f>
        <v>N.A.</v>
      </c>
      <c r="W33" s="11" t="s">
        <v>35</v>
      </c>
      <c r="X33" s="12" t="str">
        <f>_xlfn.XLOOKUP(W33,Tab_Def_Flows[Name(EN)],Tab_Def_Flows[Flow_ID],,0,)</f>
        <v>N.A.</v>
      </c>
      <c r="Y33" s="11" t="s">
        <v>35</v>
      </c>
      <c r="Z33" s="13" t="str">
        <f>_xlfn.XLOOKUP(Y33,Tab_Def_Flows[Name(EN)],Tab_Def_Flows[Flow_ID],,0,)</f>
        <v>N.A.</v>
      </c>
      <c r="AA33" s="189" t="s">
        <v>35</v>
      </c>
      <c r="AB33" s="12" t="str">
        <f>_xlfn.XLOOKUP(AA33,Tab_Def_Flows[Name(EN)],Tab_Def_Flows[Flow_ID],,0,)</f>
        <v>N.A.</v>
      </c>
      <c r="AC33" s="189" t="s">
        <v>35</v>
      </c>
      <c r="AD33" s="12" t="str">
        <f>_xlfn.XLOOKUP(AC33,Tab_Def_Flows[Name(EN)],Tab_Def_Flows[Flow_ID],,0,)</f>
        <v>N.A.</v>
      </c>
      <c r="AE33" s="189" t="s">
        <v>35</v>
      </c>
      <c r="AF33" s="12" t="str">
        <f>_xlfn.XLOOKUP(AE33,Tab_Def_Flows[Name(EN)],Tab_Def_Flows[Flow_ID],,0,)</f>
        <v>N.A.</v>
      </c>
      <c r="AG33" s="189" t="s">
        <v>35</v>
      </c>
      <c r="AH33" s="12" t="str">
        <f>_xlfn.XLOOKUP(AG33,Tab_Def_Flows[Name(EN)],Tab_Def_Flows[Flow_ID],,0,)</f>
        <v>N.A.</v>
      </c>
      <c r="AI33" s="189" t="s">
        <v>35</v>
      </c>
      <c r="AJ33" s="12" t="str">
        <f>_xlfn.XLOOKUP(AI33,Tab_Def_Flows[Name(EN)],Tab_Def_Flows[Flow_ID],,0,)</f>
        <v>N.A.</v>
      </c>
      <c r="AK33" s="189" t="s">
        <v>35</v>
      </c>
      <c r="AL33" s="13" t="str">
        <f>_xlfn.XLOOKUP(AK33,Tab_Def_Flows[Name(EN)],Tab_Def_Flows[Flow_ID],,0,)</f>
        <v>N.A.</v>
      </c>
    </row>
    <row r="34" spans="1:38" x14ac:dyDescent="0.25">
      <c r="A34" s="194" t="b">
        <v>0</v>
      </c>
      <c r="B34" s="43" t="s">
        <v>167</v>
      </c>
      <c r="C34" s="9" t="str">
        <f t="shared" si="0"/>
        <v>32</v>
      </c>
      <c r="D34" s="11"/>
      <c r="E34" s="11"/>
      <c r="F34" s="11"/>
      <c r="G34" s="11"/>
      <c r="H34" s="37"/>
      <c r="I34" s="189"/>
      <c r="J34" s="189"/>
      <c r="K34" s="189"/>
      <c r="L34" s="189"/>
      <c r="M34" s="189"/>
      <c r="N34" s="189"/>
      <c r="O34" s="189"/>
      <c r="P34" s="11"/>
      <c r="Q34" s="11" t="s">
        <v>35</v>
      </c>
      <c r="R34" s="12" t="str">
        <f>_xlfn.XLOOKUP(Q34,Tab_Def_Flows[Name(EN)],Tab_Def_Flows[Flow_ID],,0,)</f>
        <v>N.A.</v>
      </c>
      <c r="S34" s="11" t="s">
        <v>35</v>
      </c>
      <c r="T34" s="12" t="str">
        <f>_xlfn.XLOOKUP(S34,Tab_Def_Flows[Name(EN)],Tab_Def_Flows[Flow_ID],,0,)</f>
        <v>N.A.</v>
      </c>
      <c r="U34" s="11" t="s">
        <v>35</v>
      </c>
      <c r="V34" s="12" t="str">
        <f>_xlfn.XLOOKUP(U34,Tab_Def_Flows[Name(EN)],Tab_Def_Flows[Flow_ID],,0,)</f>
        <v>N.A.</v>
      </c>
      <c r="W34" s="11" t="s">
        <v>35</v>
      </c>
      <c r="X34" s="12" t="str">
        <f>_xlfn.XLOOKUP(W34,Tab_Def_Flows[Name(EN)],Tab_Def_Flows[Flow_ID],,0,)</f>
        <v>N.A.</v>
      </c>
      <c r="Y34" s="11" t="s">
        <v>35</v>
      </c>
      <c r="Z34" s="13" t="str">
        <f>_xlfn.XLOOKUP(Y34,Tab_Def_Flows[Name(EN)],Tab_Def_Flows[Flow_ID],,0,)</f>
        <v>N.A.</v>
      </c>
      <c r="AA34" s="189" t="s">
        <v>35</v>
      </c>
      <c r="AB34" s="12" t="str">
        <f>_xlfn.XLOOKUP(AA34,Tab_Def_Flows[Name(EN)],Tab_Def_Flows[Flow_ID],,0,)</f>
        <v>N.A.</v>
      </c>
      <c r="AC34" s="189" t="s">
        <v>35</v>
      </c>
      <c r="AD34" s="12" t="str">
        <f>_xlfn.XLOOKUP(AC34,Tab_Def_Flows[Name(EN)],Tab_Def_Flows[Flow_ID],,0,)</f>
        <v>N.A.</v>
      </c>
      <c r="AE34" s="189" t="s">
        <v>35</v>
      </c>
      <c r="AF34" s="12" t="str">
        <f>_xlfn.XLOOKUP(AE34,Tab_Def_Flows[Name(EN)],Tab_Def_Flows[Flow_ID],,0,)</f>
        <v>N.A.</v>
      </c>
      <c r="AG34" s="189" t="s">
        <v>35</v>
      </c>
      <c r="AH34" s="12" t="str">
        <f>_xlfn.XLOOKUP(AG34,Tab_Def_Flows[Name(EN)],Tab_Def_Flows[Flow_ID],,0,)</f>
        <v>N.A.</v>
      </c>
      <c r="AI34" s="189" t="s">
        <v>35</v>
      </c>
      <c r="AJ34" s="12" t="str">
        <f>_xlfn.XLOOKUP(AI34,Tab_Def_Flows[Name(EN)],Tab_Def_Flows[Flow_ID],,0,)</f>
        <v>N.A.</v>
      </c>
      <c r="AK34" s="189" t="s">
        <v>35</v>
      </c>
      <c r="AL34" s="13" t="str">
        <f>_xlfn.XLOOKUP(AK34,Tab_Def_Flows[Name(EN)],Tab_Def_Flows[Flow_ID],,0,)</f>
        <v>N.A.</v>
      </c>
    </row>
    <row r="35" spans="1:38" x14ac:dyDescent="0.25">
      <c r="A35" s="194" t="b">
        <v>0</v>
      </c>
      <c r="B35" s="43" t="s">
        <v>168</v>
      </c>
      <c r="C35" s="9" t="str">
        <f t="shared" si="0"/>
        <v>33</v>
      </c>
      <c r="D35" s="11"/>
      <c r="E35" s="11"/>
      <c r="F35" s="11"/>
      <c r="G35" s="11"/>
      <c r="H35" s="37"/>
      <c r="I35" s="189"/>
      <c r="J35" s="189"/>
      <c r="K35" s="189"/>
      <c r="L35" s="189"/>
      <c r="M35" s="189"/>
      <c r="N35" s="189"/>
      <c r="O35" s="189"/>
      <c r="P35" s="11"/>
      <c r="Q35" s="11" t="s">
        <v>35</v>
      </c>
      <c r="R35" s="12" t="str">
        <f>_xlfn.XLOOKUP(Q35,Tab_Def_Flows[Name(EN)],Tab_Def_Flows[Flow_ID],,0,)</f>
        <v>N.A.</v>
      </c>
      <c r="S35" s="11" t="s">
        <v>35</v>
      </c>
      <c r="T35" s="12" t="str">
        <f>_xlfn.XLOOKUP(S35,Tab_Def_Flows[Name(EN)],Tab_Def_Flows[Flow_ID],,0,)</f>
        <v>N.A.</v>
      </c>
      <c r="U35" s="11" t="s">
        <v>35</v>
      </c>
      <c r="V35" s="12" t="str">
        <f>_xlfn.XLOOKUP(U35,Tab_Def_Flows[Name(EN)],Tab_Def_Flows[Flow_ID],,0,)</f>
        <v>N.A.</v>
      </c>
      <c r="W35" s="11" t="s">
        <v>35</v>
      </c>
      <c r="X35" s="12" t="str">
        <f>_xlfn.XLOOKUP(W35,Tab_Def_Flows[Name(EN)],Tab_Def_Flows[Flow_ID],,0,)</f>
        <v>N.A.</v>
      </c>
      <c r="Y35" s="11" t="s">
        <v>35</v>
      </c>
      <c r="Z35" s="13" t="str">
        <f>_xlfn.XLOOKUP(Y35,Tab_Def_Flows[Name(EN)],Tab_Def_Flows[Flow_ID],,0,)</f>
        <v>N.A.</v>
      </c>
      <c r="AA35" s="189" t="s">
        <v>35</v>
      </c>
      <c r="AB35" s="12" t="str">
        <f>_xlfn.XLOOKUP(AA35,Tab_Def_Flows[Name(EN)],Tab_Def_Flows[Flow_ID],,0,)</f>
        <v>N.A.</v>
      </c>
      <c r="AC35" s="189" t="s">
        <v>35</v>
      </c>
      <c r="AD35" s="12" t="str">
        <f>_xlfn.XLOOKUP(AC35,Tab_Def_Flows[Name(EN)],Tab_Def_Flows[Flow_ID],,0,)</f>
        <v>N.A.</v>
      </c>
      <c r="AE35" s="189" t="s">
        <v>35</v>
      </c>
      <c r="AF35" s="12" t="str">
        <f>_xlfn.XLOOKUP(AE35,Tab_Def_Flows[Name(EN)],Tab_Def_Flows[Flow_ID],,0,)</f>
        <v>N.A.</v>
      </c>
      <c r="AG35" s="189" t="s">
        <v>35</v>
      </c>
      <c r="AH35" s="12" t="str">
        <f>_xlfn.XLOOKUP(AG35,Tab_Def_Flows[Name(EN)],Tab_Def_Flows[Flow_ID],,0,)</f>
        <v>N.A.</v>
      </c>
      <c r="AI35" s="189" t="s">
        <v>35</v>
      </c>
      <c r="AJ35" s="12" t="str">
        <f>_xlfn.XLOOKUP(AI35,Tab_Def_Flows[Name(EN)],Tab_Def_Flows[Flow_ID],,0,)</f>
        <v>N.A.</v>
      </c>
      <c r="AK35" s="189" t="s">
        <v>35</v>
      </c>
      <c r="AL35" s="13" t="str">
        <f>_xlfn.XLOOKUP(AK35,Tab_Def_Flows[Name(EN)],Tab_Def_Flows[Flow_ID],,0,)</f>
        <v>N.A.</v>
      </c>
    </row>
    <row r="36" spans="1:38" x14ac:dyDescent="0.25">
      <c r="A36" s="194" t="b">
        <v>0</v>
      </c>
      <c r="B36" s="43" t="s">
        <v>169</v>
      </c>
      <c r="C36" s="9" t="str">
        <f t="shared" si="0"/>
        <v>34</v>
      </c>
      <c r="D36" s="11"/>
      <c r="E36" s="11"/>
      <c r="F36" s="11"/>
      <c r="G36" s="11"/>
      <c r="H36" s="37"/>
      <c r="I36" s="189"/>
      <c r="J36" s="189"/>
      <c r="K36" s="189"/>
      <c r="L36" s="189"/>
      <c r="M36" s="189"/>
      <c r="N36" s="189"/>
      <c r="O36" s="189"/>
      <c r="P36" s="11"/>
      <c r="Q36" s="11" t="s">
        <v>35</v>
      </c>
      <c r="R36" s="12" t="str">
        <f>_xlfn.XLOOKUP(Q36,Tab_Def_Flows[Name(EN)],Tab_Def_Flows[Flow_ID],,0,)</f>
        <v>N.A.</v>
      </c>
      <c r="S36" s="11" t="s">
        <v>35</v>
      </c>
      <c r="T36" s="12" t="str">
        <f>_xlfn.XLOOKUP(S36,Tab_Def_Flows[Name(EN)],Tab_Def_Flows[Flow_ID],,0,)</f>
        <v>N.A.</v>
      </c>
      <c r="U36" s="11" t="s">
        <v>35</v>
      </c>
      <c r="V36" s="12" t="str">
        <f>_xlfn.XLOOKUP(U36,Tab_Def_Flows[Name(EN)],Tab_Def_Flows[Flow_ID],,0,)</f>
        <v>N.A.</v>
      </c>
      <c r="W36" s="11" t="s">
        <v>35</v>
      </c>
      <c r="X36" s="12" t="str">
        <f>_xlfn.XLOOKUP(W36,Tab_Def_Flows[Name(EN)],Tab_Def_Flows[Flow_ID],,0,)</f>
        <v>N.A.</v>
      </c>
      <c r="Y36" s="11" t="s">
        <v>35</v>
      </c>
      <c r="Z36" s="13" t="str">
        <f>_xlfn.XLOOKUP(Y36,Tab_Def_Flows[Name(EN)],Tab_Def_Flows[Flow_ID],,0,)</f>
        <v>N.A.</v>
      </c>
      <c r="AA36" s="189" t="s">
        <v>35</v>
      </c>
      <c r="AB36" s="12" t="str">
        <f>_xlfn.XLOOKUP(AA36,Tab_Def_Flows[Name(EN)],Tab_Def_Flows[Flow_ID],,0,)</f>
        <v>N.A.</v>
      </c>
      <c r="AC36" s="189" t="s">
        <v>35</v>
      </c>
      <c r="AD36" s="12" t="str">
        <f>_xlfn.XLOOKUP(AC36,Tab_Def_Flows[Name(EN)],Tab_Def_Flows[Flow_ID],,0,)</f>
        <v>N.A.</v>
      </c>
      <c r="AE36" s="189" t="s">
        <v>35</v>
      </c>
      <c r="AF36" s="12" t="str">
        <f>_xlfn.XLOOKUP(AE36,Tab_Def_Flows[Name(EN)],Tab_Def_Flows[Flow_ID],,0,)</f>
        <v>N.A.</v>
      </c>
      <c r="AG36" s="189" t="s">
        <v>35</v>
      </c>
      <c r="AH36" s="12" t="str">
        <f>_xlfn.XLOOKUP(AG36,Tab_Def_Flows[Name(EN)],Tab_Def_Flows[Flow_ID],,0,)</f>
        <v>N.A.</v>
      </c>
      <c r="AI36" s="189" t="s">
        <v>35</v>
      </c>
      <c r="AJ36" s="12" t="str">
        <f>_xlfn.XLOOKUP(AI36,Tab_Def_Flows[Name(EN)],Tab_Def_Flows[Flow_ID],,0,)</f>
        <v>N.A.</v>
      </c>
      <c r="AK36" s="189" t="s">
        <v>35</v>
      </c>
      <c r="AL36" s="13" t="str">
        <f>_xlfn.XLOOKUP(AK36,Tab_Def_Flows[Name(EN)],Tab_Def_Flows[Flow_ID],,0,)</f>
        <v>N.A.</v>
      </c>
    </row>
    <row r="37" spans="1:38" x14ac:dyDescent="0.25">
      <c r="A37" s="194" t="b">
        <v>0</v>
      </c>
      <c r="B37" s="43" t="s">
        <v>170</v>
      </c>
      <c r="C37" s="9" t="str">
        <f t="shared" si="0"/>
        <v>35</v>
      </c>
      <c r="D37" s="11"/>
      <c r="E37" s="11"/>
      <c r="F37" s="11"/>
      <c r="G37" s="11"/>
      <c r="H37" s="37"/>
      <c r="I37" s="189"/>
      <c r="J37" s="189"/>
      <c r="K37" s="189"/>
      <c r="L37" s="189"/>
      <c r="M37" s="189"/>
      <c r="N37" s="189"/>
      <c r="O37" s="189"/>
      <c r="P37" s="11"/>
      <c r="Q37" s="11" t="s">
        <v>35</v>
      </c>
      <c r="R37" s="12" t="str">
        <f>_xlfn.XLOOKUP(Q37,Tab_Def_Flows[Name(EN)],Tab_Def_Flows[Flow_ID],,0,)</f>
        <v>N.A.</v>
      </c>
      <c r="S37" s="11" t="s">
        <v>35</v>
      </c>
      <c r="T37" s="12" t="str">
        <f>_xlfn.XLOOKUP(S37,Tab_Def_Flows[Name(EN)],Tab_Def_Flows[Flow_ID],,0,)</f>
        <v>N.A.</v>
      </c>
      <c r="U37" s="11" t="s">
        <v>35</v>
      </c>
      <c r="V37" s="12" t="str">
        <f>_xlfn.XLOOKUP(U37,Tab_Def_Flows[Name(EN)],Tab_Def_Flows[Flow_ID],,0,)</f>
        <v>N.A.</v>
      </c>
      <c r="W37" s="11" t="s">
        <v>35</v>
      </c>
      <c r="X37" s="12" t="str">
        <f>_xlfn.XLOOKUP(W37,Tab_Def_Flows[Name(EN)],Tab_Def_Flows[Flow_ID],,0,)</f>
        <v>N.A.</v>
      </c>
      <c r="Y37" s="11" t="s">
        <v>35</v>
      </c>
      <c r="Z37" s="13" t="str">
        <f>_xlfn.XLOOKUP(Y37,Tab_Def_Flows[Name(EN)],Tab_Def_Flows[Flow_ID],,0,)</f>
        <v>N.A.</v>
      </c>
      <c r="AA37" s="189" t="s">
        <v>35</v>
      </c>
      <c r="AB37" s="12" t="str">
        <f>_xlfn.XLOOKUP(AA37,Tab_Def_Flows[Name(EN)],Tab_Def_Flows[Flow_ID],,0,)</f>
        <v>N.A.</v>
      </c>
      <c r="AC37" s="189" t="s">
        <v>35</v>
      </c>
      <c r="AD37" s="12" t="str">
        <f>_xlfn.XLOOKUP(AC37,Tab_Def_Flows[Name(EN)],Tab_Def_Flows[Flow_ID],,0,)</f>
        <v>N.A.</v>
      </c>
      <c r="AE37" s="189" t="s">
        <v>35</v>
      </c>
      <c r="AF37" s="12" t="str">
        <f>_xlfn.XLOOKUP(AE37,Tab_Def_Flows[Name(EN)],Tab_Def_Flows[Flow_ID],,0,)</f>
        <v>N.A.</v>
      </c>
      <c r="AG37" s="189" t="s">
        <v>35</v>
      </c>
      <c r="AH37" s="12" t="str">
        <f>_xlfn.XLOOKUP(AG37,Tab_Def_Flows[Name(EN)],Tab_Def_Flows[Flow_ID],,0,)</f>
        <v>N.A.</v>
      </c>
      <c r="AI37" s="189" t="s">
        <v>35</v>
      </c>
      <c r="AJ37" s="12" t="str">
        <f>_xlfn.XLOOKUP(AI37,Tab_Def_Flows[Name(EN)],Tab_Def_Flows[Flow_ID],,0,)</f>
        <v>N.A.</v>
      </c>
      <c r="AK37" s="189" t="s">
        <v>35</v>
      </c>
      <c r="AL37" s="13" t="str">
        <f>_xlfn.XLOOKUP(AK37,Tab_Def_Flows[Name(EN)],Tab_Def_Flows[Flow_ID],,0,)</f>
        <v>N.A.</v>
      </c>
    </row>
    <row r="38" spans="1:38" x14ac:dyDescent="0.25">
      <c r="A38" s="194" t="b">
        <v>0</v>
      </c>
      <c r="B38" s="43" t="s">
        <v>171</v>
      </c>
      <c r="C38" s="9" t="str">
        <f t="shared" si="0"/>
        <v>36</v>
      </c>
      <c r="D38" s="11"/>
      <c r="E38" s="11"/>
      <c r="F38" s="11"/>
      <c r="G38" s="11"/>
      <c r="H38" s="37"/>
      <c r="I38" s="189"/>
      <c r="J38" s="189"/>
      <c r="K38" s="189"/>
      <c r="L38" s="189"/>
      <c r="M38" s="189"/>
      <c r="N38" s="189"/>
      <c r="O38" s="189"/>
      <c r="P38" s="11"/>
      <c r="Q38" s="11" t="s">
        <v>35</v>
      </c>
      <c r="R38" s="12" t="str">
        <f>_xlfn.XLOOKUP(Q38,Tab_Def_Flows[Name(EN)],Tab_Def_Flows[Flow_ID],,0,)</f>
        <v>N.A.</v>
      </c>
      <c r="S38" s="11" t="s">
        <v>35</v>
      </c>
      <c r="T38" s="12" t="str">
        <f>_xlfn.XLOOKUP(S38,Tab_Def_Flows[Name(EN)],Tab_Def_Flows[Flow_ID],,0,)</f>
        <v>N.A.</v>
      </c>
      <c r="U38" s="11" t="s">
        <v>35</v>
      </c>
      <c r="V38" s="12" t="str">
        <f>_xlfn.XLOOKUP(U38,Tab_Def_Flows[Name(EN)],Tab_Def_Flows[Flow_ID],,0,)</f>
        <v>N.A.</v>
      </c>
      <c r="W38" s="11" t="s">
        <v>35</v>
      </c>
      <c r="X38" s="12" t="str">
        <f>_xlfn.XLOOKUP(W38,Tab_Def_Flows[Name(EN)],Tab_Def_Flows[Flow_ID],,0,)</f>
        <v>N.A.</v>
      </c>
      <c r="Y38" s="11" t="s">
        <v>35</v>
      </c>
      <c r="Z38" s="13" t="str">
        <f>_xlfn.XLOOKUP(Y38,Tab_Def_Flows[Name(EN)],Tab_Def_Flows[Flow_ID],,0,)</f>
        <v>N.A.</v>
      </c>
      <c r="AA38" s="189" t="s">
        <v>35</v>
      </c>
      <c r="AB38" s="12" t="str">
        <f>_xlfn.XLOOKUP(AA38,Tab_Def_Flows[Name(EN)],Tab_Def_Flows[Flow_ID],,0,)</f>
        <v>N.A.</v>
      </c>
      <c r="AC38" s="189" t="s">
        <v>35</v>
      </c>
      <c r="AD38" s="12" t="str">
        <f>_xlfn.XLOOKUP(AC38,Tab_Def_Flows[Name(EN)],Tab_Def_Flows[Flow_ID],,0,)</f>
        <v>N.A.</v>
      </c>
      <c r="AE38" s="189" t="s">
        <v>35</v>
      </c>
      <c r="AF38" s="12" t="str">
        <f>_xlfn.XLOOKUP(AE38,Tab_Def_Flows[Name(EN)],Tab_Def_Flows[Flow_ID],,0,)</f>
        <v>N.A.</v>
      </c>
      <c r="AG38" s="189" t="s">
        <v>35</v>
      </c>
      <c r="AH38" s="12" t="str">
        <f>_xlfn.XLOOKUP(AG38,Tab_Def_Flows[Name(EN)],Tab_Def_Flows[Flow_ID],,0,)</f>
        <v>N.A.</v>
      </c>
      <c r="AI38" s="189" t="s">
        <v>35</v>
      </c>
      <c r="AJ38" s="12" t="str">
        <f>_xlfn.XLOOKUP(AI38,Tab_Def_Flows[Name(EN)],Tab_Def_Flows[Flow_ID],,0,)</f>
        <v>N.A.</v>
      </c>
      <c r="AK38" s="189" t="s">
        <v>35</v>
      </c>
      <c r="AL38" s="13" t="str">
        <f>_xlfn.XLOOKUP(AK38,Tab_Def_Flows[Name(EN)],Tab_Def_Flows[Flow_ID],,0,)</f>
        <v>N.A.</v>
      </c>
    </row>
    <row r="39" spans="1:38" x14ac:dyDescent="0.25">
      <c r="A39" s="194" t="b">
        <v>0</v>
      </c>
      <c r="B39" s="43" t="s">
        <v>172</v>
      </c>
      <c r="C39" s="9" t="str">
        <f t="shared" si="0"/>
        <v>37</v>
      </c>
      <c r="D39" s="11"/>
      <c r="E39" s="11"/>
      <c r="F39" s="11"/>
      <c r="G39" s="11"/>
      <c r="H39" s="37"/>
      <c r="I39" s="189"/>
      <c r="J39" s="189"/>
      <c r="K39" s="189"/>
      <c r="L39" s="189"/>
      <c r="M39" s="189"/>
      <c r="N39" s="189"/>
      <c r="O39" s="189"/>
      <c r="P39" s="11"/>
      <c r="Q39" s="11" t="s">
        <v>35</v>
      </c>
      <c r="R39" s="12" t="str">
        <f>_xlfn.XLOOKUP(Q39,Tab_Def_Flows[Name(EN)],Tab_Def_Flows[Flow_ID],,0,)</f>
        <v>N.A.</v>
      </c>
      <c r="S39" s="11" t="s">
        <v>35</v>
      </c>
      <c r="T39" s="12" t="str">
        <f>_xlfn.XLOOKUP(S39,Tab_Def_Flows[Name(EN)],Tab_Def_Flows[Flow_ID],,0,)</f>
        <v>N.A.</v>
      </c>
      <c r="U39" s="11" t="s">
        <v>35</v>
      </c>
      <c r="V39" s="12" t="str">
        <f>_xlfn.XLOOKUP(U39,Tab_Def_Flows[Name(EN)],Tab_Def_Flows[Flow_ID],,0,)</f>
        <v>N.A.</v>
      </c>
      <c r="W39" s="11" t="s">
        <v>35</v>
      </c>
      <c r="X39" s="12" t="str">
        <f>_xlfn.XLOOKUP(W39,Tab_Def_Flows[Name(EN)],Tab_Def_Flows[Flow_ID],,0,)</f>
        <v>N.A.</v>
      </c>
      <c r="Y39" s="11" t="s">
        <v>35</v>
      </c>
      <c r="Z39" s="13" t="str">
        <f>_xlfn.XLOOKUP(Y39,Tab_Def_Flows[Name(EN)],Tab_Def_Flows[Flow_ID],,0,)</f>
        <v>N.A.</v>
      </c>
      <c r="AA39" s="189" t="s">
        <v>35</v>
      </c>
      <c r="AB39" s="12" t="str">
        <f>_xlfn.XLOOKUP(AA39,Tab_Def_Flows[Name(EN)],Tab_Def_Flows[Flow_ID],,0,)</f>
        <v>N.A.</v>
      </c>
      <c r="AC39" s="189" t="s">
        <v>35</v>
      </c>
      <c r="AD39" s="12" t="str">
        <f>_xlfn.XLOOKUP(AC39,Tab_Def_Flows[Name(EN)],Tab_Def_Flows[Flow_ID],,0,)</f>
        <v>N.A.</v>
      </c>
      <c r="AE39" s="189" t="s">
        <v>35</v>
      </c>
      <c r="AF39" s="12" t="str">
        <f>_xlfn.XLOOKUP(AE39,Tab_Def_Flows[Name(EN)],Tab_Def_Flows[Flow_ID],,0,)</f>
        <v>N.A.</v>
      </c>
      <c r="AG39" s="189" t="s">
        <v>35</v>
      </c>
      <c r="AH39" s="12" t="str">
        <f>_xlfn.XLOOKUP(AG39,Tab_Def_Flows[Name(EN)],Tab_Def_Flows[Flow_ID],,0,)</f>
        <v>N.A.</v>
      </c>
      <c r="AI39" s="189" t="s">
        <v>35</v>
      </c>
      <c r="AJ39" s="12" t="str">
        <f>_xlfn.XLOOKUP(AI39,Tab_Def_Flows[Name(EN)],Tab_Def_Flows[Flow_ID],,0,)</f>
        <v>N.A.</v>
      </c>
      <c r="AK39" s="189" t="s">
        <v>35</v>
      </c>
      <c r="AL39" s="13" t="str">
        <f>_xlfn.XLOOKUP(AK39,Tab_Def_Flows[Name(EN)],Tab_Def_Flows[Flow_ID],,0,)</f>
        <v>N.A.</v>
      </c>
    </row>
    <row r="40" spans="1:38" x14ac:dyDescent="0.25">
      <c r="A40" s="194" t="b">
        <v>0</v>
      </c>
      <c r="B40" s="43" t="s">
        <v>173</v>
      </c>
      <c r="C40" s="9" t="str">
        <f t="shared" si="0"/>
        <v>38</v>
      </c>
      <c r="D40" s="11"/>
      <c r="E40" s="11"/>
      <c r="F40" s="11"/>
      <c r="G40" s="11"/>
      <c r="H40" s="37"/>
      <c r="I40" s="189"/>
      <c r="J40" s="189"/>
      <c r="K40" s="189"/>
      <c r="L40" s="189"/>
      <c r="M40" s="189"/>
      <c r="N40" s="189"/>
      <c r="O40" s="189"/>
      <c r="P40" s="11"/>
      <c r="Q40" s="11" t="s">
        <v>35</v>
      </c>
      <c r="R40" s="12" t="str">
        <f>_xlfn.XLOOKUP(Q40,Tab_Def_Flows[Name(EN)],Tab_Def_Flows[Flow_ID],,0,)</f>
        <v>N.A.</v>
      </c>
      <c r="S40" s="11" t="s">
        <v>35</v>
      </c>
      <c r="T40" s="12" t="str">
        <f>_xlfn.XLOOKUP(S40,Tab_Def_Flows[Name(EN)],Tab_Def_Flows[Flow_ID],,0,)</f>
        <v>N.A.</v>
      </c>
      <c r="U40" s="11" t="s">
        <v>35</v>
      </c>
      <c r="V40" s="12" t="str">
        <f>_xlfn.XLOOKUP(U40,Tab_Def_Flows[Name(EN)],Tab_Def_Flows[Flow_ID],,0,)</f>
        <v>N.A.</v>
      </c>
      <c r="W40" s="11" t="s">
        <v>35</v>
      </c>
      <c r="X40" s="12" t="str">
        <f>_xlfn.XLOOKUP(W40,Tab_Def_Flows[Name(EN)],Tab_Def_Flows[Flow_ID],,0,)</f>
        <v>N.A.</v>
      </c>
      <c r="Y40" s="11" t="s">
        <v>35</v>
      </c>
      <c r="Z40" s="13" t="str">
        <f>_xlfn.XLOOKUP(Y40,Tab_Def_Flows[Name(EN)],Tab_Def_Flows[Flow_ID],,0,)</f>
        <v>N.A.</v>
      </c>
      <c r="AA40" s="189" t="s">
        <v>35</v>
      </c>
      <c r="AB40" s="12" t="str">
        <f>_xlfn.XLOOKUP(AA40,Tab_Def_Flows[Name(EN)],Tab_Def_Flows[Flow_ID],,0,)</f>
        <v>N.A.</v>
      </c>
      <c r="AC40" s="189" t="s">
        <v>35</v>
      </c>
      <c r="AD40" s="12" t="str">
        <f>_xlfn.XLOOKUP(AC40,Tab_Def_Flows[Name(EN)],Tab_Def_Flows[Flow_ID],,0,)</f>
        <v>N.A.</v>
      </c>
      <c r="AE40" s="189" t="s">
        <v>35</v>
      </c>
      <c r="AF40" s="12" t="str">
        <f>_xlfn.XLOOKUP(AE40,Tab_Def_Flows[Name(EN)],Tab_Def_Flows[Flow_ID],,0,)</f>
        <v>N.A.</v>
      </c>
      <c r="AG40" s="189" t="s">
        <v>35</v>
      </c>
      <c r="AH40" s="12" t="str">
        <f>_xlfn.XLOOKUP(AG40,Tab_Def_Flows[Name(EN)],Tab_Def_Flows[Flow_ID],,0,)</f>
        <v>N.A.</v>
      </c>
      <c r="AI40" s="189" t="s">
        <v>35</v>
      </c>
      <c r="AJ40" s="12" t="str">
        <f>_xlfn.XLOOKUP(AI40,Tab_Def_Flows[Name(EN)],Tab_Def_Flows[Flow_ID],,0,)</f>
        <v>N.A.</v>
      </c>
      <c r="AK40" s="189" t="s">
        <v>35</v>
      </c>
      <c r="AL40" s="13" t="str">
        <f>_xlfn.XLOOKUP(AK40,Tab_Def_Flows[Name(EN)],Tab_Def_Flows[Flow_ID],,0,)</f>
        <v>N.A.</v>
      </c>
    </row>
    <row r="41" spans="1:38" x14ac:dyDescent="0.25">
      <c r="A41" s="194" t="b">
        <v>0</v>
      </c>
      <c r="B41" s="43" t="s">
        <v>174</v>
      </c>
      <c r="C41" s="9" t="str">
        <f t="shared" si="0"/>
        <v>39</v>
      </c>
      <c r="D41" s="11"/>
      <c r="E41" s="11"/>
      <c r="F41" s="11"/>
      <c r="G41" s="11"/>
      <c r="H41" s="37"/>
      <c r="I41" s="189"/>
      <c r="J41" s="189"/>
      <c r="K41" s="189"/>
      <c r="L41" s="189"/>
      <c r="M41" s="189"/>
      <c r="N41" s="189"/>
      <c r="O41" s="189"/>
      <c r="P41" s="11"/>
      <c r="Q41" s="11" t="s">
        <v>35</v>
      </c>
      <c r="R41" s="12" t="str">
        <f>_xlfn.XLOOKUP(Q41,Tab_Def_Flows[Name(EN)],Tab_Def_Flows[Flow_ID],,0,)</f>
        <v>N.A.</v>
      </c>
      <c r="S41" s="11" t="s">
        <v>35</v>
      </c>
      <c r="T41" s="12" t="str">
        <f>_xlfn.XLOOKUP(S41,Tab_Def_Flows[Name(EN)],Tab_Def_Flows[Flow_ID],,0,)</f>
        <v>N.A.</v>
      </c>
      <c r="U41" s="11" t="s">
        <v>35</v>
      </c>
      <c r="V41" s="12" t="str">
        <f>_xlfn.XLOOKUP(U41,Tab_Def_Flows[Name(EN)],Tab_Def_Flows[Flow_ID],,0,)</f>
        <v>N.A.</v>
      </c>
      <c r="W41" s="11" t="s">
        <v>35</v>
      </c>
      <c r="X41" s="12" t="str">
        <f>_xlfn.XLOOKUP(W41,Tab_Def_Flows[Name(EN)],Tab_Def_Flows[Flow_ID],,0,)</f>
        <v>N.A.</v>
      </c>
      <c r="Y41" s="11" t="s">
        <v>35</v>
      </c>
      <c r="Z41" s="13" t="str">
        <f>_xlfn.XLOOKUP(Y41,Tab_Def_Flows[Name(EN)],Tab_Def_Flows[Flow_ID],,0,)</f>
        <v>N.A.</v>
      </c>
      <c r="AA41" s="189" t="s">
        <v>35</v>
      </c>
      <c r="AB41" s="12" t="str">
        <f>_xlfn.XLOOKUP(AA41,Tab_Def_Flows[Name(EN)],Tab_Def_Flows[Flow_ID],,0,)</f>
        <v>N.A.</v>
      </c>
      <c r="AC41" s="189" t="s">
        <v>35</v>
      </c>
      <c r="AD41" s="12" t="str">
        <f>_xlfn.XLOOKUP(AC41,Tab_Def_Flows[Name(EN)],Tab_Def_Flows[Flow_ID],,0,)</f>
        <v>N.A.</v>
      </c>
      <c r="AE41" s="189" t="s">
        <v>35</v>
      </c>
      <c r="AF41" s="12" t="str">
        <f>_xlfn.XLOOKUP(AE41,Tab_Def_Flows[Name(EN)],Tab_Def_Flows[Flow_ID],,0,)</f>
        <v>N.A.</v>
      </c>
      <c r="AG41" s="189" t="s">
        <v>35</v>
      </c>
      <c r="AH41" s="12" t="str">
        <f>_xlfn.XLOOKUP(AG41,Tab_Def_Flows[Name(EN)],Tab_Def_Flows[Flow_ID],,0,)</f>
        <v>N.A.</v>
      </c>
      <c r="AI41" s="189" t="s">
        <v>35</v>
      </c>
      <c r="AJ41" s="12" t="str">
        <f>_xlfn.XLOOKUP(AI41,Tab_Def_Flows[Name(EN)],Tab_Def_Flows[Flow_ID],,0,)</f>
        <v>N.A.</v>
      </c>
      <c r="AK41" s="189" t="s">
        <v>35</v>
      </c>
      <c r="AL41" s="13" t="str">
        <f>_xlfn.XLOOKUP(AK41,Tab_Def_Flows[Name(EN)],Tab_Def_Flows[Flow_ID],,0,)</f>
        <v>N.A.</v>
      </c>
    </row>
    <row r="42" spans="1:38" x14ac:dyDescent="0.25">
      <c r="A42" s="194" t="b">
        <v>0</v>
      </c>
      <c r="B42" s="43" t="s">
        <v>175</v>
      </c>
      <c r="C42" s="9" t="str">
        <f t="shared" si="0"/>
        <v>40</v>
      </c>
      <c r="D42" s="11"/>
      <c r="E42" s="11"/>
      <c r="F42" s="11"/>
      <c r="G42" s="11"/>
      <c r="H42" s="37"/>
      <c r="I42" s="189"/>
      <c r="J42" s="189"/>
      <c r="K42" s="189"/>
      <c r="L42" s="189"/>
      <c r="M42" s="189"/>
      <c r="N42" s="189"/>
      <c r="O42" s="189"/>
      <c r="P42" s="11"/>
      <c r="Q42" s="11" t="s">
        <v>35</v>
      </c>
      <c r="R42" s="12" t="str">
        <f>_xlfn.XLOOKUP(Q42,Tab_Def_Flows[Name(EN)],Tab_Def_Flows[Flow_ID],,0,)</f>
        <v>N.A.</v>
      </c>
      <c r="S42" s="11" t="s">
        <v>35</v>
      </c>
      <c r="T42" s="12" t="str">
        <f>_xlfn.XLOOKUP(S42,Tab_Def_Flows[Name(EN)],Tab_Def_Flows[Flow_ID],,0,)</f>
        <v>N.A.</v>
      </c>
      <c r="U42" s="11" t="s">
        <v>35</v>
      </c>
      <c r="V42" s="12" t="str">
        <f>_xlfn.XLOOKUP(U42,Tab_Def_Flows[Name(EN)],Tab_Def_Flows[Flow_ID],,0,)</f>
        <v>N.A.</v>
      </c>
      <c r="W42" s="11" t="s">
        <v>35</v>
      </c>
      <c r="X42" s="12" t="str">
        <f>_xlfn.XLOOKUP(W42,Tab_Def_Flows[Name(EN)],Tab_Def_Flows[Flow_ID],,0,)</f>
        <v>N.A.</v>
      </c>
      <c r="Y42" s="11" t="s">
        <v>35</v>
      </c>
      <c r="Z42" s="13" t="str">
        <f>_xlfn.XLOOKUP(Y42,Tab_Def_Flows[Name(EN)],Tab_Def_Flows[Flow_ID],,0,)</f>
        <v>N.A.</v>
      </c>
      <c r="AA42" s="189" t="s">
        <v>35</v>
      </c>
      <c r="AB42" s="12" t="str">
        <f>_xlfn.XLOOKUP(AA42,Tab_Def_Flows[Name(EN)],Tab_Def_Flows[Flow_ID],,0,)</f>
        <v>N.A.</v>
      </c>
      <c r="AC42" s="189" t="s">
        <v>35</v>
      </c>
      <c r="AD42" s="12" t="str">
        <f>_xlfn.XLOOKUP(AC42,Tab_Def_Flows[Name(EN)],Tab_Def_Flows[Flow_ID],,0,)</f>
        <v>N.A.</v>
      </c>
      <c r="AE42" s="189" t="s">
        <v>35</v>
      </c>
      <c r="AF42" s="12" t="str">
        <f>_xlfn.XLOOKUP(AE42,Tab_Def_Flows[Name(EN)],Tab_Def_Flows[Flow_ID],,0,)</f>
        <v>N.A.</v>
      </c>
      <c r="AG42" s="189" t="s">
        <v>35</v>
      </c>
      <c r="AH42" s="12" t="str">
        <f>_xlfn.XLOOKUP(AG42,Tab_Def_Flows[Name(EN)],Tab_Def_Flows[Flow_ID],,0,)</f>
        <v>N.A.</v>
      </c>
      <c r="AI42" s="189" t="s">
        <v>35</v>
      </c>
      <c r="AJ42" s="12" t="str">
        <f>_xlfn.XLOOKUP(AI42,Tab_Def_Flows[Name(EN)],Tab_Def_Flows[Flow_ID],,0,)</f>
        <v>N.A.</v>
      </c>
      <c r="AK42" s="189" t="s">
        <v>35</v>
      </c>
      <c r="AL42" s="13" t="str">
        <f>_xlfn.XLOOKUP(AK42,Tab_Def_Flows[Name(EN)],Tab_Def_Flows[Flow_ID],,0,)</f>
        <v>N.A.</v>
      </c>
    </row>
    <row r="43" spans="1:38" x14ac:dyDescent="0.25">
      <c r="A43" s="194" t="b">
        <v>0</v>
      </c>
      <c r="B43" s="43" t="s">
        <v>176</v>
      </c>
      <c r="C43" s="9" t="str">
        <f t="shared" si="0"/>
        <v>41</v>
      </c>
      <c r="D43" s="11"/>
      <c r="E43" s="11"/>
      <c r="F43" s="11"/>
      <c r="G43" s="11"/>
      <c r="H43" s="37"/>
      <c r="I43" s="189"/>
      <c r="J43" s="189"/>
      <c r="K43" s="189"/>
      <c r="L43" s="189"/>
      <c r="M43" s="189"/>
      <c r="N43" s="189"/>
      <c r="O43" s="189"/>
      <c r="P43" s="11"/>
      <c r="Q43" s="11" t="s">
        <v>35</v>
      </c>
      <c r="R43" s="12" t="str">
        <f>_xlfn.XLOOKUP(Q43,Tab_Def_Flows[Name(EN)],Tab_Def_Flows[Flow_ID],,0,)</f>
        <v>N.A.</v>
      </c>
      <c r="S43" s="11" t="s">
        <v>35</v>
      </c>
      <c r="T43" s="12" t="str">
        <f>_xlfn.XLOOKUP(S43,Tab_Def_Flows[Name(EN)],Tab_Def_Flows[Flow_ID],,0,)</f>
        <v>N.A.</v>
      </c>
      <c r="U43" s="11" t="s">
        <v>35</v>
      </c>
      <c r="V43" s="12" t="str">
        <f>_xlfn.XLOOKUP(U43,Tab_Def_Flows[Name(EN)],Tab_Def_Flows[Flow_ID],,0,)</f>
        <v>N.A.</v>
      </c>
      <c r="W43" s="11" t="s">
        <v>35</v>
      </c>
      <c r="X43" s="12" t="str">
        <f>_xlfn.XLOOKUP(W43,Tab_Def_Flows[Name(EN)],Tab_Def_Flows[Flow_ID],,0,)</f>
        <v>N.A.</v>
      </c>
      <c r="Y43" s="11" t="s">
        <v>35</v>
      </c>
      <c r="Z43" s="13" t="str">
        <f>_xlfn.XLOOKUP(Y43,Tab_Def_Flows[Name(EN)],Tab_Def_Flows[Flow_ID],,0,)</f>
        <v>N.A.</v>
      </c>
      <c r="AA43" s="189" t="s">
        <v>35</v>
      </c>
      <c r="AB43" s="12" t="str">
        <f>_xlfn.XLOOKUP(AA43,Tab_Def_Flows[Name(EN)],Tab_Def_Flows[Flow_ID],,0,)</f>
        <v>N.A.</v>
      </c>
      <c r="AC43" s="189" t="s">
        <v>35</v>
      </c>
      <c r="AD43" s="12" t="str">
        <f>_xlfn.XLOOKUP(AC43,Tab_Def_Flows[Name(EN)],Tab_Def_Flows[Flow_ID],,0,)</f>
        <v>N.A.</v>
      </c>
      <c r="AE43" s="189" t="s">
        <v>35</v>
      </c>
      <c r="AF43" s="12" t="str">
        <f>_xlfn.XLOOKUP(AE43,Tab_Def_Flows[Name(EN)],Tab_Def_Flows[Flow_ID],,0,)</f>
        <v>N.A.</v>
      </c>
      <c r="AG43" s="189" t="s">
        <v>35</v>
      </c>
      <c r="AH43" s="12" t="str">
        <f>_xlfn.XLOOKUP(AG43,Tab_Def_Flows[Name(EN)],Tab_Def_Flows[Flow_ID],,0,)</f>
        <v>N.A.</v>
      </c>
      <c r="AI43" s="189" t="s">
        <v>35</v>
      </c>
      <c r="AJ43" s="12" t="str">
        <f>_xlfn.XLOOKUP(AI43,Tab_Def_Flows[Name(EN)],Tab_Def_Flows[Flow_ID],,0,)</f>
        <v>N.A.</v>
      </c>
      <c r="AK43" s="189" t="s">
        <v>35</v>
      </c>
      <c r="AL43" s="13" t="str">
        <f>_xlfn.XLOOKUP(AK43,Tab_Def_Flows[Name(EN)],Tab_Def_Flows[Flow_ID],,0,)</f>
        <v>N.A.</v>
      </c>
    </row>
    <row r="44" spans="1:38" x14ac:dyDescent="0.25">
      <c r="A44" s="194" t="b">
        <v>0</v>
      </c>
      <c r="B44" s="43" t="s">
        <v>177</v>
      </c>
      <c r="C44" s="9" t="str">
        <f t="shared" si="0"/>
        <v>42</v>
      </c>
      <c r="D44" s="11"/>
      <c r="E44" s="11"/>
      <c r="F44" s="11"/>
      <c r="G44" s="11"/>
      <c r="H44" s="37"/>
      <c r="I44" s="189"/>
      <c r="J44" s="189"/>
      <c r="K44" s="189"/>
      <c r="L44" s="189"/>
      <c r="M44" s="189"/>
      <c r="N44" s="189"/>
      <c r="O44" s="189"/>
      <c r="P44" s="11"/>
      <c r="Q44" s="11" t="s">
        <v>35</v>
      </c>
      <c r="R44" s="12" t="str">
        <f>_xlfn.XLOOKUP(Q44,Tab_Def_Flows[Name(EN)],Tab_Def_Flows[Flow_ID],,0,)</f>
        <v>N.A.</v>
      </c>
      <c r="S44" s="11" t="s">
        <v>35</v>
      </c>
      <c r="T44" s="12" t="str">
        <f>_xlfn.XLOOKUP(S44,Tab_Def_Flows[Name(EN)],Tab_Def_Flows[Flow_ID],,0,)</f>
        <v>N.A.</v>
      </c>
      <c r="U44" s="11" t="s">
        <v>35</v>
      </c>
      <c r="V44" s="12" t="str">
        <f>_xlfn.XLOOKUP(U44,Tab_Def_Flows[Name(EN)],Tab_Def_Flows[Flow_ID],,0,)</f>
        <v>N.A.</v>
      </c>
      <c r="W44" s="11" t="s">
        <v>35</v>
      </c>
      <c r="X44" s="12" t="str">
        <f>_xlfn.XLOOKUP(W44,Tab_Def_Flows[Name(EN)],Tab_Def_Flows[Flow_ID],,0,)</f>
        <v>N.A.</v>
      </c>
      <c r="Y44" s="11" t="s">
        <v>35</v>
      </c>
      <c r="Z44" s="13" t="str">
        <f>_xlfn.XLOOKUP(Y44,Tab_Def_Flows[Name(EN)],Tab_Def_Flows[Flow_ID],,0,)</f>
        <v>N.A.</v>
      </c>
      <c r="AA44" s="189" t="s">
        <v>35</v>
      </c>
      <c r="AB44" s="12" t="str">
        <f>_xlfn.XLOOKUP(AA44,Tab_Def_Flows[Name(EN)],Tab_Def_Flows[Flow_ID],,0,)</f>
        <v>N.A.</v>
      </c>
      <c r="AC44" s="189" t="s">
        <v>35</v>
      </c>
      <c r="AD44" s="12" t="str">
        <f>_xlfn.XLOOKUP(AC44,Tab_Def_Flows[Name(EN)],Tab_Def_Flows[Flow_ID],,0,)</f>
        <v>N.A.</v>
      </c>
      <c r="AE44" s="189" t="s">
        <v>35</v>
      </c>
      <c r="AF44" s="12" t="str">
        <f>_xlfn.XLOOKUP(AE44,Tab_Def_Flows[Name(EN)],Tab_Def_Flows[Flow_ID],,0,)</f>
        <v>N.A.</v>
      </c>
      <c r="AG44" s="189" t="s">
        <v>35</v>
      </c>
      <c r="AH44" s="12" t="str">
        <f>_xlfn.XLOOKUP(AG44,Tab_Def_Flows[Name(EN)],Tab_Def_Flows[Flow_ID],,0,)</f>
        <v>N.A.</v>
      </c>
      <c r="AI44" s="189" t="s">
        <v>35</v>
      </c>
      <c r="AJ44" s="12" t="str">
        <f>_xlfn.XLOOKUP(AI44,Tab_Def_Flows[Name(EN)],Tab_Def_Flows[Flow_ID],,0,)</f>
        <v>N.A.</v>
      </c>
      <c r="AK44" s="189" t="s">
        <v>35</v>
      </c>
      <c r="AL44" s="13" t="str">
        <f>_xlfn.XLOOKUP(AK44,Tab_Def_Flows[Name(EN)],Tab_Def_Flows[Flow_ID],,0,)</f>
        <v>N.A.</v>
      </c>
    </row>
    <row r="45" spans="1:38" x14ac:dyDescent="0.25">
      <c r="A45" s="194" t="b">
        <v>0</v>
      </c>
      <c r="B45" s="43" t="s">
        <v>178</v>
      </c>
      <c r="C45" s="9" t="str">
        <f t="shared" si="0"/>
        <v>43</v>
      </c>
      <c r="D45" s="11"/>
      <c r="E45" s="11"/>
      <c r="F45" s="11"/>
      <c r="G45" s="11"/>
      <c r="H45" s="37"/>
      <c r="I45" s="189"/>
      <c r="J45" s="189"/>
      <c r="K45" s="189"/>
      <c r="L45" s="189"/>
      <c r="M45" s="189"/>
      <c r="N45" s="189"/>
      <c r="O45" s="189"/>
      <c r="P45" s="11"/>
      <c r="Q45" s="11" t="s">
        <v>35</v>
      </c>
      <c r="R45" s="12" t="str">
        <f>_xlfn.XLOOKUP(Q45,Tab_Def_Flows[Name(EN)],Tab_Def_Flows[Flow_ID],,0,)</f>
        <v>N.A.</v>
      </c>
      <c r="S45" s="11" t="s">
        <v>35</v>
      </c>
      <c r="T45" s="12" t="str">
        <f>_xlfn.XLOOKUP(S45,Tab_Def_Flows[Name(EN)],Tab_Def_Flows[Flow_ID],,0,)</f>
        <v>N.A.</v>
      </c>
      <c r="U45" s="11" t="s">
        <v>35</v>
      </c>
      <c r="V45" s="12" t="str">
        <f>_xlfn.XLOOKUP(U45,Tab_Def_Flows[Name(EN)],Tab_Def_Flows[Flow_ID],,0,)</f>
        <v>N.A.</v>
      </c>
      <c r="W45" s="11" t="s">
        <v>35</v>
      </c>
      <c r="X45" s="12" t="str">
        <f>_xlfn.XLOOKUP(W45,Tab_Def_Flows[Name(EN)],Tab_Def_Flows[Flow_ID],,0,)</f>
        <v>N.A.</v>
      </c>
      <c r="Y45" s="11" t="s">
        <v>35</v>
      </c>
      <c r="Z45" s="13" t="str">
        <f>_xlfn.XLOOKUP(Y45,Tab_Def_Flows[Name(EN)],Tab_Def_Flows[Flow_ID],,0,)</f>
        <v>N.A.</v>
      </c>
      <c r="AA45" s="189" t="s">
        <v>35</v>
      </c>
      <c r="AB45" s="12" t="str">
        <f>_xlfn.XLOOKUP(AA45,Tab_Def_Flows[Name(EN)],Tab_Def_Flows[Flow_ID],,0,)</f>
        <v>N.A.</v>
      </c>
      <c r="AC45" s="189" t="s">
        <v>35</v>
      </c>
      <c r="AD45" s="12" t="str">
        <f>_xlfn.XLOOKUP(AC45,Tab_Def_Flows[Name(EN)],Tab_Def_Flows[Flow_ID],,0,)</f>
        <v>N.A.</v>
      </c>
      <c r="AE45" s="189" t="s">
        <v>35</v>
      </c>
      <c r="AF45" s="12" t="str">
        <f>_xlfn.XLOOKUP(AE45,Tab_Def_Flows[Name(EN)],Tab_Def_Flows[Flow_ID],,0,)</f>
        <v>N.A.</v>
      </c>
      <c r="AG45" s="189" t="s">
        <v>35</v>
      </c>
      <c r="AH45" s="12" t="str">
        <f>_xlfn.XLOOKUP(AG45,Tab_Def_Flows[Name(EN)],Tab_Def_Flows[Flow_ID],,0,)</f>
        <v>N.A.</v>
      </c>
      <c r="AI45" s="189" t="s">
        <v>35</v>
      </c>
      <c r="AJ45" s="12" t="str">
        <f>_xlfn.XLOOKUP(AI45,Tab_Def_Flows[Name(EN)],Tab_Def_Flows[Flow_ID],,0,)</f>
        <v>N.A.</v>
      </c>
      <c r="AK45" s="189" t="s">
        <v>35</v>
      </c>
      <c r="AL45" s="13" t="str">
        <f>_xlfn.XLOOKUP(AK45,Tab_Def_Flows[Name(EN)],Tab_Def_Flows[Flow_ID],,0,)</f>
        <v>N.A.</v>
      </c>
    </row>
    <row r="46" spans="1:38" x14ac:dyDescent="0.25">
      <c r="A46" s="194" t="b">
        <v>0</v>
      </c>
      <c r="B46" s="43" t="s">
        <v>179</v>
      </c>
      <c r="C46" s="9" t="str">
        <f t="shared" si="0"/>
        <v>44</v>
      </c>
      <c r="D46" s="11"/>
      <c r="E46" s="11"/>
      <c r="F46" s="11"/>
      <c r="G46" s="11"/>
      <c r="H46" s="37"/>
      <c r="I46" s="189"/>
      <c r="J46" s="189"/>
      <c r="K46" s="189"/>
      <c r="L46" s="189"/>
      <c r="M46" s="189"/>
      <c r="N46" s="189"/>
      <c r="O46" s="189"/>
      <c r="P46" s="11"/>
      <c r="Q46" s="11" t="s">
        <v>35</v>
      </c>
      <c r="R46" s="12" t="str">
        <f>_xlfn.XLOOKUP(Q46,Tab_Def_Flows[Name(EN)],Tab_Def_Flows[Flow_ID],,0,)</f>
        <v>N.A.</v>
      </c>
      <c r="S46" s="11" t="s">
        <v>35</v>
      </c>
      <c r="T46" s="12" t="str">
        <f>_xlfn.XLOOKUP(S46,Tab_Def_Flows[Name(EN)],Tab_Def_Flows[Flow_ID],,0,)</f>
        <v>N.A.</v>
      </c>
      <c r="U46" s="11" t="s">
        <v>35</v>
      </c>
      <c r="V46" s="12" t="str">
        <f>_xlfn.XLOOKUP(U46,Tab_Def_Flows[Name(EN)],Tab_Def_Flows[Flow_ID],,0,)</f>
        <v>N.A.</v>
      </c>
      <c r="W46" s="11" t="s">
        <v>35</v>
      </c>
      <c r="X46" s="12" t="str">
        <f>_xlfn.XLOOKUP(W46,Tab_Def_Flows[Name(EN)],Tab_Def_Flows[Flow_ID],,0,)</f>
        <v>N.A.</v>
      </c>
      <c r="Y46" s="11" t="s">
        <v>35</v>
      </c>
      <c r="Z46" s="13" t="str">
        <f>_xlfn.XLOOKUP(Y46,Tab_Def_Flows[Name(EN)],Tab_Def_Flows[Flow_ID],,0,)</f>
        <v>N.A.</v>
      </c>
      <c r="AA46" s="189" t="s">
        <v>35</v>
      </c>
      <c r="AB46" s="12" t="str">
        <f>_xlfn.XLOOKUP(AA46,Tab_Def_Flows[Name(EN)],Tab_Def_Flows[Flow_ID],,0,)</f>
        <v>N.A.</v>
      </c>
      <c r="AC46" s="189" t="s">
        <v>35</v>
      </c>
      <c r="AD46" s="12" t="str">
        <f>_xlfn.XLOOKUP(AC46,Tab_Def_Flows[Name(EN)],Tab_Def_Flows[Flow_ID],,0,)</f>
        <v>N.A.</v>
      </c>
      <c r="AE46" s="189" t="s">
        <v>35</v>
      </c>
      <c r="AF46" s="12" t="str">
        <f>_xlfn.XLOOKUP(AE46,Tab_Def_Flows[Name(EN)],Tab_Def_Flows[Flow_ID],,0,)</f>
        <v>N.A.</v>
      </c>
      <c r="AG46" s="189" t="s">
        <v>35</v>
      </c>
      <c r="AH46" s="12" t="str">
        <f>_xlfn.XLOOKUP(AG46,Tab_Def_Flows[Name(EN)],Tab_Def_Flows[Flow_ID],,0,)</f>
        <v>N.A.</v>
      </c>
      <c r="AI46" s="189" t="s">
        <v>35</v>
      </c>
      <c r="AJ46" s="12" t="str">
        <f>_xlfn.XLOOKUP(AI46,Tab_Def_Flows[Name(EN)],Tab_Def_Flows[Flow_ID],,0,)</f>
        <v>N.A.</v>
      </c>
      <c r="AK46" s="189" t="s">
        <v>35</v>
      </c>
      <c r="AL46" s="13" t="str">
        <f>_xlfn.XLOOKUP(AK46,Tab_Def_Flows[Name(EN)],Tab_Def_Flows[Flow_ID],,0,)</f>
        <v>N.A.</v>
      </c>
    </row>
    <row r="47" spans="1:38" x14ac:dyDescent="0.25">
      <c r="A47" s="194" t="b">
        <v>0</v>
      </c>
      <c r="B47" s="43" t="s">
        <v>180</v>
      </c>
      <c r="C47" s="9" t="str">
        <f t="shared" si="0"/>
        <v>45</v>
      </c>
      <c r="D47" s="11"/>
      <c r="E47" s="11"/>
      <c r="F47" s="11"/>
      <c r="G47" s="11"/>
      <c r="H47" s="37"/>
      <c r="I47" s="189"/>
      <c r="J47" s="189"/>
      <c r="K47" s="189"/>
      <c r="L47" s="189"/>
      <c r="M47" s="189"/>
      <c r="N47" s="189"/>
      <c r="O47" s="189"/>
      <c r="P47" s="11"/>
      <c r="Q47" s="11" t="s">
        <v>35</v>
      </c>
      <c r="R47" s="12" t="str">
        <f>_xlfn.XLOOKUP(Q47,Tab_Def_Flows[Name(EN)],Tab_Def_Flows[Flow_ID],,0,)</f>
        <v>N.A.</v>
      </c>
      <c r="S47" s="11" t="s">
        <v>35</v>
      </c>
      <c r="T47" s="12" t="str">
        <f>_xlfn.XLOOKUP(S47,Tab_Def_Flows[Name(EN)],Tab_Def_Flows[Flow_ID],,0,)</f>
        <v>N.A.</v>
      </c>
      <c r="U47" s="11" t="s">
        <v>35</v>
      </c>
      <c r="V47" s="12" t="str">
        <f>_xlfn.XLOOKUP(U47,Tab_Def_Flows[Name(EN)],Tab_Def_Flows[Flow_ID],,0,)</f>
        <v>N.A.</v>
      </c>
      <c r="W47" s="11" t="s">
        <v>35</v>
      </c>
      <c r="X47" s="12" t="str">
        <f>_xlfn.XLOOKUP(W47,Tab_Def_Flows[Name(EN)],Tab_Def_Flows[Flow_ID],,0,)</f>
        <v>N.A.</v>
      </c>
      <c r="Y47" s="11" t="s">
        <v>35</v>
      </c>
      <c r="Z47" s="13" t="str">
        <f>_xlfn.XLOOKUP(Y47,Tab_Def_Flows[Name(EN)],Tab_Def_Flows[Flow_ID],,0,)</f>
        <v>N.A.</v>
      </c>
      <c r="AA47" s="189" t="s">
        <v>35</v>
      </c>
      <c r="AB47" s="12" t="str">
        <f>_xlfn.XLOOKUP(AA47,Tab_Def_Flows[Name(EN)],Tab_Def_Flows[Flow_ID],,0,)</f>
        <v>N.A.</v>
      </c>
      <c r="AC47" s="189" t="s">
        <v>35</v>
      </c>
      <c r="AD47" s="12" t="str">
        <f>_xlfn.XLOOKUP(AC47,Tab_Def_Flows[Name(EN)],Tab_Def_Flows[Flow_ID],,0,)</f>
        <v>N.A.</v>
      </c>
      <c r="AE47" s="189" t="s">
        <v>35</v>
      </c>
      <c r="AF47" s="12" t="str">
        <f>_xlfn.XLOOKUP(AE47,Tab_Def_Flows[Name(EN)],Tab_Def_Flows[Flow_ID],,0,)</f>
        <v>N.A.</v>
      </c>
      <c r="AG47" s="189" t="s">
        <v>35</v>
      </c>
      <c r="AH47" s="12" t="str">
        <f>_xlfn.XLOOKUP(AG47,Tab_Def_Flows[Name(EN)],Tab_Def_Flows[Flow_ID],,0,)</f>
        <v>N.A.</v>
      </c>
      <c r="AI47" s="189" t="s">
        <v>35</v>
      </c>
      <c r="AJ47" s="12" t="str">
        <f>_xlfn.XLOOKUP(AI47,Tab_Def_Flows[Name(EN)],Tab_Def_Flows[Flow_ID],,0,)</f>
        <v>N.A.</v>
      </c>
      <c r="AK47" s="189" t="s">
        <v>35</v>
      </c>
      <c r="AL47" s="13" t="str">
        <f>_xlfn.XLOOKUP(AK47,Tab_Def_Flows[Name(EN)],Tab_Def_Flows[Flow_ID],,0,)</f>
        <v>N.A.</v>
      </c>
    </row>
    <row r="48" spans="1:38" x14ac:dyDescent="0.25">
      <c r="A48" s="194" t="b">
        <v>0</v>
      </c>
      <c r="B48" s="43" t="s">
        <v>181</v>
      </c>
      <c r="C48" s="9" t="str">
        <f t="shared" si="0"/>
        <v>46</v>
      </c>
      <c r="D48" s="11"/>
      <c r="E48" s="11"/>
      <c r="F48" s="11"/>
      <c r="G48" s="11"/>
      <c r="H48" s="37"/>
      <c r="I48" s="189"/>
      <c r="J48" s="189"/>
      <c r="K48" s="189"/>
      <c r="L48" s="189"/>
      <c r="M48" s="189"/>
      <c r="N48" s="189"/>
      <c r="O48" s="189"/>
      <c r="P48" s="11"/>
      <c r="Q48" s="11" t="s">
        <v>35</v>
      </c>
      <c r="R48" s="12" t="str">
        <f>_xlfn.XLOOKUP(Q48,Tab_Def_Flows[Name(EN)],Tab_Def_Flows[Flow_ID],,0,)</f>
        <v>N.A.</v>
      </c>
      <c r="S48" s="11" t="s">
        <v>35</v>
      </c>
      <c r="T48" s="12" t="str">
        <f>_xlfn.XLOOKUP(S48,Tab_Def_Flows[Name(EN)],Tab_Def_Flows[Flow_ID],,0,)</f>
        <v>N.A.</v>
      </c>
      <c r="U48" s="11" t="s">
        <v>35</v>
      </c>
      <c r="V48" s="12" t="str">
        <f>_xlfn.XLOOKUP(U48,Tab_Def_Flows[Name(EN)],Tab_Def_Flows[Flow_ID],,0,)</f>
        <v>N.A.</v>
      </c>
      <c r="W48" s="11" t="s">
        <v>35</v>
      </c>
      <c r="X48" s="12" t="str">
        <f>_xlfn.XLOOKUP(W48,Tab_Def_Flows[Name(EN)],Tab_Def_Flows[Flow_ID],,0,)</f>
        <v>N.A.</v>
      </c>
      <c r="Y48" s="11" t="s">
        <v>35</v>
      </c>
      <c r="Z48" s="13" t="str">
        <f>_xlfn.XLOOKUP(Y48,Tab_Def_Flows[Name(EN)],Tab_Def_Flows[Flow_ID],,0,)</f>
        <v>N.A.</v>
      </c>
      <c r="AA48" s="189" t="s">
        <v>35</v>
      </c>
      <c r="AB48" s="12" t="str">
        <f>_xlfn.XLOOKUP(AA48,Tab_Def_Flows[Name(EN)],Tab_Def_Flows[Flow_ID],,0,)</f>
        <v>N.A.</v>
      </c>
      <c r="AC48" s="189" t="s">
        <v>35</v>
      </c>
      <c r="AD48" s="12" t="str">
        <f>_xlfn.XLOOKUP(AC48,Tab_Def_Flows[Name(EN)],Tab_Def_Flows[Flow_ID],,0,)</f>
        <v>N.A.</v>
      </c>
      <c r="AE48" s="189" t="s">
        <v>35</v>
      </c>
      <c r="AF48" s="12" t="str">
        <f>_xlfn.XLOOKUP(AE48,Tab_Def_Flows[Name(EN)],Tab_Def_Flows[Flow_ID],,0,)</f>
        <v>N.A.</v>
      </c>
      <c r="AG48" s="189" t="s">
        <v>35</v>
      </c>
      <c r="AH48" s="12" t="str">
        <f>_xlfn.XLOOKUP(AG48,Tab_Def_Flows[Name(EN)],Tab_Def_Flows[Flow_ID],,0,)</f>
        <v>N.A.</v>
      </c>
      <c r="AI48" s="189" t="s">
        <v>35</v>
      </c>
      <c r="AJ48" s="12" t="str">
        <f>_xlfn.XLOOKUP(AI48,Tab_Def_Flows[Name(EN)],Tab_Def_Flows[Flow_ID],,0,)</f>
        <v>N.A.</v>
      </c>
      <c r="AK48" s="189" t="s">
        <v>35</v>
      </c>
      <c r="AL48" s="13" t="str">
        <f>_xlfn.XLOOKUP(AK48,Tab_Def_Flows[Name(EN)],Tab_Def_Flows[Flow_ID],,0,)</f>
        <v>N.A.</v>
      </c>
    </row>
    <row r="49" spans="1:38" x14ac:dyDescent="0.25">
      <c r="A49" s="194" t="b">
        <v>0</v>
      </c>
      <c r="B49" s="43" t="s">
        <v>182</v>
      </c>
      <c r="C49" s="9" t="str">
        <f t="shared" si="0"/>
        <v>47</v>
      </c>
      <c r="D49" s="11"/>
      <c r="E49" s="11"/>
      <c r="F49" s="11"/>
      <c r="G49" s="11"/>
      <c r="H49" s="37"/>
      <c r="I49" s="189"/>
      <c r="J49" s="189"/>
      <c r="K49" s="189"/>
      <c r="L49" s="189"/>
      <c r="M49" s="189"/>
      <c r="N49" s="189"/>
      <c r="O49" s="189"/>
      <c r="P49" s="11"/>
      <c r="Q49" s="11" t="s">
        <v>35</v>
      </c>
      <c r="R49" s="12" t="str">
        <f>_xlfn.XLOOKUP(Q49,Tab_Def_Flows[Name(EN)],Tab_Def_Flows[Flow_ID],,0,)</f>
        <v>N.A.</v>
      </c>
      <c r="S49" s="11" t="s">
        <v>35</v>
      </c>
      <c r="T49" s="12" t="str">
        <f>_xlfn.XLOOKUP(S49,Tab_Def_Flows[Name(EN)],Tab_Def_Flows[Flow_ID],,0,)</f>
        <v>N.A.</v>
      </c>
      <c r="U49" s="11" t="s">
        <v>35</v>
      </c>
      <c r="V49" s="12" t="str">
        <f>_xlfn.XLOOKUP(U49,Tab_Def_Flows[Name(EN)],Tab_Def_Flows[Flow_ID],,0,)</f>
        <v>N.A.</v>
      </c>
      <c r="W49" s="11" t="s">
        <v>35</v>
      </c>
      <c r="X49" s="12" t="str">
        <f>_xlfn.XLOOKUP(W49,Tab_Def_Flows[Name(EN)],Tab_Def_Flows[Flow_ID],,0,)</f>
        <v>N.A.</v>
      </c>
      <c r="Y49" s="11" t="s">
        <v>35</v>
      </c>
      <c r="Z49" s="13" t="str">
        <f>_xlfn.XLOOKUP(Y49,Tab_Def_Flows[Name(EN)],Tab_Def_Flows[Flow_ID],,0,)</f>
        <v>N.A.</v>
      </c>
      <c r="AA49" s="189" t="s">
        <v>35</v>
      </c>
      <c r="AB49" s="12" t="str">
        <f>_xlfn.XLOOKUP(AA49,Tab_Def_Flows[Name(EN)],Tab_Def_Flows[Flow_ID],,0,)</f>
        <v>N.A.</v>
      </c>
      <c r="AC49" s="189" t="s">
        <v>35</v>
      </c>
      <c r="AD49" s="12" t="str">
        <f>_xlfn.XLOOKUP(AC49,Tab_Def_Flows[Name(EN)],Tab_Def_Flows[Flow_ID],,0,)</f>
        <v>N.A.</v>
      </c>
      <c r="AE49" s="189" t="s">
        <v>35</v>
      </c>
      <c r="AF49" s="12" t="str">
        <f>_xlfn.XLOOKUP(AE49,Tab_Def_Flows[Name(EN)],Tab_Def_Flows[Flow_ID],,0,)</f>
        <v>N.A.</v>
      </c>
      <c r="AG49" s="189" t="s">
        <v>35</v>
      </c>
      <c r="AH49" s="12" t="str">
        <f>_xlfn.XLOOKUP(AG49,Tab_Def_Flows[Name(EN)],Tab_Def_Flows[Flow_ID],,0,)</f>
        <v>N.A.</v>
      </c>
      <c r="AI49" s="189" t="s">
        <v>35</v>
      </c>
      <c r="AJ49" s="12" t="str">
        <f>_xlfn.XLOOKUP(AI49,Tab_Def_Flows[Name(EN)],Tab_Def_Flows[Flow_ID],,0,)</f>
        <v>N.A.</v>
      </c>
      <c r="AK49" s="189" t="s">
        <v>35</v>
      </c>
      <c r="AL49" s="13" t="str">
        <f>_xlfn.XLOOKUP(AK49,Tab_Def_Flows[Name(EN)],Tab_Def_Flows[Flow_ID],,0,)</f>
        <v>N.A.</v>
      </c>
    </row>
    <row r="50" spans="1:38" x14ac:dyDescent="0.25">
      <c r="A50" s="194" t="b">
        <v>0</v>
      </c>
      <c r="B50" s="43" t="s">
        <v>183</v>
      </c>
      <c r="C50" s="9" t="str">
        <f t="shared" si="0"/>
        <v>48</v>
      </c>
      <c r="D50" s="11"/>
      <c r="E50" s="11"/>
      <c r="F50" s="11"/>
      <c r="G50" s="11"/>
      <c r="H50" s="37"/>
      <c r="I50" s="189"/>
      <c r="J50" s="189"/>
      <c r="K50" s="189"/>
      <c r="L50" s="189"/>
      <c r="M50" s="189"/>
      <c r="N50" s="189"/>
      <c r="O50" s="189"/>
      <c r="P50" s="11"/>
      <c r="Q50" s="11" t="s">
        <v>35</v>
      </c>
      <c r="R50" s="12" t="str">
        <f>_xlfn.XLOOKUP(Q50,Tab_Def_Flows[Name(EN)],Tab_Def_Flows[Flow_ID],,0,)</f>
        <v>N.A.</v>
      </c>
      <c r="S50" s="11" t="s">
        <v>35</v>
      </c>
      <c r="T50" s="12" t="str">
        <f>_xlfn.XLOOKUP(S50,Tab_Def_Flows[Name(EN)],Tab_Def_Flows[Flow_ID],,0,)</f>
        <v>N.A.</v>
      </c>
      <c r="U50" s="11" t="s">
        <v>35</v>
      </c>
      <c r="V50" s="12" t="str">
        <f>_xlfn.XLOOKUP(U50,Tab_Def_Flows[Name(EN)],Tab_Def_Flows[Flow_ID],,0,)</f>
        <v>N.A.</v>
      </c>
      <c r="W50" s="11" t="s">
        <v>35</v>
      </c>
      <c r="X50" s="12" t="str">
        <f>_xlfn.XLOOKUP(W50,Tab_Def_Flows[Name(EN)],Tab_Def_Flows[Flow_ID],,0,)</f>
        <v>N.A.</v>
      </c>
      <c r="Y50" s="11" t="s">
        <v>35</v>
      </c>
      <c r="Z50" s="13" t="str">
        <f>_xlfn.XLOOKUP(Y50,Tab_Def_Flows[Name(EN)],Tab_Def_Flows[Flow_ID],,0,)</f>
        <v>N.A.</v>
      </c>
      <c r="AA50" s="189" t="s">
        <v>35</v>
      </c>
      <c r="AB50" s="12" t="str">
        <f>_xlfn.XLOOKUP(AA50,Tab_Def_Flows[Name(EN)],Tab_Def_Flows[Flow_ID],,0,)</f>
        <v>N.A.</v>
      </c>
      <c r="AC50" s="189" t="s">
        <v>35</v>
      </c>
      <c r="AD50" s="12" t="str">
        <f>_xlfn.XLOOKUP(AC50,Tab_Def_Flows[Name(EN)],Tab_Def_Flows[Flow_ID],,0,)</f>
        <v>N.A.</v>
      </c>
      <c r="AE50" s="189" t="s">
        <v>35</v>
      </c>
      <c r="AF50" s="12" t="str">
        <f>_xlfn.XLOOKUP(AE50,Tab_Def_Flows[Name(EN)],Tab_Def_Flows[Flow_ID],,0,)</f>
        <v>N.A.</v>
      </c>
      <c r="AG50" s="189" t="s">
        <v>35</v>
      </c>
      <c r="AH50" s="12" t="str">
        <f>_xlfn.XLOOKUP(AG50,Tab_Def_Flows[Name(EN)],Tab_Def_Flows[Flow_ID],,0,)</f>
        <v>N.A.</v>
      </c>
      <c r="AI50" s="189" t="s">
        <v>35</v>
      </c>
      <c r="AJ50" s="12" t="str">
        <f>_xlfn.XLOOKUP(AI50,Tab_Def_Flows[Name(EN)],Tab_Def_Flows[Flow_ID],,0,)</f>
        <v>N.A.</v>
      </c>
      <c r="AK50" s="189" t="s">
        <v>35</v>
      </c>
      <c r="AL50" s="13" t="str">
        <f>_xlfn.XLOOKUP(AK50,Tab_Def_Flows[Name(EN)],Tab_Def_Flows[Flow_ID],,0,)</f>
        <v>N.A.</v>
      </c>
    </row>
    <row r="51" spans="1:38" x14ac:dyDescent="0.25">
      <c r="A51" s="194" t="b">
        <v>0</v>
      </c>
      <c r="B51" s="43" t="s">
        <v>184</v>
      </c>
      <c r="C51" s="9" t="str">
        <f t="shared" si="0"/>
        <v>49</v>
      </c>
      <c r="D51" s="11"/>
      <c r="E51" s="11"/>
      <c r="F51" s="11"/>
      <c r="G51" s="11"/>
      <c r="H51" s="37"/>
      <c r="I51" s="189"/>
      <c r="J51" s="189"/>
      <c r="K51" s="189"/>
      <c r="L51" s="189"/>
      <c r="M51" s="189"/>
      <c r="N51" s="189"/>
      <c r="O51" s="189"/>
      <c r="P51" s="11"/>
      <c r="Q51" s="11" t="s">
        <v>35</v>
      </c>
      <c r="R51" s="12" t="str">
        <f>_xlfn.XLOOKUP(Q51,Tab_Def_Flows[Name(EN)],Tab_Def_Flows[Flow_ID],,0,)</f>
        <v>N.A.</v>
      </c>
      <c r="S51" s="11" t="s">
        <v>35</v>
      </c>
      <c r="T51" s="12" t="str">
        <f>_xlfn.XLOOKUP(S51,Tab_Def_Flows[Name(EN)],Tab_Def_Flows[Flow_ID],,0,)</f>
        <v>N.A.</v>
      </c>
      <c r="U51" s="11" t="s">
        <v>35</v>
      </c>
      <c r="V51" s="12" t="str">
        <f>_xlfn.XLOOKUP(U51,Tab_Def_Flows[Name(EN)],Tab_Def_Flows[Flow_ID],,0,)</f>
        <v>N.A.</v>
      </c>
      <c r="W51" s="11" t="s">
        <v>35</v>
      </c>
      <c r="X51" s="12" t="str">
        <f>_xlfn.XLOOKUP(W51,Tab_Def_Flows[Name(EN)],Tab_Def_Flows[Flow_ID],,0,)</f>
        <v>N.A.</v>
      </c>
      <c r="Y51" s="11" t="s">
        <v>35</v>
      </c>
      <c r="Z51" s="13" t="str">
        <f>_xlfn.XLOOKUP(Y51,Tab_Def_Flows[Name(EN)],Tab_Def_Flows[Flow_ID],,0,)</f>
        <v>N.A.</v>
      </c>
      <c r="AA51" s="189" t="s">
        <v>35</v>
      </c>
      <c r="AB51" s="12" t="str">
        <f>_xlfn.XLOOKUP(AA51,Tab_Def_Flows[Name(EN)],Tab_Def_Flows[Flow_ID],,0,)</f>
        <v>N.A.</v>
      </c>
      <c r="AC51" s="189" t="s">
        <v>35</v>
      </c>
      <c r="AD51" s="12" t="str">
        <f>_xlfn.XLOOKUP(AC51,Tab_Def_Flows[Name(EN)],Tab_Def_Flows[Flow_ID],,0,)</f>
        <v>N.A.</v>
      </c>
      <c r="AE51" s="189" t="s">
        <v>35</v>
      </c>
      <c r="AF51" s="12" t="str">
        <f>_xlfn.XLOOKUP(AE51,Tab_Def_Flows[Name(EN)],Tab_Def_Flows[Flow_ID],,0,)</f>
        <v>N.A.</v>
      </c>
      <c r="AG51" s="189" t="s">
        <v>35</v>
      </c>
      <c r="AH51" s="12" t="str">
        <f>_xlfn.XLOOKUP(AG51,Tab_Def_Flows[Name(EN)],Tab_Def_Flows[Flow_ID],,0,)</f>
        <v>N.A.</v>
      </c>
      <c r="AI51" s="189" t="s">
        <v>35</v>
      </c>
      <c r="AJ51" s="12" t="str">
        <f>_xlfn.XLOOKUP(AI51,Tab_Def_Flows[Name(EN)],Tab_Def_Flows[Flow_ID],,0,)</f>
        <v>N.A.</v>
      </c>
      <c r="AK51" s="189" t="s">
        <v>35</v>
      </c>
      <c r="AL51" s="13" t="str">
        <f>_xlfn.XLOOKUP(AK51,Tab_Def_Flows[Name(EN)],Tab_Def_Flows[Flow_ID],,0,)</f>
        <v>N.A.</v>
      </c>
    </row>
    <row r="52" spans="1:38" x14ac:dyDescent="0.25">
      <c r="A52" s="194" t="b">
        <v>0</v>
      </c>
      <c r="B52" s="43" t="s">
        <v>185</v>
      </c>
      <c r="C52" s="9" t="str">
        <f t="shared" si="0"/>
        <v>50</v>
      </c>
      <c r="D52" s="11"/>
      <c r="E52" s="11"/>
      <c r="F52" s="11"/>
      <c r="G52" s="11"/>
      <c r="H52" s="37"/>
      <c r="I52" s="189"/>
      <c r="J52" s="189"/>
      <c r="K52" s="189"/>
      <c r="L52" s="189"/>
      <c r="M52" s="189"/>
      <c r="N52" s="189"/>
      <c r="O52" s="189"/>
      <c r="P52" s="11"/>
      <c r="Q52" s="11"/>
      <c r="R52" s="9" t="str">
        <f>_xlfn.XLOOKUP(Q52,Tab_Def_Flows[Name(EN)],Tab_Def_Flows[Flow_ID],,0,)</f>
        <v>F_11_11</v>
      </c>
      <c r="S52" s="11"/>
      <c r="T52" s="9" t="str">
        <f>_xlfn.XLOOKUP(S52,Tab_Def_Flows[Name(EN)],Tab_Def_Flows[Flow_ID],,0,)</f>
        <v>F_11_11</v>
      </c>
      <c r="U52" s="11"/>
      <c r="V52" s="9" t="str">
        <f>_xlfn.XLOOKUP(U52,Tab_Def_Flows[Name(EN)],Tab_Def_Flows[Flow_ID],,0,)</f>
        <v>F_11_11</v>
      </c>
      <c r="W52" s="11"/>
      <c r="X52" s="9" t="str">
        <f>_xlfn.XLOOKUP(W52,Tab_Def_Flows[Name(EN)],Tab_Def_Flows[Flow_ID],,0,)</f>
        <v>F_11_11</v>
      </c>
      <c r="Y52" s="11"/>
      <c r="Z52" s="20" t="str">
        <f>_xlfn.XLOOKUP(Y52,Tab_Def_Flows[Name(EN)],Tab_Def_Flows[Flow_ID],,0,)</f>
        <v>F_11_11</v>
      </c>
      <c r="AA52" s="189"/>
      <c r="AB52" s="9" t="str">
        <f>_xlfn.XLOOKUP(AA52,Tab_Def_Flows[Name(EN)],Tab_Def_Flows[Flow_ID],,0,)</f>
        <v>F_11_11</v>
      </c>
      <c r="AC52" s="189"/>
      <c r="AD52" s="9" t="str">
        <f>_xlfn.XLOOKUP(AC52,Tab_Def_Flows[Name(EN)],Tab_Def_Flows[Flow_ID],,0,)</f>
        <v>F_11_11</v>
      </c>
      <c r="AE52" s="189" t="s">
        <v>35</v>
      </c>
      <c r="AF52" s="9" t="str">
        <f>_xlfn.XLOOKUP(AE52,Tab_Def_Flows[Name(EN)],Tab_Def_Flows[Flow_ID],,0,)</f>
        <v>N.A.</v>
      </c>
      <c r="AG52" s="189"/>
      <c r="AH52" s="9" t="str">
        <f>_xlfn.XLOOKUP(AG52,Tab_Def_Flows[Name(EN)],Tab_Def_Flows[Flow_ID],,0,)</f>
        <v>F_11_11</v>
      </c>
      <c r="AI52" s="189"/>
      <c r="AJ52" s="9" t="str">
        <f>_xlfn.XLOOKUP(AI52,Tab_Def_Flows[Name(EN)],Tab_Def_Flows[Flow_ID],,0,)</f>
        <v>F_11_11</v>
      </c>
      <c r="AK52" s="189"/>
      <c r="AL52" s="13" t="str">
        <f>_xlfn.XLOOKUP(AK52,Tab_Def_Flows[Name(EN)],Tab_Def_Flows[Flow_ID],,0,)</f>
        <v>F_11_11</v>
      </c>
    </row>
    <row r="53" spans="1:38" x14ac:dyDescent="0.25">
      <c r="A53" s="194" t="b">
        <v>0</v>
      </c>
      <c r="B53" s="43" t="s">
        <v>186</v>
      </c>
      <c r="C53" s="9" t="str">
        <f t="shared" si="0"/>
        <v>51</v>
      </c>
      <c r="D53" s="11"/>
      <c r="E53" s="11"/>
      <c r="F53" s="11"/>
      <c r="G53" s="11"/>
      <c r="H53" s="37"/>
      <c r="I53" s="189"/>
      <c r="J53" s="189"/>
      <c r="K53" s="189"/>
      <c r="L53" s="189"/>
      <c r="M53" s="189"/>
      <c r="N53" s="189"/>
      <c r="O53" s="189"/>
      <c r="P53" s="11"/>
      <c r="Q53" s="11"/>
      <c r="R53" s="9" t="str">
        <f>_xlfn.XLOOKUP(Q53,Tab_Def_Flows[Name(EN)],Tab_Def_Flows[Flow_ID],,0,)</f>
        <v>F_11_11</v>
      </c>
      <c r="S53" s="11"/>
      <c r="T53" s="9" t="str">
        <f>_xlfn.XLOOKUP(S53,Tab_Def_Flows[Name(EN)],Tab_Def_Flows[Flow_ID],,0,)</f>
        <v>F_11_11</v>
      </c>
      <c r="U53" s="11"/>
      <c r="V53" s="9" t="str">
        <f>_xlfn.XLOOKUP(U53,Tab_Def_Flows[Name(EN)],Tab_Def_Flows[Flow_ID],,0,)</f>
        <v>F_11_11</v>
      </c>
      <c r="W53" s="11"/>
      <c r="X53" s="9" t="str">
        <f>_xlfn.XLOOKUP(W53,Tab_Def_Flows[Name(EN)],Tab_Def_Flows[Flow_ID],,0,)</f>
        <v>F_11_11</v>
      </c>
      <c r="Y53" s="11"/>
      <c r="Z53" s="21" t="str">
        <f>_xlfn.XLOOKUP(Y53,Tab_Def_Flows[Name(EN)],Tab_Def_Flows[Flow_ID],,0,)</f>
        <v>F_11_11</v>
      </c>
      <c r="AA53" s="189"/>
      <c r="AB53" s="9" t="str">
        <f>_xlfn.XLOOKUP(AA53,Tab_Def_Flows[Name(EN)],Tab_Def_Flows[Flow_ID],,0,)</f>
        <v>F_11_11</v>
      </c>
      <c r="AC53" s="189"/>
      <c r="AD53" s="9" t="str">
        <f>_xlfn.XLOOKUP(AC53,Tab_Def_Flows[Name(EN)],Tab_Def_Flows[Flow_ID],,0,)</f>
        <v>F_11_11</v>
      </c>
      <c r="AE53" s="189" t="s">
        <v>35</v>
      </c>
      <c r="AF53" s="9" t="str">
        <f>_xlfn.XLOOKUP(AE53,Tab_Def_Flows[Name(EN)],Tab_Def_Flows[Flow_ID],,0,)</f>
        <v>N.A.</v>
      </c>
      <c r="AG53" s="189"/>
      <c r="AH53" s="9" t="str">
        <f>_xlfn.XLOOKUP(AG53,Tab_Def_Flows[Name(EN)],Tab_Def_Flows[Flow_ID],,0,)</f>
        <v>F_11_11</v>
      </c>
      <c r="AI53" s="189"/>
      <c r="AJ53" s="9" t="str">
        <f>_xlfn.XLOOKUP(AI53,Tab_Def_Flows[Name(EN)],Tab_Def_Flows[Flow_ID],,0,)</f>
        <v>F_11_11</v>
      </c>
      <c r="AK53" s="189"/>
      <c r="AL53" s="13" t="str">
        <f>_xlfn.XLOOKUP(AK53,Tab_Def_Flows[Name(EN)],Tab_Def_Flows[Flow_ID],,0,)</f>
        <v>F_11_11</v>
      </c>
    </row>
    <row r="54" spans="1:38" x14ac:dyDescent="0.25">
      <c r="A54" s="194" t="b">
        <v>0</v>
      </c>
      <c r="B54" s="43" t="s">
        <v>187</v>
      </c>
      <c r="C54" s="9" t="str">
        <f t="shared" si="0"/>
        <v>52</v>
      </c>
      <c r="D54" s="11"/>
      <c r="E54" s="11"/>
      <c r="F54" s="11"/>
      <c r="G54" s="11"/>
      <c r="H54" s="37"/>
      <c r="I54" s="189"/>
      <c r="J54" s="189"/>
      <c r="K54" s="189"/>
      <c r="L54" s="189"/>
      <c r="M54" s="189"/>
      <c r="N54" s="189"/>
      <c r="O54" s="189"/>
      <c r="P54" s="186"/>
      <c r="Q54" s="11" t="s">
        <v>35</v>
      </c>
      <c r="R54" s="12" t="str">
        <f>_xlfn.XLOOKUP(Q54,Tab_Def_Flows[Name(EN)],Tab_Def_Flows[Flow_ID],,0,)</f>
        <v>N.A.</v>
      </c>
      <c r="S54" s="11" t="s">
        <v>35</v>
      </c>
      <c r="T54" s="12" t="str">
        <f>_xlfn.XLOOKUP(S54,Tab_Def_Flows[Name(EN)],Tab_Def_Flows[Flow_ID],,0,)</f>
        <v>N.A.</v>
      </c>
      <c r="U54" s="11" t="s">
        <v>35</v>
      </c>
      <c r="V54" s="12" t="str">
        <f>_xlfn.XLOOKUP(U54,Tab_Def_Flows[Name(EN)],Tab_Def_Flows[Flow_ID],,0,)</f>
        <v>N.A.</v>
      </c>
      <c r="W54" s="11" t="s">
        <v>35</v>
      </c>
      <c r="X54" s="12" t="str">
        <f>_xlfn.XLOOKUP(W54,Tab_Def_Flows[Name(EN)],Tab_Def_Flows[Flow_ID],,0,)</f>
        <v>N.A.</v>
      </c>
      <c r="Y54" s="11" t="s">
        <v>35</v>
      </c>
      <c r="Z54" s="13" t="str">
        <f>_xlfn.XLOOKUP(Y54,Tab_Def_Flows[Name(EN)],Tab_Def_Flows[Flow_ID],,0,)</f>
        <v>N.A.</v>
      </c>
      <c r="AA54" s="189" t="s">
        <v>35</v>
      </c>
      <c r="AB54" s="12" t="str">
        <f>_xlfn.XLOOKUP(AA54,Tab_Def_Flows[Name(EN)],Tab_Def_Flows[Flow_ID],,0,)</f>
        <v>N.A.</v>
      </c>
      <c r="AC54" s="189" t="s">
        <v>35</v>
      </c>
      <c r="AD54" s="12" t="str">
        <f>_xlfn.XLOOKUP(AC54,Tab_Def_Flows[Name(EN)],Tab_Def_Flows[Flow_ID],,0,)</f>
        <v>N.A.</v>
      </c>
      <c r="AE54" s="189" t="s">
        <v>35</v>
      </c>
      <c r="AF54" s="12" t="str">
        <f>_xlfn.XLOOKUP(AE54,Tab_Def_Flows[Name(EN)],Tab_Def_Flows[Flow_ID],,0,)</f>
        <v>N.A.</v>
      </c>
      <c r="AG54" s="189" t="s">
        <v>35</v>
      </c>
      <c r="AH54" s="12" t="str">
        <f>_xlfn.XLOOKUP(AG54,Tab_Def_Flows[Name(EN)],Tab_Def_Flows[Flow_ID],,0,)</f>
        <v>N.A.</v>
      </c>
      <c r="AI54" s="189" t="s">
        <v>35</v>
      </c>
      <c r="AJ54" s="12" t="str">
        <f>_xlfn.XLOOKUP(AI54,Tab_Def_Flows[Name(EN)],Tab_Def_Flows[Flow_ID],,0,)</f>
        <v>N.A.</v>
      </c>
      <c r="AK54" s="189" t="s">
        <v>35</v>
      </c>
      <c r="AL54" s="13" t="str">
        <f>_xlfn.XLOOKUP(AK54,Tab_Def_Flows[Name(EN)],Tab_Def_Flows[Flow_ID],,0,)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6152067-6CEA-441E-B290-B5CA24D3608F}">
          <x14:formula1>
            <xm:f>'4_1 Codelists'!$K$4:$K$9</xm:f>
          </x14:formula1>
          <xm:sqref>F2:F54</xm:sqref>
        </x14:dataValidation>
        <x14:dataValidation type="list" allowBlank="1" showInputMessage="1" showErrorMessage="1" xr:uid="{352DC256-B5CA-4775-B41E-D06A6C1541F5}">
          <x14:formula1>
            <xm:f>'4_1 Codelists'!$B$3:$B$5</xm:f>
          </x14:formula1>
          <xm:sqref>I2:I54</xm:sqref>
        </x14:dataValidation>
        <x14:dataValidation type="list" allowBlank="1" showInputMessage="1" showErrorMessage="1" xr:uid="{0B6559FC-6BA5-474A-9290-C66996DA9F0D}">
          <x14:formula1>
            <xm:f>'4_1 Codelists'!$G$42:$G$46</xm:f>
          </x14:formula1>
          <xm:sqref>G2:G54</xm:sqref>
        </x14:dataValidation>
        <x14:dataValidation type="list" allowBlank="1" showInputMessage="1" showErrorMessage="1" xr:uid="{2C5B0F1E-89DB-490F-A576-ABEBF4D98051}">
          <x14:formula1>
            <xm:f>'4_1 Codelists'!$B$53:$B$54</xm:f>
          </x14:formula1>
          <xm:sqref>J2:O54</xm:sqref>
        </x14:dataValidation>
        <x14:dataValidation type="list" allowBlank="1" showInputMessage="1" showErrorMessage="1" xr:uid="{291A32E8-7F61-4A8B-A05D-9A0A09455503}">
          <x14:formula1>
            <xm:f>'1_1_Definition_Flows'!$D$9:$D$79</xm:f>
          </x14:formula1>
          <xm:sqref>AA52:AA54 S1:S1048576 AG2:AG54 AI2:AI54 Q2:Q54 AK2:AK54 U1:U1048576 Y1:Y1048576 W1:W1048576 AC52:AC54 AC1 AE52:AE54</xm:sqref>
        </x14:dataValidation>
        <x14:dataValidation type="list" allowBlank="1" showInputMessage="1" showErrorMessage="1" xr:uid="{8DF3ECE9-D30E-4FE2-972E-2E3AB2A320AE}">
          <x14:formula1>
            <xm:f>'1_1_Definition_Flows'!$D$2:$D$79</xm:f>
          </x14:formula1>
          <xm:sqref>AE2:AE51 AA2:AA51 AC2:AC51</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C59"/>
  <sheetViews>
    <sheetView tabSelected="1" zoomScale="115" zoomScaleNormal="115" workbookViewId="0">
      <pane xSplit="4" topLeftCell="J1" activePane="topRight" state="frozen"/>
      <selection pane="topRight" activeCell="D18" sqref="D18"/>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29" x14ac:dyDescent="0.25">
      <c r="A1" s="193" t="s">
        <v>88</v>
      </c>
      <c r="B1" s="193" t="s">
        <v>32</v>
      </c>
      <c r="C1" s="193" t="s">
        <v>62</v>
      </c>
      <c r="D1" s="193" t="s">
        <v>90</v>
      </c>
      <c r="E1" s="193" t="s">
        <v>121</v>
      </c>
      <c r="F1" s="193" t="s">
        <v>65</v>
      </c>
      <c r="G1" s="193" t="s">
        <v>277</v>
      </c>
      <c r="H1" s="193" t="s">
        <v>92</v>
      </c>
      <c r="I1" s="193" t="s">
        <v>300</v>
      </c>
      <c r="J1" s="193" t="s">
        <v>305</v>
      </c>
      <c r="K1" s="193" t="s">
        <v>306</v>
      </c>
      <c r="L1" s="193" t="s">
        <v>334</v>
      </c>
      <c r="M1" s="193" t="s">
        <v>296</v>
      </c>
      <c r="N1" s="193" t="s">
        <v>41</v>
      </c>
      <c r="O1" s="193" t="s">
        <v>91</v>
      </c>
      <c r="P1" s="193" t="s">
        <v>335</v>
      </c>
      <c r="Q1" s="193" t="s">
        <v>39</v>
      </c>
      <c r="R1" s="193" t="s">
        <v>40</v>
      </c>
      <c r="S1" s="193" t="s">
        <v>4</v>
      </c>
      <c r="T1" s="193" t="s">
        <v>3</v>
      </c>
      <c r="U1" s="193" t="s">
        <v>5</v>
      </c>
    </row>
    <row r="2" spans="1:29" x14ac:dyDescent="0.25">
      <c r="A2" s="194" t="b">
        <v>0</v>
      </c>
      <c r="B2" s="9">
        <f>ROW()-1</f>
        <v>1</v>
      </c>
      <c r="C2" s="47" t="str">
        <f>_xlfn.XLOOKUP($D2,Tab_Def_Processes[Name(EN)],Tab_Def_Processes[ID],,0,)</f>
        <v>02</v>
      </c>
      <c r="D2" s="189" t="s">
        <v>191</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89" t="s">
        <v>271</v>
      </c>
      <c r="N2" s="175" t="str">
        <f>_xlfn.XLOOKUP($M2,Tab_Def_Flows[Name(EN)],Tab_Def_Flows[Flow_ID],,0,)</f>
        <v>F_02_03</v>
      </c>
      <c r="O2" s="42" t="str">
        <f>"TC"&amp;"_"&amp;RIGHT(N2,5)</f>
        <v>TC_02_03</v>
      </c>
      <c r="P2" s="192">
        <v>1</v>
      </c>
      <c r="Q2" s="37"/>
      <c r="R2" s="37"/>
      <c r="S2" s="37"/>
      <c r="T2" s="37"/>
      <c r="U2" s="37"/>
    </row>
    <row r="3" spans="1:29" x14ac:dyDescent="0.25">
      <c r="A3" s="194" t="b">
        <v>0</v>
      </c>
      <c r="B3" s="9">
        <f t="shared" ref="B3:B59" si="0">ROW()-1</f>
        <v>2</v>
      </c>
      <c r="C3" s="47" t="str">
        <f>_xlfn.XLOOKUP($D3,Tab_Def_Processes[Name(EN)],Tab_Def_Processes[ID],,0,)</f>
        <v>03</v>
      </c>
      <c r="D3" s="189" t="s">
        <v>298</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89" t="s">
        <v>273</v>
      </c>
      <c r="N3" s="175" t="str">
        <f>_xlfn.XLOOKUP($M3,Tab_Def_Flows[Name(EN)],Tab_Def_Flows[Flow_ID],,0,)</f>
        <v>F_03_05</v>
      </c>
      <c r="O3" s="42" t="str">
        <f>"TC"&amp;"_"&amp;RIGHT(N3,5)</f>
        <v>TC_03_05</v>
      </c>
      <c r="P3" s="192">
        <v>0.52600000000000002</v>
      </c>
      <c r="Q3" s="37"/>
      <c r="R3" s="37"/>
      <c r="S3" s="37"/>
      <c r="T3" s="37"/>
      <c r="U3" s="37"/>
    </row>
    <row r="4" spans="1:29" x14ac:dyDescent="0.25">
      <c r="A4" s="194" t="b">
        <v>0</v>
      </c>
      <c r="B4" s="9">
        <f t="shared" si="0"/>
        <v>3</v>
      </c>
      <c r="C4" s="47" t="str">
        <f>_xlfn.XLOOKUP($D4,Tab_Def_Processes[Name(EN)],Tab_Def_Processes[ID],,0,)</f>
        <v>03</v>
      </c>
      <c r="D4" s="189" t="s">
        <v>298</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89" t="s">
        <v>272</v>
      </c>
      <c r="N4" s="175" t="str">
        <f>_xlfn.XLOOKUP($M4,Tab_Def_Flows[Name(EN)],Tab_Def_Flows[Flow_ID],,0,)</f>
        <v>F_03_04</v>
      </c>
      <c r="O4" s="42" t="str">
        <f t="shared" ref="O4:O59" si="1">"TC"&amp;"_"&amp;RIGHT(N4,5)</f>
        <v>TC_03_04</v>
      </c>
      <c r="P4" s="192">
        <v>0.47399999999999998</v>
      </c>
      <c r="Q4" s="37"/>
      <c r="R4" s="37"/>
      <c r="S4" s="37"/>
      <c r="T4" s="37"/>
      <c r="U4" s="37"/>
    </row>
    <row r="5" spans="1:29" x14ac:dyDescent="0.25">
      <c r="A5" s="194" t="b">
        <v>0</v>
      </c>
      <c r="B5" s="9">
        <f t="shared" si="0"/>
        <v>4</v>
      </c>
      <c r="C5" s="47" t="str">
        <f>_xlfn.XLOOKUP($D5,Tab_Def_Processes[Name(EN)],Tab_Def_Processes[ID],,0,)</f>
        <v>05</v>
      </c>
      <c r="D5" s="189" t="s">
        <v>482</v>
      </c>
      <c r="E5" s="9" t="str">
        <f>_xlfn.XLOOKUP($D5,Tab_Def_Processes[Name(EN)],Tab_Def_Processes[Process_Type],,0,)</f>
        <v>Process</v>
      </c>
      <c r="F5" s="9" t="str">
        <f>_xlfn.XLOOKUP($D5,Tab_Def_Processes[Name(EN)],Tab_Def_Processes[TC?],,0,)</f>
        <v>Yes</v>
      </c>
      <c r="G5" s="9" t="str">
        <f>_xlfn.XLOOKUP($D5,Tab_Def_Processes[Name(EN)],Tab_Def_Processes[Dyn_TC?],,0,)</f>
        <v>Yes</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3</v>
      </c>
      <c r="M5" s="189" t="s">
        <v>382</v>
      </c>
      <c r="N5" s="175" t="str">
        <f>_xlfn.XLOOKUP($M5,Tab_Def_Flows[Name(EN)],Tab_Def_Flows[Flow_ID],,0,)</f>
        <v>F_05_06</v>
      </c>
      <c r="O5" s="42" t="str">
        <f t="shared" si="1"/>
        <v>TC_05_06</v>
      </c>
      <c r="P5" s="192">
        <v>0.64</v>
      </c>
      <c r="Q5" s="37"/>
      <c r="R5" s="37"/>
      <c r="S5" s="37"/>
      <c r="T5" s="37"/>
      <c r="U5" s="37"/>
    </row>
    <row r="6" spans="1:29" x14ac:dyDescent="0.25">
      <c r="A6" s="194" t="b">
        <v>0</v>
      </c>
      <c r="B6" s="9">
        <f t="shared" si="0"/>
        <v>5</v>
      </c>
      <c r="C6" s="47" t="str">
        <f>_xlfn.XLOOKUP($D6,Tab_Def_Processes[Name(EN)],Tab_Def_Processes[ID],,0,)</f>
        <v>05</v>
      </c>
      <c r="D6" s="189" t="s">
        <v>482</v>
      </c>
      <c r="E6" s="9" t="str">
        <f>_xlfn.XLOOKUP($D6,Tab_Def_Processes[Name(EN)],Tab_Def_Processes[Process_Type],,0,)</f>
        <v>Process</v>
      </c>
      <c r="F6" s="9" t="str">
        <f>_xlfn.XLOOKUP($D6,Tab_Def_Processes[Name(EN)],Tab_Def_Processes[TC?],,0,)</f>
        <v>Yes</v>
      </c>
      <c r="G6" s="9" t="str">
        <f>_xlfn.XLOOKUP($D6,Tab_Def_Processes[Name(EN)],Tab_Def_Processes[Dyn_TC?],,0,)</f>
        <v>Yes</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3</v>
      </c>
      <c r="M6" s="189" t="s">
        <v>380</v>
      </c>
      <c r="N6" s="175" t="str">
        <f>_xlfn.XLOOKUP($M6,Tab_Def_Flows[Name(EN)],Tab_Def_Flows[Flow_ID],,0,)</f>
        <v>F_05_07</v>
      </c>
      <c r="O6" s="42" t="str">
        <f t="shared" si="1"/>
        <v>TC_05_07</v>
      </c>
      <c r="P6" s="192">
        <v>0.26</v>
      </c>
      <c r="Q6" s="37"/>
      <c r="R6" s="37"/>
      <c r="S6" s="37"/>
      <c r="T6" s="37"/>
      <c r="U6" s="37"/>
    </row>
    <row r="7" spans="1:29" x14ac:dyDescent="0.25">
      <c r="A7" s="194" t="b">
        <v>0</v>
      </c>
      <c r="B7" s="9">
        <f>ROW()-1</f>
        <v>6</v>
      </c>
      <c r="C7" s="47" t="str">
        <f>_xlfn.XLOOKUP($D7,Tab_Def_Processes[Name(EN)],Tab_Def_Processes[ID],,0,)</f>
        <v>05</v>
      </c>
      <c r="D7" s="189" t="s">
        <v>482</v>
      </c>
      <c r="E7" s="9" t="str">
        <f>_xlfn.XLOOKUP($D7,Tab_Def_Processes[Name(EN)],Tab_Def_Processes[Process_Type],,0,)</f>
        <v>Process</v>
      </c>
      <c r="F7" s="9" t="str">
        <f>_xlfn.XLOOKUP($D7,Tab_Def_Processes[Name(EN)],Tab_Def_Processes[TC?],,0,)</f>
        <v>Yes</v>
      </c>
      <c r="G7" s="9" t="str">
        <f>_xlfn.XLOOKUP($D7,Tab_Def_Processes[Name(EN)],Tab_Def_Processes[Dyn_TC?],,0,)</f>
        <v>Yes</v>
      </c>
      <c r="H7" s="9" t="str">
        <f>_xlfn.XLOOKUP($D7,Tab_Def_Processes[Name(EN)],Tab_Def_Processes[Stock?],,0,)</f>
        <v>No</v>
      </c>
      <c r="I7" s="16" t="str">
        <f>_xlfn.XLOOKUP($D7,Tab_Def_Processes[Name(EN)],Tab_Def_Processes[Initial_Stock?],,0,)</f>
        <v>No</v>
      </c>
      <c r="J7" s="9" t="str">
        <f>_xlfn.XLOOKUP($D7,Tab_Def_Processes[Name(EN)],Tab_Def_Processes[DSM?],,0,)</f>
        <v>No</v>
      </c>
      <c r="K7" s="9" t="str">
        <f>_xlfn.XLOOKUP($D7,Tab_Def_Processes[Name(EN)],Tab_Def_Processes[FOMP?],,0,)</f>
        <v>No</v>
      </c>
      <c r="L7" s="9">
        <f>_xlfn.XLOOKUP($D7,Tab_Def_Processes[Name(EN)],Tab_Def_Processes[Nr. Outflows],,0,)</f>
        <v>3</v>
      </c>
      <c r="M7" s="189" t="s">
        <v>474</v>
      </c>
      <c r="N7" s="175" t="str">
        <f>_xlfn.XLOOKUP($M7,Tab_Def_Flows[Name(EN)],Tab_Def_Flows[Flow_ID],,0,)</f>
        <v>F_05_09</v>
      </c>
      <c r="O7" s="42" t="str">
        <f>"TC"&amp;"_"&amp;RIGHT(N7,5)</f>
        <v>TC_05_09</v>
      </c>
      <c r="P7" s="192">
        <v>0.1</v>
      </c>
      <c r="Q7" s="37"/>
      <c r="R7" s="37"/>
      <c r="S7" s="37"/>
      <c r="T7" s="37"/>
      <c r="U7" s="37"/>
    </row>
    <row r="8" spans="1:29" x14ac:dyDescent="0.25">
      <c r="A8" s="194" t="b">
        <v>0</v>
      </c>
      <c r="B8" s="9">
        <f t="shared" si="0"/>
        <v>7</v>
      </c>
      <c r="C8" s="47" t="str">
        <f>_xlfn.XLOOKUP($D8,Tab_Def_Processes[Name(EN)],Tab_Def_Processes[ID],,0,)</f>
        <v>04</v>
      </c>
      <c r="D8" s="189" t="s">
        <v>375</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No</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2</v>
      </c>
      <c r="M8" s="189" t="s">
        <v>274</v>
      </c>
      <c r="N8" s="175" t="str">
        <f>_xlfn.XLOOKUP($M8,Tab_Def_Flows[Name(EN)],Tab_Def_Flows[Flow_ID],,0,)</f>
        <v>F_04_00</v>
      </c>
      <c r="O8" s="42" t="str">
        <f t="shared" si="1"/>
        <v>TC_04_00</v>
      </c>
      <c r="P8" s="192">
        <v>0.4128</v>
      </c>
      <c r="Q8" s="37"/>
      <c r="R8" s="37"/>
      <c r="S8" s="37"/>
      <c r="T8" s="37"/>
      <c r="U8" s="37"/>
    </row>
    <row r="9" spans="1:29" x14ac:dyDescent="0.25">
      <c r="A9" s="194" t="b">
        <v>0</v>
      </c>
      <c r="B9" s="9">
        <f t="shared" si="0"/>
        <v>8</v>
      </c>
      <c r="C9" s="47" t="str">
        <f>_xlfn.XLOOKUP($D9,Tab_Def_Processes[Name(EN)],Tab_Def_Processes[ID],,0,)</f>
        <v>04</v>
      </c>
      <c r="D9" s="189" t="s">
        <v>375</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No</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2</v>
      </c>
      <c r="M9" s="189" t="s">
        <v>275</v>
      </c>
      <c r="N9" s="175" t="str">
        <f>_xlfn.XLOOKUP($M9,Tab_Def_Flows[Name(EN)],Tab_Def_Flows[Flow_ID],,0,)</f>
        <v>F_04_01</v>
      </c>
      <c r="O9" s="42" t="str">
        <f t="shared" si="1"/>
        <v>TC_04_01</v>
      </c>
      <c r="P9" s="192">
        <v>0.58719999999999994</v>
      </c>
      <c r="Q9" s="37"/>
      <c r="R9" s="37"/>
      <c r="S9" s="37"/>
      <c r="T9" s="37"/>
      <c r="U9" s="37"/>
    </row>
    <row r="10" spans="1:29" x14ac:dyDescent="0.25">
      <c r="A10" s="194" t="b">
        <v>0</v>
      </c>
      <c r="B10" s="9">
        <f t="shared" si="0"/>
        <v>9</v>
      </c>
      <c r="C10" s="47" t="str">
        <f>_xlfn.XLOOKUP($D10,Tab_Def_Processes[Name(EN)],Tab_Def_Processes[ID],,0,)</f>
        <v>07</v>
      </c>
      <c r="D10" s="189" t="s">
        <v>374</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89" t="s">
        <v>376</v>
      </c>
      <c r="N10" s="175" t="str">
        <f>_xlfn.XLOOKUP($M10,Tab_Def_Flows[Name(EN)],Tab_Def_Flows[Flow_ID],,0,)</f>
        <v>F_07_00</v>
      </c>
      <c r="O10" s="42" t="str">
        <f t="shared" si="1"/>
        <v>TC_07_00</v>
      </c>
      <c r="P10" s="192">
        <v>0.4128</v>
      </c>
      <c r="Q10" s="37"/>
      <c r="R10" s="37"/>
      <c r="S10" s="37"/>
      <c r="T10" s="37"/>
      <c r="U10" s="37"/>
      <c r="AC10" s="34">
        <v>0.4128</v>
      </c>
    </row>
    <row r="11" spans="1:29" x14ac:dyDescent="0.25">
      <c r="A11" s="194" t="b">
        <v>0</v>
      </c>
      <c r="B11" s="9">
        <f t="shared" si="0"/>
        <v>10</v>
      </c>
      <c r="C11" s="47" t="str">
        <f>_xlfn.XLOOKUP($D11,Tab_Def_Processes[Name(EN)],Tab_Def_Processes[ID],,0,)</f>
        <v>07</v>
      </c>
      <c r="D11" s="189" t="s">
        <v>374</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No</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2</v>
      </c>
      <c r="M11" s="189" t="s">
        <v>377</v>
      </c>
      <c r="N11" s="175" t="str">
        <f>_xlfn.XLOOKUP($M11,Tab_Def_Flows[Name(EN)],Tab_Def_Flows[Flow_ID],,0,)</f>
        <v>F_07_01</v>
      </c>
      <c r="O11" s="42" t="str">
        <f t="shared" si="1"/>
        <v>TC_07_01</v>
      </c>
      <c r="P11" s="192">
        <v>0.58720000000000006</v>
      </c>
      <c r="Q11" s="37"/>
      <c r="R11" s="37"/>
      <c r="S11" s="37"/>
      <c r="T11" s="37"/>
      <c r="U11" s="37"/>
      <c r="AC11" s="201">
        <f>1-AC10</f>
        <v>0.58719999999999994</v>
      </c>
    </row>
    <row r="12" spans="1:29" x14ac:dyDescent="0.25">
      <c r="A12" s="194" t="b">
        <v>0</v>
      </c>
      <c r="B12" s="9">
        <f t="shared" si="0"/>
        <v>11</v>
      </c>
      <c r="C12" s="47" t="str">
        <f>_xlfn.XLOOKUP($D12,Tab_Def_Processes[Name(EN)],Tab_Def_Processes[ID],,0,)</f>
        <v>06</v>
      </c>
      <c r="D12" s="189" t="s">
        <v>473</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No</v>
      </c>
      <c r="I12" s="9" t="str">
        <f>_xlfn.XLOOKUP($D12,Tab_Def_Processes[Name(EN)],Tab_Def_Processes[Initial_Stock?],,0,)</f>
        <v>No</v>
      </c>
      <c r="J12" s="9" t="str">
        <f>_xlfn.XLOOKUP($D12,Tab_Def_Processes[Name(EN)],Tab_Def_Processes[DSM?],,0,)</f>
        <v>No</v>
      </c>
      <c r="K12" s="9" t="str">
        <f>_xlfn.XLOOKUP($D12,Tab_Def_Processes[Name(EN)],Tab_Def_Processes[FOMP?],,0,)</f>
        <v>No</v>
      </c>
      <c r="L12" s="9">
        <f>_xlfn.XLOOKUP($D12,Tab_Def_Processes[Name(EN)],Tab_Def_Processes[Nr. Outflows],,0,)</f>
        <v>1</v>
      </c>
      <c r="M12" s="189" t="s">
        <v>381</v>
      </c>
      <c r="N12" s="175" t="str">
        <f>_xlfn.XLOOKUP($M12,Tab_Def_Flows[Name(EN)],Tab_Def_Flows[Flow_ID],,0,)</f>
        <v>F_06_08</v>
      </c>
      <c r="O12" s="42" t="str">
        <f t="shared" si="1"/>
        <v>TC_06_08</v>
      </c>
      <c r="P12" s="192">
        <v>1</v>
      </c>
      <c r="Q12" s="37"/>
      <c r="R12" s="37"/>
      <c r="S12" s="37"/>
      <c r="T12" s="37"/>
      <c r="U12" s="37"/>
    </row>
    <row r="13" spans="1:29" x14ac:dyDescent="0.25">
      <c r="A13" s="194" t="b">
        <v>0</v>
      </c>
      <c r="B13" s="9">
        <f t="shared" si="0"/>
        <v>12</v>
      </c>
      <c r="C13" s="47" t="str">
        <f>_xlfn.XLOOKUP($D13,Tab_Def_Processes[Name(EN)],Tab_Def_Processes[ID],,0,)</f>
        <v>08</v>
      </c>
      <c r="D13" s="189" t="s">
        <v>472</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_xlfn.XLOOKUP($D13,Tab_Def_Processes[Name(EN)],Tab_Def_Processes[Nr. Outflows],,0,)</f>
        <v>2</v>
      </c>
      <c r="M13" s="189" t="s">
        <v>477</v>
      </c>
      <c r="N13" s="175" t="str">
        <f>_xlfn.XLOOKUP($M13,Tab_Def_Flows[Name(EN)],Tab_Def_Flows[Flow_ID],,0,)</f>
        <v>F_08_00</v>
      </c>
      <c r="O13" s="42" t="str">
        <f t="shared" si="1"/>
        <v>TC_08_00</v>
      </c>
      <c r="P13" s="192">
        <v>0.4128</v>
      </c>
      <c r="Q13" s="37"/>
      <c r="R13" s="37"/>
      <c r="S13" s="37"/>
      <c r="T13" s="37"/>
      <c r="U13" s="37"/>
    </row>
    <row r="14" spans="1:29" x14ac:dyDescent="0.25">
      <c r="A14" s="194" t="b">
        <v>0</v>
      </c>
      <c r="B14" s="9">
        <f t="shared" si="0"/>
        <v>13</v>
      </c>
      <c r="C14" s="47" t="str">
        <f>_xlfn.XLOOKUP($D14,Tab_Def_Processes[Name(EN)],Tab_Def_Processes[ID],,0,)</f>
        <v>08</v>
      </c>
      <c r="D14" s="189" t="s">
        <v>472</v>
      </c>
      <c r="E14" s="9" t="str">
        <f>_xlfn.XLOOKUP($D14,Tab_Def_Processes[Name(EN)],Tab_Def_Processes[Process_Type],,0,)</f>
        <v>Process</v>
      </c>
      <c r="F14" s="9" t="str">
        <f>_xlfn.XLOOKUP($D14,Tab_Def_Processes[Name(EN)],Tab_Def_Processes[TC?],,0,)</f>
        <v>Yes</v>
      </c>
      <c r="G14" s="9" t="str">
        <f>_xlfn.XLOOKUP($D14,Tab_Def_Processes[Name(EN)],Tab_Def_Processes[Dyn_TC?],,0,)</f>
        <v>No</v>
      </c>
      <c r="H14" s="9" t="str">
        <f>_xlfn.XLOOKUP($D14,Tab_Def_Processes[Name(EN)],Tab_Def_Processes[Stock?],,0,)</f>
        <v>Yes</v>
      </c>
      <c r="I14" s="9" t="str">
        <f>_xlfn.XLOOKUP($D14,Tab_Def_Processes[Name(EN)],Tab_Def_Processes[Initial_Stock?],,0,)</f>
        <v>No</v>
      </c>
      <c r="J14" s="9" t="str">
        <f>_xlfn.XLOOKUP($D14,Tab_Def_Processes[Name(EN)],Tab_Def_Processes[DSM?],,0,)</f>
        <v>No</v>
      </c>
      <c r="K14" s="9" t="str">
        <f>_xlfn.XLOOKUP($D14,Tab_Def_Processes[Name(EN)],Tab_Def_Processes[FOMP?],,0,)</f>
        <v>Yes</v>
      </c>
      <c r="L14" s="9">
        <f>_xlfn.XLOOKUP($D14,Tab_Def_Processes[Name(EN)],Tab_Def_Processes[Nr. Outflows],,0,)</f>
        <v>2</v>
      </c>
      <c r="M14" s="189" t="s">
        <v>478</v>
      </c>
      <c r="N14" s="175" t="str">
        <f>_xlfn.XLOOKUP($M14,Tab_Def_Flows[Name(EN)],Tab_Def_Flows[Flow_ID],,0,)</f>
        <v>F_08_01</v>
      </c>
      <c r="O14" s="42" t="str">
        <f t="shared" si="1"/>
        <v>TC_08_01</v>
      </c>
      <c r="P14" s="192">
        <v>0.58719999999999994</v>
      </c>
      <c r="Q14" s="37"/>
      <c r="R14" s="37"/>
      <c r="S14" s="37"/>
      <c r="T14" s="37"/>
      <c r="U14" s="37"/>
    </row>
    <row r="15" spans="1:29" x14ac:dyDescent="0.25">
      <c r="A15" s="194" t="b">
        <v>0</v>
      </c>
      <c r="B15" s="9">
        <f t="shared" si="0"/>
        <v>14</v>
      </c>
      <c r="C15" s="47" t="str">
        <f>_xlfn.XLOOKUP($D15,Tab_Def_Processes[Name(EN)],Tab_Def_Processes[ID],,0,)</f>
        <v>09</v>
      </c>
      <c r="D15" s="189" t="s">
        <v>470</v>
      </c>
      <c r="E15" s="9" t="str">
        <f>_xlfn.XLOOKUP($D15,Tab_Def_Processes[Name(EN)],Tab_Def_Processes[Process_Type],,0,)</f>
        <v>Process</v>
      </c>
      <c r="F15" s="9" t="str">
        <f>_xlfn.XLOOKUP($D15,Tab_Def_Processes[Name(EN)],Tab_Def_Processes[TC?],,0,)</f>
        <v>Yes</v>
      </c>
      <c r="G15" s="9" t="str">
        <f>_xlfn.XLOOKUP($D15,Tab_Def_Processes[Name(EN)],Tab_Def_Processes[Dyn_TC?],,0,)</f>
        <v>No</v>
      </c>
      <c r="H15" s="9" t="str">
        <f>_xlfn.XLOOKUP($D15,Tab_Def_Processes[Name(EN)],Tab_Def_Processes[Stock?],,0,)</f>
        <v>No</v>
      </c>
      <c r="I15" s="9" t="str">
        <f>_xlfn.XLOOKUP($D15,Tab_Def_Processes[Name(EN)],Tab_Def_Processes[Initial_Stock?],,0,)</f>
        <v>No</v>
      </c>
      <c r="J15" s="9" t="str">
        <f>_xlfn.XLOOKUP($D15,Tab_Def_Processes[Name(EN)],Tab_Def_Processes[DSM?],,0,)</f>
        <v>No</v>
      </c>
      <c r="K15" s="9" t="str">
        <f>_xlfn.XLOOKUP($D15,Tab_Def_Processes[Name(EN)],Tab_Def_Processes[FOMP?],,0,)</f>
        <v>No</v>
      </c>
      <c r="L15" s="9">
        <f>_xlfn.XLOOKUP($D15,Tab_Def_Processes[Name(EN)],Tab_Def_Processes[Nr. Outflows],,0,)</f>
        <v>3</v>
      </c>
      <c r="M15" s="189" t="s">
        <v>475</v>
      </c>
      <c r="N15" s="175" t="str">
        <f>_xlfn.XLOOKUP($M15,Tab_Def_Flows[Name(EN)],Tab_Def_Flows[Flow_ID],,0,)</f>
        <v>F_09_00</v>
      </c>
      <c r="O15" s="42" t="str">
        <f t="shared" si="1"/>
        <v>TC_09_00</v>
      </c>
      <c r="P15" s="192">
        <v>0.14666666666666664</v>
      </c>
      <c r="Q15" s="37"/>
      <c r="R15" s="37"/>
      <c r="S15" s="37"/>
      <c r="T15" s="37"/>
      <c r="U15" s="37"/>
    </row>
    <row r="16" spans="1:29" x14ac:dyDescent="0.25">
      <c r="A16" s="194" t="b">
        <v>0</v>
      </c>
      <c r="B16" s="9">
        <f t="shared" si="0"/>
        <v>15</v>
      </c>
      <c r="C16" s="47" t="str">
        <f>_xlfn.XLOOKUP($D16,Tab_Def_Processes[Name(EN)],Tab_Def_Processes[ID],,0,)</f>
        <v>09</v>
      </c>
      <c r="D16" s="189" t="s">
        <v>470</v>
      </c>
      <c r="E16" s="9" t="str">
        <f>_xlfn.XLOOKUP($D16,Tab_Def_Processes[Name(EN)],Tab_Def_Processes[Process_Type],,0,)</f>
        <v>Process</v>
      </c>
      <c r="F16" s="9" t="str">
        <f>_xlfn.XLOOKUP($D16,Tab_Def_Processes[Name(EN)],Tab_Def_Processes[TC?],,0,)</f>
        <v>Yes</v>
      </c>
      <c r="G16" s="9" t="str">
        <f>_xlfn.XLOOKUP($D16,Tab_Def_Processes[Name(EN)],Tab_Def_Processes[Dyn_TC?],,0,)</f>
        <v>No</v>
      </c>
      <c r="H16" s="9" t="str">
        <f>_xlfn.XLOOKUP($D16,Tab_Def_Processes[Name(EN)],Tab_Def_Processes[Stock?],,0,)</f>
        <v>No</v>
      </c>
      <c r="I16" s="9" t="str">
        <f>_xlfn.XLOOKUP($D16,Tab_Def_Processes[Name(EN)],Tab_Def_Processes[Initial_Stock?],,0,)</f>
        <v>No</v>
      </c>
      <c r="J16" s="9" t="str">
        <f>_xlfn.XLOOKUP($D16,Tab_Def_Processes[Name(EN)],Tab_Def_Processes[DSM?],,0,)</f>
        <v>No</v>
      </c>
      <c r="K16" s="9" t="str">
        <f>_xlfn.XLOOKUP($D16,Tab_Def_Processes[Name(EN)],Tab_Def_Processes[FOMP?],,0,)</f>
        <v>No</v>
      </c>
      <c r="L16" s="9">
        <f>_xlfn.XLOOKUP($D16,Tab_Def_Processes[Name(EN)],Tab_Def_Processes[Nr. Outflows],,0,)</f>
        <v>3</v>
      </c>
      <c r="M16" s="189" t="s">
        <v>476</v>
      </c>
      <c r="N16" s="175" t="str">
        <f>_xlfn.XLOOKUP($M16,Tab_Def_Flows[Name(EN)],Tab_Def_Flows[Flow_ID],,0,)</f>
        <v>F_09_01</v>
      </c>
      <c r="O16" s="42" t="str">
        <f t="shared" si="1"/>
        <v>TC_09_01</v>
      </c>
      <c r="P16" s="192">
        <v>0.18666666666666662</v>
      </c>
      <c r="Q16" s="37"/>
      <c r="R16" s="37"/>
      <c r="S16" s="37"/>
      <c r="T16" s="37"/>
      <c r="U16" s="37"/>
    </row>
    <row r="17" spans="1:24" x14ac:dyDescent="0.25">
      <c r="A17" s="194" t="b">
        <v>0</v>
      </c>
      <c r="B17" s="9">
        <f t="shared" si="0"/>
        <v>16</v>
      </c>
      <c r="C17" s="47" t="str">
        <f>_xlfn.XLOOKUP($D17,Tab_Def_Processes[Name(EN)],Tab_Def_Processes[ID],,0,)</f>
        <v>09</v>
      </c>
      <c r="D17" s="189" t="s">
        <v>470</v>
      </c>
      <c r="E17" s="9" t="str">
        <f>_xlfn.XLOOKUP($D17,Tab_Def_Processes[Name(EN)],Tab_Def_Processes[Process_Type],,0,)</f>
        <v>Process</v>
      </c>
      <c r="F17" s="9" t="str">
        <f>_xlfn.XLOOKUP($D17,Tab_Def_Processes[Name(EN)],Tab_Def_Processes[TC?],,0,)</f>
        <v>Yes</v>
      </c>
      <c r="G17" s="9" t="str">
        <f>_xlfn.XLOOKUP($D17,Tab_Def_Processes[Name(EN)],Tab_Def_Processes[Dyn_TC?],,0,)</f>
        <v>No</v>
      </c>
      <c r="H17" s="9" t="str">
        <f>_xlfn.XLOOKUP($D17,Tab_Def_Processes[Name(EN)],Tab_Def_Processes[Stock?],,0,)</f>
        <v>No</v>
      </c>
      <c r="I17" s="9" t="str">
        <f>_xlfn.XLOOKUP($D17,Tab_Def_Processes[Name(EN)],Tab_Def_Processes[Initial_Stock?],,0,)</f>
        <v>No</v>
      </c>
      <c r="J17" s="9" t="str">
        <f>_xlfn.XLOOKUP($D17,Tab_Def_Processes[Name(EN)],Tab_Def_Processes[DSM?],,0,)</f>
        <v>No</v>
      </c>
      <c r="K17" s="9" t="str">
        <f>_xlfn.XLOOKUP($D17,Tab_Def_Processes[Name(EN)],Tab_Def_Processes[FOMP?],,0,)</f>
        <v>No</v>
      </c>
      <c r="L17" s="9">
        <f>_xlfn.XLOOKUP($D17,Tab_Def_Processes[Name(EN)],Tab_Def_Processes[Nr. Outflows],,0,)</f>
        <v>3</v>
      </c>
      <c r="M17" s="189" t="s">
        <v>481</v>
      </c>
      <c r="N17" s="175" t="str">
        <f>_xlfn.XLOOKUP($M17,Tab_Def_Flows[Name(EN)],Tab_Def_Flows[Flow_ID],,0,)</f>
        <v>F_09_10</v>
      </c>
      <c r="O17" s="42" t="str">
        <f t="shared" si="1"/>
        <v>TC_09_10</v>
      </c>
      <c r="P17" s="192">
        <v>0.66666666666666652</v>
      </c>
      <c r="Q17" s="37"/>
      <c r="R17" s="37"/>
      <c r="S17" s="37"/>
      <c r="T17" s="37"/>
      <c r="U17" s="37"/>
    </row>
    <row r="18" spans="1:24" x14ac:dyDescent="0.25">
      <c r="A18" s="194" t="b">
        <v>0</v>
      </c>
      <c r="B18" s="9">
        <f t="shared" si="0"/>
        <v>17</v>
      </c>
      <c r="C18" s="47" t="str">
        <f>_xlfn.XLOOKUP($D18,Tab_Def_Processes[Name(EN)],Tab_Def_Processes[ID],,0,)</f>
        <v>10</v>
      </c>
      <c r="D18" s="189" t="s">
        <v>471</v>
      </c>
      <c r="E18" s="9" t="str">
        <f>_xlfn.XLOOKUP($D18,Tab_Def_Processes[Name(EN)],Tab_Def_Processes[Process_Type],,0,)</f>
        <v>Process</v>
      </c>
      <c r="F18" s="9" t="str">
        <f>_xlfn.XLOOKUP($D18,Tab_Def_Processes[Name(EN)],Tab_Def_Processes[TC?],,0,)</f>
        <v>Yes</v>
      </c>
      <c r="G18" s="9" t="str">
        <f>_xlfn.XLOOKUP($D18,Tab_Def_Processes[Name(EN)],Tab_Def_Processes[Dyn_TC?],,0,)</f>
        <v>No</v>
      </c>
      <c r="H18" s="9" t="str">
        <f>_xlfn.XLOOKUP($D18,Tab_Def_Processes[Name(EN)],Tab_Def_Processes[Stock?],,0,)</f>
        <v>Yes</v>
      </c>
      <c r="I18" s="9" t="str">
        <f>_xlfn.XLOOKUP($D18,Tab_Def_Processes[Name(EN)],Tab_Def_Processes[Initial_Stock?],,0,)</f>
        <v>No</v>
      </c>
      <c r="J18" s="9" t="str">
        <f>_xlfn.XLOOKUP($D18,Tab_Def_Processes[Name(EN)],Tab_Def_Processes[DSM?],,0,)</f>
        <v>No</v>
      </c>
      <c r="K18" s="9" t="str">
        <f>_xlfn.XLOOKUP($D18,Tab_Def_Processes[Name(EN)],Tab_Def_Processes[FOMP?],,0,)</f>
        <v>Yes</v>
      </c>
      <c r="L18" s="9">
        <f>_xlfn.XLOOKUP($D18,Tab_Def_Processes[Name(EN)],Tab_Def_Processes[Nr. Outflows],,0,)</f>
        <v>2</v>
      </c>
      <c r="M18" s="189" t="s">
        <v>479</v>
      </c>
      <c r="N18" s="175" t="str">
        <f>_xlfn.XLOOKUP($M18,Tab_Def_Flows[Name(EN)],Tab_Def_Flows[Flow_ID],,0,)</f>
        <v>F_10_00</v>
      </c>
      <c r="O18" s="42" t="str">
        <f t="shared" si="1"/>
        <v>TC_10_00</v>
      </c>
      <c r="P18" s="192">
        <v>0.25</v>
      </c>
      <c r="Q18" s="37"/>
      <c r="R18" s="37"/>
      <c r="S18" s="37"/>
      <c r="T18" s="37"/>
      <c r="U18" s="37"/>
    </row>
    <row r="19" spans="1:24" x14ac:dyDescent="0.25">
      <c r="A19" s="194" t="b">
        <v>0</v>
      </c>
      <c r="B19" s="9">
        <f t="shared" si="0"/>
        <v>18</v>
      </c>
      <c r="C19" s="47" t="str">
        <f>_xlfn.XLOOKUP($D19,Tab_Def_Processes[Name(EN)],Tab_Def_Processes[ID],,0,)</f>
        <v>10</v>
      </c>
      <c r="D19" s="189" t="s">
        <v>471</v>
      </c>
      <c r="E19" s="9" t="str">
        <f>_xlfn.XLOOKUP($D19,Tab_Def_Processes[Name(EN)],Tab_Def_Processes[Process_Type],,0,)</f>
        <v>Process</v>
      </c>
      <c r="F19" s="9" t="str">
        <f>_xlfn.XLOOKUP($D19,Tab_Def_Processes[Name(EN)],Tab_Def_Processes[TC?],,0,)</f>
        <v>Yes</v>
      </c>
      <c r="G19" s="9" t="str">
        <f>_xlfn.XLOOKUP($D19,Tab_Def_Processes[Name(EN)],Tab_Def_Processes[Dyn_TC?],,0,)</f>
        <v>No</v>
      </c>
      <c r="H19" s="9" t="str">
        <f>_xlfn.XLOOKUP($D19,Tab_Def_Processes[Name(EN)],Tab_Def_Processes[Stock?],,0,)</f>
        <v>Yes</v>
      </c>
      <c r="I19" s="9" t="str">
        <f>_xlfn.XLOOKUP($D19,Tab_Def_Processes[Name(EN)],Tab_Def_Processes[Initial_Stock?],,0,)</f>
        <v>No</v>
      </c>
      <c r="J19" s="9" t="str">
        <f>_xlfn.XLOOKUP($D19,Tab_Def_Processes[Name(EN)],Tab_Def_Processes[DSM?],,0,)</f>
        <v>No</v>
      </c>
      <c r="K19" s="9" t="str">
        <f>_xlfn.XLOOKUP($D19,Tab_Def_Processes[Name(EN)],Tab_Def_Processes[FOMP?],,0,)</f>
        <v>Yes</v>
      </c>
      <c r="L19" s="9">
        <f>_xlfn.XLOOKUP($D19,Tab_Def_Processes[Name(EN)],Tab_Def_Processes[Nr. Outflows],,0,)</f>
        <v>2</v>
      </c>
      <c r="M19" s="189" t="s">
        <v>480</v>
      </c>
      <c r="N19" s="175" t="str">
        <f>_xlfn.XLOOKUP($M19,Tab_Def_Flows[Name(EN)],Tab_Def_Flows[Flow_ID],,0,)</f>
        <v>F_10_01</v>
      </c>
      <c r="O19" s="42" t="str">
        <f t="shared" si="1"/>
        <v>TC_10_01</v>
      </c>
      <c r="P19" s="192">
        <v>0.75</v>
      </c>
      <c r="Q19" s="37"/>
      <c r="R19" s="37"/>
      <c r="S19" s="37"/>
      <c r="T19" s="37"/>
      <c r="U19" s="37"/>
      <c r="X19">
        <v>0.66666666666666652</v>
      </c>
    </row>
    <row r="20" spans="1:24" x14ac:dyDescent="0.25">
      <c r="A20" s="194" t="b">
        <v>0</v>
      </c>
      <c r="B20" s="9">
        <f t="shared" si="0"/>
        <v>19</v>
      </c>
      <c r="C20" s="47" t="e">
        <f>_xlfn.XLOOKUP($D20,Tab_Def_Processes[Name(EN)],Tab_Def_Processes[ID],,0,)</f>
        <v>#N/A</v>
      </c>
      <c r="D20" s="189"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_xlfn.XLOOKUP($D20,Tab_Def_Processes[Name(EN)],Tab_Def_Processes[Nr. Outflows],,0,)</f>
        <v>#N/A</v>
      </c>
      <c r="M20" s="189"/>
      <c r="N20" s="175" t="str">
        <f>_xlfn.XLOOKUP($M20,Tab_Def_Flows[Name(EN)],Tab_Def_Flows[Flow_ID],,0,)</f>
        <v>F_11_11</v>
      </c>
      <c r="O20" s="42" t="str">
        <f t="shared" si="1"/>
        <v>TC_11_11</v>
      </c>
      <c r="P20" s="192"/>
      <c r="Q20" s="37"/>
      <c r="R20" s="37"/>
      <c r="S20" s="37"/>
      <c r="T20" s="37"/>
      <c r="U20" s="37"/>
      <c r="X20">
        <v>0.14666666666666664</v>
      </c>
    </row>
    <row r="21" spans="1:24" x14ac:dyDescent="0.25">
      <c r="A21" s="194" t="b">
        <v>0</v>
      </c>
      <c r="B21" s="9">
        <f t="shared" si="0"/>
        <v>20</v>
      </c>
      <c r="C21" s="47" t="e">
        <f>_xlfn.XLOOKUP($D21,Tab_Def_Processes[Name(EN)],Tab_Def_Processes[ID],,0,)</f>
        <v>#N/A</v>
      </c>
      <c r="D21" s="189"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_xlfn.XLOOKUP($D21,Tab_Def_Processes[Name(EN)],Tab_Def_Processes[Nr. Outflows],,0,)</f>
        <v>#N/A</v>
      </c>
      <c r="M21" s="189"/>
      <c r="N21" s="175" t="str">
        <f>_xlfn.XLOOKUP($M21,Tab_Def_Flows[Name(EN)],Tab_Def_Flows[Flow_ID],,0,)</f>
        <v>F_11_11</v>
      </c>
      <c r="O21" s="42" t="str">
        <f t="shared" si="1"/>
        <v>TC_11_11</v>
      </c>
      <c r="P21" s="192"/>
      <c r="Q21" s="37"/>
      <c r="R21" s="37"/>
      <c r="S21" s="37"/>
      <c r="T21" s="37"/>
      <c r="U21" s="37"/>
      <c r="X21">
        <v>0.18666666666666662</v>
      </c>
    </row>
    <row r="22" spans="1:24" x14ac:dyDescent="0.25">
      <c r="A22" s="194" t="b">
        <v>0</v>
      </c>
      <c r="B22" s="9">
        <f t="shared" si="0"/>
        <v>21</v>
      </c>
      <c r="C22" s="47" t="e">
        <f>_xlfn.XLOOKUP($D22,Tab_Def_Processes[Name(EN)],Tab_Def_Processes[ID],,0,)</f>
        <v>#N/A</v>
      </c>
      <c r="D22" s="189"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_xlfn.XLOOKUP($D22,Tab_Def_Processes[Name(EN)],Tab_Def_Processes[Nr. Outflows],,0,)</f>
        <v>#N/A</v>
      </c>
      <c r="M22" s="189"/>
      <c r="N22" s="175" t="str">
        <f>_xlfn.XLOOKUP($M22,Tab_Def_Flows[Name(EN)],Tab_Def_Flows[Flow_ID],,0,)</f>
        <v>F_11_11</v>
      </c>
      <c r="O22" s="42" t="str">
        <f t="shared" si="1"/>
        <v>TC_11_11</v>
      </c>
      <c r="P22" s="192"/>
      <c r="Q22" s="37"/>
      <c r="R22" s="37"/>
      <c r="S22" s="37"/>
      <c r="T22" s="37"/>
      <c r="U22" s="37"/>
    </row>
    <row r="23" spans="1:24" x14ac:dyDescent="0.25">
      <c r="A23" s="194" t="b">
        <v>0</v>
      </c>
      <c r="B23" s="9">
        <f t="shared" si="0"/>
        <v>22</v>
      </c>
      <c r="C23" s="47" t="e">
        <f>_xlfn.XLOOKUP($D23,Tab_Def_Processes[Name(EN)],Tab_Def_Processes[ID],,0,)</f>
        <v>#N/A</v>
      </c>
      <c r="D23" s="189"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_xlfn.XLOOKUP($D23,Tab_Def_Processes[Name(EN)],Tab_Def_Processes[Nr. Outflows],,0,)</f>
        <v>#N/A</v>
      </c>
      <c r="M23" s="189"/>
      <c r="N23" s="175" t="str">
        <f>_xlfn.XLOOKUP($M23,Tab_Def_Flows[Name(EN)],Tab_Def_Flows[Flow_ID],,0,)</f>
        <v>F_11_11</v>
      </c>
      <c r="O23" s="42" t="str">
        <f t="shared" si="1"/>
        <v>TC_11_11</v>
      </c>
      <c r="P23" s="192"/>
      <c r="Q23" s="37"/>
      <c r="R23" s="37"/>
      <c r="S23" s="37"/>
      <c r="T23" s="37"/>
      <c r="U23" s="37"/>
    </row>
    <row r="24" spans="1:24" x14ac:dyDescent="0.25">
      <c r="A24" s="194" t="b">
        <v>0</v>
      </c>
      <c r="B24" s="9">
        <f t="shared" si="0"/>
        <v>23</v>
      </c>
      <c r="C24" s="47" t="e">
        <f>_xlfn.XLOOKUP($D24,Tab_Def_Processes[Name(EN)],Tab_Def_Processes[ID],,0,)</f>
        <v>#N/A</v>
      </c>
      <c r="D24" s="189"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_xlfn.XLOOKUP($D24,Tab_Def_Processes[Name(EN)],Tab_Def_Processes[Nr. Outflows],,0,)</f>
        <v>#N/A</v>
      </c>
      <c r="M24" s="189"/>
      <c r="N24" s="175" t="str">
        <f>_xlfn.XLOOKUP($M24,Tab_Def_Flows[Name(EN)],Tab_Def_Flows[Flow_ID],,0,)</f>
        <v>F_11_11</v>
      </c>
      <c r="O24" s="42" t="str">
        <f t="shared" si="1"/>
        <v>TC_11_11</v>
      </c>
      <c r="P24" s="192"/>
      <c r="Q24" s="37"/>
      <c r="R24" s="37"/>
      <c r="S24" s="37"/>
      <c r="T24" s="37"/>
      <c r="U24" s="37"/>
    </row>
    <row r="25" spans="1:24" x14ac:dyDescent="0.25">
      <c r="A25" s="194" t="b">
        <v>0</v>
      </c>
      <c r="B25" s="9">
        <f t="shared" si="0"/>
        <v>24</v>
      </c>
      <c r="C25" s="47" t="e">
        <f>_xlfn.XLOOKUP($D25,Tab_Def_Processes[Name(EN)],Tab_Def_Processes[ID],,0,)</f>
        <v>#N/A</v>
      </c>
      <c r="D25" s="189"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_xlfn.XLOOKUP($D25,Tab_Def_Processes[Name(EN)],Tab_Def_Processes[Nr. Outflows],,0,)</f>
        <v>#N/A</v>
      </c>
      <c r="M25" s="189"/>
      <c r="N25" s="175" t="str">
        <f>_xlfn.XLOOKUP($M25,Tab_Def_Flows[Name(EN)],Tab_Def_Flows[Flow_ID],,0,)</f>
        <v>F_11_11</v>
      </c>
      <c r="O25" s="42" t="str">
        <f t="shared" si="1"/>
        <v>TC_11_11</v>
      </c>
      <c r="P25" s="192"/>
      <c r="Q25" s="37"/>
      <c r="R25" s="37"/>
      <c r="S25" s="37"/>
      <c r="T25" s="37"/>
      <c r="U25" s="37"/>
    </row>
    <row r="26" spans="1:24" x14ac:dyDescent="0.25">
      <c r="A26" s="194" t="b">
        <v>0</v>
      </c>
      <c r="B26" s="9">
        <f t="shared" si="0"/>
        <v>25</v>
      </c>
      <c r="C26" s="47" t="e">
        <f>_xlfn.XLOOKUP($D26,Tab_Def_Processes[Name(EN)],Tab_Def_Processes[ID],,0,)</f>
        <v>#N/A</v>
      </c>
      <c r="D26" s="189"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_xlfn.XLOOKUP($D26,Tab_Def_Processes[Name(EN)],Tab_Def_Processes[Nr. Outflows],,0,)</f>
        <v>#N/A</v>
      </c>
      <c r="M26" s="189"/>
      <c r="N26" s="175" t="str">
        <f>_xlfn.XLOOKUP($M26,Tab_Def_Flows[Name(EN)],Tab_Def_Flows[Flow_ID],,0,)</f>
        <v>F_11_11</v>
      </c>
      <c r="O26" s="42" t="str">
        <f t="shared" si="1"/>
        <v>TC_11_11</v>
      </c>
      <c r="P26" s="192"/>
      <c r="Q26" s="37"/>
      <c r="R26" s="37"/>
      <c r="S26" s="37"/>
      <c r="T26" s="37"/>
      <c r="U26" s="37"/>
    </row>
    <row r="27" spans="1:24" x14ac:dyDescent="0.25">
      <c r="A27" s="194" t="b">
        <v>0</v>
      </c>
      <c r="B27" s="9">
        <f t="shared" si="0"/>
        <v>26</v>
      </c>
      <c r="C27" s="47" t="e">
        <f>_xlfn.XLOOKUP($D27,Tab_Def_Processes[Name(EN)],Tab_Def_Processes[ID],,0,)</f>
        <v>#N/A</v>
      </c>
      <c r="D27" s="189"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_xlfn.XLOOKUP($D27,Tab_Def_Processes[Name(EN)],Tab_Def_Processes[Nr. Outflows],,0,)</f>
        <v>#N/A</v>
      </c>
      <c r="M27" s="189"/>
      <c r="N27" s="175" t="str">
        <f>_xlfn.XLOOKUP($M27,Tab_Def_Flows[Name(EN)],Tab_Def_Flows[Flow_ID],,0,)</f>
        <v>F_11_11</v>
      </c>
      <c r="O27" s="42" t="str">
        <f t="shared" si="1"/>
        <v>TC_11_11</v>
      </c>
      <c r="P27" s="192"/>
      <c r="Q27" s="37"/>
      <c r="R27" s="37"/>
      <c r="S27" s="37"/>
      <c r="T27" s="37"/>
      <c r="U27" s="37"/>
    </row>
    <row r="28" spans="1:24" x14ac:dyDescent="0.25">
      <c r="A28" s="194" t="b">
        <v>0</v>
      </c>
      <c r="B28" s="9">
        <f t="shared" si="0"/>
        <v>27</v>
      </c>
      <c r="C28" s="47" t="e">
        <f>_xlfn.XLOOKUP($D28,Tab_Def_Processes[Name(EN)],Tab_Def_Processes[ID],,0,)</f>
        <v>#N/A</v>
      </c>
      <c r="D28" s="189"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_xlfn.XLOOKUP($D28,Tab_Def_Processes[Name(EN)],Tab_Def_Processes[Nr. Outflows],,0,)</f>
        <v>#N/A</v>
      </c>
      <c r="M28" s="189"/>
      <c r="N28" s="175" t="str">
        <f>_xlfn.XLOOKUP($M28,Tab_Def_Flows[Name(EN)],Tab_Def_Flows[Flow_ID],,0,)</f>
        <v>F_11_11</v>
      </c>
      <c r="O28" s="42" t="str">
        <f t="shared" si="1"/>
        <v>TC_11_11</v>
      </c>
      <c r="P28" s="192"/>
      <c r="Q28" s="37"/>
      <c r="R28" s="37"/>
      <c r="S28" s="37"/>
      <c r="T28" s="37"/>
      <c r="U28" s="37"/>
    </row>
    <row r="29" spans="1:24" x14ac:dyDescent="0.25">
      <c r="A29" s="194" t="b">
        <v>0</v>
      </c>
      <c r="B29" s="9">
        <f t="shared" si="0"/>
        <v>28</v>
      </c>
      <c r="C29" s="47" t="e">
        <f>_xlfn.XLOOKUP($D29,Tab_Def_Processes[Name(EN)],Tab_Def_Processes[ID],,0,)</f>
        <v>#N/A</v>
      </c>
      <c r="D29" s="189"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_xlfn.XLOOKUP($D29,Tab_Def_Processes[Name(EN)],Tab_Def_Processes[Nr. Outflows],,0,)</f>
        <v>#N/A</v>
      </c>
      <c r="M29" s="189"/>
      <c r="N29" s="175" t="str">
        <f>_xlfn.XLOOKUP($M29,Tab_Def_Flows[Name(EN)],Tab_Def_Flows[Flow_ID],,0,)</f>
        <v>F_11_11</v>
      </c>
      <c r="O29" s="42" t="str">
        <f t="shared" si="1"/>
        <v>TC_11_11</v>
      </c>
      <c r="P29" s="192"/>
      <c r="Q29" s="37"/>
      <c r="R29" s="37"/>
      <c r="S29" s="37"/>
      <c r="T29" s="37"/>
      <c r="U29" s="37"/>
    </row>
    <row r="30" spans="1:24" x14ac:dyDescent="0.25">
      <c r="A30" s="194" t="b">
        <v>0</v>
      </c>
      <c r="B30" s="9">
        <f t="shared" si="0"/>
        <v>29</v>
      </c>
      <c r="C30" s="47" t="e">
        <f>_xlfn.XLOOKUP($D30,Tab_Def_Processes[Name(EN)],Tab_Def_Processes[ID],,0,)</f>
        <v>#N/A</v>
      </c>
      <c r="D30" s="189"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_xlfn.XLOOKUP($D30,Tab_Def_Processes[Name(EN)],Tab_Def_Processes[Nr. Outflows],,0,)</f>
        <v>#N/A</v>
      </c>
      <c r="M30" s="189"/>
      <c r="N30" s="175" t="str">
        <f>_xlfn.XLOOKUP($M30,Tab_Def_Flows[Name(EN)],Tab_Def_Flows[Flow_ID],,0,)</f>
        <v>F_11_11</v>
      </c>
      <c r="O30" s="42" t="str">
        <f t="shared" si="1"/>
        <v>TC_11_11</v>
      </c>
      <c r="P30" s="192"/>
      <c r="Q30" s="37"/>
      <c r="R30" s="37"/>
      <c r="S30" s="37"/>
      <c r="T30" s="37"/>
      <c r="U30" s="37"/>
    </row>
    <row r="31" spans="1:24" x14ac:dyDescent="0.25">
      <c r="A31" s="194" t="b">
        <v>0</v>
      </c>
      <c r="B31" s="9">
        <f t="shared" si="0"/>
        <v>30</v>
      </c>
      <c r="C31" s="47" t="e">
        <f>_xlfn.XLOOKUP($D31,Tab_Def_Processes[Name(EN)],Tab_Def_Processes[ID],,0,)</f>
        <v>#N/A</v>
      </c>
      <c r="D31" s="189"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_xlfn.XLOOKUP($D31,Tab_Def_Processes[Name(EN)],Tab_Def_Processes[Nr. Outflows],,0,)</f>
        <v>#N/A</v>
      </c>
      <c r="M31" s="189"/>
      <c r="N31" s="175" t="str">
        <f>_xlfn.XLOOKUP($M31,Tab_Def_Flows[Name(EN)],Tab_Def_Flows[Flow_ID],,0,)</f>
        <v>F_11_11</v>
      </c>
      <c r="O31" s="42" t="str">
        <f t="shared" si="1"/>
        <v>TC_11_11</v>
      </c>
      <c r="P31" s="192"/>
      <c r="Q31" s="37"/>
      <c r="R31" s="37"/>
      <c r="S31" s="37"/>
      <c r="T31" s="37"/>
      <c r="U31" s="37"/>
    </row>
    <row r="32" spans="1:24" x14ac:dyDescent="0.25">
      <c r="A32" s="194" t="b">
        <v>0</v>
      </c>
      <c r="B32" s="9">
        <f t="shared" si="0"/>
        <v>31</v>
      </c>
      <c r="C32" s="47" t="e">
        <f>_xlfn.XLOOKUP($D32,Tab_Def_Processes[Name(EN)],Tab_Def_Processes[ID],,0,)</f>
        <v>#N/A</v>
      </c>
      <c r="D32" s="189"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_xlfn.XLOOKUP($D32,Tab_Def_Processes[Name(EN)],Tab_Def_Processes[Nr. Outflows],,0,)</f>
        <v>#N/A</v>
      </c>
      <c r="M32" s="189"/>
      <c r="N32" s="175" t="str">
        <f>_xlfn.XLOOKUP($M32,Tab_Def_Flows[Name(EN)],Tab_Def_Flows[Flow_ID],,0,)</f>
        <v>F_11_11</v>
      </c>
      <c r="O32" s="42" t="str">
        <f t="shared" si="1"/>
        <v>TC_11_11</v>
      </c>
      <c r="P32" s="192"/>
      <c r="Q32" s="37"/>
      <c r="R32" s="37"/>
      <c r="S32" s="37"/>
      <c r="T32" s="37"/>
      <c r="U32" s="37"/>
    </row>
    <row r="33" spans="1:21" x14ac:dyDescent="0.25">
      <c r="A33" s="194" t="b">
        <v>0</v>
      </c>
      <c r="B33" s="9">
        <f t="shared" si="0"/>
        <v>32</v>
      </c>
      <c r="C33" s="47" t="e">
        <f>_xlfn.XLOOKUP($D33,Tab_Def_Processes[Name(EN)],Tab_Def_Processes[ID],,0,)</f>
        <v>#N/A</v>
      </c>
      <c r="D33" s="189"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_xlfn.XLOOKUP($D33,Tab_Def_Processes[Name(EN)],Tab_Def_Processes[Nr. Outflows],,0,)</f>
        <v>#N/A</v>
      </c>
      <c r="M33" s="189"/>
      <c r="N33" s="175" t="str">
        <f>_xlfn.XLOOKUP($M33,Tab_Def_Flows[Name(EN)],Tab_Def_Flows[Flow_ID],,0,)</f>
        <v>F_11_11</v>
      </c>
      <c r="O33" s="42" t="str">
        <f t="shared" si="1"/>
        <v>TC_11_11</v>
      </c>
      <c r="P33" s="192"/>
      <c r="Q33" s="37"/>
      <c r="R33" s="37"/>
      <c r="S33" s="37"/>
      <c r="T33" s="37"/>
      <c r="U33" s="37"/>
    </row>
    <row r="34" spans="1:21" x14ac:dyDescent="0.25">
      <c r="A34" s="194" t="b">
        <v>0</v>
      </c>
      <c r="B34" s="9">
        <f t="shared" si="0"/>
        <v>33</v>
      </c>
      <c r="C34" s="47" t="e">
        <f>_xlfn.XLOOKUP($D34,Tab_Def_Processes[Name(EN)],Tab_Def_Processes[ID],,0,)</f>
        <v>#N/A</v>
      </c>
      <c r="D34" s="189"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_xlfn.XLOOKUP($D34,Tab_Def_Processes[Name(EN)],Tab_Def_Processes[Nr. Outflows],,0,)</f>
        <v>#N/A</v>
      </c>
      <c r="M34" s="189"/>
      <c r="N34" s="175" t="str">
        <f>_xlfn.XLOOKUP($M34,Tab_Def_Flows[Name(EN)],Tab_Def_Flows[Flow_ID],,0,)</f>
        <v>F_11_11</v>
      </c>
      <c r="O34" s="42" t="str">
        <f t="shared" si="1"/>
        <v>TC_11_11</v>
      </c>
      <c r="P34" s="192"/>
      <c r="Q34" s="37"/>
      <c r="R34" s="37"/>
      <c r="S34" s="37"/>
      <c r="T34" s="37"/>
      <c r="U34" s="37"/>
    </row>
    <row r="35" spans="1:21" x14ac:dyDescent="0.25">
      <c r="A35" s="194" t="b">
        <v>0</v>
      </c>
      <c r="B35" s="9">
        <f t="shared" si="0"/>
        <v>34</v>
      </c>
      <c r="C35" s="47" t="e">
        <f>_xlfn.XLOOKUP($D35,Tab_Def_Processes[Name(EN)],Tab_Def_Processes[ID],,0,)</f>
        <v>#N/A</v>
      </c>
      <c r="D35" s="189"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_xlfn.XLOOKUP($D35,Tab_Def_Processes[Name(EN)],Tab_Def_Processes[Nr. Outflows],,0,)</f>
        <v>#N/A</v>
      </c>
      <c r="M35" s="189"/>
      <c r="N35" s="175" t="str">
        <f>_xlfn.XLOOKUP($M35,Tab_Def_Flows[Name(EN)],Tab_Def_Flows[Flow_ID],,0,)</f>
        <v>F_11_11</v>
      </c>
      <c r="O35" s="42" t="str">
        <f t="shared" si="1"/>
        <v>TC_11_11</v>
      </c>
      <c r="P35" s="192"/>
      <c r="Q35" s="37"/>
      <c r="R35" s="37"/>
      <c r="S35" s="37"/>
      <c r="T35" s="37"/>
      <c r="U35" s="37"/>
    </row>
    <row r="36" spans="1:21" x14ac:dyDescent="0.25">
      <c r="A36" s="194" t="b">
        <v>0</v>
      </c>
      <c r="B36" s="9">
        <f t="shared" si="0"/>
        <v>35</v>
      </c>
      <c r="C36" s="47" t="e">
        <f>_xlfn.XLOOKUP($D36,Tab_Def_Processes[Name(EN)],Tab_Def_Processes[ID],,0,)</f>
        <v>#N/A</v>
      </c>
      <c r="D36" s="189"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_xlfn.XLOOKUP($D36,Tab_Def_Processes[Name(EN)],Tab_Def_Processes[Nr. Outflows],,0,)</f>
        <v>#N/A</v>
      </c>
      <c r="M36" s="189"/>
      <c r="N36" s="175" t="str">
        <f>_xlfn.XLOOKUP($M36,Tab_Def_Flows[Name(EN)],Tab_Def_Flows[Flow_ID],,0,)</f>
        <v>F_11_11</v>
      </c>
      <c r="O36" s="42" t="str">
        <f t="shared" si="1"/>
        <v>TC_11_11</v>
      </c>
      <c r="P36" s="192"/>
      <c r="Q36" s="37"/>
      <c r="R36" s="37"/>
      <c r="S36" s="37"/>
      <c r="T36" s="37"/>
      <c r="U36" s="37"/>
    </row>
    <row r="37" spans="1:21" x14ac:dyDescent="0.25">
      <c r="A37" s="194" t="b">
        <v>0</v>
      </c>
      <c r="B37" s="9">
        <f t="shared" si="0"/>
        <v>36</v>
      </c>
      <c r="C37" s="47" t="e">
        <f>_xlfn.XLOOKUP($D37,Tab_Def_Processes[Name(EN)],Tab_Def_Processes[ID],,0,)</f>
        <v>#N/A</v>
      </c>
      <c r="D37" s="189"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_xlfn.XLOOKUP($D37,Tab_Def_Processes[Name(EN)],Tab_Def_Processes[Nr. Outflows],,0,)</f>
        <v>#N/A</v>
      </c>
      <c r="M37" s="189"/>
      <c r="N37" s="175" t="str">
        <f>_xlfn.XLOOKUP($M37,Tab_Def_Flows[Name(EN)],Tab_Def_Flows[Flow_ID],,0,)</f>
        <v>F_11_11</v>
      </c>
      <c r="O37" s="42" t="str">
        <f t="shared" si="1"/>
        <v>TC_11_11</v>
      </c>
      <c r="P37" s="192"/>
      <c r="Q37" s="37"/>
      <c r="R37" s="37"/>
      <c r="S37" s="37"/>
      <c r="T37" s="37"/>
      <c r="U37" s="37"/>
    </row>
    <row r="38" spans="1:21" x14ac:dyDescent="0.25">
      <c r="A38" s="194" t="b">
        <v>0</v>
      </c>
      <c r="B38" s="9">
        <f t="shared" si="0"/>
        <v>37</v>
      </c>
      <c r="C38" s="47" t="e">
        <f>_xlfn.XLOOKUP($D38,Tab_Def_Processes[Name(EN)],Tab_Def_Processes[ID],,0,)</f>
        <v>#N/A</v>
      </c>
      <c r="D38" s="189"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_xlfn.XLOOKUP($D38,Tab_Def_Processes[Name(EN)],Tab_Def_Processes[Nr. Outflows],,0,)</f>
        <v>#N/A</v>
      </c>
      <c r="M38" s="189"/>
      <c r="N38" s="175" t="str">
        <f>_xlfn.XLOOKUP($M38,Tab_Def_Flows[Name(EN)],Tab_Def_Flows[Flow_ID],,0,)</f>
        <v>F_11_11</v>
      </c>
      <c r="O38" s="42" t="str">
        <f t="shared" si="1"/>
        <v>TC_11_11</v>
      </c>
      <c r="P38" s="192"/>
      <c r="Q38" s="37"/>
      <c r="R38" s="37"/>
      <c r="S38" s="37"/>
      <c r="T38" s="37"/>
      <c r="U38" s="37"/>
    </row>
    <row r="39" spans="1:21" x14ac:dyDescent="0.25">
      <c r="A39" s="194" t="b">
        <v>0</v>
      </c>
      <c r="B39" s="9">
        <f t="shared" si="0"/>
        <v>38</v>
      </c>
      <c r="C39" s="47" t="e">
        <f>_xlfn.XLOOKUP($D39,Tab_Def_Processes[Name(EN)],Tab_Def_Processes[ID],,0,)</f>
        <v>#N/A</v>
      </c>
      <c r="D39" s="189"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_xlfn.XLOOKUP($D39,Tab_Def_Processes[Name(EN)],Tab_Def_Processes[Nr. Outflows],,0,)</f>
        <v>#N/A</v>
      </c>
      <c r="M39" s="189"/>
      <c r="N39" s="175" t="str">
        <f>_xlfn.XLOOKUP($M39,Tab_Def_Flows[Name(EN)],Tab_Def_Flows[Flow_ID],,0,)</f>
        <v>F_11_11</v>
      </c>
      <c r="O39" s="42" t="str">
        <f t="shared" si="1"/>
        <v>TC_11_11</v>
      </c>
      <c r="P39" s="192"/>
      <c r="Q39" s="37"/>
      <c r="R39" s="37"/>
      <c r="S39" s="37"/>
      <c r="T39" s="37"/>
      <c r="U39" s="37"/>
    </row>
    <row r="40" spans="1:21" x14ac:dyDescent="0.25">
      <c r="A40" s="194" t="b">
        <v>0</v>
      </c>
      <c r="B40" s="9">
        <f t="shared" si="0"/>
        <v>39</v>
      </c>
      <c r="C40" s="47" t="e">
        <f>_xlfn.XLOOKUP($D40,Tab_Def_Processes[Name(EN)],Tab_Def_Processes[ID],,0,)</f>
        <v>#N/A</v>
      </c>
      <c r="D40" s="189"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_xlfn.XLOOKUP($D40,Tab_Def_Processes[Name(EN)],Tab_Def_Processes[Nr. Outflows],,0,)</f>
        <v>#N/A</v>
      </c>
      <c r="M40" s="189"/>
      <c r="N40" s="175" t="str">
        <f>_xlfn.XLOOKUP($M40,Tab_Def_Flows[Name(EN)],Tab_Def_Flows[Flow_ID],,0,)</f>
        <v>F_11_11</v>
      </c>
      <c r="O40" s="42" t="str">
        <f t="shared" si="1"/>
        <v>TC_11_11</v>
      </c>
      <c r="P40" s="192"/>
      <c r="Q40" s="37"/>
      <c r="R40" s="37"/>
      <c r="S40" s="37"/>
      <c r="T40" s="37"/>
      <c r="U40" s="37"/>
    </row>
    <row r="41" spans="1:21" x14ac:dyDescent="0.25">
      <c r="A41" s="194" t="b">
        <v>0</v>
      </c>
      <c r="B41" s="9">
        <f t="shared" si="0"/>
        <v>40</v>
      </c>
      <c r="C41" s="47" t="e">
        <f>_xlfn.XLOOKUP($D41,Tab_Def_Processes[Name(EN)],Tab_Def_Processes[ID],,0,)</f>
        <v>#N/A</v>
      </c>
      <c r="D41" s="189"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9" t="e">
        <f>_xlfn.XLOOKUP($D41,Tab_Def_Processes[Name(EN)],Tab_Def_Processes[Nr. Outflows],,0,)</f>
        <v>#N/A</v>
      </c>
      <c r="M41" s="189"/>
      <c r="N41" s="175" t="str">
        <f>_xlfn.XLOOKUP($M41,Tab_Def_Flows[Name(EN)],Tab_Def_Flows[Flow_ID],,0,)</f>
        <v>F_11_11</v>
      </c>
      <c r="O41" s="42" t="str">
        <f t="shared" si="1"/>
        <v>TC_11_11</v>
      </c>
      <c r="P41" s="192"/>
      <c r="Q41" s="37"/>
      <c r="R41" s="37"/>
      <c r="S41" s="37"/>
      <c r="T41" s="37"/>
      <c r="U41" s="37"/>
    </row>
    <row r="42" spans="1:21" x14ac:dyDescent="0.25">
      <c r="A42" s="194" t="b">
        <v>0</v>
      </c>
      <c r="B42" s="9">
        <f t="shared" si="0"/>
        <v>41</v>
      </c>
      <c r="C42" s="47" t="e">
        <f>_xlfn.XLOOKUP($D42,Tab_Def_Processes[Name(EN)],Tab_Def_Processes[ID],,0,)</f>
        <v>#N/A</v>
      </c>
      <c r="D42" s="189"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9" t="e">
        <f>_xlfn.XLOOKUP($D42,Tab_Def_Processes[Name(EN)],Tab_Def_Processes[Nr. Outflows],,0,)</f>
        <v>#N/A</v>
      </c>
      <c r="M42" s="189"/>
      <c r="N42" s="175" t="str">
        <f>_xlfn.XLOOKUP($M42,Tab_Def_Flows[Name(EN)],Tab_Def_Flows[Flow_ID],,0,)</f>
        <v>F_11_11</v>
      </c>
      <c r="O42" s="42" t="str">
        <f t="shared" si="1"/>
        <v>TC_11_11</v>
      </c>
      <c r="P42" s="192"/>
      <c r="Q42" s="37"/>
      <c r="R42" s="37"/>
      <c r="S42" s="37"/>
      <c r="T42" s="37"/>
      <c r="U42" s="37"/>
    </row>
    <row r="43" spans="1:21" x14ac:dyDescent="0.25">
      <c r="A43" s="194" t="b">
        <v>0</v>
      </c>
      <c r="B43" s="9">
        <f t="shared" si="0"/>
        <v>42</v>
      </c>
      <c r="C43" s="47" t="e">
        <f>_xlfn.XLOOKUP($D43,Tab_Def_Processes[Name(EN)],Tab_Def_Processes[ID],,0,)</f>
        <v>#N/A</v>
      </c>
      <c r="D43" s="189"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9" t="e">
        <f>_xlfn.XLOOKUP($D43,Tab_Def_Processes[Name(EN)],Tab_Def_Processes[Nr. Outflows],,0,)</f>
        <v>#N/A</v>
      </c>
      <c r="M43" s="189"/>
      <c r="N43" s="175" t="str">
        <f>_xlfn.XLOOKUP($M43,Tab_Def_Flows[Name(EN)],Tab_Def_Flows[Flow_ID],,0,)</f>
        <v>F_11_11</v>
      </c>
      <c r="O43" s="42" t="str">
        <f t="shared" si="1"/>
        <v>TC_11_11</v>
      </c>
      <c r="P43" s="192"/>
      <c r="Q43" s="37"/>
      <c r="R43" s="37"/>
      <c r="S43" s="37"/>
      <c r="T43" s="37"/>
      <c r="U43" s="37"/>
    </row>
    <row r="44" spans="1:21" x14ac:dyDescent="0.25">
      <c r="A44" s="194" t="b">
        <v>0</v>
      </c>
      <c r="B44" s="9">
        <f t="shared" si="0"/>
        <v>43</v>
      </c>
      <c r="C44" s="47" t="e">
        <f>_xlfn.XLOOKUP($D44,Tab_Def_Processes[Name(EN)],Tab_Def_Processes[ID],,0,)</f>
        <v>#N/A</v>
      </c>
      <c r="D44" s="189"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9" t="e">
        <f>_xlfn.XLOOKUP($D44,Tab_Def_Processes[Name(EN)],Tab_Def_Processes[Nr. Outflows],,0,)</f>
        <v>#N/A</v>
      </c>
      <c r="M44" s="189"/>
      <c r="N44" s="175" t="str">
        <f>_xlfn.XLOOKUP($M44,Tab_Def_Flows[Name(EN)],Tab_Def_Flows[Flow_ID],,0,)</f>
        <v>F_11_11</v>
      </c>
      <c r="O44" s="42" t="str">
        <f t="shared" si="1"/>
        <v>TC_11_11</v>
      </c>
      <c r="P44" s="192"/>
      <c r="Q44" s="37"/>
      <c r="R44" s="37"/>
      <c r="S44" s="37"/>
      <c r="T44" s="37"/>
      <c r="U44" s="37"/>
    </row>
    <row r="45" spans="1:21" x14ac:dyDescent="0.25">
      <c r="A45" s="194" t="b">
        <v>0</v>
      </c>
      <c r="B45" s="9">
        <f t="shared" si="0"/>
        <v>44</v>
      </c>
      <c r="C45" s="47" t="e">
        <f>_xlfn.XLOOKUP($D45,Tab_Def_Processes[Name(EN)],Tab_Def_Processes[ID],,0,)</f>
        <v>#N/A</v>
      </c>
      <c r="D45" s="189"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9" t="e">
        <f>_xlfn.XLOOKUP($D45,Tab_Def_Processes[Name(EN)],Tab_Def_Processes[Nr. Outflows],,0,)</f>
        <v>#N/A</v>
      </c>
      <c r="M45" s="189"/>
      <c r="N45" s="175" t="str">
        <f>_xlfn.XLOOKUP($M45,Tab_Def_Flows[Name(EN)],Tab_Def_Flows[Flow_ID],,0,)</f>
        <v>F_11_11</v>
      </c>
      <c r="O45" s="42" t="str">
        <f t="shared" si="1"/>
        <v>TC_11_11</v>
      </c>
      <c r="P45" s="192"/>
      <c r="Q45" s="37"/>
      <c r="R45" s="37"/>
      <c r="S45" s="37"/>
      <c r="T45" s="37"/>
      <c r="U45" s="37"/>
    </row>
    <row r="46" spans="1:21" x14ac:dyDescent="0.25">
      <c r="A46" s="194" t="b">
        <v>0</v>
      </c>
      <c r="B46" s="9">
        <f t="shared" si="0"/>
        <v>45</v>
      </c>
      <c r="C46" s="47" t="e">
        <f>_xlfn.XLOOKUP($D46,Tab_Def_Processes[Name(EN)],Tab_Def_Processes[ID],,0,)</f>
        <v>#N/A</v>
      </c>
      <c r="D46" s="189"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9" t="e">
        <f>_xlfn.XLOOKUP($D46,Tab_Def_Processes[Name(EN)],Tab_Def_Processes[Nr. Outflows],,0,)</f>
        <v>#N/A</v>
      </c>
      <c r="M46" s="189"/>
      <c r="N46" s="175" t="str">
        <f>_xlfn.XLOOKUP($M46,Tab_Def_Flows[Name(EN)],Tab_Def_Flows[Flow_ID],,0,)</f>
        <v>F_11_11</v>
      </c>
      <c r="O46" s="42" t="str">
        <f t="shared" si="1"/>
        <v>TC_11_11</v>
      </c>
      <c r="P46" s="192"/>
      <c r="Q46" s="37"/>
      <c r="R46" s="37"/>
      <c r="S46" s="37"/>
      <c r="T46" s="37"/>
      <c r="U46" s="37"/>
    </row>
    <row r="47" spans="1:21" x14ac:dyDescent="0.25">
      <c r="A47" s="194" t="b">
        <v>0</v>
      </c>
      <c r="B47" s="9">
        <f t="shared" si="0"/>
        <v>46</v>
      </c>
      <c r="C47" s="47" t="e">
        <f>_xlfn.XLOOKUP($D47,Tab_Def_Processes[Name(EN)],Tab_Def_Processes[ID],,0,)</f>
        <v>#N/A</v>
      </c>
      <c r="D47" s="189"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9" t="e">
        <f>_xlfn.XLOOKUP($D47,Tab_Def_Processes[Name(EN)],Tab_Def_Processes[Nr. Outflows],,0,)</f>
        <v>#N/A</v>
      </c>
      <c r="M47" s="189"/>
      <c r="N47" s="175" t="str">
        <f>_xlfn.XLOOKUP($M47,Tab_Def_Flows[Name(EN)],Tab_Def_Flows[Flow_ID],,0,)</f>
        <v>F_11_11</v>
      </c>
      <c r="O47" s="42" t="str">
        <f t="shared" si="1"/>
        <v>TC_11_11</v>
      </c>
      <c r="P47" s="192"/>
      <c r="Q47" s="37"/>
      <c r="R47" s="37"/>
      <c r="S47" s="37"/>
      <c r="T47" s="37"/>
      <c r="U47" s="37"/>
    </row>
    <row r="48" spans="1:21" x14ac:dyDescent="0.25">
      <c r="A48" s="194" t="b">
        <v>0</v>
      </c>
      <c r="B48" s="9">
        <f t="shared" si="0"/>
        <v>47</v>
      </c>
      <c r="C48" s="47" t="str">
        <f>_xlfn.XLOOKUP($D48,Tab_Def_Processes[Name(EN)],Tab_Def_Processes[ID],,0,)</f>
        <v>11</v>
      </c>
      <c r="D48" s="189"/>
      <c r="E48" s="9">
        <f>_xlfn.XLOOKUP($D48,Tab_Def_Processes[Name(EN)],Tab_Def_Processes[Process_Type],,0,)</f>
        <v>0</v>
      </c>
      <c r="F48" s="9">
        <f>_xlfn.XLOOKUP($D48,Tab_Def_Processes[Name(EN)],Tab_Def_Processes[TC?],,0,)</f>
        <v>0</v>
      </c>
      <c r="G48" s="9">
        <f>_xlfn.XLOOKUP($D48,Tab_Def_Processes[Name(EN)],Tab_Def_Processes[Dyn_TC?],,0,)</f>
        <v>0</v>
      </c>
      <c r="H48" s="9">
        <f>_xlfn.XLOOKUP($D48,Tab_Def_Processes[Name(EN)],Tab_Def_Processes[Stock?],,0,)</f>
        <v>0</v>
      </c>
      <c r="I48" s="9">
        <f>_xlfn.XLOOKUP($D48,Tab_Def_Processes[Name(EN)],Tab_Def_Processes[Initial_Stock?],,0,)</f>
        <v>0</v>
      </c>
      <c r="J48" s="9">
        <f>_xlfn.XLOOKUP($D48,Tab_Def_Processes[Name(EN)],Tab_Def_Processes[DSM?],,0,)</f>
        <v>0</v>
      </c>
      <c r="K48" s="9">
        <f>_xlfn.XLOOKUP($D48,Tab_Def_Processes[Name(EN)],Tab_Def_Processes[FOMP?],,0,)</f>
        <v>0</v>
      </c>
      <c r="L48" s="9">
        <f>_xlfn.XLOOKUP($D48,Tab_Def_Processes[Name(EN)],Tab_Def_Processes[Nr. Outflows],,0,)</f>
        <v>0</v>
      </c>
      <c r="M48" s="189"/>
      <c r="N48" s="175" t="str">
        <f>_xlfn.XLOOKUP($M48,Tab_Def_Flows[Name(EN)],Tab_Def_Flows[Flow_ID],,0,)</f>
        <v>F_11_11</v>
      </c>
      <c r="O48" s="42" t="str">
        <f t="shared" si="1"/>
        <v>TC_11_11</v>
      </c>
      <c r="P48" s="192"/>
      <c r="Q48" s="37"/>
      <c r="R48" s="37"/>
      <c r="S48" s="37"/>
      <c r="T48" s="37"/>
      <c r="U48" s="37"/>
    </row>
    <row r="49" spans="1:21" x14ac:dyDescent="0.25">
      <c r="A49" s="194" t="b">
        <v>0</v>
      </c>
      <c r="B49" s="9">
        <f t="shared" si="0"/>
        <v>48</v>
      </c>
      <c r="C49" s="47" t="str">
        <f>_xlfn.XLOOKUP($D49,Tab_Def_Processes[Name(EN)],Tab_Def_Processes[ID],,0,)</f>
        <v>11</v>
      </c>
      <c r="D49" s="189"/>
      <c r="E49" s="9">
        <f>_xlfn.XLOOKUP($D49,Tab_Def_Processes[Name(EN)],Tab_Def_Processes[Process_Type],,0,)</f>
        <v>0</v>
      </c>
      <c r="F49" s="9">
        <f>_xlfn.XLOOKUP($D49,Tab_Def_Processes[Name(EN)],Tab_Def_Processes[TC?],,0,)</f>
        <v>0</v>
      </c>
      <c r="G49" s="9">
        <f>_xlfn.XLOOKUP($D49,Tab_Def_Processes[Name(EN)],Tab_Def_Processes[Dyn_TC?],,0,)</f>
        <v>0</v>
      </c>
      <c r="H49" s="9">
        <f>_xlfn.XLOOKUP($D49,Tab_Def_Processes[Name(EN)],Tab_Def_Processes[Stock?],,0,)</f>
        <v>0</v>
      </c>
      <c r="I49" s="9">
        <f>_xlfn.XLOOKUP($D49,Tab_Def_Processes[Name(EN)],Tab_Def_Processes[Initial_Stock?],,0,)</f>
        <v>0</v>
      </c>
      <c r="J49" s="9">
        <f>_xlfn.XLOOKUP($D49,Tab_Def_Processes[Name(EN)],Tab_Def_Processes[DSM?],,0,)</f>
        <v>0</v>
      </c>
      <c r="K49" s="9">
        <f>_xlfn.XLOOKUP($D49,Tab_Def_Processes[Name(EN)],Tab_Def_Processes[FOMP?],,0,)</f>
        <v>0</v>
      </c>
      <c r="L49" s="9">
        <f>_xlfn.XLOOKUP($D49,Tab_Def_Processes[Name(EN)],Tab_Def_Processes[Nr. Outflows],,0,)</f>
        <v>0</v>
      </c>
      <c r="M49" s="189"/>
      <c r="N49" s="175" t="str">
        <f>_xlfn.XLOOKUP($M49,Tab_Def_Flows[Name(EN)],Tab_Def_Flows[Flow_ID],,0,)</f>
        <v>F_11_11</v>
      </c>
      <c r="O49" s="42" t="str">
        <f t="shared" si="1"/>
        <v>TC_11_11</v>
      </c>
      <c r="P49" s="192"/>
      <c r="Q49" s="37"/>
      <c r="R49" s="37"/>
      <c r="S49" s="37"/>
      <c r="T49" s="37"/>
      <c r="U49" s="37"/>
    </row>
    <row r="50" spans="1:21" x14ac:dyDescent="0.25">
      <c r="A50" s="194" t="b">
        <v>0</v>
      </c>
      <c r="B50" s="9">
        <f t="shared" si="0"/>
        <v>49</v>
      </c>
      <c r="C50" s="47" t="str">
        <f>_xlfn.XLOOKUP($D50,Tab_Def_Processes[Name(EN)],Tab_Def_Processes[ID],,0,)</f>
        <v>11</v>
      </c>
      <c r="D50" s="189"/>
      <c r="E50" s="9">
        <f>_xlfn.XLOOKUP($D50,Tab_Def_Processes[Name(EN)],Tab_Def_Processes[Process_Type],,0,)</f>
        <v>0</v>
      </c>
      <c r="F50" s="9">
        <f>_xlfn.XLOOKUP($D50,Tab_Def_Processes[Name(EN)],Tab_Def_Processes[TC?],,0,)</f>
        <v>0</v>
      </c>
      <c r="G50" s="9">
        <f>_xlfn.XLOOKUP($D50,Tab_Def_Processes[Name(EN)],Tab_Def_Processes[Dyn_TC?],,0,)</f>
        <v>0</v>
      </c>
      <c r="H50" s="9">
        <f>_xlfn.XLOOKUP($D50,Tab_Def_Processes[Name(EN)],Tab_Def_Processes[Stock?],,0,)</f>
        <v>0</v>
      </c>
      <c r="I50" s="9">
        <f>_xlfn.XLOOKUP($D50,Tab_Def_Processes[Name(EN)],Tab_Def_Processes[Initial_Stock?],,0,)</f>
        <v>0</v>
      </c>
      <c r="J50" s="9">
        <f>_xlfn.XLOOKUP($D50,Tab_Def_Processes[Name(EN)],Tab_Def_Processes[DSM?],,0,)</f>
        <v>0</v>
      </c>
      <c r="K50" s="9">
        <f>_xlfn.XLOOKUP($D50,Tab_Def_Processes[Name(EN)],Tab_Def_Processes[FOMP?],,0,)</f>
        <v>0</v>
      </c>
      <c r="L50" s="9">
        <f>_xlfn.XLOOKUP($D50,Tab_Def_Processes[Name(EN)],Tab_Def_Processes[Nr. Outflows],,0,)</f>
        <v>0</v>
      </c>
      <c r="M50" s="189"/>
      <c r="N50" s="175" t="str">
        <f>_xlfn.XLOOKUP($M50,Tab_Def_Flows[Name(EN)],Tab_Def_Flows[Flow_ID],,0,)</f>
        <v>F_11_11</v>
      </c>
      <c r="O50" s="42" t="str">
        <f t="shared" si="1"/>
        <v>TC_11_11</v>
      </c>
      <c r="P50" s="192"/>
      <c r="Q50" s="37"/>
      <c r="R50" s="37"/>
      <c r="S50" s="37"/>
      <c r="T50" s="37"/>
      <c r="U50" s="37"/>
    </row>
    <row r="51" spans="1:21" x14ac:dyDescent="0.25">
      <c r="A51" s="194" t="b">
        <v>0</v>
      </c>
      <c r="B51" s="9">
        <f t="shared" si="0"/>
        <v>50</v>
      </c>
      <c r="C51" s="47" t="str">
        <f>_xlfn.XLOOKUP($D51,Tab_Def_Processes[Name(EN)],Tab_Def_Processes[ID],,0,)</f>
        <v>11</v>
      </c>
      <c r="D51" s="189"/>
      <c r="E51" s="9">
        <f>_xlfn.XLOOKUP($D51,Tab_Def_Processes[Name(EN)],Tab_Def_Processes[Process_Type],,0,)</f>
        <v>0</v>
      </c>
      <c r="F51" s="9">
        <f>_xlfn.XLOOKUP($D51,Tab_Def_Processes[Name(EN)],Tab_Def_Processes[TC?],,0,)</f>
        <v>0</v>
      </c>
      <c r="G51" s="9">
        <f>_xlfn.XLOOKUP($D51,Tab_Def_Processes[Name(EN)],Tab_Def_Processes[Dyn_TC?],,0,)</f>
        <v>0</v>
      </c>
      <c r="H51" s="9">
        <f>_xlfn.XLOOKUP($D51,Tab_Def_Processes[Name(EN)],Tab_Def_Processes[Stock?],,0,)</f>
        <v>0</v>
      </c>
      <c r="I51" s="9">
        <f>_xlfn.XLOOKUP($D51,Tab_Def_Processes[Name(EN)],Tab_Def_Processes[Initial_Stock?],,0,)</f>
        <v>0</v>
      </c>
      <c r="J51" s="9">
        <f>_xlfn.XLOOKUP($D51,Tab_Def_Processes[Name(EN)],Tab_Def_Processes[DSM?],,0,)</f>
        <v>0</v>
      </c>
      <c r="K51" s="9">
        <f>_xlfn.XLOOKUP($D51,Tab_Def_Processes[Name(EN)],Tab_Def_Processes[FOMP?],,0,)</f>
        <v>0</v>
      </c>
      <c r="L51" s="9">
        <f>_xlfn.XLOOKUP($D51,Tab_Def_Processes[Name(EN)],Tab_Def_Processes[Nr. Outflows],,0,)</f>
        <v>0</v>
      </c>
      <c r="M51" s="189"/>
      <c r="N51" s="175" t="str">
        <f>_xlfn.XLOOKUP($M51,Tab_Def_Flows[Name(EN)],Tab_Def_Flows[Flow_ID],,0,)</f>
        <v>F_11_11</v>
      </c>
      <c r="O51" s="42" t="str">
        <f t="shared" si="1"/>
        <v>TC_11_11</v>
      </c>
      <c r="P51" s="192"/>
      <c r="Q51" s="37"/>
      <c r="R51" s="37"/>
      <c r="S51" s="37"/>
      <c r="T51" s="37"/>
      <c r="U51" s="37"/>
    </row>
    <row r="52" spans="1:21" x14ac:dyDescent="0.25">
      <c r="A52" s="194" t="b">
        <v>0</v>
      </c>
      <c r="B52" s="9">
        <f t="shared" si="0"/>
        <v>51</v>
      </c>
      <c r="C52" s="47" t="str">
        <f>_xlfn.XLOOKUP($D52,Tab_Def_Processes[Name(EN)],Tab_Def_Processes[ID],,0,)</f>
        <v>11</v>
      </c>
      <c r="D52" s="189"/>
      <c r="E52" s="9">
        <f>_xlfn.XLOOKUP($D52,Tab_Def_Processes[Name(EN)],Tab_Def_Processes[Process_Type],,0,)</f>
        <v>0</v>
      </c>
      <c r="F52" s="9">
        <f>_xlfn.XLOOKUP($D52,Tab_Def_Processes[Name(EN)],Tab_Def_Processes[TC?],,0,)</f>
        <v>0</v>
      </c>
      <c r="G52" s="9">
        <f>_xlfn.XLOOKUP($D52,Tab_Def_Processes[Name(EN)],Tab_Def_Processes[Dyn_TC?],,0,)</f>
        <v>0</v>
      </c>
      <c r="H52" s="9">
        <f>_xlfn.XLOOKUP($D52,Tab_Def_Processes[Name(EN)],Tab_Def_Processes[Stock?],,0,)</f>
        <v>0</v>
      </c>
      <c r="I52" s="9">
        <f>_xlfn.XLOOKUP($D52,Tab_Def_Processes[Name(EN)],Tab_Def_Processes[Initial_Stock?],,0,)</f>
        <v>0</v>
      </c>
      <c r="J52" s="9">
        <f>_xlfn.XLOOKUP($D52,Tab_Def_Processes[Name(EN)],Tab_Def_Processes[DSM?],,0,)</f>
        <v>0</v>
      </c>
      <c r="K52" s="9">
        <f>_xlfn.XLOOKUP($D52,Tab_Def_Processes[Name(EN)],Tab_Def_Processes[FOMP?],,0,)</f>
        <v>0</v>
      </c>
      <c r="L52" s="9">
        <f>_xlfn.XLOOKUP($D52,Tab_Def_Processes[Name(EN)],Tab_Def_Processes[Nr. Outflows],,0,)</f>
        <v>0</v>
      </c>
      <c r="M52" s="189"/>
      <c r="N52" s="175" t="str">
        <f>_xlfn.XLOOKUP($M52,Tab_Def_Flows[Name(EN)],Tab_Def_Flows[Flow_ID],,0,)</f>
        <v>F_11_11</v>
      </c>
      <c r="O52" s="42" t="str">
        <f t="shared" si="1"/>
        <v>TC_11_11</v>
      </c>
      <c r="P52" s="192"/>
      <c r="Q52" s="37"/>
      <c r="R52" s="37"/>
      <c r="S52" s="37"/>
      <c r="T52" s="37"/>
      <c r="U52" s="37"/>
    </row>
    <row r="53" spans="1:21" x14ac:dyDescent="0.25">
      <c r="A53" s="194" t="b">
        <v>0</v>
      </c>
      <c r="B53" s="9">
        <f t="shared" si="0"/>
        <v>52</v>
      </c>
      <c r="C53" s="47" t="str">
        <f>_xlfn.XLOOKUP($D53,Tab_Def_Processes[Name(EN)],Tab_Def_Processes[ID],,0,)</f>
        <v>11</v>
      </c>
      <c r="D53" s="189"/>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89"/>
      <c r="N53" s="175" t="str">
        <f>_xlfn.XLOOKUP($M53,Tab_Def_Flows[Name(EN)],Tab_Def_Flows[Flow_ID],,0,)</f>
        <v>F_11_11</v>
      </c>
      <c r="O53" s="42" t="str">
        <f t="shared" si="1"/>
        <v>TC_11_11</v>
      </c>
      <c r="P53" s="192"/>
      <c r="Q53" s="37"/>
      <c r="R53" s="37"/>
      <c r="S53" s="37"/>
      <c r="T53" s="37"/>
      <c r="U53" s="37"/>
    </row>
    <row r="54" spans="1:21" x14ac:dyDescent="0.25">
      <c r="A54" s="194" t="b">
        <v>0</v>
      </c>
      <c r="B54" s="9">
        <f t="shared" si="0"/>
        <v>53</v>
      </c>
      <c r="C54" s="47" t="str">
        <f>_xlfn.XLOOKUP($D54,Tab_Def_Processes[Name(EN)],Tab_Def_Processes[ID],,0,)</f>
        <v>11</v>
      </c>
      <c r="D54" s="189"/>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89"/>
      <c r="N54" s="175" t="str">
        <f>_xlfn.XLOOKUP($M54,Tab_Def_Flows[Name(EN)],Tab_Def_Flows[Flow_ID],,0,)</f>
        <v>F_11_11</v>
      </c>
      <c r="O54" s="42" t="str">
        <f t="shared" si="1"/>
        <v>TC_11_11</v>
      </c>
      <c r="P54" s="192"/>
      <c r="Q54" s="37"/>
      <c r="R54" s="37"/>
      <c r="S54" s="37"/>
      <c r="T54" s="37"/>
      <c r="U54" s="37"/>
    </row>
    <row r="55" spans="1:21" x14ac:dyDescent="0.25">
      <c r="A55" s="194" t="b">
        <v>0</v>
      </c>
      <c r="B55" s="9">
        <f t="shared" si="0"/>
        <v>54</v>
      </c>
      <c r="C55" s="47" t="str">
        <f>_xlfn.XLOOKUP($D55,Tab_Def_Processes[Name(EN)],Tab_Def_Processes[ID],,0,)</f>
        <v>11</v>
      </c>
      <c r="D55" s="189"/>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89"/>
      <c r="N55" s="175" t="str">
        <f>_xlfn.XLOOKUP($M55,Tab_Def_Flows[Name(EN)],Tab_Def_Flows[Flow_ID],,0,)</f>
        <v>F_11_11</v>
      </c>
      <c r="O55" s="42" t="str">
        <f t="shared" si="1"/>
        <v>TC_11_11</v>
      </c>
      <c r="P55" s="192"/>
      <c r="Q55" s="37"/>
      <c r="R55" s="37"/>
      <c r="S55" s="37"/>
      <c r="T55" s="37"/>
      <c r="U55" s="37"/>
    </row>
    <row r="56" spans="1:21" x14ac:dyDescent="0.25">
      <c r="A56" s="194" t="b">
        <v>0</v>
      </c>
      <c r="B56" s="9">
        <f t="shared" si="0"/>
        <v>55</v>
      </c>
      <c r="C56" s="47" t="str">
        <f>_xlfn.XLOOKUP($D56,Tab_Def_Processes[Name(EN)],Tab_Def_Processes[ID],,0,)</f>
        <v>11</v>
      </c>
      <c r="D56" s="189"/>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89"/>
      <c r="N56" s="175" t="str">
        <f>_xlfn.XLOOKUP($M56,Tab_Def_Flows[Name(EN)],Tab_Def_Flows[Flow_ID],,0,)</f>
        <v>F_11_11</v>
      </c>
      <c r="O56" s="42" t="str">
        <f t="shared" si="1"/>
        <v>TC_11_11</v>
      </c>
      <c r="P56" s="192"/>
      <c r="Q56" s="37"/>
      <c r="R56" s="37"/>
      <c r="S56" s="37"/>
      <c r="T56" s="37"/>
      <c r="U56" s="37"/>
    </row>
    <row r="57" spans="1:21" x14ac:dyDescent="0.25">
      <c r="A57" s="194" t="b">
        <v>0</v>
      </c>
      <c r="B57" s="9">
        <f t="shared" si="0"/>
        <v>56</v>
      </c>
      <c r="C57" s="47" t="str">
        <f>_xlfn.XLOOKUP($D57,Tab_Def_Processes[Name(EN)],Tab_Def_Processes[ID],,0,)</f>
        <v>11</v>
      </c>
      <c r="D57" s="189"/>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89"/>
      <c r="N57" s="175" t="str">
        <f>_xlfn.XLOOKUP($M57,Tab_Def_Flows[Name(EN)],Tab_Def_Flows[Flow_ID],,0,)</f>
        <v>F_11_11</v>
      </c>
      <c r="O57" s="42" t="str">
        <f t="shared" si="1"/>
        <v>TC_11_11</v>
      </c>
      <c r="P57" s="192"/>
      <c r="Q57" s="37"/>
      <c r="R57" s="37"/>
      <c r="S57" s="37"/>
      <c r="T57" s="37"/>
      <c r="U57" s="37"/>
    </row>
    <row r="58" spans="1:21" x14ac:dyDescent="0.25">
      <c r="A58" s="194" t="b">
        <v>0</v>
      </c>
      <c r="B58" s="9">
        <f t="shared" si="0"/>
        <v>57</v>
      </c>
      <c r="C58" s="47" t="str">
        <f>_xlfn.XLOOKUP($D58,Tab_Def_Processes[Name(EN)],Tab_Def_Processes[ID],,0,)</f>
        <v>11</v>
      </c>
      <c r="D58" s="189"/>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89"/>
      <c r="N58" s="175" t="str">
        <f>_xlfn.XLOOKUP($M58,Tab_Def_Flows[Name(EN)],Tab_Def_Flows[Flow_ID],,0,)</f>
        <v>F_11_11</v>
      </c>
      <c r="O58" s="42" t="str">
        <f t="shared" si="1"/>
        <v>TC_11_11</v>
      </c>
      <c r="P58" s="192"/>
      <c r="Q58" s="37"/>
      <c r="R58" s="37"/>
      <c r="S58" s="37"/>
      <c r="T58" s="37"/>
      <c r="U58" s="37"/>
    </row>
    <row r="59" spans="1:21" x14ac:dyDescent="0.25">
      <c r="A59" s="194" t="b">
        <v>0</v>
      </c>
      <c r="B59" s="9">
        <f t="shared" si="0"/>
        <v>58</v>
      </c>
      <c r="C59" s="47" t="str">
        <f>_xlfn.XLOOKUP($D59,Tab_Def_Processes[Name(EN)],Tab_Def_Processes[ID],,0,)</f>
        <v>11</v>
      </c>
      <c r="D59" s="189"/>
      <c r="E59" s="9">
        <f>_xlfn.XLOOKUP($D59,Tab_Def_Processes[Name(EN)],Tab_Def_Processes[Process_Type],,0,)</f>
        <v>0</v>
      </c>
      <c r="F59" s="9">
        <f>_xlfn.XLOOKUP($D59,Tab_Def_Processes[Name(EN)],Tab_Def_Processes[TC?],,0,)</f>
        <v>0</v>
      </c>
      <c r="G59" s="9">
        <f>_xlfn.XLOOKUP($D59,Tab_Def_Processes[Name(EN)],Tab_Def_Processes[Dyn_TC?],,0,)</f>
        <v>0</v>
      </c>
      <c r="H59" s="9">
        <f>_xlfn.XLOOKUP($D59,Tab_Def_Processes[Name(EN)],Tab_Def_Processes[Stock?],,0,)</f>
        <v>0</v>
      </c>
      <c r="I59" s="9">
        <f>_xlfn.XLOOKUP($D59,Tab_Def_Processes[Name(EN)],Tab_Def_Processes[Initial_Stock?],,0,)</f>
        <v>0</v>
      </c>
      <c r="J59" s="9">
        <f>_xlfn.XLOOKUP($D59,Tab_Def_Processes[Name(EN)],Tab_Def_Processes[DSM?],,0,)</f>
        <v>0</v>
      </c>
      <c r="K59" s="9">
        <f>_xlfn.XLOOKUP($D59,Tab_Def_Processes[Name(EN)],Tab_Def_Processes[FOMP?],,0,)</f>
        <v>0</v>
      </c>
      <c r="L59" s="9">
        <f>_xlfn.XLOOKUP($D59,Tab_Def_Processes[Name(EN)],Tab_Def_Processes[Nr. Outflows],,0,)</f>
        <v>0</v>
      </c>
      <c r="M59" s="189"/>
      <c r="N59" s="175" t="str">
        <f>_xlfn.XLOOKUP($M59,Tab_Def_Flows[Name(EN)],Tab_Def_Flows[Flow_ID],,0,)</f>
        <v>F_11_11</v>
      </c>
      <c r="O59" s="42" t="str">
        <f t="shared" si="1"/>
        <v>TC_11_11</v>
      </c>
      <c r="P59" s="192"/>
      <c r="Q59" s="37"/>
      <c r="R59" s="37"/>
      <c r="S59" s="37"/>
      <c r="T59" s="37"/>
      <c r="U59" s="37"/>
    </row>
  </sheetData>
  <phoneticPr fontId="2" type="noConversion"/>
  <pageMargins left="0.7" right="0.7" top="0.78740157499999996" bottom="0.78740157499999996" header="0.3" footer="0.3"/>
  <drawing r:id="rId1"/>
  <legacy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'2_1_Definition_Processes'!$D$2:$D$54</xm:f>
          </x14:formula1>
          <xm:sqref>D1:D1048576</xm:sqref>
        </x14:dataValidation>
        <x14:dataValidation type="list" allowBlank="1" showInputMessage="1" showErrorMessage="1" xr:uid="{8FE3D734-1C10-4EB8-BA5A-47B1ACC2BB98}">
          <x14:formula1>
            <xm:f>'1_1_Definition_Flows'!$D$2:$D$79</xm:f>
          </x14:formula1>
          <xm:sqref>M2:M59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A2" sqref="A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3" t="s">
        <v>88</v>
      </c>
      <c r="B1" s="193" t="s">
        <v>32</v>
      </c>
      <c r="C1" s="193" t="s">
        <v>89</v>
      </c>
      <c r="D1" s="193" t="s">
        <v>62</v>
      </c>
      <c r="E1" s="193" t="s">
        <v>90</v>
      </c>
      <c r="F1" s="193" t="s">
        <v>121</v>
      </c>
      <c r="G1" s="193" t="s">
        <v>65</v>
      </c>
      <c r="H1" s="193" t="s">
        <v>277</v>
      </c>
      <c r="I1" s="193" t="s">
        <v>92</v>
      </c>
      <c r="J1" s="193" t="s">
        <v>300</v>
      </c>
      <c r="K1" s="193" t="s">
        <v>301</v>
      </c>
      <c r="L1" s="193" t="s">
        <v>2</v>
      </c>
      <c r="M1" s="193" t="s">
        <v>302</v>
      </c>
      <c r="N1" s="193" t="s">
        <v>303</v>
      </c>
      <c r="O1" s="193" t="s">
        <v>304</v>
      </c>
      <c r="P1" s="193" t="s">
        <v>417</v>
      </c>
      <c r="Q1" s="193" t="s">
        <v>416</v>
      </c>
      <c r="R1" s="193" t="s">
        <v>415</v>
      </c>
      <c r="S1" s="193" t="s">
        <v>41</v>
      </c>
      <c r="T1" s="193" t="s">
        <v>413</v>
      </c>
      <c r="U1" s="193" t="s">
        <v>414</v>
      </c>
    </row>
    <row r="2" spans="1:21" x14ac:dyDescent="0.25">
      <c r="A2" s="194" t="b">
        <v>0</v>
      </c>
      <c r="B2" s="9">
        <f t="shared" ref="B2:B33" si="0">ROW()-1</f>
        <v>1</v>
      </c>
      <c r="C2" s="9" t="e">
        <f>"S"&amp;"_"&amp;LEFT(D2,2)</f>
        <v>#N/A</v>
      </c>
      <c r="D2" s="9" t="e">
        <f>_xlfn.XLOOKUP($E2,Tab_Def_Processes[Name(EN)],Tab_Def_Processes[Process_ID],,0,)</f>
        <v>#N/A</v>
      </c>
      <c r="E2" s="11" t="s">
        <v>35</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7"/>
      <c r="L2" s="11"/>
      <c r="M2" s="33"/>
      <c r="N2" s="33"/>
      <c r="O2" s="33"/>
      <c r="P2" s="181"/>
      <c r="Q2" s="9" t="str">
        <f>_xlfn.XLOOKUP($P2,Tab_Def_Processes[Name(EN)],Tab_Def_Processes[Process_ID],,0,)</f>
        <v>11</v>
      </c>
      <c r="R2" s="11" t="s">
        <v>376</v>
      </c>
      <c r="S2" s="9" t="str">
        <f>_xlfn.XLOOKUP(R2,Tab_Def_Flows[Name(EN)],Tab_Def_Flows[Flow_ID],,0,)</f>
        <v>F_07_00</v>
      </c>
      <c r="T2" s="11" t="e">
        <f>"STC_"&amp;Tab_Process_Stock[[#This Row],[Process_ID]]&amp;"_"&amp;Tab_Process_Stock[[#This Row],[Destination_Process]]</f>
        <v>#N/A</v>
      </c>
      <c r="U2" s="198">
        <v>0.1</v>
      </c>
    </row>
    <row r="3" spans="1:21" x14ac:dyDescent="0.25">
      <c r="A3" s="194" t="b">
        <v>0</v>
      </c>
      <c r="B3" s="9">
        <f t="shared" si="0"/>
        <v>2</v>
      </c>
      <c r="C3" s="9" t="e">
        <f t="shared" ref="C3:C63" si="1">"S"&amp;"_"&amp;LEFT(D3,2)</f>
        <v>#N/A</v>
      </c>
      <c r="D3" s="9" t="e">
        <f>_xlfn.XLOOKUP($E3,Tab_Def_Processes[Name(EN)],Tab_Def_Processes[Process_ID],,0,)</f>
        <v>#N/A</v>
      </c>
      <c r="E3" s="11" t="s">
        <v>35</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7"/>
      <c r="L3" s="11"/>
      <c r="M3" s="33"/>
      <c r="N3" s="33"/>
      <c r="O3" s="33"/>
      <c r="P3" s="181"/>
      <c r="Q3" s="9"/>
      <c r="R3" s="11"/>
      <c r="S3" s="9"/>
      <c r="T3" s="11"/>
      <c r="U3" s="198"/>
    </row>
    <row r="4" spans="1:21" x14ac:dyDescent="0.25">
      <c r="A4" s="194" t="b">
        <v>0</v>
      </c>
      <c r="B4" s="9">
        <f t="shared" si="0"/>
        <v>3</v>
      </c>
      <c r="C4" s="9" t="e">
        <f t="shared" si="1"/>
        <v>#N/A</v>
      </c>
      <c r="D4" s="9" t="e">
        <f>_xlfn.XLOOKUP($E4,Tab_Def_Processes[Name(EN)],Tab_Def_Processes[Process_ID],,0,)</f>
        <v>#N/A</v>
      </c>
      <c r="E4" s="11" t="s">
        <v>35</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7"/>
      <c r="L4" s="11"/>
      <c r="M4" s="33"/>
      <c r="N4" s="33"/>
      <c r="O4" s="33"/>
      <c r="P4" s="181"/>
      <c r="Q4" s="9"/>
      <c r="R4" s="11"/>
      <c r="S4" s="9"/>
      <c r="T4" s="11"/>
      <c r="U4" s="198"/>
    </row>
    <row r="5" spans="1:21" x14ac:dyDescent="0.25">
      <c r="A5" s="194" t="b">
        <v>0</v>
      </c>
      <c r="B5" s="9">
        <f t="shared" si="0"/>
        <v>4</v>
      </c>
      <c r="C5" s="9" t="e">
        <f t="shared" si="1"/>
        <v>#N/A</v>
      </c>
      <c r="D5" s="9" t="e">
        <f>_xlfn.XLOOKUP($E5,Tab_Def_Processes[Name(EN)],Tab_Def_Processes[Process_ID],,0,)</f>
        <v>#N/A</v>
      </c>
      <c r="E5" s="11" t="s">
        <v>35</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8"/>
      <c r="L5" s="11"/>
      <c r="M5" s="33"/>
      <c r="N5" s="33"/>
      <c r="O5" s="33"/>
      <c r="P5" s="181"/>
      <c r="Q5" s="9"/>
      <c r="R5" s="11"/>
      <c r="S5" s="9"/>
      <c r="T5" s="11"/>
      <c r="U5" s="198"/>
    </row>
    <row r="6" spans="1:21" x14ac:dyDescent="0.25">
      <c r="A6" s="194" t="b">
        <v>0</v>
      </c>
      <c r="B6" s="9">
        <f t="shared" si="0"/>
        <v>5</v>
      </c>
      <c r="C6" s="9" t="e">
        <f t="shared" si="1"/>
        <v>#N/A</v>
      </c>
      <c r="D6" s="9" t="e">
        <f>_xlfn.XLOOKUP($E6,Tab_Def_Processes[Name(EN)],Tab_Def_Processes[Process_ID],,0,)</f>
        <v>#N/A</v>
      </c>
      <c r="E6" s="11" t="s">
        <v>35</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7"/>
      <c r="L6" s="11"/>
      <c r="M6" s="11"/>
      <c r="N6" s="11"/>
      <c r="O6" s="11"/>
      <c r="P6" s="11"/>
      <c r="Q6" s="9"/>
      <c r="R6" s="11"/>
      <c r="S6" s="9"/>
      <c r="T6" s="11"/>
      <c r="U6" s="198"/>
    </row>
    <row r="7" spans="1:21" x14ac:dyDescent="0.25">
      <c r="A7" s="194" t="b">
        <v>0</v>
      </c>
      <c r="B7" s="9">
        <f t="shared" si="0"/>
        <v>6</v>
      </c>
      <c r="C7" s="9" t="e">
        <f t="shared" si="1"/>
        <v>#N/A</v>
      </c>
      <c r="D7" s="9" t="e">
        <f>_xlfn.XLOOKUP($E7,Tab_Def_Processes[Name(EN)],Tab_Def_Processes[Process_ID],,0,)</f>
        <v>#N/A</v>
      </c>
      <c r="E7" s="11" t="s">
        <v>35</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7"/>
      <c r="L7" s="11"/>
      <c r="M7" s="11"/>
      <c r="N7" s="11"/>
      <c r="O7" s="11"/>
      <c r="P7" s="11"/>
      <c r="Q7" s="9"/>
      <c r="R7" s="11"/>
      <c r="S7" s="9"/>
      <c r="T7" s="11"/>
      <c r="U7" s="198"/>
    </row>
    <row r="8" spans="1:21" x14ac:dyDescent="0.25">
      <c r="A8" s="194" t="b">
        <v>0</v>
      </c>
      <c r="B8" s="9">
        <f t="shared" si="0"/>
        <v>7</v>
      </c>
      <c r="C8" s="9" t="e">
        <f t="shared" si="1"/>
        <v>#N/A</v>
      </c>
      <c r="D8" s="9" t="e">
        <f>_xlfn.XLOOKUP($E8,Tab_Def_Processes[Name(EN)],Tab_Def_Processes[Process_ID],,0,)</f>
        <v>#N/A</v>
      </c>
      <c r="E8" s="11" t="s">
        <v>35</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7"/>
      <c r="L8" s="11"/>
      <c r="M8" s="11"/>
      <c r="N8" s="11"/>
      <c r="O8" s="11"/>
      <c r="P8" s="11"/>
      <c r="Q8" s="9"/>
      <c r="R8" s="11"/>
      <c r="S8" s="9"/>
      <c r="T8" s="11"/>
      <c r="U8" s="198"/>
    </row>
    <row r="9" spans="1:21" x14ac:dyDescent="0.25">
      <c r="A9" s="194" t="b">
        <v>0</v>
      </c>
      <c r="B9" s="9">
        <f t="shared" si="0"/>
        <v>8</v>
      </c>
      <c r="C9" s="9" t="e">
        <f t="shared" si="1"/>
        <v>#N/A</v>
      </c>
      <c r="D9" s="9" t="e">
        <f>_xlfn.XLOOKUP($E9,Tab_Def_Processes[Name(EN)],Tab_Def_Processes[Process_ID],,0,)</f>
        <v>#N/A</v>
      </c>
      <c r="E9" s="11" t="s">
        <v>35</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7"/>
      <c r="L9" s="11"/>
      <c r="M9" s="11"/>
      <c r="N9" s="11"/>
      <c r="O9" s="11"/>
      <c r="P9" s="11"/>
      <c r="Q9" s="9"/>
      <c r="R9" s="11"/>
      <c r="S9" s="9"/>
      <c r="T9" s="11"/>
      <c r="U9" s="198"/>
    </row>
    <row r="10" spans="1:21" x14ac:dyDescent="0.25">
      <c r="A10" s="194" t="b">
        <v>0</v>
      </c>
      <c r="B10" s="9">
        <f t="shared" si="0"/>
        <v>9</v>
      </c>
      <c r="C10" s="9" t="e">
        <f t="shared" si="1"/>
        <v>#N/A</v>
      </c>
      <c r="D10" s="9" t="e">
        <f>_xlfn.XLOOKUP($E10,Tab_Def_Processes[Name(EN)],Tab_Def_Processes[Process_ID],,0,)</f>
        <v>#N/A</v>
      </c>
      <c r="E10" s="11" t="s">
        <v>35</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7"/>
      <c r="L10" s="11"/>
      <c r="M10" s="11"/>
      <c r="N10" s="11"/>
      <c r="O10" s="11"/>
      <c r="P10" s="11"/>
      <c r="Q10" s="9"/>
      <c r="R10" s="11"/>
      <c r="S10" s="9"/>
      <c r="T10" s="11"/>
      <c r="U10" s="198"/>
    </row>
    <row r="11" spans="1:21" x14ac:dyDescent="0.25">
      <c r="A11" s="194" t="b">
        <v>0</v>
      </c>
      <c r="B11" s="9">
        <f t="shared" si="0"/>
        <v>10</v>
      </c>
      <c r="C11" s="9" t="e">
        <f t="shared" si="1"/>
        <v>#N/A</v>
      </c>
      <c r="D11" s="9" t="e">
        <f>_xlfn.XLOOKUP($E11,Tab_Def_Processes[Name(EN)],Tab_Def_Processes[Process_ID],,0,)</f>
        <v>#N/A</v>
      </c>
      <c r="E11" s="11" t="s">
        <v>35</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7"/>
      <c r="L11" s="11"/>
      <c r="M11" s="11"/>
      <c r="N11" s="11"/>
      <c r="O11" s="11"/>
      <c r="P11" s="11"/>
      <c r="Q11" s="9"/>
      <c r="R11" s="11"/>
      <c r="S11" s="9"/>
      <c r="T11" s="11"/>
      <c r="U11" s="198"/>
    </row>
    <row r="12" spans="1:21" x14ac:dyDescent="0.25">
      <c r="A12" s="194" t="b">
        <v>0</v>
      </c>
      <c r="B12" s="9">
        <f t="shared" si="0"/>
        <v>11</v>
      </c>
      <c r="C12" s="9" t="e">
        <f t="shared" si="1"/>
        <v>#N/A</v>
      </c>
      <c r="D12" s="9" t="e">
        <f>_xlfn.XLOOKUP($E12,Tab_Def_Processes[Name(EN)],Tab_Def_Processes[Process_ID],,0,)</f>
        <v>#N/A</v>
      </c>
      <c r="E12" s="11" t="s">
        <v>35</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7"/>
      <c r="L12" s="11"/>
      <c r="M12" s="11"/>
      <c r="N12" s="11"/>
      <c r="O12" s="11"/>
      <c r="P12" s="11"/>
      <c r="Q12" s="9"/>
      <c r="R12" s="11"/>
      <c r="S12" s="9"/>
      <c r="T12" s="11"/>
      <c r="U12" s="198"/>
    </row>
    <row r="13" spans="1:21" x14ac:dyDescent="0.25">
      <c r="A13" s="194" t="b">
        <v>0</v>
      </c>
      <c r="B13" s="9">
        <f t="shared" si="0"/>
        <v>12</v>
      </c>
      <c r="C13" s="9" t="e">
        <f t="shared" si="1"/>
        <v>#N/A</v>
      </c>
      <c r="D13" s="9" t="e">
        <f>_xlfn.XLOOKUP($E13,Tab_Def_Processes[Name(EN)],Tab_Def_Processes[Process_ID],,0,)</f>
        <v>#N/A</v>
      </c>
      <c r="E13" s="11" t="s">
        <v>35</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7"/>
      <c r="L13" s="11"/>
      <c r="M13" s="11"/>
      <c r="N13" s="11"/>
      <c r="O13" s="11"/>
      <c r="P13" s="11"/>
      <c r="Q13" s="9"/>
      <c r="R13" s="11"/>
      <c r="S13" s="9"/>
      <c r="T13" s="11"/>
      <c r="U13" s="198"/>
    </row>
    <row r="14" spans="1:21" x14ac:dyDescent="0.25">
      <c r="A14" s="194" t="b">
        <v>0</v>
      </c>
      <c r="B14" s="9">
        <f t="shared" si="0"/>
        <v>13</v>
      </c>
      <c r="C14" s="9" t="e">
        <f t="shared" si="1"/>
        <v>#N/A</v>
      </c>
      <c r="D14" s="9" t="e">
        <f>_xlfn.XLOOKUP($E14,Tab_Def_Processes[Name(EN)],Tab_Def_Processes[Process_ID],,0,)</f>
        <v>#N/A</v>
      </c>
      <c r="E14" s="11" t="s">
        <v>35</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7"/>
      <c r="L14" s="11"/>
      <c r="M14" s="11"/>
      <c r="N14" s="11"/>
      <c r="O14" s="11"/>
      <c r="P14" s="11"/>
      <c r="Q14" s="9"/>
      <c r="R14" s="11"/>
      <c r="S14" s="9"/>
      <c r="T14" s="11"/>
      <c r="U14" s="198"/>
    </row>
    <row r="15" spans="1:21" x14ac:dyDescent="0.25">
      <c r="A15" s="194" t="b">
        <v>0</v>
      </c>
      <c r="B15" s="9">
        <f t="shared" si="0"/>
        <v>14</v>
      </c>
      <c r="C15" s="9" t="e">
        <f t="shared" si="1"/>
        <v>#N/A</v>
      </c>
      <c r="D15" s="9" t="e">
        <f>_xlfn.XLOOKUP($E15,Tab_Def_Processes[Name(EN)],Tab_Def_Processes[Process_ID],,0,)</f>
        <v>#N/A</v>
      </c>
      <c r="E15" s="11" t="s">
        <v>35</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7"/>
      <c r="L15" s="11"/>
      <c r="M15" s="11"/>
      <c r="N15" s="11"/>
      <c r="O15" s="11"/>
      <c r="P15" s="11"/>
      <c r="Q15" s="9"/>
      <c r="R15" s="11"/>
      <c r="S15" s="9"/>
      <c r="T15" s="11"/>
      <c r="U15" s="198"/>
    </row>
    <row r="16" spans="1:21" x14ac:dyDescent="0.25">
      <c r="A16" s="194" t="b">
        <v>0</v>
      </c>
      <c r="B16" s="9">
        <f t="shared" si="0"/>
        <v>15</v>
      </c>
      <c r="C16" s="9" t="e">
        <f t="shared" si="1"/>
        <v>#N/A</v>
      </c>
      <c r="D16" s="9" t="e">
        <f>_xlfn.XLOOKUP($E16,Tab_Def_Processes[Name(EN)],Tab_Def_Processes[Process_ID],,0,)</f>
        <v>#N/A</v>
      </c>
      <c r="E16" s="11" t="s">
        <v>35</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7"/>
      <c r="L16" s="11"/>
      <c r="M16" s="11"/>
      <c r="N16" s="11"/>
      <c r="O16" s="11"/>
      <c r="P16" s="11"/>
      <c r="Q16" s="9"/>
      <c r="R16" s="11"/>
      <c r="S16" s="9"/>
      <c r="T16" s="11"/>
      <c r="U16" s="198"/>
    </row>
    <row r="17" spans="1:21" x14ac:dyDescent="0.25">
      <c r="A17" s="194" t="b">
        <v>0</v>
      </c>
      <c r="B17" s="9">
        <f t="shared" si="0"/>
        <v>16</v>
      </c>
      <c r="C17" s="9" t="e">
        <f t="shared" si="1"/>
        <v>#N/A</v>
      </c>
      <c r="D17" s="9" t="e">
        <f>_xlfn.XLOOKUP($E17,Tab_Def_Processes[Name(EN)],Tab_Def_Processes[Process_ID],,0,)</f>
        <v>#N/A</v>
      </c>
      <c r="E17" s="11" t="s">
        <v>35</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7"/>
      <c r="L17" s="11"/>
      <c r="M17" s="11"/>
      <c r="N17" s="11"/>
      <c r="O17" s="11"/>
      <c r="P17" s="11"/>
      <c r="Q17" s="9"/>
      <c r="R17" s="11"/>
      <c r="S17" s="9"/>
      <c r="T17" s="11"/>
      <c r="U17" s="198"/>
    </row>
    <row r="18" spans="1:21" x14ac:dyDescent="0.25">
      <c r="A18" s="194" t="b">
        <v>0</v>
      </c>
      <c r="B18" s="9">
        <f t="shared" si="0"/>
        <v>17</v>
      </c>
      <c r="C18" s="9" t="e">
        <f t="shared" si="1"/>
        <v>#N/A</v>
      </c>
      <c r="D18" s="9" t="e">
        <f>_xlfn.XLOOKUP($E18,Tab_Def_Processes[Name(EN)],Tab_Def_Processes[Process_ID],,0,)</f>
        <v>#N/A</v>
      </c>
      <c r="E18" s="11" t="s">
        <v>35</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7"/>
      <c r="L18" s="11"/>
      <c r="M18" s="11"/>
      <c r="N18" s="11"/>
      <c r="O18" s="11"/>
      <c r="P18" s="11"/>
      <c r="Q18" s="9"/>
      <c r="R18" s="11"/>
      <c r="S18" s="9"/>
      <c r="T18" s="11"/>
      <c r="U18" s="198"/>
    </row>
    <row r="19" spans="1:21" x14ac:dyDescent="0.25">
      <c r="A19" s="194" t="b">
        <v>0</v>
      </c>
      <c r="B19" s="9">
        <f t="shared" si="0"/>
        <v>18</v>
      </c>
      <c r="C19" s="9" t="e">
        <f t="shared" si="1"/>
        <v>#N/A</v>
      </c>
      <c r="D19" s="9" t="e">
        <f>_xlfn.XLOOKUP($E19,Tab_Def_Processes[Name(EN)],Tab_Def_Processes[Process_ID],,0,)</f>
        <v>#N/A</v>
      </c>
      <c r="E19" s="11" t="s">
        <v>35</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7"/>
      <c r="L19" s="11"/>
      <c r="M19" s="11"/>
      <c r="N19" s="11"/>
      <c r="O19" s="11"/>
      <c r="P19" s="11"/>
      <c r="Q19" s="9"/>
      <c r="R19" s="11"/>
      <c r="S19" s="9"/>
      <c r="T19" s="11"/>
      <c r="U19" s="198"/>
    </row>
    <row r="20" spans="1:21" x14ac:dyDescent="0.25">
      <c r="A20" s="194" t="b">
        <v>0</v>
      </c>
      <c r="B20" s="9">
        <f t="shared" si="0"/>
        <v>19</v>
      </c>
      <c r="C20" s="9" t="e">
        <f t="shared" si="1"/>
        <v>#N/A</v>
      </c>
      <c r="D20" s="9" t="e">
        <f>_xlfn.XLOOKUP($E20,Tab_Def_Processes[Name(EN)],Tab_Def_Processes[Process_ID],,0,)</f>
        <v>#N/A</v>
      </c>
      <c r="E20" s="11" t="s">
        <v>35</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7"/>
      <c r="L20" s="11"/>
      <c r="M20" s="11"/>
      <c r="N20" s="11"/>
      <c r="O20" s="11"/>
      <c r="P20" s="11"/>
      <c r="Q20" s="9"/>
      <c r="R20" s="11"/>
      <c r="S20" s="9"/>
      <c r="T20" s="11"/>
      <c r="U20" s="198"/>
    </row>
    <row r="21" spans="1:21" x14ac:dyDescent="0.25">
      <c r="A21" s="194" t="b">
        <v>0</v>
      </c>
      <c r="B21" s="9">
        <f t="shared" si="0"/>
        <v>20</v>
      </c>
      <c r="C21" s="9" t="e">
        <f t="shared" si="1"/>
        <v>#N/A</v>
      </c>
      <c r="D21" s="9" t="e">
        <f>_xlfn.XLOOKUP($E21,Tab_Def_Processes[Name(EN)],Tab_Def_Processes[Process_ID],,0,)</f>
        <v>#N/A</v>
      </c>
      <c r="E21" s="11" t="s">
        <v>35</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7"/>
      <c r="L21" s="11"/>
      <c r="M21" s="11"/>
      <c r="N21" s="11"/>
      <c r="O21" s="11"/>
      <c r="P21" s="11"/>
      <c r="Q21" s="9"/>
      <c r="R21" s="11"/>
      <c r="S21" s="9"/>
      <c r="T21" s="11"/>
      <c r="U21" s="198"/>
    </row>
    <row r="22" spans="1:21" x14ac:dyDescent="0.25">
      <c r="A22" s="194" t="b">
        <v>0</v>
      </c>
      <c r="B22" s="9">
        <f t="shared" si="0"/>
        <v>21</v>
      </c>
      <c r="C22" s="9" t="e">
        <f t="shared" si="1"/>
        <v>#N/A</v>
      </c>
      <c r="D22" s="9" t="e">
        <f>_xlfn.XLOOKUP($E22,Tab_Def_Processes[Name(EN)],Tab_Def_Processes[Process_ID],,0,)</f>
        <v>#N/A</v>
      </c>
      <c r="E22" s="11" t="s">
        <v>35</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7"/>
      <c r="L22" s="11"/>
      <c r="M22" s="11"/>
      <c r="N22" s="11"/>
      <c r="O22" s="11"/>
      <c r="P22" s="11"/>
      <c r="Q22" s="9"/>
      <c r="R22" s="11"/>
      <c r="S22" s="9"/>
      <c r="T22" s="11"/>
      <c r="U22" s="198"/>
    </row>
    <row r="23" spans="1:21" x14ac:dyDescent="0.25">
      <c r="A23" s="194" t="b">
        <v>0</v>
      </c>
      <c r="B23" s="9">
        <f t="shared" si="0"/>
        <v>22</v>
      </c>
      <c r="C23" s="9" t="e">
        <f t="shared" si="1"/>
        <v>#N/A</v>
      </c>
      <c r="D23" s="9" t="e">
        <f>_xlfn.XLOOKUP($E23,Tab_Def_Processes[Name(EN)],Tab_Def_Processes[Process_ID],,0,)</f>
        <v>#N/A</v>
      </c>
      <c r="E23" s="11" t="s">
        <v>35</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7"/>
      <c r="L23" s="11"/>
      <c r="M23" s="11"/>
      <c r="N23" s="11"/>
      <c r="O23" s="11"/>
      <c r="P23" s="11"/>
      <c r="Q23" s="9"/>
      <c r="R23" s="11"/>
      <c r="S23" s="9"/>
      <c r="T23" s="11"/>
      <c r="U23" s="198"/>
    </row>
    <row r="24" spans="1:21" x14ac:dyDescent="0.25">
      <c r="A24" s="194" t="b">
        <v>0</v>
      </c>
      <c r="B24" s="9">
        <f t="shared" si="0"/>
        <v>23</v>
      </c>
      <c r="C24" s="9" t="e">
        <f t="shared" si="1"/>
        <v>#N/A</v>
      </c>
      <c r="D24" s="9" t="e">
        <f>_xlfn.XLOOKUP($E24,Tab_Def_Processes[Name(EN)],Tab_Def_Processes[Process_ID],,0,)</f>
        <v>#N/A</v>
      </c>
      <c r="E24" s="11" t="s">
        <v>35</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7"/>
      <c r="L24" s="11"/>
      <c r="M24" s="11"/>
      <c r="N24" s="11"/>
      <c r="O24" s="11"/>
      <c r="P24" s="11"/>
      <c r="Q24" s="9"/>
      <c r="R24" s="11"/>
      <c r="S24" s="9"/>
      <c r="T24" s="11"/>
      <c r="U24" s="198"/>
    </row>
    <row r="25" spans="1:21" x14ac:dyDescent="0.25">
      <c r="A25" s="194" t="b">
        <v>0</v>
      </c>
      <c r="B25" s="9">
        <f t="shared" si="0"/>
        <v>24</v>
      </c>
      <c r="C25" s="9" t="e">
        <f t="shared" si="1"/>
        <v>#N/A</v>
      </c>
      <c r="D25" s="9" t="e">
        <f>_xlfn.XLOOKUP($E25,Tab_Def_Processes[Name(EN)],Tab_Def_Processes[Process_ID],,0,)</f>
        <v>#N/A</v>
      </c>
      <c r="E25" s="11" t="s">
        <v>35</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7"/>
      <c r="L25" s="11"/>
      <c r="M25" s="11"/>
      <c r="N25" s="11"/>
      <c r="O25" s="11"/>
      <c r="P25" s="11"/>
      <c r="Q25" s="9"/>
      <c r="R25" s="11"/>
      <c r="S25" s="9"/>
      <c r="T25" s="11"/>
      <c r="U25" s="198"/>
    </row>
    <row r="26" spans="1:21" x14ac:dyDescent="0.25">
      <c r="A26" s="194" t="b">
        <v>0</v>
      </c>
      <c r="B26" s="9">
        <f t="shared" si="0"/>
        <v>25</v>
      </c>
      <c r="C26" s="9" t="e">
        <f t="shared" si="1"/>
        <v>#N/A</v>
      </c>
      <c r="D26" s="9" t="e">
        <f>_xlfn.XLOOKUP($E26,Tab_Def_Processes[Name(EN)],Tab_Def_Processes[Process_ID],,0,)</f>
        <v>#N/A</v>
      </c>
      <c r="E26" s="11" t="s">
        <v>35</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7"/>
      <c r="L26" s="11"/>
      <c r="M26" s="11"/>
      <c r="N26" s="11"/>
      <c r="O26" s="11"/>
      <c r="P26" s="11"/>
      <c r="Q26" s="9"/>
      <c r="R26" s="11"/>
      <c r="S26" s="9"/>
      <c r="T26" s="11"/>
      <c r="U26" s="198"/>
    </row>
    <row r="27" spans="1:21" x14ac:dyDescent="0.25">
      <c r="A27" s="194" t="b">
        <v>0</v>
      </c>
      <c r="B27" s="9">
        <f t="shared" si="0"/>
        <v>26</v>
      </c>
      <c r="C27" s="9" t="e">
        <f t="shared" si="1"/>
        <v>#N/A</v>
      </c>
      <c r="D27" s="9" t="e">
        <f>_xlfn.XLOOKUP($E27,Tab_Def_Processes[Name(EN)],Tab_Def_Processes[Process_ID],,0,)</f>
        <v>#N/A</v>
      </c>
      <c r="E27" s="11" t="s">
        <v>35</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7"/>
      <c r="L27" s="11"/>
      <c r="M27" s="11"/>
      <c r="N27" s="11"/>
      <c r="O27" s="11"/>
      <c r="P27" s="11"/>
      <c r="Q27" s="9"/>
      <c r="R27" s="11"/>
      <c r="S27" s="9"/>
      <c r="T27" s="11"/>
      <c r="U27" s="198"/>
    </row>
    <row r="28" spans="1:21" x14ac:dyDescent="0.25">
      <c r="A28" s="194" t="b">
        <v>0</v>
      </c>
      <c r="B28" s="9">
        <f t="shared" si="0"/>
        <v>27</v>
      </c>
      <c r="C28" s="9" t="e">
        <f t="shared" si="1"/>
        <v>#N/A</v>
      </c>
      <c r="D28" s="9" t="e">
        <f>_xlfn.XLOOKUP($E28,Tab_Def_Processes[Name(EN)],Tab_Def_Processes[Process_ID],,0,)</f>
        <v>#N/A</v>
      </c>
      <c r="E28" s="11" t="s">
        <v>35</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7"/>
      <c r="L28" s="11"/>
      <c r="M28" s="11"/>
      <c r="N28" s="11"/>
      <c r="O28" s="11"/>
      <c r="P28" s="11"/>
      <c r="Q28" s="9"/>
      <c r="R28" s="11"/>
      <c r="S28" s="9"/>
      <c r="T28" s="11"/>
      <c r="U28" s="198"/>
    </row>
    <row r="29" spans="1:21" x14ac:dyDescent="0.25">
      <c r="A29" s="194" t="b">
        <v>0</v>
      </c>
      <c r="B29" s="9">
        <f t="shared" si="0"/>
        <v>28</v>
      </c>
      <c r="C29" s="9" t="e">
        <f t="shared" si="1"/>
        <v>#N/A</v>
      </c>
      <c r="D29" s="9" t="e">
        <f>_xlfn.XLOOKUP($E29,Tab_Def_Processes[Name(EN)],Tab_Def_Processes[Process_ID],,0,)</f>
        <v>#N/A</v>
      </c>
      <c r="E29" s="11" t="s">
        <v>35</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7"/>
      <c r="L29" s="11"/>
      <c r="M29" s="11"/>
      <c r="N29" s="11"/>
      <c r="O29" s="11"/>
      <c r="P29" s="11"/>
      <c r="Q29" s="9"/>
      <c r="R29" s="11"/>
      <c r="S29" s="9"/>
      <c r="T29" s="11"/>
      <c r="U29" s="198"/>
    </row>
    <row r="30" spans="1:21" x14ac:dyDescent="0.25">
      <c r="A30" s="194" t="b">
        <v>0</v>
      </c>
      <c r="B30" s="9">
        <f t="shared" si="0"/>
        <v>29</v>
      </c>
      <c r="C30" s="9" t="e">
        <f t="shared" si="1"/>
        <v>#N/A</v>
      </c>
      <c r="D30" s="9" t="e">
        <f>_xlfn.XLOOKUP($E30,Tab_Def_Processes[Name(EN)],Tab_Def_Processes[Process_ID],,0,)</f>
        <v>#N/A</v>
      </c>
      <c r="E30" s="11" t="s">
        <v>35</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7"/>
      <c r="L30" s="11"/>
      <c r="M30" s="11"/>
      <c r="N30" s="11"/>
      <c r="O30" s="11"/>
      <c r="P30" s="11"/>
      <c r="Q30" s="9"/>
      <c r="R30" s="11"/>
      <c r="S30" s="9"/>
      <c r="T30" s="11"/>
      <c r="U30" s="198"/>
    </row>
    <row r="31" spans="1:21" x14ac:dyDescent="0.25">
      <c r="A31" s="194" t="b">
        <v>0</v>
      </c>
      <c r="B31" s="9">
        <f t="shared" si="0"/>
        <v>30</v>
      </c>
      <c r="C31" s="9" t="e">
        <f t="shared" si="1"/>
        <v>#N/A</v>
      </c>
      <c r="D31" s="9" t="e">
        <f>_xlfn.XLOOKUP($E31,Tab_Def_Processes[Name(EN)],Tab_Def_Processes[Process_ID],,0,)</f>
        <v>#N/A</v>
      </c>
      <c r="E31" s="11" t="s">
        <v>35</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7"/>
      <c r="L31" s="11"/>
      <c r="M31" s="11"/>
      <c r="N31" s="11"/>
      <c r="O31" s="11"/>
      <c r="P31" s="11"/>
      <c r="Q31" s="9"/>
      <c r="R31" s="11"/>
      <c r="S31" s="9"/>
      <c r="T31" s="11"/>
      <c r="U31" s="198"/>
    </row>
    <row r="32" spans="1:21" x14ac:dyDescent="0.25">
      <c r="A32" s="194" t="b">
        <v>0</v>
      </c>
      <c r="B32" s="9">
        <f t="shared" si="0"/>
        <v>31</v>
      </c>
      <c r="C32" s="9" t="e">
        <f t="shared" si="1"/>
        <v>#N/A</v>
      </c>
      <c r="D32" s="9" t="e">
        <f>_xlfn.XLOOKUP($E32,Tab_Def_Processes[Name(EN)],Tab_Def_Processes[Process_ID],,0,)</f>
        <v>#N/A</v>
      </c>
      <c r="E32" s="11" t="s">
        <v>35</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7"/>
      <c r="L32" s="11"/>
      <c r="M32" s="11"/>
      <c r="N32" s="11"/>
      <c r="O32" s="11"/>
      <c r="P32" s="11"/>
      <c r="Q32" s="9"/>
      <c r="R32" s="11"/>
      <c r="S32" s="9"/>
      <c r="T32" s="11"/>
      <c r="U32" s="198"/>
    </row>
    <row r="33" spans="1:21" x14ac:dyDescent="0.25">
      <c r="A33" s="194" t="b">
        <v>0</v>
      </c>
      <c r="B33" s="9">
        <f t="shared" si="0"/>
        <v>32</v>
      </c>
      <c r="C33" s="9" t="e">
        <f t="shared" si="1"/>
        <v>#N/A</v>
      </c>
      <c r="D33" s="9" t="e">
        <f>_xlfn.XLOOKUP($E33,Tab_Def_Processes[Name(EN)],Tab_Def_Processes[Process_ID],,0,)</f>
        <v>#N/A</v>
      </c>
      <c r="E33" s="11" t="s">
        <v>35</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7"/>
      <c r="L33" s="11"/>
      <c r="M33" s="11"/>
      <c r="N33" s="11"/>
      <c r="O33" s="11"/>
      <c r="P33" s="11"/>
      <c r="Q33" s="9"/>
      <c r="R33" s="11"/>
      <c r="S33" s="9"/>
      <c r="T33" s="11"/>
      <c r="U33" s="198"/>
    </row>
    <row r="34" spans="1:21" x14ac:dyDescent="0.25">
      <c r="A34" s="194" t="b">
        <v>0</v>
      </c>
      <c r="B34" s="9">
        <f t="shared" ref="B34:B51" si="2">ROW()-1</f>
        <v>33</v>
      </c>
      <c r="C34" s="9" t="e">
        <f t="shared" si="1"/>
        <v>#N/A</v>
      </c>
      <c r="D34" s="9" t="e">
        <f>_xlfn.XLOOKUP($E34,Tab_Def_Processes[Name(EN)],Tab_Def_Processes[Process_ID],,0,)</f>
        <v>#N/A</v>
      </c>
      <c r="E34" s="11" t="s">
        <v>35</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7"/>
      <c r="L34" s="11"/>
      <c r="M34" s="11"/>
      <c r="N34" s="11"/>
      <c r="O34" s="11"/>
      <c r="P34" s="11"/>
      <c r="Q34" s="9"/>
      <c r="R34" s="11"/>
      <c r="S34" s="9"/>
      <c r="T34" s="11"/>
      <c r="U34" s="198"/>
    </row>
    <row r="35" spans="1:21" x14ac:dyDescent="0.25">
      <c r="A35" s="194" t="b">
        <v>0</v>
      </c>
      <c r="B35" s="9">
        <f t="shared" si="2"/>
        <v>34</v>
      </c>
      <c r="C35" s="9" t="e">
        <f t="shared" si="1"/>
        <v>#N/A</v>
      </c>
      <c r="D35" s="9" t="e">
        <f>_xlfn.XLOOKUP($E35,Tab_Def_Processes[Name(EN)],Tab_Def_Processes[Process_ID],,0,)</f>
        <v>#N/A</v>
      </c>
      <c r="E35" s="11" t="s">
        <v>35</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7"/>
      <c r="L35" s="11"/>
      <c r="M35" s="11"/>
      <c r="N35" s="11"/>
      <c r="O35" s="11"/>
      <c r="P35" s="11"/>
      <c r="Q35" s="9"/>
      <c r="R35" s="11"/>
      <c r="S35" s="9"/>
      <c r="T35" s="11"/>
      <c r="U35" s="198"/>
    </row>
    <row r="36" spans="1:21" x14ac:dyDescent="0.25">
      <c r="A36" s="194" t="b">
        <v>0</v>
      </c>
      <c r="B36" s="9">
        <f t="shared" si="2"/>
        <v>35</v>
      </c>
      <c r="C36" s="9" t="e">
        <f t="shared" si="1"/>
        <v>#N/A</v>
      </c>
      <c r="D36" s="9" t="e">
        <f>_xlfn.XLOOKUP($E36,Tab_Def_Processes[Name(EN)],Tab_Def_Processes[Process_ID],,0,)</f>
        <v>#N/A</v>
      </c>
      <c r="E36" s="11" t="s">
        <v>35</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7"/>
      <c r="L36" s="11"/>
      <c r="M36" s="11"/>
      <c r="N36" s="11"/>
      <c r="O36" s="11"/>
      <c r="P36" s="11"/>
      <c r="Q36" s="9"/>
      <c r="R36" s="11"/>
      <c r="S36" s="9"/>
      <c r="T36" s="11"/>
      <c r="U36" s="198"/>
    </row>
    <row r="37" spans="1:21" x14ac:dyDescent="0.25">
      <c r="A37" s="194" t="b">
        <v>0</v>
      </c>
      <c r="B37" s="9">
        <f t="shared" si="2"/>
        <v>36</v>
      </c>
      <c r="C37" s="9" t="e">
        <f t="shared" si="1"/>
        <v>#N/A</v>
      </c>
      <c r="D37" s="9" t="e">
        <f>_xlfn.XLOOKUP($E37,Tab_Def_Processes[Name(EN)],Tab_Def_Processes[Process_ID],,0,)</f>
        <v>#N/A</v>
      </c>
      <c r="E37" s="11" t="s">
        <v>35</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7"/>
      <c r="L37" s="11"/>
      <c r="M37" s="11"/>
      <c r="N37" s="11"/>
      <c r="O37" s="11"/>
      <c r="P37" s="11"/>
      <c r="Q37" s="9"/>
      <c r="R37" s="11"/>
      <c r="S37" s="9"/>
      <c r="T37" s="11"/>
      <c r="U37" s="198"/>
    </row>
    <row r="38" spans="1:21" x14ac:dyDescent="0.25">
      <c r="A38" s="194" t="b">
        <v>0</v>
      </c>
      <c r="B38" s="9">
        <f t="shared" si="2"/>
        <v>37</v>
      </c>
      <c r="C38" s="9" t="e">
        <f t="shared" si="1"/>
        <v>#N/A</v>
      </c>
      <c r="D38" s="9" t="e">
        <f>_xlfn.XLOOKUP($E38,Tab_Def_Processes[Name(EN)],Tab_Def_Processes[Process_ID],,0,)</f>
        <v>#N/A</v>
      </c>
      <c r="E38" s="11" t="s">
        <v>35</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7"/>
      <c r="L38" s="11"/>
      <c r="M38" s="11"/>
      <c r="N38" s="11"/>
      <c r="O38" s="11"/>
      <c r="P38" s="11"/>
      <c r="Q38" s="9"/>
      <c r="R38" s="11"/>
      <c r="S38" s="9"/>
      <c r="T38" s="11"/>
      <c r="U38" s="198"/>
    </row>
    <row r="39" spans="1:21" x14ac:dyDescent="0.25">
      <c r="A39" s="194" t="b">
        <v>0</v>
      </c>
      <c r="B39" s="9">
        <f t="shared" si="2"/>
        <v>38</v>
      </c>
      <c r="C39" s="9" t="e">
        <f t="shared" si="1"/>
        <v>#N/A</v>
      </c>
      <c r="D39" s="9" t="e">
        <f>_xlfn.XLOOKUP($E39,Tab_Def_Processes[Name(EN)],Tab_Def_Processes[Process_ID],,0,)</f>
        <v>#N/A</v>
      </c>
      <c r="E39" s="11" t="s">
        <v>35</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7"/>
      <c r="L39" s="11"/>
      <c r="M39" s="11"/>
      <c r="N39" s="11"/>
      <c r="O39" s="11"/>
      <c r="P39" s="11"/>
      <c r="Q39" s="9"/>
      <c r="R39" s="11"/>
      <c r="S39" s="9"/>
      <c r="T39" s="11"/>
      <c r="U39" s="198"/>
    </row>
    <row r="40" spans="1:21" x14ac:dyDescent="0.25">
      <c r="A40" s="194" t="b">
        <v>0</v>
      </c>
      <c r="B40" s="9">
        <f t="shared" si="2"/>
        <v>39</v>
      </c>
      <c r="C40" s="9" t="e">
        <f t="shared" si="1"/>
        <v>#N/A</v>
      </c>
      <c r="D40" s="9" t="e">
        <f>_xlfn.XLOOKUP($E40,Tab_Def_Processes[Name(EN)],Tab_Def_Processes[Process_ID],,0,)</f>
        <v>#N/A</v>
      </c>
      <c r="E40" s="11" t="s">
        <v>35</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7"/>
      <c r="L40" s="11"/>
      <c r="M40" s="11"/>
      <c r="N40" s="11"/>
      <c r="O40" s="11"/>
      <c r="P40" s="11"/>
      <c r="Q40" s="9"/>
      <c r="R40" s="11"/>
      <c r="S40" s="9"/>
      <c r="T40" s="11"/>
      <c r="U40" s="198"/>
    </row>
    <row r="41" spans="1:21" x14ac:dyDescent="0.25">
      <c r="A41" s="194" t="b">
        <v>0</v>
      </c>
      <c r="B41" s="9">
        <f t="shared" si="2"/>
        <v>40</v>
      </c>
      <c r="C41" s="9" t="e">
        <f t="shared" si="1"/>
        <v>#N/A</v>
      </c>
      <c r="D41" s="9" t="e">
        <f>_xlfn.XLOOKUP($E41,Tab_Def_Processes[Name(EN)],Tab_Def_Processes[Process_ID],,0,)</f>
        <v>#N/A</v>
      </c>
      <c r="E41" s="11" t="s">
        <v>35</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7"/>
      <c r="L41" s="11"/>
      <c r="M41" s="11"/>
      <c r="N41" s="11"/>
      <c r="O41" s="11"/>
      <c r="P41" s="11"/>
      <c r="Q41" s="9"/>
      <c r="R41" s="11"/>
      <c r="S41" s="9"/>
      <c r="T41" s="11"/>
      <c r="U41" s="198"/>
    </row>
    <row r="42" spans="1:21" x14ac:dyDescent="0.25">
      <c r="A42" s="194" t="b">
        <v>0</v>
      </c>
      <c r="B42" s="9">
        <f t="shared" si="2"/>
        <v>41</v>
      </c>
      <c r="C42" s="9" t="e">
        <f t="shared" si="1"/>
        <v>#N/A</v>
      </c>
      <c r="D42" s="9" t="e">
        <f>_xlfn.XLOOKUP($E42,Tab_Def_Processes[Name(EN)],Tab_Def_Processes[Process_ID],,0,)</f>
        <v>#N/A</v>
      </c>
      <c r="E42" s="11" t="s">
        <v>35</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7"/>
      <c r="L42" s="11"/>
      <c r="M42" s="11"/>
      <c r="N42" s="11"/>
      <c r="O42" s="11"/>
      <c r="P42" s="11"/>
      <c r="Q42" s="9"/>
      <c r="R42" s="11"/>
      <c r="S42" s="9"/>
      <c r="T42" s="11"/>
      <c r="U42" s="198"/>
    </row>
    <row r="43" spans="1:21" x14ac:dyDescent="0.25">
      <c r="A43" s="194" t="b">
        <v>0</v>
      </c>
      <c r="B43" s="9">
        <f t="shared" si="2"/>
        <v>42</v>
      </c>
      <c r="C43" s="9" t="e">
        <f t="shared" si="1"/>
        <v>#N/A</v>
      </c>
      <c r="D43" s="9" t="e">
        <f>_xlfn.XLOOKUP($E43,Tab_Def_Processes[Name(EN)],Tab_Def_Processes[Process_ID],,0,)</f>
        <v>#N/A</v>
      </c>
      <c r="E43" s="11" t="s">
        <v>35</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7"/>
      <c r="L43" s="11"/>
      <c r="M43" s="11"/>
      <c r="N43" s="11"/>
      <c r="O43" s="11"/>
      <c r="P43" s="11"/>
      <c r="Q43" s="9"/>
      <c r="R43" s="11"/>
      <c r="S43" s="9"/>
      <c r="T43" s="11"/>
      <c r="U43" s="198"/>
    </row>
    <row r="44" spans="1:21" x14ac:dyDescent="0.25">
      <c r="A44" s="194" t="b">
        <v>0</v>
      </c>
      <c r="B44" s="9">
        <f t="shared" si="2"/>
        <v>43</v>
      </c>
      <c r="C44" s="9" t="e">
        <f t="shared" si="1"/>
        <v>#N/A</v>
      </c>
      <c r="D44" s="9" t="e">
        <f>_xlfn.XLOOKUP($E44,Tab_Def_Processes[Name(EN)],Tab_Def_Processes[Process_ID],,0,)</f>
        <v>#N/A</v>
      </c>
      <c r="E44" s="11" t="s">
        <v>35</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7"/>
      <c r="L44" s="11"/>
      <c r="M44" s="11"/>
      <c r="N44" s="11"/>
      <c r="O44" s="11"/>
      <c r="P44" s="11"/>
      <c r="Q44" s="9"/>
      <c r="R44" s="11"/>
      <c r="S44" s="9"/>
      <c r="T44" s="11"/>
      <c r="U44" s="198"/>
    </row>
    <row r="45" spans="1:21" x14ac:dyDescent="0.25">
      <c r="A45" s="194" t="b">
        <v>0</v>
      </c>
      <c r="B45" s="9">
        <f t="shared" si="2"/>
        <v>44</v>
      </c>
      <c r="C45" s="9" t="e">
        <f t="shared" si="1"/>
        <v>#N/A</v>
      </c>
      <c r="D45" s="9" t="e">
        <f>_xlfn.XLOOKUP($E45,Tab_Def_Processes[Name(EN)],Tab_Def_Processes[Process_ID],,0,)</f>
        <v>#N/A</v>
      </c>
      <c r="E45" s="11" t="s">
        <v>35</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7"/>
      <c r="L45" s="11"/>
      <c r="M45" s="11"/>
      <c r="N45" s="11"/>
      <c r="O45" s="11"/>
      <c r="P45" s="11"/>
      <c r="Q45" s="9"/>
      <c r="R45" s="11"/>
      <c r="S45" s="9"/>
      <c r="T45" s="11"/>
      <c r="U45" s="198"/>
    </row>
    <row r="46" spans="1:21" x14ac:dyDescent="0.25">
      <c r="A46" s="194" t="b">
        <v>0</v>
      </c>
      <c r="B46" s="9">
        <f t="shared" si="2"/>
        <v>45</v>
      </c>
      <c r="C46" s="9" t="e">
        <f t="shared" si="1"/>
        <v>#N/A</v>
      </c>
      <c r="D46" s="9" t="e">
        <f>_xlfn.XLOOKUP($E46,Tab_Def_Processes[Name(EN)],Tab_Def_Processes[Process_ID],,0,)</f>
        <v>#N/A</v>
      </c>
      <c r="E46" s="11" t="s">
        <v>35</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7"/>
      <c r="L46" s="11"/>
      <c r="M46" s="11"/>
      <c r="N46" s="11"/>
      <c r="O46" s="11"/>
      <c r="P46" s="11"/>
      <c r="Q46" s="9"/>
      <c r="R46" s="11"/>
      <c r="S46" s="9"/>
      <c r="T46" s="11"/>
      <c r="U46" s="198"/>
    </row>
    <row r="47" spans="1:21" x14ac:dyDescent="0.25">
      <c r="A47" s="194" t="b">
        <v>0</v>
      </c>
      <c r="B47" s="9">
        <f t="shared" si="2"/>
        <v>46</v>
      </c>
      <c r="C47" s="9" t="e">
        <f t="shared" si="1"/>
        <v>#N/A</v>
      </c>
      <c r="D47" s="9" t="e">
        <f>_xlfn.XLOOKUP($E47,Tab_Def_Processes[Name(EN)],Tab_Def_Processes[Process_ID],,0,)</f>
        <v>#N/A</v>
      </c>
      <c r="E47" s="11" t="s">
        <v>35</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7"/>
      <c r="L47" s="11"/>
      <c r="M47" s="11"/>
      <c r="N47" s="11"/>
      <c r="O47" s="11"/>
      <c r="P47" s="11"/>
      <c r="Q47" s="9"/>
      <c r="R47" s="11"/>
      <c r="S47" s="9"/>
      <c r="T47" s="11"/>
      <c r="U47" s="198"/>
    </row>
    <row r="48" spans="1:21" x14ac:dyDescent="0.25">
      <c r="A48" s="194" t="b">
        <v>0</v>
      </c>
      <c r="B48" s="9">
        <f t="shared" si="2"/>
        <v>47</v>
      </c>
      <c r="C48" s="9" t="e">
        <f t="shared" si="1"/>
        <v>#N/A</v>
      </c>
      <c r="D48" s="9" t="e">
        <f>_xlfn.XLOOKUP($E48,Tab_Def_Processes[Name(EN)],Tab_Def_Processes[Process_ID],,0,)</f>
        <v>#N/A</v>
      </c>
      <c r="E48" s="11" t="s">
        <v>35</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7"/>
      <c r="L48" s="11"/>
      <c r="M48" s="11"/>
      <c r="N48" s="11"/>
      <c r="O48" s="11"/>
      <c r="P48" s="11"/>
      <c r="Q48" s="9"/>
      <c r="R48" s="11"/>
      <c r="S48" s="9"/>
      <c r="T48" s="11"/>
      <c r="U48" s="198"/>
    </row>
    <row r="49" spans="1:21" x14ac:dyDescent="0.25">
      <c r="A49" s="194" t="b">
        <v>0</v>
      </c>
      <c r="B49" s="9">
        <f t="shared" si="2"/>
        <v>48</v>
      </c>
      <c r="C49" s="9" t="e">
        <f t="shared" si="1"/>
        <v>#N/A</v>
      </c>
      <c r="D49" s="9" t="e">
        <f>_xlfn.XLOOKUP($E49,Tab_Def_Processes[Name(EN)],Tab_Def_Processes[Process_ID],,0,)</f>
        <v>#N/A</v>
      </c>
      <c r="E49" s="11" t="s">
        <v>35</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7"/>
      <c r="L49" s="11"/>
      <c r="M49" s="11"/>
      <c r="N49" s="11"/>
      <c r="O49" s="11"/>
      <c r="P49" s="11"/>
      <c r="Q49" s="9"/>
      <c r="R49" s="11"/>
      <c r="S49" s="9"/>
      <c r="T49" s="11"/>
      <c r="U49" s="198"/>
    </row>
    <row r="50" spans="1:21" x14ac:dyDescent="0.25">
      <c r="A50" s="194" t="b">
        <v>0</v>
      </c>
      <c r="B50" s="9">
        <f t="shared" si="2"/>
        <v>49</v>
      </c>
      <c r="C50" s="9" t="e">
        <f t="shared" si="1"/>
        <v>#N/A</v>
      </c>
      <c r="D50" s="9" t="e">
        <f>_xlfn.XLOOKUP($E50,Tab_Def_Processes[Name(EN)],Tab_Def_Processes[Process_ID],,0,)</f>
        <v>#N/A</v>
      </c>
      <c r="E50" s="11" t="s">
        <v>35</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7"/>
      <c r="L50" s="11"/>
      <c r="M50" s="11"/>
      <c r="N50" s="11"/>
      <c r="O50" s="11"/>
      <c r="P50" s="11"/>
      <c r="Q50" s="9"/>
      <c r="R50" s="11"/>
      <c r="S50" s="9"/>
      <c r="T50" s="11"/>
      <c r="U50" s="198"/>
    </row>
    <row r="51" spans="1:21" x14ac:dyDescent="0.25">
      <c r="A51" s="194" t="b">
        <v>0</v>
      </c>
      <c r="B51" s="9">
        <f t="shared" si="2"/>
        <v>50</v>
      </c>
      <c r="C51" s="9" t="e">
        <f t="shared" si="1"/>
        <v>#N/A</v>
      </c>
      <c r="D51" s="9" t="e">
        <f>_xlfn.XLOOKUP($E51,Tab_Def_Processes[Name(EN)],Tab_Def_Processes[Process_ID],,0,)</f>
        <v>#N/A</v>
      </c>
      <c r="E51" s="11" t="s">
        <v>35</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7"/>
      <c r="L51" s="11"/>
      <c r="M51" s="11"/>
      <c r="N51" s="11"/>
      <c r="O51" s="11"/>
      <c r="P51" s="11"/>
      <c r="Q51" s="9"/>
      <c r="R51" s="11"/>
      <c r="S51" s="9"/>
      <c r="T51" s="11"/>
      <c r="U51" s="198"/>
    </row>
    <row r="52" spans="1:21" x14ac:dyDescent="0.25">
      <c r="A52" s="194" t="b">
        <v>0</v>
      </c>
      <c r="B52" s="9">
        <f t="shared" ref="B52:B63" si="3">ROW()-1</f>
        <v>51</v>
      </c>
      <c r="C52" s="9" t="str">
        <f t="shared" si="1"/>
        <v>S_11</v>
      </c>
      <c r="D52" s="9" t="str">
        <f>_xlfn.XLOOKUP($E52,Tab_Def_Processes[Name(EN)],Tab_Def_Processes[Process_ID],,0,)</f>
        <v>11</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7"/>
      <c r="L52" s="11"/>
      <c r="M52" s="11"/>
      <c r="N52" s="11"/>
      <c r="O52" s="11"/>
      <c r="P52" s="11"/>
      <c r="Q52" s="9"/>
      <c r="R52" s="11"/>
      <c r="S52" s="9"/>
      <c r="T52" s="11"/>
      <c r="U52" s="198"/>
    </row>
    <row r="53" spans="1:21" x14ac:dyDescent="0.25">
      <c r="A53" s="194" t="b">
        <v>0</v>
      </c>
      <c r="B53" s="9">
        <f t="shared" si="3"/>
        <v>52</v>
      </c>
      <c r="C53" s="9" t="str">
        <f t="shared" si="1"/>
        <v>S_11</v>
      </c>
      <c r="D53" s="9" t="str">
        <f>_xlfn.XLOOKUP($E53,Tab_Def_Processes[Name(EN)],Tab_Def_Processes[Process_ID],,0,)</f>
        <v>11</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7"/>
      <c r="L53" s="11"/>
      <c r="M53" s="11"/>
      <c r="N53" s="11"/>
      <c r="O53" s="11"/>
      <c r="P53" s="11"/>
      <c r="Q53" s="9"/>
      <c r="R53" s="11"/>
      <c r="S53" s="9"/>
      <c r="T53" s="11"/>
      <c r="U53" s="198"/>
    </row>
    <row r="54" spans="1:21" x14ac:dyDescent="0.25">
      <c r="A54" s="194" t="b">
        <v>0</v>
      </c>
      <c r="B54" s="9">
        <f t="shared" si="3"/>
        <v>53</v>
      </c>
      <c r="C54" s="9" t="str">
        <f t="shared" si="1"/>
        <v>S_11</v>
      </c>
      <c r="D54" s="9" t="str">
        <f>_xlfn.XLOOKUP($E54,Tab_Def_Processes[Name(EN)],Tab_Def_Processes[Process_ID],,0,)</f>
        <v>11</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7"/>
      <c r="L54" s="11"/>
      <c r="M54" s="11"/>
      <c r="N54" s="11"/>
      <c r="O54" s="11"/>
      <c r="P54" s="11"/>
      <c r="Q54" s="9"/>
      <c r="R54" s="11"/>
      <c r="S54" s="9"/>
      <c r="T54" s="11"/>
      <c r="U54" s="198"/>
    </row>
    <row r="55" spans="1:21" x14ac:dyDescent="0.25">
      <c r="A55" s="194" t="b">
        <v>0</v>
      </c>
      <c r="B55" s="9">
        <f t="shared" si="3"/>
        <v>54</v>
      </c>
      <c r="C55" s="9" t="str">
        <f t="shared" si="1"/>
        <v>S_11</v>
      </c>
      <c r="D55" s="9" t="str">
        <f>_xlfn.XLOOKUP($E55,Tab_Def_Processes[Name(EN)],Tab_Def_Processes[Process_ID],,0,)</f>
        <v>11</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7"/>
      <c r="L55" s="11"/>
      <c r="M55" s="11"/>
      <c r="N55" s="11"/>
      <c r="O55" s="11"/>
      <c r="P55" s="11"/>
      <c r="Q55" s="9"/>
      <c r="R55" s="11"/>
      <c r="S55" s="9"/>
      <c r="T55" s="11"/>
      <c r="U55" s="198"/>
    </row>
    <row r="56" spans="1:21" x14ac:dyDescent="0.25">
      <c r="A56" s="194" t="b">
        <v>0</v>
      </c>
      <c r="B56" s="9">
        <f t="shared" si="3"/>
        <v>55</v>
      </c>
      <c r="C56" s="9" t="str">
        <f t="shared" si="1"/>
        <v>S_11</v>
      </c>
      <c r="D56" s="9" t="str">
        <f>_xlfn.XLOOKUP($E56,Tab_Def_Processes[Name(EN)],Tab_Def_Processes[Process_ID],,0,)</f>
        <v>11</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7"/>
      <c r="L56" s="11"/>
      <c r="M56" s="11"/>
      <c r="N56" s="11"/>
      <c r="O56" s="11"/>
      <c r="P56" s="11"/>
      <c r="Q56" s="9"/>
      <c r="R56" s="11"/>
      <c r="S56" s="9"/>
      <c r="T56" s="11"/>
      <c r="U56" s="198"/>
    </row>
    <row r="57" spans="1:21" x14ac:dyDescent="0.25">
      <c r="A57" s="194" t="b">
        <v>0</v>
      </c>
      <c r="B57" s="9">
        <f t="shared" si="3"/>
        <v>56</v>
      </c>
      <c r="C57" s="9" t="str">
        <f t="shared" si="1"/>
        <v>S_11</v>
      </c>
      <c r="D57" s="9" t="str">
        <f>_xlfn.XLOOKUP($E57,Tab_Def_Processes[Name(EN)],Tab_Def_Processes[Process_ID],,0,)</f>
        <v>11</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7"/>
      <c r="L57" s="11"/>
      <c r="M57" s="11"/>
      <c r="N57" s="11"/>
      <c r="O57" s="11"/>
      <c r="P57" s="11"/>
      <c r="Q57" s="9"/>
      <c r="R57" s="11"/>
      <c r="S57" s="9"/>
      <c r="T57" s="11"/>
      <c r="U57" s="198"/>
    </row>
    <row r="58" spans="1:21" x14ac:dyDescent="0.25">
      <c r="A58" s="194" t="b">
        <v>0</v>
      </c>
      <c r="B58" s="9">
        <f t="shared" si="3"/>
        <v>57</v>
      </c>
      <c r="C58" s="9" t="str">
        <f t="shared" si="1"/>
        <v>S_11</v>
      </c>
      <c r="D58" s="9" t="str">
        <f>_xlfn.XLOOKUP($E58,Tab_Def_Processes[Name(EN)],Tab_Def_Processes[Process_ID],,0,)</f>
        <v>11</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7"/>
      <c r="L58" s="11"/>
      <c r="M58" s="11"/>
      <c r="N58" s="11"/>
      <c r="O58" s="11"/>
      <c r="P58" s="11"/>
      <c r="Q58" s="9"/>
      <c r="R58" s="11"/>
      <c r="S58" s="9"/>
      <c r="T58" s="11"/>
      <c r="U58" s="198"/>
    </row>
    <row r="59" spans="1:21" x14ac:dyDescent="0.25">
      <c r="A59" s="194" t="b">
        <v>0</v>
      </c>
      <c r="B59" s="9">
        <f t="shared" si="3"/>
        <v>58</v>
      </c>
      <c r="C59" s="9" t="str">
        <f t="shared" si="1"/>
        <v>S_11</v>
      </c>
      <c r="D59" s="9" t="str">
        <f>_xlfn.XLOOKUP($E59,Tab_Def_Processes[Name(EN)],Tab_Def_Processes[Process_ID],,0,)</f>
        <v>11</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7"/>
      <c r="L59" s="11"/>
      <c r="M59" s="11"/>
      <c r="N59" s="11"/>
      <c r="O59" s="11"/>
      <c r="P59" s="11"/>
      <c r="Q59" s="9"/>
      <c r="R59" s="11"/>
      <c r="S59" s="9"/>
      <c r="T59" s="11"/>
      <c r="U59" s="198"/>
    </row>
    <row r="60" spans="1:21" x14ac:dyDescent="0.25">
      <c r="A60" s="194" t="b">
        <v>0</v>
      </c>
      <c r="B60" s="9">
        <f t="shared" si="3"/>
        <v>59</v>
      </c>
      <c r="C60" s="9" t="str">
        <f t="shared" si="1"/>
        <v>S_11</v>
      </c>
      <c r="D60" s="9" t="str">
        <f>_xlfn.XLOOKUP($E60,Tab_Def_Processes[Name(EN)],Tab_Def_Processes[Process_ID],,0,)</f>
        <v>11</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7"/>
      <c r="L60" s="11"/>
      <c r="M60" s="11"/>
      <c r="N60" s="11"/>
      <c r="O60" s="11"/>
      <c r="P60" s="11"/>
      <c r="Q60" s="9"/>
      <c r="R60" s="11"/>
      <c r="S60" s="9"/>
      <c r="T60" s="11"/>
      <c r="U60" s="198"/>
    </row>
    <row r="61" spans="1:21" x14ac:dyDescent="0.25">
      <c r="A61" s="194" t="b">
        <v>0</v>
      </c>
      <c r="B61" s="9">
        <f t="shared" si="3"/>
        <v>60</v>
      </c>
      <c r="C61" s="9" t="str">
        <f t="shared" si="1"/>
        <v>S_11</v>
      </c>
      <c r="D61" s="9" t="str">
        <f>_xlfn.XLOOKUP($E61,Tab_Def_Processes[Name(EN)],Tab_Def_Processes[Process_ID],,0,)</f>
        <v>11</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7"/>
      <c r="L61" s="11"/>
      <c r="M61" s="11"/>
      <c r="N61" s="11"/>
      <c r="O61" s="11"/>
      <c r="P61" s="11"/>
      <c r="Q61" s="9"/>
      <c r="R61" s="11"/>
      <c r="S61" s="9"/>
      <c r="T61" s="11"/>
      <c r="U61" s="198"/>
    </row>
    <row r="62" spans="1:21" x14ac:dyDescent="0.25">
      <c r="A62" s="194" t="b">
        <v>0</v>
      </c>
      <c r="B62" s="9">
        <f t="shared" si="3"/>
        <v>61</v>
      </c>
      <c r="C62" s="9" t="str">
        <f t="shared" si="1"/>
        <v>S_11</v>
      </c>
      <c r="D62" s="9" t="str">
        <f>_xlfn.XLOOKUP($E62,Tab_Def_Processes[Name(EN)],Tab_Def_Processes[Process_ID],,0,)</f>
        <v>11</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7"/>
      <c r="L62" s="11"/>
      <c r="M62" s="11"/>
      <c r="N62" s="11"/>
      <c r="O62" s="11"/>
      <c r="P62" s="11"/>
      <c r="Q62" s="9"/>
      <c r="R62" s="11"/>
      <c r="S62" s="9"/>
      <c r="T62" s="11"/>
      <c r="U62" s="198"/>
    </row>
    <row r="63" spans="1:21" x14ac:dyDescent="0.25">
      <c r="A63" s="194" t="b">
        <v>0</v>
      </c>
      <c r="B63" s="9">
        <f t="shared" si="3"/>
        <v>62</v>
      </c>
      <c r="C63" s="9" t="str">
        <f t="shared" si="1"/>
        <v>S_11</v>
      </c>
      <c r="D63" s="9" t="str">
        <f>_xlfn.XLOOKUP($E63,Tab_Def_Processes[Name(EN)],Tab_Def_Processes[Process_ID],,0,)</f>
        <v>11</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7"/>
      <c r="L63" s="11"/>
      <c r="M63" s="11"/>
      <c r="N63" s="11"/>
      <c r="O63" s="11"/>
      <c r="P63" s="11"/>
      <c r="Q63" s="9"/>
      <c r="R63" s="11"/>
      <c r="S63" s="9"/>
      <c r="T63" s="11"/>
      <c r="U63" s="19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'2_1_Definition_Processes'!$D$2:$D$54</xm:f>
          </x14:formula1>
          <xm:sqref>P2:P63 E2:E63</xm:sqref>
        </x14:dataValidation>
        <x14:dataValidation type="list" allowBlank="1" showInputMessage="1" showErrorMessage="1" xr:uid="{24E4AF9F-342A-4F59-A041-F0845D1625A8}">
          <x14:formula1>
            <xm:f>'1_1_Definition_Flows'!$D$2:$D$79</xm:f>
          </x14:formula1>
          <xm:sqref>R2:R63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49"/>
  <sheetViews>
    <sheetView zoomScaleNormal="100" workbookViewId="0">
      <pane xSplit="5" topLeftCell="F1" activePane="topRight" state="frozen"/>
      <selection pane="topRight" activeCell="BO22" sqref="BO22"/>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3" t="s">
        <v>88</v>
      </c>
      <c r="B1" s="193" t="s">
        <v>32</v>
      </c>
      <c r="C1" s="193" t="s">
        <v>62</v>
      </c>
      <c r="D1" s="193" t="s">
        <v>90</v>
      </c>
      <c r="E1" s="193" t="s">
        <v>296</v>
      </c>
      <c r="F1" s="193" t="s">
        <v>65</v>
      </c>
      <c r="G1" s="193" t="s">
        <v>267</v>
      </c>
      <c r="H1" s="193" t="s">
        <v>41</v>
      </c>
      <c r="I1" s="193" t="s">
        <v>91</v>
      </c>
      <c r="J1" s="193" t="s">
        <v>1</v>
      </c>
      <c r="K1" s="193" t="s">
        <v>297</v>
      </c>
      <c r="L1" s="8" t="s">
        <v>266</v>
      </c>
      <c r="M1" s="14" t="s">
        <v>66</v>
      </c>
      <c r="N1" s="14" t="s">
        <v>67</v>
      </c>
      <c r="O1" s="27" t="s">
        <v>93</v>
      </c>
      <c r="P1" s="14" t="s">
        <v>68</v>
      </c>
      <c r="Q1" s="14" t="s">
        <v>73</v>
      </c>
      <c r="R1" s="27" t="s">
        <v>97</v>
      </c>
      <c r="S1" s="28" t="s">
        <v>69</v>
      </c>
      <c r="T1" s="25" t="s">
        <v>11</v>
      </c>
      <c r="U1" s="31" t="s">
        <v>96</v>
      </c>
      <c r="V1" s="28" t="s">
        <v>70</v>
      </c>
      <c r="W1" s="24" t="s">
        <v>12</v>
      </c>
      <c r="X1" s="27" t="s">
        <v>95</v>
      </c>
      <c r="Y1" s="28" t="s">
        <v>71</v>
      </c>
      <c r="Z1" s="24" t="s">
        <v>13</v>
      </c>
      <c r="AA1" s="27" t="s">
        <v>94</v>
      </c>
      <c r="AB1" s="24" t="s">
        <v>98</v>
      </c>
      <c r="AC1" s="177" t="s">
        <v>76</v>
      </c>
      <c r="AD1" s="177" t="s">
        <v>82</v>
      </c>
      <c r="AE1" s="177" t="s">
        <v>284</v>
      </c>
      <c r="AF1" s="177" t="s">
        <v>264</v>
      </c>
      <c r="AG1" s="178" t="s">
        <v>290</v>
      </c>
      <c r="AH1" s="179" t="s">
        <v>77</v>
      </c>
      <c r="AI1" s="179" t="s">
        <v>83</v>
      </c>
      <c r="AJ1" s="179" t="s">
        <v>285</v>
      </c>
      <c r="AK1" s="177" t="s">
        <v>265</v>
      </c>
      <c r="AL1" s="178" t="s">
        <v>291</v>
      </c>
      <c r="AM1" s="179" t="s">
        <v>78</v>
      </c>
      <c r="AN1" s="179" t="s">
        <v>84</v>
      </c>
      <c r="AO1" s="179" t="s">
        <v>286</v>
      </c>
      <c r="AP1" s="177" t="s">
        <v>280</v>
      </c>
      <c r="AQ1" s="179" t="s">
        <v>292</v>
      </c>
      <c r="AR1" s="179" t="s">
        <v>79</v>
      </c>
      <c r="AS1" s="179" t="s">
        <v>85</v>
      </c>
      <c r="AT1" s="179" t="s">
        <v>287</v>
      </c>
      <c r="AU1" s="177" t="s">
        <v>281</v>
      </c>
      <c r="AV1" s="179" t="s">
        <v>293</v>
      </c>
      <c r="AW1" s="179" t="s">
        <v>80</v>
      </c>
      <c r="AX1" s="179" t="s">
        <v>86</v>
      </c>
      <c r="AY1" s="179" t="s">
        <v>288</v>
      </c>
      <c r="AZ1" s="177" t="s">
        <v>282</v>
      </c>
      <c r="BA1" s="179" t="s">
        <v>294</v>
      </c>
      <c r="BB1" s="50" t="s">
        <v>81</v>
      </c>
      <c r="BC1" s="50" t="s">
        <v>87</v>
      </c>
      <c r="BD1" s="50" t="s">
        <v>289</v>
      </c>
      <c r="BE1" s="26" t="s">
        <v>283</v>
      </c>
      <c r="BF1" s="50" t="s">
        <v>295</v>
      </c>
      <c r="BG1" s="51" t="s">
        <v>99</v>
      </c>
      <c r="BH1" s="36" t="s">
        <v>39</v>
      </c>
      <c r="BI1" s="171" t="s">
        <v>40</v>
      </c>
      <c r="BJ1" s="171" t="s">
        <v>4</v>
      </c>
      <c r="BK1" s="171" t="s">
        <v>3</v>
      </c>
      <c r="BL1" s="172" t="s">
        <v>5</v>
      </c>
    </row>
    <row r="2" spans="1:64" x14ac:dyDescent="0.25">
      <c r="A2" s="194" t="b">
        <v>0</v>
      </c>
      <c r="B2" s="9">
        <f t="shared" ref="B2:B31" si="0">ROW()-1</f>
        <v>1</v>
      </c>
      <c r="C2" s="47" t="str">
        <f>_xlfn.XLOOKUP($D2,Tab_Process_TCs[Name(EN)],Tab_Process_TCs[Process_ID],,0,)</f>
        <v>05</v>
      </c>
      <c r="D2" s="189" t="s">
        <v>482</v>
      </c>
      <c r="E2" s="189" t="s">
        <v>382</v>
      </c>
      <c r="F2" s="47" t="str">
        <f>_xlfn.XLOOKUP($D2,Tab_Process_TCs[Name(EN)],Tab_Process_TCs[TC?],,0,)</f>
        <v>Yes</v>
      </c>
      <c r="G2" s="47" t="str">
        <f>_xlfn.XLOOKUP($D2,Tab_Process_TCs[Name(EN)],Tab_Process_TCs[Dyn_TC?],,0,)</f>
        <v>Yes</v>
      </c>
      <c r="H2" s="9" t="str">
        <f>_xlfn.XLOOKUP($E2,Tab_Def_Flows[Name(EN)],Tab_Def_Flows[Flow_ID],,0,1)</f>
        <v>F_05_06</v>
      </c>
      <c r="I2" s="9" t="str">
        <f>IF(Tab_Process_TCs2527[[#This Row],[Name(EN)]]="N.A.","N.A.","TC"&amp;"_"&amp;RIGHT(H2,5))</f>
        <v>TC_05_06</v>
      </c>
      <c r="J2" s="11">
        <v>2025</v>
      </c>
      <c r="K2" s="56">
        <v>0.5</v>
      </c>
      <c r="L2" s="9"/>
      <c r="M2" s="16" t="str">
        <f>_xlfn.XLOOKUP($D2,Tab_Def_Processes[Name(EN)],Tab_Def_Processes[Input_Flow_I_1],,0,)</f>
        <v>N.A.</v>
      </c>
      <c r="N2" s="9" t="str">
        <f>_xlfn.XLOOKUP($D2,Tab_Def_Processes[Name(EN)],Tab_Def_Processes[Flow_ID_I_1],,0,)</f>
        <v>N.A.</v>
      </c>
      <c r="O2" s="33"/>
      <c r="P2" s="29" t="str">
        <f>_xlfn.XLOOKUP($D2,Tab_Def_Processes[Name(EN)],Tab_Def_Processes[Input_Flow_I_2],,0,)</f>
        <v>N.A.</v>
      </c>
      <c r="Q2" s="9" t="str">
        <f>_xlfn.XLOOKUP($D2,Tab_Def_Processes[Name(EN)],Tab_Def_Processes[Flow_ID_I_2],,0,)</f>
        <v>N.A.</v>
      </c>
      <c r="R2" s="33"/>
      <c r="S2" s="29" t="str">
        <f>_xlfn.XLOOKUP($D2,Tab_Def_Processes[Name(EN)],Tab_Def_Processes[Input_Flow_I_3],,0,)</f>
        <v>N.A.</v>
      </c>
      <c r="T2" s="9" t="str">
        <f>_xlfn.XLOOKUP($D2,Tab_Def_Processes[Name(EN)],Tab_Def_Processes[Flow_ID_I_3],,0,)</f>
        <v>N.A.</v>
      </c>
      <c r="U2" s="33"/>
      <c r="V2" s="29" t="str">
        <f>_xlfn.XLOOKUP($D2,Tab_Def_Processes[Name(EN)],Tab_Def_Processes[Input_Flow_I_4],,0,)</f>
        <v>N.A.</v>
      </c>
      <c r="W2" s="9" t="str">
        <f>_xlfn.XLOOKUP($D2,Tab_Def_Processes[Name(EN)],Tab_Def_Processes[Flow_ID_I_4],,0,)</f>
        <v>N.A.</v>
      </c>
      <c r="X2" s="33"/>
      <c r="Y2" s="29" t="str">
        <f>_xlfn.XLOOKUP($D2,Tab_Def_Processes[Name(EN)],Tab_Def_Processes[Input_Flow_I_5],,0,)</f>
        <v>N.A.</v>
      </c>
      <c r="Z2" s="9" t="str">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6" t="e">
        <f>_xlfn.XLOOKUP($D2,#REF!,#REF!,,0,)</f>
        <v>#REF!</v>
      </c>
      <c r="AD2" s="9" t="e">
        <f>_xlfn.XLOOKUP($D2,#REF!,#REF!,,0,)</f>
        <v>#REF!</v>
      </c>
      <c r="AE2" s="42" t="str">
        <f>Tab_Process_TCs2527[[#This Row],[Flow_ID]]</f>
        <v>F_05_06</v>
      </c>
      <c r="AF2" s="9" t="e">
        <f t="shared" ref="AF2:AF31" si="1">"TC"&amp;"_"&amp;RIGHT(AD2,5)</f>
        <v>#REF!</v>
      </c>
      <c r="AG2" s="49">
        <v>0.2</v>
      </c>
      <c r="AH2" s="16" t="e">
        <f>_xlfn.XLOOKUP($D2,#REF!,#REF!,,0,)</f>
        <v>#REF!</v>
      </c>
      <c r="AI2" s="9" t="e">
        <f>_xlfn.XLOOKUP($D2,#REF!,#REF!,,0,)</f>
        <v>#REF!</v>
      </c>
      <c r="AJ2" s="42" t="str">
        <f>Tab_Process_TCs2527[[#This Row],[Flow_ID]]</f>
        <v>F_05_06</v>
      </c>
      <c r="AK2" s="9" t="e">
        <f t="shared" ref="AK2:AK31" si="2">"TC"&amp;"_"&amp;RIGHT(AI2,5)</f>
        <v>#REF!</v>
      </c>
      <c r="AL2" s="176">
        <v>0.8</v>
      </c>
      <c r="AM2" s="16" t="e">
        <f>_xlfn.XLOOKUP($D2,#REF!,#REF!,,0,)</f>
        <v>#REF!</v>
      </c>
      <c r="AN2" s="9" t="e">
        <f>_xlfn.XLOOKUP($D2,#REF!,#REF!,,0,)</f>
        <v>#REF!</v>
      </c>
      <c r="AO2" s="42" t="str">
        <f>Tab_Process_TCs2527[[#This Row],[Flow_ID]]</f>
        <v>F_05_06</v>
      </c>
      <c r="AP2" s="9" t="e">
        <f t="shared" ref="AP2:AP31" si="3">"TC"&amp;"_"&amp;RIGHT(AN2,5)</f>
        <v>#REF!</v>
      </c>
      <c r="AQ2" s="168"/>
      <c r="AR2" s="16" t="e">
        <f>_xlfn.XLOOKUP($D2,#REF!,#REF!,,0,)</f>
        <v>#REF!</v>
      </c>
      <c r="AS2" s="9" t="e">
        <f>_xlfn.XLOOKUP($D2,#REF!,#REF!,,0,)</f>
        <v>#REF!</v>
      </c>
      <c r="AT2" s="42" t="str">
        <f>Tab_Process_TCs2527[[#This Row],[Flow_ID]]</f>
        <v>F_05_06</v>
      </c>
      <c r="AU2" s="42" t="e">
        <f t="shared" ref="AU2:AU31" si="4">"TC"&amp;"_"&amp;RIGHT(AN2,5)</f>
        <v>#REF!</v>
      </c>
      <c r="AV2" s="168"/>
      <c r="AW2" s="16" t="e">
        <f>_xlfn.XLOOKUP($D2,#REF!,#REF!,,0,)</f>
        <v>#REF!</v>
      </c>
      <c r="AX2" s="9" t="e">
        <f>_xlfn.XLOOKUP($D2,#REF!,#REF!,,0,)</f>
        <v>#REF!</v>
      </c>
      <c r="AY2" s="42" t="str">
        <f>Tab_Process_TCs2527[[#This Row],[Flow_ID]]</f>
        <v>F_05_06</v>
      </c>
      <c r="AZ2" s="42" t="e">
        <f t="shared" ref="AZ2:AZ31" si="5">"TC"&amp;"_"&amp;RIGHT(AX2,5)</f>
        <v>#REF!</v>
      </c>
      <c r="BA2" s="168"/>
      <c r="BB2" s="9" t="e">
        <f>_xlfn.XLOOKUP($D2,#REF!,#REF!,,0,)</f>
        <v>#REF!</v>
      </c>
      <c r="BC2" s="9" t="e">
        <f>_xlfn.XLOOKUP($D2,#REF!,#REF!,,0,)</f>
        <v>#REF!</v>
      </c>
      <c r="BD2" s="42" t="str">
        <f>Tab_Process_TCs2527[[#This Row],[Flow_ID]]</f>
        <v>F_05_06</v>
      </c>
      <c r="BE2" s="42" t="e">
        <f t="shared" ref="BE2:BE31"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4" t="b">
        <v>0</v>
      </c>
      <c r="B3" s="9">
        <f t="shared" si="0"/>
        <v>2</v>
      </c>
      <c r="C3" s="47" t="str">
        <f>_xlfn.XLOOKUP($D3,Tab_Process_TCs[Name(EN)],Tab_Process_TCs[Process_ID],,0,)</f>
        <v>05</v>
      </c>
      <c r="D3" s="189" t="s">
        <v>482</v>
      </c>
      <c r="E3" s="189" t="s">
        <v>382</v>
      </c>
      <c r="F3" s="47" t="str">
        <f>_xlfn.XLOOKUP($D3,Tab_Process_TCs[Name(EN)],Tab_Process_TCs[TC?],,0,)</f>
        <v>Yes</v>
      </c>
      <c r="G3" s="47" t="str">
        <f>_xlfn.XLOOKUP($D3,Tab_Process_TCs[Name(EN)],Tab_Process_TCs[Dyn_TC?],,0,)</f>
        <v>Yes</v>
      </c>
      <c r="H3" s="9" t="str">
        <f>_xlfn.XLOOKUP($E3,Tab_Def_Flows[Name(EN)],Tab_Def_Flows[Flow_ID],,0,1)</f>
        <v>F_05_06</v>
      </c>
      <c r="I3" s="9" t="str">
        <f>IF(Tab_Process_TCs2527[[#This Row],[Name(EN)]]="N.A.","N.A.","TC"&amp;"_"&amp;RIGHT(H3,5))</f>
        <v>TC_05_06</v>
      </c>
      <c r="J3" s="11">
        <v>2050</v>
      </c>
      <c r="K3" s="56">
        <v>0.6</v>
      </c>
      <c r="L3" s="9"/>
      <c r="M3" s="16" t="str">
        <f>_xlfn.XLOOKUP($D3,Tab_Def_Processes[Name(EN)],Tab_Def_Processes[Input_Flow_I_1],,0,)</f>
        <v>N.A.</v>
      </c>
      <c r="N3" s="9" t="str">
        <f>_xlfn.XLOOKUP($D3,Tab_Def_Processes[Name(EN)],Tab_Def_Processes[Flow_ID_I_1],,0,)</f>
        <v>N.A.</v>
      </c>
      <c r="O3" s="33"/>
      <c r="P3" s="29" t="str">
        <f>_xlfn.XLOOKUP($D3,Tab_Def_Processes[Name(EN)],Tab_Def_Processes[Input_Flow_I_2],,0,)</f>
        <v>N.A.</v>
      </c>
      <c r="Q3" s="9" t="str">
        <f>_xlfn.XLOOKUP($D3,Tab_Def_Processes[Name(EN)],Tab_Def_Processes[Flow_ID_I_2],,0,)</f>
        <v>N.A.</v>
      </c>
      <c r="R3" s="33"/>
      <c r="S3" s="29" t="str">
        <f>_xlfn.XLOOKUP($D3,Tab_Def_Processes[Name(EN)],Tab_Def_Processes[Input_Flow_I_3],,0,)</f>
        <v>N.A.</v>
      </c>
      <c r="T3" s="9" t="str">
        <f>_xlfn.XLOOKUP($D3,Tab_Def_Processes[Name(EN)],Tab_Def_Processes[Flow_ID_I_3],,0,)</f>
        <v>N.A.</v>
      </c>
      <c r="U3" s="33"/>
      <c r="V3" s="29" t="str">
        <f>_xlfn.XLOOKUP($D3,Tab_Def_Processes[Name(EN)],Tab_Def_Processes[Input_Flow_I_4],,0,)</f>
        <v>N.A.</v>
      </c>
      <c r="W3" s="9" t="str">
        <f>_xlfn.XLOOKUP($D3,Tab_Def_Processes[Name(EN)],Tab_Def_Processes[Flow_ID_I_4],,0,)</f>
        <v>N.A.</v>
      </c>
      <c r="X3" s="33"/>
      <c r="Y3" s="29" t="str">
        <f>_xlfn.XLOOKUP($D3,Tab_Def_Processes[Name(EN)],Tab_Def_Processes[Input_Flow_I_5],,0,)</f>
        <v>N.A.</v>
      </c>
      <c r="Z3" s="9" t="str">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F_05_06</v>
      </c>
      <c r="AF3" s="9" t="e">
        <f t="shared" si="1"/>
        <v>#REF!</v>
      </c>
      <c r="AG3" s="49">
        <v>0.2</v>
      </c>
      <c r="AH3" s="16" t="e">
        <f>_xlfn.XLOOKUP($D3,#REF!,#REF!,,0,)</f>
        <v>#REF!</v>
      </c>
      <c r="AI3" s="9" t="e">
        <f>_xlfn.XLOOKUP($D3,#REF!,#REF!,,0,)</f>
        <v>#REF!</v>
      </c>
      <c r="AJ3" s="42" t="str">
        <f>Tab_Process_TCs2527[[#This Row],[Flow_ID]]</f>
        <v>F_05_06</v>
      </c>
      <c r="AK3" s="9" t="e">
        <f t="shared" si="2"/>
        <v>#REF!</v>
      </c>
      <c r="AL3" s="176">
        <v>0.8</v>
      </c>
      <c r="AM3" s="16" t="e">
        <f>_xlfn.XLOOKUP($D3,#REF!,#REF!,,0,)</f>
        <v>#REF!</v>
      </c>
      <c r="AN3" s="9" t="e">
        <f>_xlfn.XLOOKUP($D3,#REF!,#REF!,,0,)</f>
        <v>#REF!</v>
      </c>
      <c r="AO3" s="42" t="str">
        <f>Tab_Process_TCs2527[[#This Row],[Flow_ID]]</f>
        <v>F_05_06</v>
      </c>
      <c r="AP3" s="9" t="e">
        <f t="shared" si="3"/>
        <v>#REF!</v>
      </c>
      <c r="AQ3" s="168"/>
      <c r="AR3" s="16" t="e">
        <f>_xlfn.XLOOKUP($D3,#REF!,#REF!,,0,)</f>
        <v>#REF!</v>
      </c>
      <c r="AS3" s="9" t="e">
        <f>_xlfn.XLOOKUP($D3,#REF!,#REF!,,0,)</f>
        <v>#REF!</v>
      </c>
      <c r="AT3" s="42" t="str">
        <f>Tab_Process_TCs2527[[#This Row],[Flow_ID]]</f>
        <v>F_05_06</v>
      </c>
      <c r="AU3" s="42" t="e">
        <f t="shared" si="4"/>
        <v>#REF!</v>
      </c>
      <c r="AV3" s="168"/>
      <c r="AW3" s="16" t="e">
        <f>_xlfn.XLOOKUP($D3,#REF!,#REF!,,0,)</f>
        <v>#REF!</v>
      </c>
      <c r="AX3" s="9" t="e">
        <f>_xlfn.XLOOKUP($D3,#REF!,#REF!,,0,)</f>
        <v>#REF!</v>
      </c>
      <c r="AY3" s="42" t="str">
        <f>Tab_Process_TCs2527[[#This Row],[Flow_ID]]</f>
        <v>F_05_06</v>
      </c>
      <c r="AZ3" s="42" t="e">
        <f t="shared" si="5"/>
        <v>#REF!</v>
      </c>
      <c r="BA3" s="168"/>
      <c r="BB3" s="9" t="e">
        <f>_xlfn.XLOOKUP($D3,#REF!,#REF!,,0,)</f>
        <v>#REF!</v>
      </c>
      <c r="BC3" s="9" t="e">
        <f>_xlfn.XLOOKUP($D3,#REF!,#REF!,,0,)</f>
        <v>#REF!</v>
      </c>
      <c r="BD3" s="42" t="str">
        <f>Tab_Process_TCs2527[[#This Row],[Flow_ID]]</f>
        <v>F_05_06</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4" t="b">
        <v>0</v>
      </c>
      <c r="B4" s="9">
        <f t="shared" si="0"/>
        <v>3</v>
      </c>
      <c r="C4" s="47" t="str">
        <f>_xlfn.XLOOKUP($D4,Tab_Process_TCs[Name(EN)],Tab_Process_TCs[Process_ID],,0,)</f>
        <v>05</v>
      </c>
      <c r="D4" s="189" t="s">
        <v>482</v>
      </c>
      <c r="E4" s="189" t="s">
        <v>380</v>
      </c>
      <c r="F4" s="47" t="str">
        <f>_xlfn.XLOOKUP($D4,Tab_Process_TCs[Name(EN)],Tab_Process_TCs[TC?],,0,)</f>
        <v>Yes</v>
      </c>
      <c r="G4" s="47" t="str">
        <f>_xlfn.XLOOKUP($D4,Tab_Process_TCs[Name(EN)],Tab_Process_TCs[Dyn_TC?],,0,)</f>
        <v>Yes</v>
      </c>
      <c r="H4" s="9" t="str">
        <f>_xlfn.XLOOKUP($E4,Tab_Def_Flows[Name(EN)],Tab_Def_Flows[Flow_ID],,0,1)</f>
        <v>F_05_07</v>
      </c>
      <c r="I4" s="9" t="str">
        <f>IF(Tab_Process_TCs2527[[#This Row],[Name(EN)]]="N.A.","N.A.","TC"&amp;"_"&amp;RIGHT(H4,5))</f>
        <v>TC_05_07</v>
      </c>
      <c r="J4" s="11">
        <v>2025</v>
      </c>
      <c r="K4" s="56">
        <v>0.3</v>
      </c>
      <c r="L4" s="9"/>
      <c r="M4" s="16" t="str">
        <f>_xlfn.XLOOKUP($D4,Tab_Def_Processes[Name(EN)],Tab_Def_Processes[Input_Flow_I_1],,0,)</f>
        <v>N.A.</v>
      </c>
      <c r="N4" s="9" t="str">
        <f>_xlfn.XLOOKUP($D4,Tab_Def_Processes[Name(EN)],Tab_Def_Processes[Flow_ID_I_1],,0,)</f>
        <v>N.A.</v>
      </c>
      <c r="O4" s="33"/>
      <c r="P4" s="29" t="str">
        <f>_xlfn.XLOOKUP($D4,Tab_Def_Processes[Name(EN)],Tab_Def_Processes[Input_Flow_I_2],,0,)</f>
        <v>N.A.</v>
      </c>
      <c r="Q4" s="9" t="str">
        <f>_xlfn.XLOOKUP($D4,Tab_Def_Processes[Name(EN)],Tab_Def_Processes[Flow_ID_I_2],,0,)</f>
        <v>N.A.</v>
      </c>
      <c r="R4" s="33"/>
      <c r="S4" s="29" t="str">
        <f>_xlfn.XLOOKUP($D4,Tab_Def_Processes[Name(EN)],Tab_Def_Processes[Input_Flow_I_3],,0,)</f>
        <v>N.A.</v>
      </c>
      <c r="T4" s="9" t="str">
        <f>_xlfn.XLOOKUP($D4,Tab_Def_Processes[Name(EN)],Tab_Def_Processes[Flow_ID_I_3],,0,)</f>
        <v>N.A.</v>
      </c>
      <c r="U4" s="33"/>
      <c r="V4" s="29" t="str">
        <f>_xlfn.XLOOKUP($D4,Tab_Def_Processes[Name(EN)],Tab_Def_Processes[Input_Flow_I_4],,0,)</f>
        <v>N.A.</v>
      </c>
      <c r="W4" s="9" t="str">
        <f>_xlfn.XLOOKUP($D4,Tab_Def_Processes[Name(EN)],Tab_Def_Processes[Flow_ID_I_4],,0,)</f>
        <v>N.A.</v>
      </c>
      <c r="X4" s="33"/>
      <c r="Y4" s="29" t="str">
        <f>_xlfn.XLOOKUP($D4,Tab_Def_Processes[Name(EN)],Tab_Def_Processes[Input_Flow_I_5],,0,)</f>
        <v>N.A.</v>
      </c>
      <c r="Z4" s="9" t="str">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F_05_07</v>
      </c>
      <c r="AF4" s="9" t="e">
        <f t="shared" si="1"/>
        <v>#REF!</v>
      </c>
      <c r="AG4" s="49">
        <v>0.2</v>
      </c>
      <c r="AH4" s="16" t="e">
        <f>_xlfn.XLOOKUP($D4,#REF!,#REF!,,0,)</f>
        <v>#REF!</v>
      </c>
      <c r="AI4" s="9" t="e">
        <f>_xlfn.XLOOKUP($D4,#REF!,#REF!,,0,)</f>
        <v>#REF!</v>
      </c>
      <c r="AJ4" s="42" t="str">
        <f>Tab_Process_TCs2527[[#This Row],[Flow_ID]]</f>
        <v>F_05_07</v>
      </c>
      <c r="AK4" s="9" t="e">
        <f t="shared" si="2"/>
        <v>#REF!</v>
      </c>
      <c r="AL4" s="176">
        <v>0.8</v>
      </c>
      <c r="AM4" s="16" t="e">
        <f>_xlfn.XLOOKUP($D4,#REF!,#REF!,,0,)</f>
        <v>#REF!</v>
      </c>
      <c r="AN4" s="9" t="e">
        <f>_xlfn.XLOOKUP($D4,#REF!,#REF!,,0,)</f>
        <v>#REF!</v>
      </c>
      <c r="AO4" s="42" t="str">
        <f>Tab_Process_TCs2527[[#This Row],[Flow_ID]]</f>
        <v>F_05_07</v>
      </c>
      <c r="AP4" s="9" t="e">
        <f t="shared" si="3"/>
        <v>#REF!</v>
      </c>
      <c r="AQ4" s="168"/>
      <c r="AR4" s="16" t="e">
        <f>_xlfn.XLOOKUP($D4,#REF!,#REF!,,0,)</f>
        <v>#REF!</v>
      </c>
      <c r="AS4" s="9" t="e">
        <f>_xlfn.XLOOKUP($D4,#REF!,#REF!,,0,)</f>
        <v>#REF!</v>
      </c>
      <c r="AT4" s="42" t="str">
        <f>Tab_Process_TCs2527[[#This Row],[Flow_ID]]</f>
        <v>F_05_07</v>
      </c>
      <c r="AU4" s="42" t="e">
        <f t="shared" si="4"/>
        <v>#REF!</v>
      </c>
      <c r="AV4" s="168"/>
      <c r="AW4" s="16" t="e">
        <f>_xlfn.XLOOKUP($D4,#REF!,#REF!,,0,)</f>
        <v>#REF!</v>
      </c>
      <c r="AX4" s="9" t="e">
        <f>_xlfn.XLOOKUP($D4,#REF!,#REF!,,0,)</f>
        <v>#REF!</v>
      </c>
      <c r="AY4" s="42" t="str">
        <f>Tab_Process_TCs2527[[#This Row],[Flow_ID]]</f>
        <v>F_05_07</v>
      </c>
      <c r="AZ4" s="42" t="e">
        <f t="shared" si="5"/>
        <v>#REF!</v>
      </c>
      <c r="BA4" s="168"/>
      <c r="BB4" s="9" t="e">
        <f>_xlfn.XLOOKUP($D4,#REF!,#REF!,,0,)</f>
        <v>#REF!</v>
      </c>
      <c r="BC4" s="9" t="e">
        <f>_xlfn.XLOOKUP($D4,#REF!,#REF!,,0,)</f>
        <v>#REF!</v>
      </c>
      <c r="BD4" s="42" t="str">
        <f>Tab_Process_TCs2527[[#This Row],[Flow_ID]]</f>
        <v>F_05_07</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4" t="b">
        <v>0</v>
      </c>
      <c r="B5" s="9">
        <f t="shared" si="0"/>
        <v>4</v>
      </c>
      <c r="C5" s="47" t="str">
        <f>_xlfn.XLOOKUP($D5,Tab_Process_TCs[Name(EN)],Tab_Process_TCs[Process_ID],,0,)</f>
        <v>05</v>
      </c>
      <c r="D5" s="189" t="s">
        <v>482</v>
      </c>
      <c r="E5" s="189" t="s">
        <v>380</v>
      </c>
      <c r="F5" s="47" t="str">
        <f>_xlfn.XLOOKUP($D5,Tab_Process_TCs[Name(EN)],Tab_Process_TCs[TC?],,0,)</f>
        <v>Yes</v>
      </c>
      <c r="G5" s="47" t="str">
        <f>_xlfn.XLOOKUP($D5,Tab_Process_TCs[Name(EN)],Tab_Process_TCs[Dyn_TC?],,0,)</f>
        <v>Yes</v>
      </c>
      <c r="H5" s="9" t="str">
        <f>_xlfn.XLOOKUP($E5,Tab_Def_Flows[Name(EN)],Tab_Def_Flows[Flow_ID],,0,1)</f>
        <v>F_05_07</v>
      </c>
      <c r="I5" s="9" t="str">
        <f>IF(Tab_Process_TCs2527[[#This Row],[Name(EN)]]="N.A.","N.A.","TC"&amp;"_"&amp;RIGHT(H5,5))</f>
        <v>TC_05_07</v>
      </c>
      <c r="J5" s="11">
        <v>2050</v>
      </c>
      <c r="K5" s="56">
        <v>0.2</v>
      </c>
      <c r="L5" s="9"/>
      <c r="M5" s="16" t="str">
        <f>_xlfn.XLOOKUP($D5,Tab_Def_Processes[Name(EN)],Tab_Def_Processes[Input_Flow_I_1],,0,)</f>
        <v>N.A.</v>
      </c>
      <c r="N5" s="9" t="str">
        <f>_xlfn.XLOOKUP($D5,Tab_Def_Processes[Name(EN)],Tab_Def_Processes[Flow_ID_I_1],,0,)</f>
        <v>N.A.</v>
      </c>
      <c r="O5" s="33"/>
      <c r="P5" s="29" t="str">
        <f>_xlfn.XLOOKUP($D5,Tab_Def_Processes[Name(EN)],Tab_Def_Processes[Input_Flow_I_2],,0,)</f>
        <v>N.A.</v>
      </c>
      <c r="Q5" s="9" t="str">
        <f>_xlfn.XLOOKUP($D5,Tab_Def_Processes[Name(EN)],Tab_Def_Processes[Flow_ID_I_2],,0,)</f>
        <v>N.A.</v>
      </c>
      <c r="R5" s="33"/>
      <c r="S5" s="29" t="str">
        <f>_xlfn.XLOOKUP($D5,Tab_Def_Processes[Name(EN)],Tab_Def_Processes[Input_Flow_I_3],,0,)</f>
        <v>N.A.</v>
      </c>
      <c r="T5" s="9" t="str">
        <f>_xlfn.XLOOKUP($D5,Tab_Def_Processes[Name(EN)],Tab_Def_Processes[Flow_ID_I_3],,0,)</f>
        <v>N.A.</v>
      </c>
      <c r="U5" s="33"/>
      <c r="V5" s="29" t="str">
        <f>_xlfn.XLOOKUP($D5,Tab_Def_Processes[Name(EN)],Tab_Def_Processes[Input_Flow_I_4],,0,)</f>
        <v>N.A.</v>
      </c>
      <c r="W5" s="9" t="str">
        <f>_xlfn.XLOOKUP($D5,Tab_Def_Processes[Name(EN)],Tab_Def_Processes[Flow_ID_I_4],,0,)</f>
        <v>N.A.</v>
      </c>
      <c r="X5" s="33"/>
      <c r="Y5" s="29" t="str">
        <f>_xlfn.XLOOKUP($D5,Tab_Def_Processes[Name(EN)],Tab_Def_Processes[Input_Flow_I_5],,0,)</f>
        <v>N.A.</v>
      </c>
      <c r="Z5" s="9" t="str">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F_05_07</v>
      </c>
      <c r="AF5" s="9" t="e">
        <f t="shared" si="1"/>
        <v>#REF!</v>
      </c>
      <c r="AG5" s="49">
        <v>0.5</v>
      </c>
      <c r="AH5" s="16" t="e">
        <f>_xlfn.XLOOKUP($D5,#REF!,#REF!,,0,)</f>
        <v>#REF!</v>
      </c>
      <c r="AI5" s="9" t="e">
        <f>_xlfn.XLOOKUP($D5,#REF!,#REF!,,0,)</f>
        <v>#REF!</v>
      </c>
      <c r="AJ5" s="42" t="str">
        <f>Tab_Process_TCs2527[[#This Row],[Flow_ID]]</f>
        <v>F_05_07</v>
      </c>
      <c r="AK5" s="9" t="e">
        <f t="shared" si="2"/>
        <v>#REF!</v>
      </c>
      <c r="AL5" s="176">
        <v>0.2</v>
      </c>
      <c r="AM5" s="16" t="e">
        <f>_xlfn.XLOOKUP($D5,#REF!,#REF!,,0,)</f>
        <v>#REF!</v>
      </c>
      <c r="AN5" s="9" t="e">
        <f>_xlfn.XLOOKUP($D5,#REF!,#REF!,,0,)</f>
        <v>#REF!</v>
      </c>
      <c r="AO5" s="42" t="str">
        <f>Tab_Process_TCs2527[[#This Row],[Flow_ID]]</f>
        <v>F_05_07</v>
      </c>
      <c r="AP5" s="9" t="e">
        <f t="shared" si="3"/>
        <v>#REF!</v>
      </c>
      <c r="AQ5" s="168">
        <v>0.3</v>
      </c>
      <c r="AR5" s="16" t="e">
        <f>_xlfn.XLOOKUP($D5,#REF!,#REF!,,0,)</f>
        <v>#REF!</v>
      </c>
      <c r="AS5" s="9" t="e">
        <f>_xlfn.XLOOKUP($D5,#REF!,#REF!,,0,)</f>
        <v>#REF!</v>
      </c>
      <c r="AT5" s="42" t="str">
        <f>Tab_Process_TCs2527[[#This Row],[Flow_ID]]</f>
        <v>F_05_07</v>
      </c>
      <c r="AU5" s="42" t="e">
        <f t="shared" si="4"/>
        <v>#REF!</v>
      </c>
      <c r="AV5" s="168"/>
      <c r="AW5" s="16" t="e">
        <f>_xlfn.XLOOKUP($D5,#REF!,#REF!,,0,)</f>
        <v>#REF!</v>
      </c>
      <c r="AX5" s="9" t="e">
        <f>_xlfn.XLOOKUP($D5,#REF!,#REF!,,0,)</f>
        <v>#REF!</v>
      </c>
      <c r="AY5" s="42" t="str">
        <f>Tab_Process_TCs2527[[#This Row],[Flow_ID]]</f>
        <v>F_05_07</v>
      </c>
      <c r="AZ5" s="42" t="e">
        <f t="shared" si="5"/>
        <v>#REF!</v>
      </c>
      <c r="BA5" s="168"/>
      <c r="BB5" s="9" t="e">
        <f>_xlfn.XLOOKUP($D5,#REF!,#REF!,,0,)</f>
        <v>#REF!</v>
      </c>
      <c r="BC5" s="9" t="e">
        <f>_xlfn.XLOOKUP($D5,#REF!,#REF!,,0,)</f>
        <v>#REF!</v>
      </c>
      <c r="BD5" s="42" t="str">
        <f>Tab_Process_TCs2527[[#This Row],[Flow_ID]]</f>
        <v>F_05_07</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4" t="b">
        <v>0</v>
      </c>
      <c r="B6" s="9">
        <f t="shared" si="0"/>
        <v>5</v>
      </c>
      <c r="C6" s="47" t="str">
        <f>_xlfn.XLOOKUP($D6,Tab_Process_TCs[Name(EN)],Tab_Process_TCs[Process_ID],,0,)</f>
        <v>05</v>
      </c>
      <c r="D6" s="189" t="s">
        <v>482</v>
      </c>
      <c r="E6" s="189" t="s">
        <v>474</v>
      </c>
      <c r="F6" s="47" t="str">
        <f>_xlfn.XLOOKUP($D6,Tab_Process_TCs[Name(EN)],Tab_Process_TCs[TC?],,0,)</f>
        <v>Yes</v>
      </c>
      <c r="G6" s="47" t="str">
        <f>_xlfn.XLOOKUP($D6,Tab_Process_TCs[Name(EN)],Tab_Process_TCs[Dyn_TC?],,0,)</f>
        <v>Yes</v>
      </c>
      <c r="H6" s="9" t="str">
        <f>_xlfn.XLOOKUP($E6,Tab_Def_Flows[Name(EN)],Tab_Def_Flows[Flow_ID],,0,1)</f>
        <v>F_05_09</v>
      </c>
      <c r="I6" s="9" t="str">
        <f>IF(Tab_Process_TCs2527[[#This Row],[Name(EN)]]="N.A.","N.A.","TC"&amp;"_"&amp;RIGHT(H6,5))</f>
        <v>TC_05_09</v>
      </c>
      <c r="J6" s="11">
        <v>2025</v>
      </c>
      <c r="K6" s="56">
        <v>0.2</v>
      </c>
      <c r="L6" s="9"/>
      <c r="M6" s="16" t="str">
        <f>_xlfn.XLOOKUP($D6,Tab_Def_Processes[Name(EN)],Tab_Def_Processes[Input_Flow_I_1],,0,)</f>
        <v>N.A.</v>
      </c>
      <c r="N6" s="9" t="str">
        <f>_xlfn.XLOOKUP($D6,Tab_Def_Processes[Name(EN)],Tab_Def_Processes[Flow_ID_I_1],,0,)</f>
        <v>N.A.</v>
      </c>
      <c r="O6" s="33"/>
      <c r="P6" s="29" t="str">
        <f>_xlfn.XLOOKUP($D6,Tab_Def_Processes[Name(EN)],Tab_Def_Processes[Input_Flow_I_2],,0,)</f>
        <v>N.A.</v>
      </c>
      <c r="Q6" s="9" t="str">
        <f>_xlfn.XLOOKUP($D6,Tab_Def_Processes[Name(EN)],Tab_Def_Processes[Flow_ID_I_2],,0,)</f>
        <v>N.A.</v>
      </c>
      <c r="R6" s="33"/>
      <c r="S6" s="29" t="str">
        <f>_xlfn.XLOOKUP($D6,Tab_Def_Processes[Name(EN)],Tab_Def_Processes[Input_Flow_I_3],,0,)</f>
        <v>N.A.</v>
      </c>
      <c r="T6" s="9" t="str">
        <f>_xlfn.XLOOKUP($D6,Tab_Def_Processes[Name(EN)],Tab_Def_Processes[Flow_ID_I_3],,0,)</f>
        <v>N.A.</v>
      </c>
      <c r="U6" s="33"/>
      <c r="V6" s="29" t="str">
        <f>_xlfn.XLOOKUP($D6,Tab_Def_Processes[Name(EN)],Tab_Def_Processes[Input_Flow_I_4],,0,)</f>
        <v>N.A.</v>
      </c>
      <c r="W6" s="9" t="str">
        <f>_xlfn.XLOOKUP($D6,Tab_Def_Processes[Name(EN)],Tab_Def_Processes[Flow_ID_I_4],,0,)</f>
        <v>N.A.</v>
      </c>
      <c r="X6" s="33"/>
      <c r="Y6" s="29" t="str">
        <f>_xlfn.XLOOKUP($D6,Tab_Def_Processes[Name(EN)],Tab_Def_Processes[Input_Flow_I_5],,0,)</f>
        <v>N.A.</v>
      </c>
      <c r="Z6" s="9" t="str">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F_05_09</v>
      </c>
      <c r="AF6" s="9" t="e">
        <f t="shared" si="1"/>
        <v>#REF!</v>
      </c>
      <c r="AG6" s="49">
        <v>0.2</v>
      </c>
      <c r="AH6" s="16" t="e">
        <f>_xlfn.XLOOKUP($D6,#REF!,#REF!,,0,)</f>
        <v>#REF!</v>
      </c>
      <c r="AI6" s="9" t="e">
        <f>_xlfn.XLOOKUP($D6,#REF!,#REF!,,0,)</f>
        <v>#REF!</v>
      </c>
      <c r="AJ6" s="42" t="str">
        <f>Tab_Process_TCs2527[[#This Row],[Flow_ID]]</f>
        <v>F_05_09</v>
      </c>
      <c r="AK6" s="9" t="e">
        <f t="shared" si="2"/>
        <v>#REF!</v>
      </c>
      <c r="AL6" s="176">
        <v>0.8</v>
      </c>
      <c r="AM6" s="16" t="e">
        <f>_xlfn.XLOOKUP($D6,#REF!,#REF!,,0,)</f>
        <v>#REF!</v>
      </c>
      <c r="AN6" s="9" t="e">
        <f>_xlfn.XLOOKUP($D6,#REF!,#REF!,,0,)</f>
        <v>#REF!</v>
      </c>
      <c r="AO6" s="42" t="str">
        <f>Tab_Process_TCs2527[[#This Row],[Flow_ID]]</f>
        <v>F_05_09</v>
      </c>
      <c r="AP6" s="9" t="e">
        <f t="shared" si="3"/>
        <v>#REF!</v>
      </c>
      <c r="AQ6" s="168"/>
      <c r="AR6" s="16" t="e">
        <f>_xlfn.XLOOKUP($D6,#REF!,#REF!,,0,)</f>
        <v>#REF!</v>
      </c>
      <c r="AS6" s="9" t="e">
        <f>_xlfn.XLOOKUP($D6,#REF!,#REF!,,0,)</f>
        <v>#REF!</v>
      </c>
      <c r="AT6" s="42" t="str">
        <f>Tab_Process_TCs2527[[#This Row],[Flow_ID]]</f>
        <v>F_05_09</v>
      </c>
      <c r="AU6" s="42" t="e">
        <f t="shared" si="4"/>
        <v>#REF!</v>
      </c>
      <c r="AV6" s="168"/>
      <c r="AW6" s="16" t="e">
        <f>_xlfn.XLOOKUP($D6,#REF!,#REF!,,0,)</f>
        <v>#REF!</v>
      </c>
      <c r="AX6" s="9" t="e">
        <f>_xlfn.XLOOKUP($D6,#REF!,#REF!,,0,)</f>
        <v>#REF!</v>
      </c>
      <c r="AY6" s="42" t="str">
        <f>Tab_Process_TCs2527[[#This Row],[Flow_ID]]</f>
        <v>F_05_09</v>
      </c>
      <c r="AZ6" s="42" t="e">
        <f t="shared" si="5"/>
        <v>#REF!</v>
      </c>
      <c r="BA6" s="168"/>
      <c r="BB6" s="9" t="e">
        <f>_xlfn.XLOOKUP($D6,#REF!,#REF!,,0,)</f>
        <v>#REF!</v>
      </c>
      <c r="BC6" s="9" t="e">
        <f>_xlfn.XLOOKUP($D6,#REF!,#REF!,,0,)</f>
        <v>#REF!</v>
      </c>
      <c r="BD6" s="42" t="str">
        <f>Tab_Process_TCs2527[[#This Row],[Flow_ID]]</f>
        <v>F_05_09</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4" t="b">
        <v>0</v>
      </c>
      <c r="B7" s="9">
        <f t="shared" si="0"/>
        <v>6</v>
      </c>
      <c r="C7" s="47" t="str">
        <f>_xlfn.XLOOKUP($D7,Tab_Process_TCs[Name(EN)],Tab_Process_TCs[Process_ID],,0,)</f>
        <v>05</v>
      </c>
      <c r="D7" s="189" t="s">
        <v>482</v>
      </c>
      <c r="E7" s="189" t="s">
        <v>474</v>
      </c>
      <c r="F7" s="47" t="str">
        <f>_xlfn.XLOOKUP($D7,Tab_Process_TCs[Name(EN)],Tab_Process_TCs[TC?],,0,)</f>
        <v>Yes</v>
      </c>
      <c r="G7" s="47" t="str">
        <f>_xlfn.XLOOKUP($D7,Tab_Process_TCs[Name(EN)],Tab_Process_TCs[Dyn_TC?],,0,)</f>
        <v>Yes</v>
      </c>
      <c r="H7" s="9" t="str">
        <f>_xlfn.XLOOKUP($E7,Tab_Def_Flows[Name(EN)],Tab_Def_Flows[Flow_ID],,0,1)</f>
        <v>F_05_09</v>
      </c>
      <c r="I7" s="9" t="str">
        <f>IF(Tab_Process_TCs2527[[#This Row],[Name(EN)]]="N.A.","N.A.","TC"&amp;"_"&amp;RIGHT(H7,5))</f>
        <v>TC_05_09</v>
      </c>
      <c r="J7" s="11">
        <v>2050</v>
      </c>
      <c r="K7" s="56">
        <v>0.2</v>
      </c>
      <c r="L7" s="9"/>
      <c r="M7" s="16" t="str">
        <f>_xlfn.XLOOKUP($D7,Tab_Def_Processes[Name(EN)],Tab_Def_Processes[Input_Flow_I_1],,0,)</f>
        <v>N.A.</v>
      </c>
      <c r="N7" s="9" t="str">
        <f>_xlfn.XLOOKUP($D7,Tab_Def_Processes[Name(EN)],Tab_Def_Processes[Flow_ID_I_1],,0,)</f>
        <v>N.A.</v>
      </c>
      <c r="O7" s="33"/>
      <c r="P7" s="29" t="str">
        <f>_xlfn.XLOOKUP($D7,Tab_Def_Processes[Name(EN)],Tab_Def_Processes[Input_Flow_I_2],,0,)</f>
        <v>N.A.</v>
      </c>
      <c r="Q7" s="9" t="str">
        <f>_xlfn.XLOOKUP($D7,Tab_Def_Processes[Name(EN)],Tab_Def_Processes[Flow_ID_I_2],,0,)</f>
        <v>N.A.</v>
      </c>
      <c r="R7" s="33"/>
      <c r="S7" s="29" t="str">
        <f>_xlfn.XLOOKUP($D7,Tab_Def_Processes[Name(EN)],Tab_Def_Processes[Input_Flow_I_3],,0,)</f>
        <v>N.A.</v>
      </c>
      <c r="T7" s="9" t="str">
        <f>_xlfn.XLOOKUP($D7,Tab_Def_Processes[Name(EN)],Tab_Def_Processes[Flow_ID_I_3],,0,)</f>
        <v>N.A.</v>
      </c>
      <c r="U7" s="33"/>
      <c r="V7" s="29" t="str">
        <f>_xlfn.XLOOKUP($D7,Tab_Def_Processes[Name(EN)],Tab_Def_Processes[Input_Flow_I_4],,0,)</f>
        <v>N.A.</v>
      </c>
      <c r="W7" s="9" t="str">
        <f>_xlfn.XLOOKUP($D7,Tab_Def_Processes[Name(EN)],Tab_Def_Processes[Flow_ID_I_4],,0,)</f>
        <v>N.A.</v>
      </c>
      <c r="X7" s="33"/>
      <c r="Y7" s="29" t="str">
        <f>_xlfn.XLOOKUP($D7,Tab_Def_Processes[Name(EN)],Tab_Def_Processes[Input_Flow_I_5],,0,)</f>
        <v>N.A.</v>
      </c>
      <c r="Z7" s="9" t="str">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F_05_09</v>
      </c>
      <c r="AF7" s="9" t="e">
        <f t="shared" si="1"/>
        <v>#REF!</v>
      </c>
      <c r="AG7" s="49">
        <v>0.2</v>
      </c>
      <c r="AH7" s="16" t="e">
        <f>_xlfn.XLOOKUP($D7,#REF!,#REF!,,0,)</f>
        <v>#REF!</v>
      </c>
      <c r="AI7" s="9" t="e">
        <f>_xlfn.XLOOKUP($D7,#REF!,#REF!,,0,)</f>
        <v>#REF!</v>
      </c>
      <c r="AJ7" s="42" t="str">
        <f>Tab_Process_TCs2527[[#This Row],[Flow_ID]]</f>
        <v>F_05_09</v>
      </c>
      <c r="AK7" s="9" t="e">
        <f t="shared" si="2"/>
        <v>#REF!</v>
      </c>
      <c r="AL7" s="176">
        <v>0.8</v>
      </c>
      <c r="AM7" s="16" t="e">
        <f>_xlfn.XLOOKUP($D7,#REF!,#REF!,,0,)</f>
        <v>#REF!</v>
      </c>
      <c r="AN7" s="9" t="e">
        <f>_xlfn.XLOOKUP($D7,#REF!,#REF!,,0,)</f>
        <v>#REF!</v>
      </c>
      <c r="AO7" s="42" t="str">
        <f>Tab_Process_TCs2527[[#This Row],[Flow_ID]]</f>
        <v>F_05_09</v>
      </c>
      <c r="AP7" s="9" t="e">
        <f t="shared" si="3"/>
        <v>#REF!</v>
      </c>
      <c r="AQ7" s="168"/>
      <c r="AR7" s="16" t="e">
        <f>_xlfn.XLOOKUP($D7,#REF!,#REF!,,0,)</f>
        <v>#REF!</v>
      </c>
      <c r="AS7" s="9" t="e">
        <f>_xlfn.XLOOKUP($D7,#REF!,#REF!,,0,)</f>
        <v>#REF!</v>
      </c>
      <c r="AT7" s="42" t="str">
        <f>Tab_Process_TCs2527[[#This Row],[Flow_ID]]</f>
        <v>F_05_09</v>
      </c>
      <c r="AU7" s="42" t="e">
        <f t="shared" si="4"/>
        <v>#REF!</v>
      </c>
      <c r="AV7" s="168"/>
      <c r="AW7" s="16" t="e">
        <f>_xlfn.XLOOKUP($D7,#REF!,#REF!,,0,)</f>
        <v>#REF!</v>
      </c>
      <c r="AX7" s="9" t="e">
        <f>_xlfn.XLOOKUP($D7,#REF!,#REF!,,0,)</f>
        <v>#REF!</v>
      </c>
      <c r="AY7" s="42" t="str">
        <f>Tab_Process_TCs2527[[#This Row],[Flow_ID]]</f>
        <v>F_05_09</v>
      </c>
      <c r="AZ7" s="42" t="e">
        <f t="shared" si="5"/>
        <v>#REF!</v>
      </c>
      <c r="BA7" s="168"/>
      <c r="BB7" s="9" t="e">
        <f>_xlfn.XLOOKUP($D7,#REF!,#REF!,,0,)</f>
        <v>#REF!</v>
      </c>
      <c r="BC7" s="9" t="e">
        <f>_xlfn.XLOOKUP($D7,#REF!,#REF!,,0,)</f>
        <v>#REF!</v>
      </c>
      <c r="BD7" s="42" t="str">
        <f>Tab_Process_TCs2527[[#This Row],[Flow_ID]]</f>
        <v>F_05_09</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4" t="b">
        <v>0</v>
      </c>
      <c r="B8" s="9">
        <f t="shared" si="0"/>
        <v>7</v>
      </c>
      <c r="C8" s="47" t="e">
        <f>_xlfn.XLOOKUP($D8,Tab_Process_TCs[Name(EN)],Tab_Process_TCs[Process_ID],,0,)</f>
        <v>#N/A</v>
      </c>
      <c r="D8" s="189" t="s">
        <v>35</v>
      </c>
      <c r="E8" s="189" t="s">
        <v>35</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6">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4" t="b">
        <v>0</v>
      </c>
      <c r="B9" s="9">
        <f t="shared" si="0"/>
        <v>8</v>
      </c>
      <c r="C9" s="47" t="e">
        <f>_xlfn.XLOOKUP($D9,Tab_Process_TCs[Name(EN)],Tab_Process_TCs[Process_ID],,0,)</f>
        <v>#N/A</v>
      </c>
      <c r="D9" s="189" t="s">
        <v>35</v>
      </c>
      <c r="E9" s="189" t="s">
        <v>35</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183"/>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0.5</v>
      </c>
      <c r="AH9" s="16" t="e">
        <f>_xlfn.XLOOKUP($D9,#REF!,#REF!,,0,)</f>
        <v>#REF!</v>
      </c>
      <c r="AI9" s="9" t="e">
        <f>_xlfn.XLOOKUP($D9,#REF!,#REF!,,0,)</f>
        <v>#REF!</v>
      </c>
      <c r="AJ9" s="42" t="str">
        <f>Tab_Process_TCs2527[[#This Row],[Flow_ID]]</f>
        <v>N.A.</v>
      </c>
      <c r="AK9" s="9" t="e">
        <f t="shared" si="2"/>
        <v>#REF!</v>
      </c>
      <c r="AL9" s="176">
        <v>0.2</v>
      </c>
      <c r="AM9" s="16" t="e">
        <f>_xlfn.XLOOKUP($D9,#REF!,#REF!,,0,)</f>
        <v>#REF!</v>
      </c>
      <c r="AN9" s="9" t="e">
        <f>_xlfn.XLOOKUP($D9,#REF!,#REF!,,0,)</f>
        <v>#REF!</v>
      </c>
      <c r="AO9" s="42" t="str">
        <f>Tab_Process_TCs2527[[#This Row],[Flow_ID]]</f>
        <v>N.A.</v>
      </c>
      <c r="AP9" s="9" t="e">
        <f t="shared" si="3"/>
        <v>#REF!</v>
      </c>
      <c r="AQ9" s="168">
        <v>0.3</v>
      </c>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4" t="b">
        <v>0</v>
      </c>
      <c r="B10" s="9">
        <f t="shared" si="0"/>
        <v>9</v>
      </c>
      <c r="C10" s="47" t="e">
        <f>_xlfn.XLOOKUP($D10,Tab_Process_TCs[Name(EN)],Tab_Process_TCs[Process_ID],,0,)</f>
        <v>#N/A</v>
      </c>
      <c r="D10" s="189" t="s">
        <v>35</v>
      </c>
      <c r="E10" s="189" t="s">
        <v>35</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183"/>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0.5</v>
      </c>
      <c r="AH10" s="16" t="e">
        <f>_xlfn.XLOOKUP($D10,#REF!,#REF!,,0,)</f>
        <v>#REF!</v>
      </c>
      <c r="AI10" s="9" t="e">
        <f>_xlfn.XLOOKUP($D10,#REF!,#REF!,,0,)</f>
        <v>#REF!</v>
      </c>
      <c r="AJ10" s="42" t="str">
        <f>Tab_Process_TCs2527[[#This Row],[Flow_ID]]</f>
        <v>N.A.</v>
      </c>
      <c r="AK10" s="9" t="e">
        <f t="shared" si="2"/>
        <v>#REF!</v>
      </c>
      <c r="AL10" s="176">
        <v>0.2</v>
      </c>
      <c r="AM10" s="16" t="e">
        <f>_xlfn.XLOOKUP($D10,#REF!,#REF!,,0,)</f>
        <v>#REF!</v>
      </c>
      <c r="AN10" s="9" t="e">
        <f>_xlfn.XLOOKUP($D10,#REF!,#REF!,,0,)</f>
        <v>#REF!</v>
      </c>
      <c r="AO10" s="42" t="str">
        <f>Tab_Process_TCs2527[[#This Row],[Flow_ID]]</f>
        <v>N.A.</v>
      </c>
      <c r="AP10" s="9" t="e">
        <f t="shared" si="3"/>
        <v>#REF!</v>
      </c>
      <c r="AQ10" s="168">
        <v>0.3</v>
      </c>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4" t="b">
        <v>0</v>
      </c>
      <c r="B11" s="9">
        <f t="shared" si="0"/>
        <v>10</v>
      </c>
      <c r="C11" s="47" t="e">
        <f>_xlfn.XLOOKUP($D11,Tab_Process_TCs[Name(EN)],Tab_Process_TCs[Process_ID],,0,)</f>
        <v>#N/A</v>
      </c>
      <c r="D11" s="189" t="s">
        <v>35</v>
      </c>
      <c r="E11" s="189" t="s">
        <v>35</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3"/>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6">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4" t="b">
        <v>0</v>
      </c>
      <c r="B12" s="9">
        <f t="shared" si="0"/>
        <v>11</v>
      </c>
      <c r="C12" s="47" t="e">
        <f>_xlfn.XLOOKUP($D12,Tab_Process_TCs[Name(EN)],Tab_Process_TCs[Process_ID],,0,)</f>
        <v>#N/A</v>
      </c>
      <c r="D12" s="189" t="s">
        <v>35</v>
      </c>
      <c r="E12" s="189" t="s">
        <v>35</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3"/>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9" t="e">
        <f>_xlfn.XLOOKUP($D12,#REF!,#REF!,,0,)</f>
        <v>#REF!</v>
      </c>
      <c r="AI12" s="53" t="e">
        <f>_xlfn.XLOOKUP($D12,#REF!,#REF!,,0,)</f>
        <v>#REF!</v>
      </c>
      <c r="AJ12" s="42" t="str">
        <f>Tab_Process_TCs2527[[#This Row],[Flow_ID]]</f>
        <v>N.A.</v>
      </c>
      <c r="AK12" s="9" t="e">
        <f t="shared" si="2"/>
        <v>#REF!</v>
      </c>
      <c r="AL12" s="176">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4" t="b">
        <v>0</v>
      </c>
      <c r="B13" s="9">
        <f t="shared" si="0"/>
        <v>12</v>
      </c>
      <c r="C13" s="47" t="e">
        <f>_xlfn.XLOOKUP($D13,Tab_Process_TCs[Name(EN)],Tab_Process_TCs[Process_ID],,0,)</f>
        <v>#N/A</v>
      </c>
      <c r="D13" s="189" t="s">
        <v>35</v>
      </c>
      <c r="E13" s="189" t="s">
        <v>35</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3"/>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9" t="e">
        <f>_xlfn.XLOOKUP($D13,#REF!,#REF!,,0,)</f>
        <v>#REF!</v>
      </c>
      <c r="AI13" s="53" t="e">
        <f>_xlfn.XLOOKUP($D13,#REF!,#REF!,,0,)</f>
        <v>#REF!</v>
      </c>
      <c r="AJ13" s="42" t="str">
        <f>Tab_Process_TCs2527[[#This Row],[Flow_ID]]</f>
        <v>N.A.</v>
      </c>
      <c r="AK13" s="9" t="e">
        <f t="shared" si="2"/>
        <v>#REF!</v>
      </c>
      <c r="AL13" s="176">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4" t="b">
        <v>0</v>
      </c>
      <c r="B14" s="9">
        <f t="shared" si="0"/>
        <v>13</v>
      </c>
      <c r="C14" s="47" t="e">
        <f>_xlfn.XLOOKUP($D14,Tab_Process_TCs[Name(EN)],Tab_Process_TCs[Process_ID],,0,)</f>
        <v>#N/A</v>
      </c>
      <c r="D14" s="189" t="s">
        <v>35</v>
      </c>
      <c r="E14" s="189" t="s">
        <v>35</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3"/>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6">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4" t="b">
        <v>0</v>
      </c>
      <c r="B15" s="9">
        <f t="shared" si="0"/>
        <v>14</v>
      </c>
      <c r="C15" s="47" t="e">
        <f>_xlfn.XLOOKUP($D15,Tab_Process_TCs[Name(EN)],Tab_Process_TCs[Process_ID],,0,)</f>
        <v>#N/A</v>
      </c>
      <c r="D15" s="189" t="s">
        <v>35</v>
      </c>
      <c r="E15" s="189" t="s">
        <v>35</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3"/>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6">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4" t="b">
        <v>0</v>
      </c>
      <c r="B16" s="9">
        <f t="shared" si="0"/>
        <v>15</v>
      </c>
      <c r="C16" s="47" t="e">
        <f>_xlfn.XLOOKUP($D16,Tab_Process_TCs[Name(EN)],Tab_Process_TCs[Process_ID],,0,)</f>
        <v>#N/A</v>
      </c>
      <c r="D16" s="189" t="s">
        <v>35</v>
      </c>
      <c r="E16" s="189" t="s">
        <v>35</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3"/>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6">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4" t="b">
        <v>0</v>
      </c>
      <c r="B17" s="9">
        <f t="shared" si="0"/>
        <v>16</v>
      </c>
      <c r="C17" s="47" t="e">
        <f>_xlfn.XLOOKUP($D17,Tab_Process_TCs[Name(EN)],Tab_Process_TCs[Process_ID],,0,)</f>
        <v>#N/A</v>
      </c>
      <c r="D17" s="189" t="s">
        <v>35</v>
      </c>
      <c r="E17" s="189" t="s">
        <v>35</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3"/>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6">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4" t="b">
        <v>0</v>
      </c>
      <c r="B18" s="9">
        <f t="shared" si="0"/>
        <v>17</v>
      </c>
      <c r="C18" s="47" t="e">
        <f>_xlfn.XLOOKUP($D18,Tab_Process_TCs[Name(EN)],Tab_Process_TCs[Process_ID],,0,)</f>
        <v>#N/A</v>
      </c>
      <c r="D18" s="189" t="s">
        <v>35</v>
      </c>
      <c r="E18" s="189" t="s">
        <v>35</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3"/>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6">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4" t="b">
        <v>0</v>
      </c>
      <c r="B19" s="9">
        <f t="shared" si="0"/>
        <v>18</v>
      </c>
      <c r="C19" s="47" t="e">
        <f>_xlfn.XLOOKUP($D19,Tab_Process_TCs[Name(EN)],Tab_Process_TCs[Process_ID],,0,)</f>
        <v>#N/A</v>
      </c>
      <c r="D19" s="189" t="s">
        <v>35</v>
      </c>
      <c r="E19" s="189" t="s">
        <v>35</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3"/>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6">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4" t="b">
        <v>0</v>
      </c>
      <c r="B20" s="9">
        <f t="shared" si="0"/>
        <v>19</v>
      </c>
      <c r="C20" s="47" t="e">
        <f>_xlfn.XLOOKUP($D20,Tab_Process_TCs[Name(EN)],Tab_Process_TCs[Process_ID],,0,)</f>
        <v>#N/A</v>
      </c>
      <c r="D20" s="189" t="s">
        <v>35</v>
      </c>
      <c r="E20" s="189" t="s">
        <v>35</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3"/>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68">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4" t="b">
        <v>0</v>
      </c>
      <c r="B21" s="9">
        <f t="shared" si="0"/>
        <v>20</v>
      </c>
      <c r="C21" s="47" t="e">
        <f>_xlfn.XLOOKUP($D21,Tab_Process_TCs[Name(EN)],Tab_Process_TCs[Process_ID],,0,)</f>
        <v>#N/A</v>
      </c>
      <c r="D21" s="189" t="s">
        <v>35</v>
      </c>
      <c r="E21" s="189" t="s">
        <v>35</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3"/>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68">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4" t="b">
        <v>0</v>
      </c>
      <c r="B22" s="9">
        <f t="shared" si="0"/>
        <v>21</v>
      </c>
      <c r="C22" s="47" t="e">
        <f>_xlfn.XLOOKUP($D22,Tab_Process_TCs[Name(EN)],Tab_Process_TCs[Process_ID],,0,)</f>
        <v>#N/A</v>
      </c>
      <c r="D22" s="189" t="s">
        <v>35</v>
      </c>
      <c r="E22" s="189" t="s">
        <v>35</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3"/>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4" t="b">
        <v>0</v>
      </c>
      <c r="B23" s="9">
        <f t="shared" si="0"/>
        <v>22</v>
      </c>
      <c r="C23" s="47" t="e">
        <f>_xlfn.XLOOKUP($D23,Tab_Process_TCs[Name(EN)],Tab_Process_TCs[Process_ID],,0,)</f>
        <v>#N/A</v>
      </c>
      <c r="D23" s="189" t="s">
        <v>35</v>
      </c>
      <c r="E23" s="189" t="s">
        <v>35</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3"/>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4" t="b">
        <v>0</v>
      </c>
      <c r="B24" s="9">
        <f t="shared" si="0"/>
        <v>23</v>
      </c>
      <c r="C24" s="47" t="e">
        <f>_xlfn.XLOOKUP($D24,Tab_Process_TCs[Name(EN)],Tab_Process_TCs[Process_ID],,0,)</f>
        <v>#N/A</v>
      </c>
      <c r="D24" s="189" t="s">
        <v>35</v>
      </c>
      <c r="E24" s="189" t="s">
        <v>35</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3"/>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4" t="b">
        <v>0</v>
      </c>
      <c r="B25" s="9">
        <f t="shared" si="0"/>
        <v>24</v>
      </c>
      <c r="C25" s="47" t="e">
        <f>_xlfn.XLOOKUP($D25,Tab_Process_TCs[Name(EN)],Tab_Process_TCs[Process_ID],,0,)</f>
        <v>#N/A</v>
      </c>
      <c r="D25" s="189" t="s">
        <v>35</v>
      </c>
      <c r="E25" s="189" t="s">
        <v>35</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3"/>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4" t="b">
        <v>0</v>
      </c>
      <c r="B26" s="9">
        <f t="shared" si="0"/>
        <v>25</v>
      </c>
      <c r="C26" s="47" t="e">
        <f>_xlfn.XLOOKUP($D26,Tab_Process_TCs[Name(EN)],Tab_Process_TCs[Process_ID],,0,)</f>
        <v>#N/A</v>
      </c>
      <c r="D26" s="189" t="s">
        <v>35</v>
      </c>
      <c r="E26" s="189" t="s">
        <v>35</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3"/>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4" t="b">
        <v>0</v>
      </c>
      <c r="B27" s="9">
        <f t="shared" si="0"/>
        <v>26</v>
      </c>
      <c r="C27" s="47" t="e">
        <f>_xlfn.XLOOKUP($D27,Tab_Process_TCs[Name(EN)],Tab_Process_TCs[Process_ID],,0,)</f>
        <v>#N/A</v>
      </c>
      <c r="D27" s="189" t="s">
        <v>35</v>
      </c>
      <c r="E27" s="189" t="s">
        <v>35</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3"/>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4" t="b">
        <v>0</v>
      </c>
      <c r="B28" s="9">
        <f t="shared" si="0"/>
        <v>27</v>
      </c>
      <c r="C28" s="47" t="e">
        <f>_xlfn.XLOOKUP($D28,Tab_Process_TCs[Name(EN)],Tab_Process_TCs[Process_ID],,0,)</f>
        <v>#N/A</v>
      </c>
      <c r="D28" s="189" t="s">
        <v>35</v>
      </c>
      <c r="E28" s="189" t="s">
        <v>35</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3"/>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4" t="b">
        <v>0</v>
      </c>
      <c r="B29" s="9">
        <f t="shared" si="0"/>
        <v>28</v>
      </c>
      <c r="C29" s="47" t="e">
        <f>_xlfn.XLOOKUP($D29,Tab_Process_TCs[Name(EN)],Tab_Process_TCs[Process_ID],,0,)</f>
        <v>#N/A</v>
      </c>
      <c r="D29" s="189" t="s">
        <v>35</v>
      </c>
      <c r="E29" s="189" t="s">
        <v>35</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3"/>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4" t="b">
        <v>0</v>
      </c>
      <c r="B30" s="9">
        <f t="shared" si="0"/>
        <v>29</v>
      </c>
      <c r="C30" s="47" t="e">
        <f>_xlfn.XLOOKUP($D30,Tab_Process_TCs[Name(EN)],Tab_Process_TCs[Process_ID],,0,)</f>
        <v>#N/A</v>
      </c>
      <c r="D30" s="189" t="s">
        <v>35</v>
      </c>
      <c r="E30" s="189" t="s">
        <v>35</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3"/>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4" t="b">
        <v>0</v>
      </c>
      <c r="B31" s="9">
        <f t="shared" si="0"/>
        <v>30</v>
      </c>
      <c r="C31" s="47" t="e">
        <f>_xlfn.XLOOKUP($D31,Tab_Process_TCs[Name(EN)],Tab_Process_TCs[Process_ID],,0,)</f>
        <v>#N/A</v>
      </c>
      <c r="D31" s="189" t="s">
        <v>35</v>
      </c>
      <c r="E31" s="189" t="s">
        <v>35</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3"/>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4" t="b">
        <v>0</v>
      </c>
      <c r="B32" s="9">
        <f t="shared" ref="B32:B63" si="7">ROW()-1</f>
        <v>31</v>
      </c>
      <c r="C32" s="47" t="e">
        <f>_xlfn.XLOOKUP($D32,Tab_Process_TCs[Name(EN)],Tab_Process_TCs[Process_ID],,0,)</f>
        <v>#N/A</v>
      </c>
      <c r="D32" s="189" t="s">
        <v>35</v>
      </c>
      <c r="E32" s="189" t="s">
        <v>35</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3"/>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ref="AF32:AF63" si="8">"TC"&amp;"_"&amp;RIGHT(AD32,5)</f>
        <v>#REF!</v>
      </c>
      <c r="AG32" s="49">
        <v>0.5</v>
      </c>
      <c r="AH32" s="169" t="e">
        <f>_xlfn.XLOOKUP($D32,#REF!,#REF!,,0,)</f>
        <v>#REF!</v>
      </c>
      <c r="AI32" s="53" t="e">
        <f>_xlfn.XLOOKUP($D32,#REF!,#REF!,,0,)</f>
        <v>#REF!</v>
      </c>
      <c r="AJ32" s="42" t="str">
        <f>Tab_Process_TCs2527[[#This Row],[Flow_ID]]</f>
        <v>N.A.</v>
      </c>
      <c r="AK32" s="9" t="e">
        <f t="shared" ref="AK32:AK63" si="9">"TC"&amp;"_"&amp;RIGHT(AI32,5)</f>
        <v>#REF!</v>
      </c>
      <c r="AL32" s="168">
        <v>0.2</v>
      </c>
      <c r="AM32" s="16" t="e">
        <f>_xlfn.XLOOKUP($D32,#REF!,#REF!,,0,)</f>
        <v>#REF!</v>
      </c>
      <c r="AN32" s="9" t="e">
        <f>_xlfn.XLOOKUP($D32,#REF!,#REF!,,0,)</f>
        <v>#REF!</v>
      </c>
      <c r="AO32" s="42" t="str">
        <f>Tab_Process_TCs2527[[#This Row],[Flow_ID]]</f>
        <v>N.A.</v>
      </c>
      <c r="AP32" s="9" t="e">
        <f t="shared" ref="AP32:AP63" si="10">"TC"&amp;"_"&amp;RIGHT(AN32,5)</f>
        <v>#REF!</v>
      </c>
      <c r="AQ32" s="168">
        <v>0.3</v>
      </c>
      <c r="AR32" s="16" t="e">
        <f>_xlfn.XLOOKUP($D32,#REF!,#REF!,,0,)</f>
        <v>#REF!</v>
      </c>
      <c r="AS32" s="9" t="e">
        <f>_xlfn.XLOOKUP($D32,#REF!,#REF!,,0,)</f>
        <v>#REF!</v>
      </c>
      <c r="AT32" s="42" t="str">
        <f>Tab_Process_TCs2527[[#This Row],[Flow_ID]]</f>
        <v>N.A.</v>
      </c>
      <c r="AU32" s="42" t="e">
        <f t="shared" ref="AU32:AU63" si="11">"TC"&amp;"_"&amp;RIGHT(AN32,5)</f>
        <v>#REF!</v>
      </c>
      <c r="AV32" s="168"/>
      <c r="AW32" s="16" t="e">
        <f>_xlfn.XLOOKUP($D32,#REF!,#REF!,,0,)</f>
        <v>#REF!</v>
      </c>
      <c r="AX32" s="9" t="e">
        <f>_xlfn.XLOOKUP($D32,#REF!,#REF!,,0,)</f>
        <v>#REF!</v>
      </c>
      <c r="AY32" s="42" t="str">
        <f>Tab_Process_TCs2527[[#This Row],[Flow_ID]]</f>
        <v>N.A.</v>
      </c>
      <c r="AZ32" s="42" t="e">
        <f t="shared" ref="AZ32:AZ63" si="12">"TC"&amp;"_"&amp;RIGHT(AX32,5)</f>
        <v>#REF!</v>
      </c>
      <c r="BA32" s="168"/>
      <c r="BB32" s="9" t="e">
        <f>_xlfn.XLOOKUP($D32,#REF!,#REF!,,0,)</f>
        <v>#REF!</v>
      </c>
      <c r="BC32" s="9" t="e">
        <f>_xlfn.XLOOKUP($D32,#REF!,#REF!,,0,)</f>
        <v>#REF!</v>
      </c>
      <c r="BD32" s="42" t="str">
        <f>Tab_Process_TCs2527[[#This Row],[Flow_ID]]</f>
        <v>N.A.</v>
      </c>
      <c r="BE32" s="42" t="e">
        <f t="shared" ref="BE32:BE63" si="13">"TC"&amp;"_"&amp;RIGHT(BC32,5)</f>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4" t="b">
        <v>0</v>
      </c>
      <c r="B33" s="9">
        <f t="shared" si="7"/>
        <v>32</v>
      </c>
      <c r="C33" s="47" t="e">
        <f>_xlfn.XLOOKUP($D33,Tab_Process_TCs[Name(EN)],Tab_Process_TCs[Process_ID],,0,)</f>
        <v>#N/A</v>
      </c>
      <c r="D33" s="189" t="s">
        <v>35</v>
      </c>
      <c r="E33" s="189" t="s">
        <v>35</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3"/>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8"/>
        <v>#REF!</v>
      </c>
      <c r="AG33" s="49">
        <v>0.5</v>
      </c>
      <c r="AH33" s="169" t="e">
        <f>_xlfn.XLOOKUP($D33,#REF!,#REF!,,0,)</f>
        <v>#REF!</v>
      </c>
      <c r="AI33" s="53" t="e">
        <f>_xlfn.XLOOKUP($D33,#REF!,#REF!,,0,)</f>
        <v>#REF!</v>
      </c>
      <c r="AJ33" s="42" t="str">
        <f>Tab_Process_TCs2527[[#This Row],[Flow_ID]]</f>
        <v>N.A.</v>
      </c>
      <c r="AK33" s="9" t="e">
        <f t="shared" si="9"/>
        <v>#REF!</v>
      </c>
      <c r="AL33" s="168">
        <v>0.2</v>
      </c>
      <c r="AM33" s="16" t="e">
        <f>_xlfn.XLOOKUP($D33,#REF!,#REF!,,0,)</f>
        <v>#REF!</v>
      </c>
      <c r="AN33" s="9" t="e">
        <f>_xlfn.XLOOKUP($D33,#REF!,#REF!,,0,)</f>
        <v>#REF!</v>
      </c>
      <c r="AO33" s="42" t="str">
        <f>Tab_Process_TCs2527[[#This Row],[Flow_ID]]</f>
        <v>N.A.</v>
      </c>
      <c r="AP33" s="9" t="e">
        <f t="shared" si="10"/>
        <v>#REF!</v>
      </c>
      <c r="AQ33" s="168">
        <v>0.3</v>
      </c>
      <c r="AR33" s="16" t="e">
        <f>_xlfn.XLOOKUP($D33,#REF!,#REF!,,0,)</f>
        <v>#REF!</v>
      </c>
      <c r="AS33" s="9" t="e">
        <f>_xlfn.XLOOKUP($D33,#REF!,#REF!,,0,)</f>
        <v>#REF!</v>
      </c>
      <c r="AT33" s="42" t="str">
        <f>Tab_Process_TCs2527[[#This Row],[Flow_ID]]</f>
        <v>N.A.</v>
      </c>
      <c r="AU33" s="42" t="e">
        <f t="shared" si="11"/>
        <v>#REF!</v>
      </c>
      <c r="AV33" s="168"/>
      <c r="AW33" s="16" t="e">
        <f>_xlfn.XLOOKUP($D33,#REF!,#REF!,,0,)</f>
        <v>#REF!</v>
      </c>
      <c r="AX33" s="9" t="e">
        <f>_xlfn.XLOOKUP($D33,#REF!,#REF!,,0,)</f>
        <v>#REF!</v>
      </c>
      <c r="AY33" s="42" t="str">
        <f>Tab_Process_TCs2527[[#This Row],[Flow_ID]]</f>
        <v>N.A.</v>
      </c>
      <c r="AZ33" s="42" t="e">
        <f t="shared" si="12"/>
        <v>#REF!</v>
      </c>
      <c r="BA33" s="168"/>
      <c r="BB33" s="9" t="e">
        <f>_xlfn.XLOOKUP($D33,#REF!,#REF!,,0,)</f>
        <v>#REF!</v>
      </c>
      <c r="BC33" s="9" t="e">
        <f>_xlfn.XLOOKUP($D33,#REF!,#REF!,,0,)</f>
        <v>#REF!</v>
      </c>
      <c r="BD33" s="42" t="str">
        <f>Tab_Process_TCs2527[[#This Row],[Flow_ID]]</f>
        <v>N.A.</v>
      </c>
      <c r="BE33" s="42" t="e">
        <f t="shared" si="13"/>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4" t="b">
        <v>0</v>
      </c>
      <c r="B34" s="9">
        <f t="shared" si="7"/>
        <v>33</v>
      </c>
      <c r="C34" s="47" t="e">
        <f>_xlfn.XLOOKUP($D34,Tab_Process_TCs[Name(EN)],Tab_Process_TCs[Process_ID],,0,)</f>
        <v>#N/A</v>
      </c>
      <c r="D34" s="189" t="s">
        <v>35</v>
      </c>
      <c r="E34" s="189" t="s">
        <v>35</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3"/>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si="8"/>
        <v>#REF!</v>
      </c>
      <c r="AG34" s="49">
        <v>1</v>
      </c>
      <c r="AH34" s="169" t="e">
        <f>_xlfn.XLOOKUP($D34,#REF!,#REF!,,0,)</f>
        <v>#REF!</v>
      </c>
      <c r="AI34" s="53" t="e">
        <f>_xlfn.XLOOKUP($D34,#REF!,#REF!,,0,)</f>
        <v>#REF!</v>
      </c>
      <c r="AJ34" s="42" t="str">
        <f>Tab_Process_TCs2527[[#This Row],[Flow_ID]]</f>
        <v>N.A.</v>
      </c>
      <c r="AK34" s="9" t="e">
        <f t="shared" si="9"/>
        <v>#REF!</v>
      </c>
      <c r="AL34" s="168"/>
      <c r="AM34" s="16" t="e">
        <f>_xlfn.XLOOKUP($D34,#REF!,#REF!,,0,)</f>
        <v>#REF!</v>
      </c>
      <c r="AN34" s="9" t="e">
        <f>_xlfn.XLOOKUP($D34,#REF!,#REF!,,0,)</f>
        <v>#REF!</v>
      </c>
      <c r="AO34" s="42" t="str">
        <f>Tab_Process_TCs2527[[#This Row],[Flow_ID]]</f>
        <v>N.A.</v>
      </c>
      <c r="AP34" s="9" t="e">
        <f t="shared" si="10"/>
        <v>#REF!</v>
      </c>
      <c r="AQ34" s="168"/>
      <c r="AR34" s="16" t="e">
        <f>_xlfn.XLOOKUP($D34,#REF!,#REF!,,0,)</f>
        <v>#REF!</v>
      </c>
      <c r="AS34" s="9" t="e">
        <f>_xlfn.XLOOKUP($D34,#REF!,#REF!,,0,)</f>
        <v>#REF!</v>
      </c>
      <c r="AT34" s="42" t="str">
        <f>Tab_Process_TCs2527[[#This Row],[Flow_ID]]</f>
        <v>N.A.</v>
      </c>
      <c r="AU34" s="42" t="e">
        <f t="shared" si="11"/>
        <v>#REF!</v>
      </c>
      <c r="AV34" s="168"/>
      <c r="AW34" s="16" t="e">
        <f>_xlfn.XLOOKUP($D34,#REF!,#REF!,,0,)</f>
        <v>#REF!</v>
      </c>
      <c r="AX34" s="9" t="e">
        <f>_xlfn.XLOOKUP($D34,#REF!,#REF!,,0,)</f>
        <v>#REF!</v>
      </c>
      <c r="AY34" s="42" t="str">
        <f>Tab_Process_TCs2527[[#This Row],[Flow_ID]]</f>
        <v>N.A.</v>
      </c>
      <c r="AZ34" s="42" t="e">
        <f t="shared" si="12"/>
        <v>#REF!</v>
      </c>
      <c r="BA34" s="168"/>
      <c r="BB34" s="9" t="e">
        <f>_xlfn.XLOOKUP($D34,#REF!,#REF!,,0,)</f>
        <v>#REF!</v>
      </c>
      <c r="BC34" s="9" t="e">
        <f>_xlfn.XLOOKUP($D34,#REF!,#REF!,,0,)</f>
        <v>#REF!</v>
      </c>
      <c r="BD34" s="42" t="str">
        <f>Tab_Process_TCs2527[[#This Row],[Flow_ID]]</f>
        <v>N.A.</v>
      </c>
      <c r="BE34" s="42" t="e">
        <f t="shared" si="13"/>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4" t="b">
        <v>0</v>
      </c>
      <c r="B35" s="9">
        <f t="shared" si="7"/>
        <v>34</v>
      </c>
      <c r="C35" s="47" t="e">
        <f>_xlfn.XLOOKUP($D35,Tab_Process_TCs[Name(EN)],Tab_Process_TCs[Process_ID],,0,)</f>
        <v>#N/A</v>
      </c>
      <c r="D35" s="189" t="s">
        <v>35</v>
      </c>
      <c r="E35" s="189" t="s">
        <v>35</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3"/>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1</v>
      </c>
      <c r="AH35" s="169" t="e">
        <f>_xlfn.XLOOKUP($D35,#REF!,#REF!,,0,)</f>
        <v>#REF!</v>
      </c>
      <c r="AI35" s="53" t="e">
        <f>_xlfn.XLOOKUP($D35,#REF!,#REF!,,0,)</f>
        <v>#REF!</v>
      </c>
      <c r="AJ35" s="42" t="str">
        <f>Tab_Process_TCs2527[[#This Row],[Flow_ID]]</f>
        <v>N.A.</v>
      </c>
      <c r="AK35" s="9" t="e">
        <f t="shared" si="9"/>
        <v>#REF!</v>
      </c>
      <c r="AL35" s="168"/>
      <c r="AM35" s="16" t="e">
        <f>_xlfn.XLOOKUP($D35,#REF!,#REF!,,0,)</f>
        <v>#REF!</v>
      </c>
      <c r="AN35" s="9" t="e">
        <f>_xlfn.XLOOKUP($D35,#REF!,#REF!,,0,)</f>
        <v>#REF!</v>
      </c>
      <c r="AO35" s="42" t="str">
        <f>Tab_Process_TCs2527[[#This Row],[Flow_ID]]</f>
        <v>N.A.</v>
      </c>
      <c r="AP35" s="9" t="e">
        <f t="shared" si="10"/>
        <v>#REF!</v>
      </c>
      <c r="AQ35" s="168"/>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4" t="b">
        <v>0</v>
      </c>
      <c r="B36" s="9">
        <f t="shared" si="7"/>
        <v>35</v>
      </c>
      <c r="C36" s="47" t="e">
        <f>_xlfn.XLOOKUP($D36,Tab_Process_TCs[Name(EN)],Tab_Process_TCs[Process_ID],,0,)</f>
        <v>#N/A</v>
      </c>
      <c r="D36" s="189" t="s">
        <v>35</v>
      </c>
      <c r="E36" s="189" t="s">
        <v>35</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3"/>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4" t="b">
        <v>0</v>
      </c>
      <c r="B37" s="9">
        <f t="shared" si="7"/>
        <v>36</v>
      </c>
      <c r="C37" s="47" t="e">
        <f>_xlfn.XLOOKUP($D37,Tab_Process_TCs[Name(EN)],Tab_Process_TCs[Process_ID],,0,)</f>
        <v>#N/A</v>
      </c>
      <c r="D37" s="189" t="s">
        <v>35</v>
      </c>
      <c r="E37" s="189" t="s">
        <v>35</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3"/>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4" t="b">
        <v>0</v>
      </c>
      <c r="B38" s="9">
        <f t="shared" si="7"/>
        <v>37</v>
      </c>
      <c r="C38" s="47" t="e">
        <f>_xlfn.XLOOKUP($D38,Tab_Process_TCs[Name(EN)],Tab_Process_TCs[Process_ID],,0,)</f>
        <v>#N/A</v>
      </c>
      <c r="D38" s="189" t="s">
        <v>35</v>
      </c>
      <c r="E38" s="189" t="s">
        <v>35</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3"/>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4" t="b">
        <v>0</v>
      </c>
      <c r="B39" s="9">
        <f t="shared" si="7"/>
        <v>38</v>
      </c>
      <c r="C39" s="47" t="e">
        <f>_xlfn.XLOOKUP($D39,Tab_Process_TCs[Name(EN)],Tab_Process_TCs[Process_ID],,0,)</f>
        <v>#N/A</v>
      </c>
      <c r="D39" s="189" t="s">
        <v>35</v>
      </c>
      <c r="E39" s="189" t="s">
        <v>35</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3"/>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4" t="b">
        <v>0</v>
      </c>
      <c r="B40" s="9">
        <f t="shared" si="7"/>
        <v>39</v>
      </c>
      <c r="C40" s="47" t="e">
        <f>_xlfn.XLOOKUP($D40,Tab_Process_TCs[Name(EN)],Tab_Process_TCs[Process_ID],,0,)</f>
        <v>#N/A</v>
      </c>
      <c r="D40" s="189" t="s">
        <v>35</v>
      </c>
      <c r="E40" s="189" t="s">
        <v>35</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3"/>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4" t="b">
        <v>0</v>
      </c>
      <c r="B41" s="9">
        <f t="shared" si="7"/>
        <v>40</v>
      </c>
      <c r="C41" s="47" t="e">
        <f>_xlfn.XLOOKUP($D41,Tab_Process_TCs[Name(EN)],Tab_Process_TCs[Process_ID],,0,)</f>
        <v>#N/A</v>
      </c>
      <c r="D41" s="189" t="s">
        <v>35</v>
      </c>
      <c r="E41" s="189" t="s">
        <v>35</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3"/>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4" t="b">
        <v>0</v>
      </c>
      <c r="B42" s="9">
        <f t="shared" si="7"/>
        <v>41</v>
      </c>
      <c r="C42" s="47" t="e">
        <f>_xlfn.XLOOKUP($D42,Tab_Process_TCs[Name(EN)],Tab_Process_TCs[Process_ID],,0,)</f>
        <v>#N/A</v>
      </c>
      <c r="D42" s="189" t="s">
        <v>35</v>
      </c>
      <c r="E42" s="189" t="s">
        <v>35</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3"/>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4" t="b">
        <v>0</v>
      </c>
      <c r="B43" s="9">
        <f t="shared" si="7"/>
        <v>42</v>
      </c>
      <c r="C43" s="47" t="e">
        <f>_xlfn.XLOOKUP($D43,Tab_Process_TCs[Name(EN)],Tab_Process_TCs[Process_ID],,0,)</f>
        <v>#N/A</v>
      </c>
      <c r="D43" s="189" t="s">
        <v>35</v>
      </c>
      <c r="E43" s="189" t="s">
        <v>35</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3"/>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4" t="b">
        <v>0</v>
      </c>
      <c r="B44" s="9">
        <f t="shared" si="7"/>
        <v>43</v>
      </c>
      <c r="C44" s="47" t="e">
        <f>_xlfn.XLOOKUP($D44,Tab_Process_TCs[Name(EN)],Tab_Process_TCs[Process_ID],,0,)</f>
        <v>#N/A</v>
      </c>
      <c r="D44" s="189" t="s">
        <v>35</v>
      </c>
      <c r="E44" s="189" t="s">
        <v>35</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3"/>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4" t="b">
        <v>0</v>
      </c>
      <c r="B45" s="9">
        <f t="shared" si="7"/>
        <v>44</v>
      </c>
      <c r="C45" s="47" t="e">
        <f>_xlfn.XLOOKUP($D45,Tab_Process_TCs[Name(EN)],Tab_Process_TCs[Process_ID],,0,)</f>
        <v>#N/A</v>
      </c>
      <c r="D45" s="189" t="s">
        <v>35</v>
      </c>
      <c r="E45" s="189" t="s">
        <v>35</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3"/>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4" t="b">
        <v>0</v>
      </c>
      <c r="B46" s="9">
        <f t="shared" si="7"/>
        <v>45</v>
      </c>
      <c r="C46" s="47" t="e">
        <f>_xlfn.XLOOKUP($D46,Tab_Process_TCs[Name(EN)],Tab_Process_TCs[Process_ID],,0,)</f>
        <v>#N/A</v>
      </c>
      <c r="D46" s="189" t="s">
        <v>35</v>
      </c>
      <c r="E46" s="189" t="s">
        <v>35</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3"/>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4" t="b">
        <v>0</v>
      </c>
      <c r="B47" s="9">
        <f t="shared" si="7"/>
        <v>46</v>
      </c>
      <c r="C47" s="47" t="e">
        <f>_xlfn.XLOOKUP($D47,Tab_Process_TCs[Name(EN)],Tab_Process_TCs[Process_ID],,0,)</f>
        <v>#N/A</v>
      </c>
      <c r="D47" s="189" t="s">
        <v>35</v>
      </c>
      <c r="E47" s="189" t="s">
        <v>35</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3"/>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4" t="b">
        <v>0</v>
      </c>
      <c r="B48" s="9">
        <f t="shared" si="7"/>
        <v>47</v>
      </c>
      <c r="C48" s="47" t="e">
        <f>_xlfn.XLOOKUP($D48,Tab_Process_TCs[Name(EN)],Tab_Process_TCs[Process_ID],,0,)</f>
        <v>#N/A</v>
      </c>
      <c r="D48" s="189" t="s">
        <v>35</v>
      </c>
      <c r="E48" s="189" t="s">
        <v>35</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3"/>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4" t="b">
        <v>0</v>
      </c>
      <c r="B49" s="9">
        <f t="shared" si="7"/>
        <v>48</v>
      </c>
      <c r="C49" s="47" t="e">
        <f>_xlfn.XLOOKUP($D49,Tab_Process_TCs[Name(EN)],Tab_Process_TCs[Process_ID],,0,)</f>
        <v>#N/A</v>
      </c>
      <c r="D49" s="189" t="s">
        <v>35</v>
      </c>
      <c r="E49" s="189" t="s">
        <v>35</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3"/>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4" t="b">
        <v>0</v>
      </c>
      <c r="B50" s="9">
        <f t="shared" si="7"/>
        <v>49</v>
      </c>
      <c r="C50" s="47" t="e">
        <f>_xlfn.XLOOKUP($D50,Tab_Process_TCs[Name(EN)],Tab_Process_TCs[Process_ID],,0,)</f>
        <v>#N/A</v>
      </c>
      <c r="D50" s="189" t="s">
        <v>35</v>
      </c>
      <c r="E50" s="189" t="s">
        <v>35</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3"/>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4" t="b">
        <v>0</v>
      </c>
      <c r="B51" s="9">
        <f t="shared" si="7"/>
        <v>50</v>
      </c>
      <c r="C51" s="47" t="e">
        <f>_xlfn.XLOOKUP($D51,Tab_Process_TCs[Name(EN)],Tab_Process_TCs[Process_ID],,0,)</f>
        <v>#N/A</v>
      </c>
      <c r="D51" s="189" t="s">
        <v>35</v>
      </c>
      <c r="E51" s="189" t="s">
        <v>35</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3"/>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4" t="b">
        <v>0</v>
      </c>
      <c r="B52" s="9">
        <f t="shared" si="7"/>
        <v>51</v>
      </c>
      <c r="C52" s="47" t="e">
        <f>_xlfn.XLOOKUP($D52,Tab_Process_TCs[Name(EN)],Tab_Process_TCs[Process_ID],,0,)</f>
        <v>#N/A</v>
      </c>
      <c r="D52" s="189" t="s">
        <v>35</v>
      </c>
      <c r="E52" s="189" t="s">
        <v>35</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3"/>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4" t="b">
        <v>0</v>
      </c>
      <c r="B53" s="9">
        <f t="shared" si="7"/>
        <v>52</v>
      </c>
      <c r="C53" s="47" t="e">
        <f>_xlfn.XLOOKUP($D53,Tab_Process_TCs[Name(EN)],Tab_Process_TCs[Process_ID],,0,)</f>
        <v>#N/A</v>
      </c>
      <c r="D53" s="189" t="s">
        <v>35</v>
      </c>
      <c r="E53" s="189" t="s">
        <v>35</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3"/>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4" t="b">
        <v>0</v>
      </c>
      <c r="B54" s="9">
        <f t="shared" si="7"/>
        <v>53</v>
      </c>
      <c r="C54" s="47" t="e">
        <f>_xlfn.XLOOKUP($D54,Tab_Process_TCs[Name(EN)],Tab_Process_TCs[Process_ID],,0,)</f>
        <v>#N/A</v>
      </c>
      <c r="D54" s="189" t="s">
        <v>35</v>
      </c>
      <c r="E54" s="189" t="s">
        <v>35</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3"/>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4" t="b">
        <v>0</v>
      </c>
      <c r="B55" s="9">
        <f t="shared" si="7"/>
        <v>54</v>
      </c>
      <c r="C55" s="47" t="e">
        <f>_xlfn.XLOOKUP($D55,Tab_Process_TCs[Name(EN)],Tab_Process_TCs[Process_ID],,0,)</f>
        <v>#N/A</v>
      </c>
      <c r="D55" s="189" t="s">
        <v>35</v>
      </c>
      <c r="E55" s="189" t="s">
        <v>35</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3"/>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4" t="b">
        <v>0</v>
      </c>
      <c r="B56" s="9">
        <f t="shared" si="7"/>
        <v>55</v>
      </c>
      <c r="C56" s="47" t="e">
        <f>_xlfn.XLOOKUP($D56,Tab_Process_TCs[Name(EN)],Tab_Process_TCs[Process_ID],,0,)</f>
        <v>#N/A</v>
      </c>
      <c r="D56" s="189" t="s">
        <v>35</v>
      </c>
      <c r="E56" s="189" t="s">
        <v>35</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3"/>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4" t="b">
        <v>0</v>
      </c>
      <c r="B57" s="9">
        <f t="shared" si="7"/>
        <v>56</v>
      </c>
      <c r="C57" s="47" t="e">
        <f>_xlfn.XLOOKUP($D57,Tab_Process_TCs[Name(EN)],Tab_Process_TCs[Process_ID],,0,)</f>
        <v>#N/A</v>
      </c>
      <c r="D57" s="189" t="s">
        <v>35</v>
      </c>
      <c r="E57" s="189" t="s">
        <v>35</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3"/>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4" t="b">
        <v>0</v>
      </c>
      <c r="B58" s="9">
        <f t="shared" si="7"/>
        <v>57</v>
      </c>
      <c r="C58" s="47" t="e">
        <f>_xlfn.XLOOKUP($D58,Tab_Process_TCs[Name(EN)],Tab_Process_TCs[Process_ID],,0,)</f>
        <v>#N/A</v>
      </c>
      <c r="D58" s="189" t="s">
        <v>35</v>
      </c>
      <c r="E58" s="189" t="s">
        <v>35</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3"/>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4" t="b">
        <v>0</v>
      </c>
      <c r="B59" s="9">
        <f t="shared" si="7"/>
        <v>58</v>
      </c>
      <c r="C59" s="47" t="e">
        <f>_xlfn.XLOOKUP($D59,Tab_Process_TCs[Name(EN)],Tab_Process_TCs[Process_ID],,0,)</f>
        <v>#N/A</v>
      </c>
      <c r="D59" s="189" t="s">
        <v>35</v>
      </c>
      <c r="E59" s="189" t="s">
        <v>35</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3"/>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4" t="b">
        <v>0</v>
      </c>
      <c r="B60" s="9">
        <f t="shared" si="7"/>
        <v>59</v>
      </c>
      <c r="C60" s="47" t="e">
        <f>_xlfn.XLOOKUP($D60,Tab_Process_TCs[Name(EN)],Tab_Process_TCs[Process_ID],,0,)</f>
        <v>#N/A</v>
      </c>
      <c r="D60" s="189" t="s">
        <v>35</v>
      </c>
      <c r="E60" s="189" t="s">
        <v>35</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3"/>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0.3</v>
      </c>
      <c r="AH60" s="169" t="e">
        <f>_xlfn.XLOOKUP($D60,#REF!,#REF!,,0,)</f>
        <v>#REF!</v>
      </c>
      <c r="AI60" s="53" t="e">
        <f>_xlfn.XLOOKUP($D60,#REF!,#REF!,,0,)</f>
        <v>#REF!</v>
      </c>
      <c r="AJ60" s="42" t="str">
        <f>Tab_Process_TCs2527[[#This Row],[Flow_ID]]</f>
        <v>N.A.</v>
      </c>
      <c r="AK60" s="9" t="e">
        <f t="shared" si="9"/>
        <v>#REF!</v>
      </c>
      <c r="AL60" s="168">
        <v>0.45</v>
      </c>
      <c r="AM60" s="16" t="e">
        <f>_xlfn.XLOOKUP($D60,#REF!,#REF!,,0,)</f>
        <v>#REF!</v>
      </c>
      <c r="AN60" s="9" t="e">
        <f>_xlfn.XLOOKUP($D60,#REF!,#REF!,,0,)</f>
        <v>#REF!</v>
      </c>
      <c r="AO60" s="42" t="str">
        <f>Tab_Process_TCs2527[[#This Row],[Flow_ID]]</f>
        <v>N.A.</v>
      </c>
      <c r="AP60" s="9" t="e">
        <f t="shared" si="10"/>
        <v>#REF!</v>
      </c>
      <c r="AQ60" s="168">
        <v>0.25</v>
      </c>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4" t="b">
        <v>0</v>
      </c>
      <c r="B61" s="9">
        <f t="shared" si="7"/>
        <v>60</v>
      </c>
      <c r="C61" s="47" t="e">
        <f>_xlfn.XLOOKUP($D61,Tab_Process_TCs[Name(EN)],Tab_Process_TCs[Process_ID],,0,)</f>
        <v>#N/A</v>
      </c>
      <c r="D61" s="189" t="s">
        <v>35</v>
      </c>
      <c r="E61" s="189" t="s">
        <v>35</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3"/>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f t="shared" ref="AG61:AG85" si="14">AG60+0.01</f>
        <v>0.31</v>
      </c>
      <c r="AH61" s="169" t="e">
        <f>_xlfn.XLOOKUP($D61,#REF!,#REF!,,0,)</f>
        <v>#REF!</v>
      </c>
      <c r="AI61" s="53" t="e">
        <f>_xlfn.XLOOKUP($D61,#REF!,#REF!,,0,)</f>
        <v>#REF!</v>
      </c>
      <c r="AJ61" s="42" t="str">
        <f>Tab_Process_TCs2527[[#This Row],[Flow_ID]]</f>
        <v>N.A.</v>
      </c>
      <c r="AK61" s="9" t="e">
        <f t="shared" si="9"/>
        <v>#REF!</v>
      </c>
      <c r="AL61" s="168">
        <f t="shared" ref="AL61:AL85" si="15">AL60-0.01</f>
        <v>0.44</v>
      </c>
      <c r="AM61" s="16" t="e">
        <f>_xlfn.XLOOKUP($D61,#REF!,#REF!,,0,)</f>
        <v>#REF!</v>
      </c>
      <c r="AN61" s="9" t="e">
        <f>_xlfn.XLOOKUP($D61,#REF!,#REF!,,0,)</f>
        <v>#REF!</v>
      </c>
      <c r="AO61" s="42" t="str">
        <f>Tab_Process_TCs2527[[#This Row],[Flow_ID]]</f>
        <v>N.A.</v>
      </c>
      <c r="AP61" s="9" t="e">
        <f t="shared" si="10"/>
        <v>#REF!</v>
      </c>
      <c r="AQ61" s="168">
        <v>0.25</v>
      </c>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4" t="b">
        <v>0</v>
      </c>
      <c r="B62" s="9">
        <f t="shared" si="7"/>
        <v>61</v>
      </c>
      <c r="C62" s="47" t="e">
        <f>_xlfn.XLOOKUP($D62,Tab_Process_TCs[Name(EN)],Tab_Process_TCs[Process_ID],,0,)</f>
        <v>#N/A</v>
      </c>
      <c r="D62" s="189" t="s">
        <v>35</v>
      </c>
      <c r="E62" s="189" t="s">
        <v>35</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3"/>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f t="shared" si="14"/>
        <v>0.32</v>
      </c>
      <c r="AH62" s="169" t="e">
        <f>_xlfn.XLOOKUP($D62,#REF!,#REF!,,0,)</f>
        <v>#REF!</v>
      </c>
      <c r="AI62" s="53" t="e">
        <f>_xlfn.XLOOKUP($D62,#REF!,#REF!,,0,)</f>
        <v>#REF!</v>
      </c>
      <c r="AJ62" s="42" t="str">
        <f>Tab_Process_TCs2527[[#This Row],[Flow_ID]]</f>
        <v>N.A.</v>
      </c>
      <c r="AK62" s="9" t="e">
        <f t="shared" si="9"/>
        <v>#REF!</v>
      </c>
      <c r="AL62" s="168">
        <f t="shared" si="15"/>
        <v>0.43</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4" t="b">
        <v>0</v>
      </c>
      <c r="B63" s="9">
        <f t="shared" si="7"/>
        <v>62</v>
      </c>
      <c r="C63" s="47" t="e">
        <f>_xlfn.XLOOKUP($D63,Tab_Process_TCs[Name(EN)],Tab_Process_TCs[Process_ID],,0,)</f>
        <v>#N/A</v>
      </c>
      <c r="D63" s="189" t="s">
        <v>35</v>
      </c>
      <c r="E63" s="189" t="s">
        <v>35</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3"/>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si="14"/>
        <v>0.33</v>
      </c>
      <c r="AH63" s="169" t="e">
        <f>_xlfn.XLOOKUP($D63,#REF!,#REF!,,0,)</f>
        <v>#REF!</v>
      </c>
      <c r="AI63" s="53" t="e">
        <f>_xlfn.XLOOKUP($D63,#REF!,#REF!,,0,)</f>
        <v>#REF!</v>
      </c>
      <c r="AJ63" s="42" t="str">
        <f>Tab_Process_TCs2527[[#This Row],[Flow_ID]]</f>
        <v>N.A.</v>
      </c>
      <c r="AK63" s="9" t="e">
        <f t="shared" si="9"/>
        <v>#REF!</v>
      </c>
      <c r="AL63" s="168">
        <f t="shared" si="15"/>
        <v>0.42</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4" t="b">
        <v>0</v>
      </c>
      <c r="B64" s="9">
        <f t="shared" ref="B64:B95" si="16">ROW()-1</f>
        <v>63</v>
      </c>
      <c r="C64" s="47" t="e">
        <f>_xlfn.XLOOKUP($D64,Tab_Process_TCs[Name(EN)],Tab_Process_TCs[Process_ID],,0,)</f>
        <v>#N/A</v>
      </c>
      <c r="D64" s="189" t="s">
        <v>35</v>
      </c>
      <c r="E64" s="189" t="s">
        <v>35</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3"/>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ref="AF64:AF95" si="17">"TC"&amp;"_"&amp;RIGHT(AD64,5)</f>
        <v>#REF!</v>
      </c>
      <c r="AG64" s="49">
        <f t="shared" si="14"/>
        <v>0.34</v>
      </c>
      <c r="AH64" s="169" t="e">
        <f>_xlfn.XLOOKUP($D64,#REF!,#REF!,,0,)</f>
        <v>#REF!</v>
      </c>
      <c r="AI64" s="53" t="e">
        <f>_xlfn.XLOOKUP($D64,#REF!,#REF!,,0,)</f>
        <v>#REF!</v>
      </c>
      <c r="AJ64" s="42" t="str">
        <f>Tab_Process_TCs2527[[#This Row],[Flow_ID]]</f>
        <v>N.A.</v>
      </c>
      <c r="AK64" s="9" t="e">
        <f t="shared" ref="AK64:AK95" si="18">"TC"&amp;"_"&amp;RIGHT(AI64,5)</f>
        <v>#REF!</v>
      </c>
      <c r="AL64" s="168">
        <f t="shared" si="15"/>
        <v>0.41</v>
      </c>
      <c r="AM64" s="16" t="e">
        <f>_xlfn.XLOOKUP($D64,#REF!,#REF!,,0,)</f>
        <v>#REF!</v>
      </c>
      <c r="AN64" s="9" t="e">
        <f>_xlfn.XLOOKUP($D64,#REF!,#REF!,,0,)</f>
        <v>#REF!</v>
      </c>
      <c r="AO64" s="42" t="str">
        <f>Tab_Process_TCs2527[[#This Row],[Flow_ID]]</f>
        <v>N.A.</v>
      </c>
      <c r="AP64" s="9" t="e">
        <f t="shared" ref="AP64:AP95" si="19">"TC"&amp;"_"&amp;RIGHT(AN64,5)</f>
        <v>#REF!</v>
      </c>
      <c r="AQ64" s="168">
        <v>0.25</v>
      </c>
      <c r="AR64" s="16" t="e">
        <f>_xlfn.XLOOKUP($D64,#REF!,#REF!,,0,)</f>
        <v>#REF!</v>
      </c>
      <c r="AS64" s="9" t="e">
        <f>_xlfn.XLOOKUP($D64,#REF!,#REF!,,0,)</f>
        <v>#REF!</v>
      </c>
      <c r="AT64" s="42" t="str">
        <f>Tab_Process_TCs2527[[#This Row],[Flow_ID]]</f>
        <v>N.A.</v>
      </c>
      <c r="AU64" s="42" t="e">
        <f t="shared" ref="AU64:AU95" si="20">"TC"&amp;"_"&amp;RIGHT(AN64,5)</f>
        <v>#REF!</v>
      </c>
      <c r="AV64" s="168"/>
      <c r="AW64" s="16" t="e">
        <f>_xlfn.XLOOKUP($D64,#REF!,#REF!,,0,)</f>
        <v>#REF!</v>
      </c>
      <c r="AX64" s="9" t="e">
        <f>_xlfn.XLOOKUP($D64,#REF!,#REF!,,0,)</f>
        <v>#REF!</v>
      </c>
      <c r="AY64" s="42" t="str">
        <f>Tab_Process_TCs2527[[#This Row],[Flow_ID]]</f>
        <v>N.A.</v>
      </c>
      <c r="AZ64" s="42" t="e">
        <f t="shared" ref="AZ64:AZ95" si="21">"TC"&amp;"_"&amp;RIGHT(AX64,5)</f>
        <v>#REF!</v>
      </c>
      <c r="BA64" s="168"/>
      <c r="BB64" s="9" t="e">
        <f>_xlfn.XLOOKUP($D64,#REF!,#REF!,,0,)</f>
        <v>#REF!</v>
      </c>
      <c r="BC64" s="9" t="e">
        <f>_xlfn.XLOOKUP($D64,#REF!,#REF!,,0,)</f>
        <v>#REF!</v>
      </c>
      <c r="BD64" s="42" t="str">
        <f>Tab_Process_TCs2527[[#This Row],[Flow_ID]]</f>
        <v>N.A.</v>
      </c>
      <c r="BE64" s="42" t="e">
        <f t="shared" ref="BE64:BE95" si="22">"TC"&amp;"_"&amp;RIGHT(BC64,5)</f>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4" t="b">
        <v>0</v>
      </c>
      <c r="B65" s="9">
        <f t="shared" si="16"/>
        <v>64</v>
      </c>
      <c r="C65" s="47" t="e">
        <f>_xlfn.XLOOKUP($D65,Tab_Process_TCs[Name(EN)],Tab_Process_TCs[Process_ID],,0,)</f>
        <v>#N/A</v>
      </c>
      <c r="D65" s="189" t="s">
        <v>35</v>
      </c>
      <c r="E65" s="189" t="s">
        <v>35</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3"/>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17"/>
        <v>#REF!</v>
      </c>
      <c r="AG65" s="49">
        <f t="shared" si="14"/>
        <v>0.35000000000000003</v>
      </c>
      <c r="AH65" s="169" t="e">
        <f>_xlfn.XLOOKUP($D65,#REF!,#REF!,,0,)</f>
        <v>#REF!</v>
      </c>
      <c r="AI65" s="53" t="e">
        <f>_xlfn.XLOOKUP($D65,#REF!,#REF!,,0,)</f>
        <v>#REF!</v>
      </c>
      <c r="AJ65" s="42" t="str">
        <f>Tab_Process_TCs2527[[#This Row],[Flow_ID]]</f>
        <v>N.A.</v>
      </c>
      <c r="AK65" s="9" t="e">
        <f t="shared" si="18"/>
        <v>#REF!</v>
      </c>
      <c r="AL65" s="168">
        <f t="shared" si="15"/>
        <v>0.39999999999999997</v>
      </c>
      <c r="AM65" s="16" t="e">
        <f>_xlfn.XLOOKUP($D65,#REF!,#REF!,,0,)</f>
        <v>#REF!</v>
      </c>
      <c r="AN65" s="9" t="e">
        <f>_xlfn.XLOOKUP($D65,#REF!,#REF!,,0,)</f>
        <v>#REF!</v>
      </c>
      <c r="AO65" s="42" t="str">
        <f>Tab_Process_TCs2527[[#This Row],[Flow_ID]]</f>
        <v>N.A.</v>
      </c>
      <c r="AP65" s="9" t="e">
        <f t="shared" si="19"/>
        <v>#REF!</v>
      </c>
      <c r="AQ65" s="168">
        <v>0.25</v>
      </c>
      <c r="AR65" s="16" t="e">
        <f>_xlfn.XLOOKUP($D65,#REF!,#REF!,,0,)</f>
        <v>#REF!</v>
      </c>
      <c r="AS65" s="9" t="e">
        <f>_xlfn.XLOOKUP($D65,#REF!,#REF!,,0,)</f>
        <v>#REF!</v>
      </c>
      <c r="AT65" s="42" t="str">
        <f>Tab_Process_TCs2527[[#This Row],[Flow_ID]]</f>
        <v>N.A.</v>
      </c>
      <c r="AU65" s="42" t="e">
        <f t="shared" si="20"/>
        <v>#REF!</v>
      </c>
      <c r="AV65" s="168"/>
      <c r="AW65" s="16" t="e">
        <f>_xlfn.XLOOKUP($D65,#REF!,#REF!,,0,)</f>
        <v>#REF!</v>
      </c>
      <c r="AX65" s="9" t="e">
        <f>_xlfn.XLOOKUP($D65,#REF!,#REF!,,0,)</f>
        <v>#REF!</v>
      </c>
      <c r="AY65" s="42" t="str">
        <f>Tab_Process_TCs2527[[#This Row],[Flow_ID]]</f>
        <v>N.A.</v>
      </c>
      <c r="AZ65" s="42" t="e">
        <f t="shared" si="21"/>
        <v>#REF!</v>
      </c>
      <c r="BA65" s="168"/>
      <c r="BB65" s="9" t="e">
        <f>_xlfn.XLOOKUP($D65,#REF!,#REF!,,0,)</f>
        <v>#REF!</v>
      </c>
      <c r="BC65" s="9" t="e">
        <f>_xlfn.XLOOKUP($D65,#REF!,#REF!,,0,)</f>
        <v>#REF!</v>
      </c>
      <c r="BD65" s="42" t="str">
        <f>Tab_Process_TCs2527[[#This Row],[Flow_ID]]</f>
        <v>N.A.</v>
      </c>
      <c r="BE65" s="42" t="e">
        <f t="shared" si="22"/>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4" t="b">
        <v>0</v>
      </c>
      <c r="B66" s="9">
        <f t="shared" si="16"/>
        <v>65</v>
      </c>
      <c r="C66" s="47" t="e">
        <f>_xlfn.XLOOKUP($D66,Tab_Process_TCs[Name(EN)],Tab_Process_TCs[Process_ID],,0,)</f>
        <v>#N/A</v>
      </c>
      <c r="D66" s="189" t="s">
        <v>35</v>
      </c>
      <c r="E66" s="189" t="s">
        <v>35</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3"/>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si="17"/>
        <v>#REF!</v>
      </c>
      <c r="AG66" s="49">
        <f t="shared" si="14"/>
        <v>0.36000000000000004</v>
      </c>
      <c r="AH66" s="169" t="e">
        <f>_xlfn.XLOOKUP($D66,#REF!,#REF!,,0,)</f>
        <v>#REF!</v>
      </c>
      <c r="AI66" s="53" t="e">
        <f>_xlfn.XLOOKUP($D66,#REF!,#REF!,,0,)</f>
        <v>#REF!</v>
      </c>
      <c r="AJ66" s="42" t="str">
        <f>Tab_Process_TCs2527[[#This Row],[Flow_ID]]</f>
        <v>N.A.</v>
      </c>
      <c r="AK66" s="9" t="e">
        <f t="shared" si="18"/>
        <v>#REF!</v>
      </c>
      <c r="AL66" s="168">
        <f t="shared" si="15"/>
        <v>0.38999999999999996</v>
      </c>
      <c r="AM66" s="16" t="e">
        <f>_xlfn.XLOOKUP($D66,#REF!,#REF!,,0,)</f>
        <v>#REF!</v>
      </c>
      <c r="AN66" s="9" t="e">
        <f>_xlfn.XLOOKUP($D66,#REF!,#REF!,,0,)</f>
        <v>#REF!</v>
      </c>
      <c r="AO66" s="42" t="str">
        <f>Tab_Process_TCs2527[[#This Row],[Flow_ID]]</f>
        <v>N.A.</v>
      </c>
      <c r="AP66" s="9" t="e">
        <f t="shared" si="19"/>
        <v>#REF!</v>
      </c>
      <c r="AQ66" s="168">
        <v>0.25</v>
      </c>
      <c r="AR66" s="16" t="e">
        <f>_xlfn.XLOOKUP($D66,#REF!,#REF!,,0,)</f>
        <v>#REF!</v>
      </c>
      <c r="AS66" s="9" t="e">
        <f>_xlfn.XLOOKUP($D66,#REF!,#REF!,,0,)</f>
        <v>#REF!</v>
      </c>
      <c r="AT66" s="42" t="str">
        <f>Tab_Process_TCs2527[[#This Row],[Flow_ID]]</f>
        <v>N.A.</v>
      </c>
      <c r="AU66" s="42" t="e">
        <f t="shared" si="20"/>
        <v>#REF!</v>
      </c>
      <c r="AV66" s="168"/>
      <c r="AW66" s="16" t="e">
        <f>_xlfn.XLOOKUP($D66,#REF!,#REF!,,0,)</f>
        <v>#REF!</v>
      </c>
      <c r="AX66" s="9" t="e">
        <f>_xlfn.XLOOKUP($D66,#REF!,#REF!,,0,)</f>
        <v>#REF!</v>
      </c>
      <c r="AY66" s="42" t="str">
        <f>Tab_Process_TCs2527[[#This Row],[Flow_ID]]</f>
        <v>N.A.</v>
      </c>
      <c r="AZ66" s="42" t="e">
        <f t="shared" si="21"/>
        <v>#REF!</v>
      </c>
      <c r="BA66" s="168"/>
      <c r="BB66" s="9" t="e">
        <f>_xlfn.XLOOKUP($D66,#REF!,#REF!,,0,)</f>
        <v>#REF!</v>
      </c>
      <c r="BC66" s="9" t="e">
        <f>_xlfn.XLOOKUP($D66,#REF!,#REF!,,0,)</f>
        <v>#REF!</v>
      </c>
      <c r="BD66" s="42" t="str">
        <f>Tab_Process_TCs2527[[#This Row],[Flow_ID]]</f>
        <v>N.A.</v>
      </c>
      <c r="BE66" s="42" t="e">
        <f t="shared" si="22"/>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4" t="b">
        <v>0</v>
      </c>
      <c r="B67" s="9">
        <f t="shared" si="16"/>
        <v>66</v>
      </c>
      <c r="C67" s="47" t="e">
        <f>_xlfn.XLOOKUP($D67,Tab_Process_TCs[Name(EN)],Tab_Process_TCs[Process_ID],,0,)</f>
        <v>#N/A</v>
      </c>
      <c r="D67" s="189" t="s">
        <v>35</v>
      </c>
      <c r="E67" s="189" t="s">
        <v>35</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3"/>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0.37000000000000005</v>
      </c>
      <c r="AH67" s="169" t="e">
        <f>_xlfn.XLOOKUP($D67,#REF!,#REF!,,0,)</f>
        <v>#REF!</v>
      </c>
      <c r="AI67" s="53" t="e">
        <f>_xlfn.XLOOKUP($D67,#REF!,#REF!,,0,)</f>
        <v>#REF!</v>
      </c>
      <c r="AJ67" s="42" t="str">
        <f>Tab_Process_TCs2527[[#This Row],[Flow_ID]]</f>
        <v>N.A.</v>
      </c>
      <c r="AK67" s="9" t="e">
        <f t="shared" si="18"/>
        <v>#REF!</v>
      </c>
      <c r="AL67" s="168">
        <f t="shared" si="15"/>
        <v>0.37999999999999995</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4" t="b">
        <v>0</v>
      </c>
      <c r="B68" s="9">
        <f t="shared" si="16"/>
        <v>67</v>
      </c>
      <c r="C68" s="47" t="e">
        <f>_xlfn.XLOOKUP($D68,Tab_Process_TCs[Name(EN)],Tab_Process_TCs[Process_ID],,0,)</f>
        <v>#N/A</v>
      </c>
      <c r="D68" s="189" t="s">
        <v>35</v>
      </c>
      <c r="E68" s="189" t="s">
        <v>35</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3"/>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0.38000000000000006</v>
      </c>
      <c r="AH68" s="169" t="e">
        <f>_xlfn.XLOOKUP($D68,#REF!,#REF!,,0,)</f>
        <v>#REF!</v>
      </c>
      <c r="AI68" s="53" t="e">
        <f>_xlfn.XLOOKUP($D68,#REF!,#REF!,,0,)</f>
        <v>#REF!</v>
      </c>
      <c r="AJ68" s="42" t="str">
        <f>Tab_Process_TCs2527[[#This Row],[Flow_ID]]</f>
        <v>N.A.</v>
      </c>
      <c r="AK68" s="9" t="e">
        <f t="shared" si="18"/>
        <v>#REF!</v>
      </c>
      <c r="AL68" s="168">
        <f t="shared" si="15"/>
        <v>0.36999999999999994</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4" t="b">
        <v>0</v>
      </c>
      <c r="B69" s="9">
        <f t="shared" si="16"/>
        <v>68</v>
      </c>
      <c r="C69" s="47" t="e">
        <f>_xlfn.XLOOKUP($D69,Tab_Process_TCs[Name(EN)],Tab_Process_TCs[Process_ID],,0,)</f>
        <v>#N/A</v>
      </c>
      <c r="D69" s="189" t="s">
        <v>35</v>
      </c>
      <c r="E69" s="189" t="s">
        <v>35</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3"/>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0.39000000000000007</v>
      </c>
      <c r="AH69" s="169" t="e">
        <f>_xlfn.XLOOKUP($D69,#REF!,#REF!,,0,)</f>
        <v>#REF!</v>
      </c>
      <c r="AI69" s="53" t="e">
        <f>_xlfn.XLOOKUP($D69,#REF!,#REF!,,0,)</f>
        <v>#REF!</v>
      </c>
      <c r="AJ69" s="42" t="str">
        <f>Tab_Process_TCs2527[[#This Row],[Flow_ID]]</f>
        <v>N.A.</v>
      </c>
      <c r="AK69" s="9" t="e">
        <f t="shared" si="18"/>
        <v>#REF!</v>
      </c>
      <c r="AL69" s="168">
        <f t="shared" si="15"/>
        <v>0.35999999999999993</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4" t="b">
        <v>0</v>
      </c>
      <c r="B70" s="9">
        <f t="shared" si="16"/>
        <v>69</v>
      </c>
      <c r="C70" s="47" t="e">
        <f>_xlfn.XLOOKUP($D70,Tab_Process_TCs[Name(EN)],Tab_Process_TCs[Process_ID],,0,)</f>
        <v>#N/A</v>
      </c>
      <c r="D70" s="189" t="s">
        <v>35</v>
      </c>
      <c r="E70" s="189" t="s">
        <v>35</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3"/>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0.40000000000000008</v>
      </c>
      <c r="AH70" s="169" t="e">
        <f>_xlfn.XLOOKUP($D70,#REF!,#REF!,,0,)</f>
        <v>#REF!</v>
      </c>
      <c r="AI70" s="53" t="e">
        <f>_xlfn.XLOOKUP($D70,#REF!,#REF!,,0,)</f>
        <v>#REF!</v>
      </c>
      <c r="AJ70" s="42" t="str">
        <f>Tab_Process_TCs2527[[#This Row],[Flow_ID]]</f>
        <v>N.A.</v>
      </c>
      <c r="AK70" s="9" t="e">
        <f t="shared" si="18"/>
        <v>#REF!</v>
      </c>
      <c r="AL70" s="168">
        <f t="shared" si="15"/>
        <v>0.34999999999999992</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4" t="b">
        <v>0</v>
      </c>
      <c r="B71" s="9">
        <f t="shared" si="16"/>
        <v>70</v>
      </c>
      <c r="C71" s="47" t="e">
        <f>_xlfn.XLOOKUP($D71,Tab_Process_TCs[Name(EN)],Tab_Process_TCs[Process_ID],,0,)</f>
        <v>#N/A</v>
      </c>
      <c r="D71" s="189" t="s">
        <v>35</v>
      </c>
      <c r="E71" s="189" t="s">
        <v>35</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3"/>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0.41000000000000009</v>
      </c>
      <c r="AH71" s="169" t="e">
        <f>_xlfn.XLOOKUP($D71,#REF!,#REF!,,0,)</f>
        <v>#REF!</v>
      </c>
      <c r="AI71" s="53" t="e">
        <f>_xlfn.XLOOKUP($D71,#REF!,#REF!,,0,)</f>
        <v>#REF!</v>
      </c>
      <c r="AJ71" s="42" t="str">
        <f>Tab_Process_TCs2527[[#This Row],[Flow_ID]]</f>
        <v>N.A.</v>
      </c>
      <c r="AK71" s="9" t="e">
        <f t="shared" si="18"/>
        <v>#REF!</v>
      </c>
      <c r="AL71" s="168">
        <f t="shared" si="15"/>
        <v>0.33999999999999991</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4" t="b">
        <v>0</v>
      </c>
      <c r="B72" s="9">
        <f t="shared" si="16"/>
        <v>71</v>
      </c>
      <c r="C72" s="47" t="e">
        <f>_xlfn.XLOOKUP($D72,Tab_Process_TCs[Name(EN)],Tab_Process_TCs[Process_ID],,0,)</f>
        <v>#N/A</v>
      </c>
      <c r="D72" s="189" t="s">
        <v>35</v>
      </c>
      <c r="E72" s="189" t="s">
        <v>35</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3"/>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0.4200000000000001</v>
      </c>
      <c r="AH72" s="169" t="e">
        <f>_xlfn.XLOOKUP($D72,#REF!,#REF!,,0,)</f>
        <v>#REF!</v>
      </c>
      <c r="AI72" s="53" t="e">
        <f>_xlfn.XLOOKUP($D72,#REF!,#REF!,,0,)</f>
        <v>#REF!</v>
      </c>
      <c r="AJ72" s="42" t="str">
        <f>Tab_Process_TCs2527[[#This Row],[Flow_ID]]</f>
        <v>N.A.</v>
      </c>
      <c r="AK72" s="9" t="e">
        <f t="shared" si="18"/>
        <v>#REF!</v>
      </c>
      <c r="AL72" s="168">
        <f t="shared" si="15"/>
        <v>0.3299999999999999</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4" t="b">
        <v>0</v>
      </c>
      <c r="B73" s="9">
        <f t="shared" si="16"/>
        <v>72</v>
      </c>
      <c r="C73" s="47" t="e">
        <f>_xlfn.XLOOKUP($D73,Tab_Process_TCs[Name(EN)],Tab_Process_TCs[Process_ID],,0,)</f>
        <v>#N/A</v>
      </c>
      <c r="D73" s="189" t="s">
        <v>35</v>
      </c>
      <c r="E73" s="189" t="s">
        <v>35</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3"/>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0.4300000000000001</v>
      </c>
      <c r="AH73" s="169" t="e">
        <f>_xlfn.XLOOKUP($D73,#REF!,#REF!,,0,)</f>
        <v>#REF!</v>
      </c>
      <c r="AI73" s="53" t="e">
        <f>_xlfn.XLOOKUP($D73,#REF!,#REF!,,0,)</f>
        <v>#REF!</v>
      </c>
      <c r="AJ73" s="42" t="str">
        <f>Tab_Process_TCs2527[[#This Row],[Flow_ID]]</f>
        <v>N.A.</v>
      </c>
      <c r="AK73" s="9" t="e">
        <f t="shared" si="18"/>
        <v>#REF!</v>
      </c>
      <c r="AL73" s="168">
        <f t="shared" si="15"/>
        <v>0.3199999999999999</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4" t="b">
        <v>0</v>
      </c>
      <c r="B74" s="9">
        <f t="shared" si="16"/>
        <v>73</v>
      </c>
      <c r="C74" s="47" t="e">
        <f>_xlfn.XLOOKUP($D74,Tab_Process_TCs[Name(EN)],Tab_Process_TCs[Process_ID],,0,)</f>
        <v>#N/A</v>
      </c>
      <c r="D74" s="189" t="s">
        <v>35</v>
      </c>
      <c r="E74" s="189" t="s">
        <v>35</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3"/>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0.44000000000000011</v>
      </c>
      <c r="AH74" s="169" t="e">
        <f>_xlfn.XLOOKUP($D74,#REF!,#REF!,,0,)</f>
        <v>#REF!</v>
      </c>
      <c r="AI74" s="53" t="e">
        <f>_xlfn.XLOOKUP($D74,#REF!,#REF!,,0,)</f>
        <v>#REF!</v>
      </c>
      <c r="AJ74" s="42" t="str">
        <f>Tab_Process_TCs2527[[#This Row],[Flow_ID]]</f>
        <v>N.A.</v>
      </c>
      <c r="AK74" s="9" t="e">
        <f t="shared" si="18"/>
        <v>#REF!</v>
      </c>
      <c r="AL74" s="168">
        <f t="shared" si="15"/>
        <v>0.30999999999999989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4" t="b">
        <v>0</v>
      </c>
      <c r="B75" s="9">
        <f t="shared" si="16"/>
        <v>74</v>
      </c>
      <c r="C75" s="47" t="e">
        <f>_xlfn.XLOOKUP($D75,Tab_Process_TCs[Name(EN)],Tab_Process_TCs[Process_ID],,0,)</f>
        <v>#N/A</v>
      </c>
      <c r="D75" s="189" t="s">
        <v>35</v>
      </c>
      <c r="E75" s="189" t="s">
        <v>35</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3"/>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0.45000000000000012</v>
      </c>
      <c r="AH75" s="169" t="e">
        <f>_xlfn.XLOOKUP($D75,#REF!,#REF!,,0,)</f>
        <v>#REF!</v>
      </c>
      <c r="AI75" s="53" t="e">
        <f>_xlfn.XLOOKUP($D75,#REF!,#REF!,,0,)</f>
        <v>#REF!</v>
      </c>
      <c r="AJ75" s="42" t="str">
        <f>Tab_Process_TCs2527[[#This Row],[Flow_ID]]</f>
        <v>N.A.</v>
      </c>
      <c r="AK75" s="9" t="e">
        <f t="shared" si="18"/>
        <v>#REF!</v>
      </c>
      <c r="AL75" s="168">
        <f t="shared" si="15"/>
        <v>0.29999999999999988</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4" t="b">
        <v>0</v>
      </c>
      <c r="B76" s="9">
        <f t="shared" si="16"/>
        <v>75</v>
      </c>
      <c r="C76" s="47" t="e">
        <f>_xlfn.XLOOKUP($D76,Tab_Process_TCs[Name(EN)],Tab_Process_TCs[Process_ID],,0,)</f>
        <v>#N/A</v>
      </c>
      <c r="D76" s="189" t="s">
        <v>35</v>
      </c>
      <c r="E76" s="189" t="s">
        <v>35</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3"/>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0.46000000000000013</v>
      </c>
      <c r="AH76" s="169" t="e">
        <f>_xlfn.XLOOKUP($D76,#REF!,#REF!,,0,)</f>
        <v>#REF!</v>
      </c>
      <c r="AI76" s="53" t="e">
        <f>_xlfn.XLOOKUP($D76,#REF!,#REF!,,0,)</f>
        <v>#REF!</v>
      </c>
      <c r="AJ76" s="42" t="str">
        <f>Tab_Process_TCs2527[[#This Row],[Flow_ID]]</f>
        <v>N.A.</v>
      </c>
      <c r="AK76" s="9" t="e">
        <f t="shared" si="18"/>
        <v>#REF!</v>
      </c>
      <c r="AL76" s="168">
        <f t="shared" si="15"/>
        <v>0.28999999999999987</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4" t="b">
        <v>0</v>
      </c>
      <c r="B77" s="9">
        <f t="shared" si="16"/>
        <v>76</v>
      </c>
      <c r="C77" s="47" t="e">
        <f>_xlfn.XLOOKUP($D77,Tab_Process_TCs[Name(EN)],Tab_Process_TCs[Process_ID],,0,)</f>
        <v>#N/A</v>
      </c>
      <c r="D77" s="189" t="s">
        <v>35</v>
      </c>
      <c r="E77" s="189" t="s">
        <v>35</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3"/>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0.47000000000000014</v>
      </c>
      <c r="AH77" s="169" t="e">
        <f>_xlfn.XLOOKUP($D77,#REF!,#REF!,,0,)</f>
        <v>#REF!</v>
      </c>
      <c r="AI77" s="53" t="e">
        <f>_xlfn.XLOOKUP($D77,#REF!,#REF!,,0,)</f>
        <v>#REF!</v>
      </c>
      <c r="AJ77" s="42" t="str">
        <f>Tab_Process_TCs2527[[#This Row],[Flow_ID]]</f>
        <v>N.A.</v>
      </c>
      <c r="AK77" s="9" t="e">
        <f t="shared" si="18"/>
        <v>#REF!</v>
      </c>
      <c r="AL77" s="168">
        <f t="shared" si="15"/>
        <v>0.27999999999999986</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4" t="b">
        <v>0</v>
      </c>
      <c r="B78" s="9">
        <f t="shared" si="16"/>
        <v>77</v>
      </c>
      <c r="C78" s="47" t="e">
        <f>_xlfn.XLOOKUP($D78,Tab_Process_TCs[Name(EN)],Tab_Process_TCs[Process_ID],,0,)</f>
        <v>#N/A</v>
      </c>
      <c r="D78" s="189" t="s">
        <v>35</v>
      </c>
      <c r="E78" s="189" t="s">
        <v>35</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3"/>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0.48000000000000015</v>
      </c>
      <c r="AH78" s="169" t="e">
        <f>_xlfn.XLOOKUP($D78,#REF!,#REF!,,0,)</f>
        <v>#REF!</v>
      </c>
      <c r="AI78" s="53" t="e">
        <f>_xlfn.XLOOKUP($D78,#REF!,#REF!,,0,)</f>
        <v>#REF!</v>
      </c>
      <c r="AJ78" s="42" t="str">
        <f>Tab_Process_TCs2527[[#This Row],[Flow_ID]]</f>
        <v>N.A.</v>
      </c>
      <c r="AK78" s="9" t="e">
        <f t="shared" si="18"/>
        <v>#REF!</v>
      </c>
      <c r="AL78" s="168">
        <f t="shared" si="15"/>
        <v>0.26999999999999985</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4" t="b">
        <v>0</v>
      </c>
      <c r="B79" s="9">
        <f t="shared" si="16"/>
        <v>78</v>
      </c>
      <c r="C79" s="47" t="e">
        <f>_xlfn.XLOOKUP($D79,Tab_Process_TCs[Name(EN)],Tab_Process_TCs[Process_ID],,0,)</f>
        <v>#N/A</v>
      </c>
      <c r="D79" s="189" t="s">
        <v>35</v>
      </c>
      <c r="E79" s="189" t="s">
        <v>35</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3"/>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0.49000000000000016</v>
      </c>
      <c r="AH79" s="169" t="e">
        <f>_xlfn.XLOOKUP($D79,#REF!,#REF!,,0,)</f>
        <v>#REF!</v>
      </c>
      <c r="AI79" s="53" t="e">
        <f>_xlfn.XLOOKUP($D79,#REF!,#REF!,,0,)</f>
        <v>#REF!</v>
      </c>
      <c r="AJ79" s="42" t="str">
        <f>Tab_Process_TCs2527[[#This Row],[Flow_ID]]</f>
        <v>N.A.</v>
      </c>
      <c r="AK79" s="9" t="e">
        <f t="shared" si="18"/>
        <v>#REF!</v>
      </c>
      <c r="AL79" s="168">
        <f t="shared" si="15"/>
        <v>0.25999999999999984</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4" t="b">
        <v>0</v>
      </c>
      <c r="B80" s="9">
        <f t="shared" si="16"/>
        <v>79</v>
      </c>
      <c r="C80" s="47" t="e">
        <f>_xlfn.XLOOKUP($D80,Tab_Process_TCs[Name(EN)],Tab_Process_TCs[Process_ID],,0,)</f>
        <v>#N/A</v>
      </c>
      <c r="D80" s="189" t="s">
        <v>35</v>
      </c>
      <c r="E80" s="189" t="s">
        <v>35</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3"/>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0.50000000000000011</v>
      </c>
      <c r="AH80" s="169" t="e">
        <f>_xlfn.XLOOKUP($D80,#REF!,#REF!,,0,)</f>
        <v>#REF!</v>
      </c>
      <c r="AI80" s="53" t="e">
        <f>_xlfn.XLOOKUP($D80,#REF!,#REF!,,0,)</f>
        <v>#REF!</v>
      </c>
      <c r="AJ80" s="42" t="str">
        <f>Tab_Process_TCs2527[[#This Row],[Flow_ID]]</f>
        <v>N.A.</v>
      </c>
      <c r="AK80" s="9" t="e">
        <f t="shared" si="18"/>
        <v>#REF!</v>
      </c>
      <c r="AL80" s="168">
        <f t="shared" si="15"/>
        <v>0.24999999999999983</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4" t="b">
        <v>0</v>
      </c>
      <c r="B81" s="9">
        <f t="shared" si="16"/>
        <v>80</v>
      </c>
      <c r="C81" s="47" t="e">
        <f>_xlfn.XLOOKUP($D81,Tab_Process_TCs[Name(EN)],Tab_Process_TCs[Process_ID],,0,)</f>
        <v>#N/A</v>
      </c>
      <c r="D81" s="189" t="s">
        <v>35</v>
      </c>
      <c r="E81" s="189" t="s">
        <v>35</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3"/>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0.51000000000000012</v>
      </c>
      <c r="AH81" s="169" t="e">
        <f>_xlfn.XLOOKUP($D81,#REF!,#REF!,,0,)</f>
        <v>#REF!</v>
      </c>
      <c r="AI81" s="53" t="e">
        <f>_xlfn.XLOOKUP($D81,#REF!,#REF!,,0,)</f>
        <v>#REF!</v>
      </c>
      <c r="AJ81" s="42" t="str">
        <f>Tab_Process_TCs2527[[#This Row],[Flow_ID]]</f>
        <v>N.A.</v>
      </c>
      <c r="AK81" s="9" t="e">
        <f t="shared" si="18"/>
        <v>#REF!</v>
      </c>
      <c r="AL81" s="168">
        <f t="shared" si="15"/>
        <v>0.23999999999999982</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4" t="b">
        <v>0</v>
      </c>
      <c r="B82" s="9">
        <f t="shared" si="16"/>
        <v>81</v>
      </c>
      <c r="C82" s="47" t="e">
        <f>_xlfn.XLOOKUP($D82,Tab_Process_TCs[Name(EN)],Tab_Process_TCs[Process_ID],,0,)</f>
        <v>#N/A</v>
      </c>
      <c r="D82" s="189" t="s">
        <v>35</v>
      </c>
      <c r="E82" s="189" t="s">
        <v>35</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3"/>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0.52000000000000013</v>
      </c>
      <c r="AH82" s="169" t="e">
        <f>_xlfn.XLOOKUP($D82,#REF!,#REF!,,0,)</f>
        <v>#REF!</v>
      </c>
      <c r="AI82" s="53" t="e">
        <f>_xlfn.XLOOKUP($D82,#REF!,#REF!,,0,)</f>
        <v>#REF!</v>
      </c>
      <c r="AJ82" s="42" t="str">
        <f>Tab_Process_TCs2527[[#This Row],[Flow_ID]]</f>
        <v>N.A.</v>
      </c>
      <c r="AK82" s="9" t="e">
        <f t="shared" si="18"/>
        <v>#REF!</v>
      </c>
      <c r="AL82" s="168">
        <f t="shared" si="15"/>
        <v>0.22999999999999982</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4" t="b">
        <v>0</v>
      </c>
      <c r="B83" s="9">
        <f t="shared" si="16"/>
        <v>82</v>
      </c>
      <c r="C83" s="47" t="e">
        <f>_xlfn.XLOOKUP($D83,Tab_Process_TCs[Name(EN)],Tab_Process_TCs[Process_ID],,0,)</f>
        <v>#N/A</v>
      </c>
      <c r="D83" s="189" t="s">
        <v>35</v>
      </c>
      <c r="E83" s="189" t="s">
        <v>35</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3"/>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0.53000000000000014</v>
      </c>
      <c r="AH83" s="169" t="e">
        <f>_xlfn.XLOOKUP($D83,#REF!,#REF!,,0,)</f>
        <v>#REF!</v>
      </c>
      <c r="AI83" s="53" t="e">
        <f>_xlfn.XLOOKUP($D83,#REF!,#REF!,,0,)</f>
        <v>#REF!</v>
      </c>
      <c r="AJ83" s="42" t="str">
        <f>Tab_Process_TCs2527[[#This Row],[Flow_ID]]</f>
        <v>N.A.</v>
      </c>
      <c r="AK83" s="9" t="e">
        <f t="shared" si="18"/>
        <v>#REF!</v>
      </c>
      <c r="AL83" s="168">
        <f t="shared" si="15"/>
        <v>0.21999999999999981</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4" t="b">
        <v>0</v>
      </c>
      <c r="B84" s="9">
        <f t="shared" si="16"/>
        <v>83</v>
      </c>
      <c r="C84" s="47" t="e">
        <f>_xlfn.XLOOKUP($D84,Tab_Process_TCs[Name(EN)],Tab_Process_TCs[Process_ID],,0,)</f>
        <v>#N/A</v>
      </c>
      <c r="D84" s="189" t="s">
        <v>35</v>
      </c>
      <c r="E84" s="189" t="s">
        <v>35</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3"/>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0.54000000000000015</v>
      </c>
      <c r="AH84" s="169" t="e">
        <f>_xlfn.XLOOKUP($D84,#REF!,#REF!,,0,)</f>
        <v>#REF!</v>
      </c>
      <c r="AI84" s="53" t="e">
        <f>_xlfn.XLOOKUP($D84,#REF!,#REF!,,0,)</f>
        <v>#REF!</v>
      </c>
      <c r="AJ84" s="42" t="str">
        <f>Tab_Process_TCs2527[[#This Row],[Flow_ID]]</f>
        <v>N.A.</v>
      </c>
      <c r="AK84" s="9" t="e">
        <f t="shared" si="18"/>
        <v>#REF!</v>
      </c>
      <c r="AL84" s="168">
        <f t="shared" si="15"/>
        <v>0.2099999999999998</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4" t="b">
        <v>0</v>
      </c>
      <c r="B85" s="9">
        <f t="shared" si="16"/>
        <v>84</v>
      </c>
      <c r="C85" s="47" t="e">
        <f>_xlfn.XLOOKUP($D85,Tab_Process_TCs[Name(EN)],Tab_Process_TCs[Process_ID],,0,)</f>
        <v>#N/A</v>
      </c>
      <c r="D85" s="189" t="s">
        <v>35</v>
      </c>
      <c r="E85" s="189" t="s">
        <v>35</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3"/>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0.55000000000000016</v>
      </c>
      <c r="AH85" s="169" t="e">
        <f>_xlfn.XLOOKUP($D85,#REF!,#REF!,,0,)</f>
        <v>#REF!</v>
      </c>
      <c r="AI85" s="53" t="e">
        <f>_xlfn.XLOOKUP($D85,#REF!,#REF!,,0,)</f>
        <v>#REF!</v>
      </c>
      <c r="AJ85" s="42" t="str">
        <f>Tab_Process_TCs2527[[#This Row],[Flow_ID]]</f>
        <v>N.A.</v>
      </c>
      <c r="AK85" s="9" t="e">
        <f t="shared" si="18"/>
        <v>#REF!</v>
      </c>
      <c r="AL85" s="168">
        <f t="shared" si="15"/>
        <v>0.19999999999999979</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4" t="b">
        <v>0</v>
      </c>
      <c r="B86" s="9">
        <f t="shared" si="16"/>
        <v>85</v>
      </c>
      <c r="C86" s="47" t="e">
        <f>_xlfn.XLOOKUP($D86,Tab_Process_TCs[Name(EN)],Tab_Process_TCs[Process_ID],,0,)</f>
        <v>#N/A</v>
      </c>
      <c r="D86" s="189" t="s">
        <v>35</v>
      </c>
      <c r="E86" s="189" t="s">
        <v>35</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3"/>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v>0.4</v>
      </c>
      <c r="AH86" s="169" t="e">
        <f>_xlfn.XLOOKUP($D86,#REF!,#REF!,,0,)</f>
        <v>#REF!</v>
      </c>
      <c r="AI86" s="53" t="e">
        <f>_xlfn.XLOOKUP($D86,#REF!,#REF!,,0,)</f>
        <v>#REF!</v>
      </c>
      <c r="AJ86" s="42" t="str">
        <f>Tab_Process_TCs2527[[#This Row],[Flow_ID]]</f>
        <v>N.A.</v>
      </c>
      <c r="AK86" s="9" t="e">
        <f t="shared" si="18"/>
        <v>#REF!</v>
      </c>
      <c r="AL86" s="168">
        <v>0.6</v>
      </c>
      <c r="AM86" s="16" t="e">
        <f>_xlfn.XLOOKUP($D86,#REF!,#REF!,,0,)</f>
        <v>#REF!</v>
      </c>
      <c r="AN86" s="9" t="e">
        <f>_xlfn.XLOOKUP($D86,#REF!,#REF!,,0,)</f>
        <v>#REF!</v>
      </c>
      <c r="AO86" s="42" t="str">
        <f>Tab_Process_TCs2527[[#This Row],[Flow_ID]]</f>
        <v>N.A.</v>
      </c>
      <c r="AP86" s="9" t="e">
        <f t="shared" si="19"/>
        <v>#REF!</v>
      </c>
      <c r="AQ86" s="168"/>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4" t="b">
        <v>0</v>
      </c>
      <c r="B87" s="9">
        <f t="shared" si="16"/>
        <v>86</v>
      </c>
      <c r="C87" s="47" t="e">
        <f>_xlfn.XLOOKUP($D87,Tab_Process_TCs[Name(EN)],Tab_Process_TCs[Process_ID],,0,)</f>
        <v>#N/A</v>
      </c>
      <c r="D87" s="189" t="s">
        <v>35</v>
      </c>
      <c r="E87" s="189" t="s">
        <v>35</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3"/>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v>0.4</v>
      </c>
      <c r="AH87" s="169" t="e">
        <f>_xlfn.XLOOKUP($D87,#REF!,#REF!,,0,)</f>
        <v>#REF!</v>
      </c>
      <c r="AI87" s="53" t="e">
        <f>_xlfn.XLOOKUP($D87,#REF!,#REF!,,0,)</f>
        <v>#REF!</v>
      </c>
      <c r="AJ87" s="42" t="str">
        <f>Tab_Process_TCs2527[[#This Row],[Flow_ID]]</f>
        <v>N.A.</v>
      </c>
      <c r="AK87" s="9" t="e">
        <f t="shared" si="18"/>
        <v>#REF!</v>
      </c>
      <c r="AL87" s="168">
        <v>0.6</v>
      </c>
      <c r="AM87" s="16" t="e">
        <f>_xlfn.XLOOKUP($D87,#REF!,#REF!,,0,)</f>
        <v>#REF!</v>
      </c>
      <c r="AN87" s="9" t="e">
        <f>_xlfn.XLOOKUP($D87,#REF!,#REF!,,0,)</f>
        <v>#REF!</v>
      </c>
      <c r="AO87" s="42" t="str">
        <f>Tab_Process_TCs2527[[#This Row],[Flow_ID]]</f>
        <v>N.A.</v>
      </c>
      <c r="AP87" s="9" t="e">
        <f t="shared" si="19"/>
        <v>#REF!</v>
      </c>
      <c r="AQ87" s="168"/>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4" t="b">
        <v>0</v>
      </c>
      <c r="B88" s="9">
        <f t="shared" si="16"/>
        <v>87</v>
      </c>
      <c r="C88" s="47" t="e">
        <f>_xlfn.XLOOKUP($D88,Tab_Process_TCs[Name(EN)],Tab_Process_TCs[Process_ID],,0,)</f>
        <v>#N/A</v>
      </c>
      <c r="D88" s="189" t="s">
        <v>35</v>
      </c>
      <c r="E88" s="189" t="s">
        <v>35</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3"/>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4" t="b">
        <v>0</v>
      </c>
      <c r="B89" s="9">
        <f t="shared" si="16"/>
        <v>88</v>
      </c>
      <c r="C89" s="47" t="e">
        <f>_xlfn.XLOOKUP($D89,Tab_Process_TCs[Name(EN)],Tab_Process_TCs[Process_ID],,0,)</f>
        <v>#N/A</v>
      </c>
      <c r="D89" s="189" t="s">
        <v>35</v>
      </c>
      <c r="E89" s="189" t="s">
        <v>35</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3"/>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4" t="b">
        <v>0</v>
      </c>
      <c r="B90" s="9">
        <f t="shared" si="16"/>
        <v>89</v>
      </c>
      <c r="C90" s="47" t="e">
        <f>_xlfn.XLOOKUP($D90,Tab_Process_TCs[Name(EN)],Tab_Process_TCs[Process_ID],,0,)</f>
        <v>#N/A</v>
      </c>
      <c r="D90" s="189" t="s">
        <v>35</v>
      </c>
      <c r="E90" s="189" t="s">
        <v>35</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3"/>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4" t="b">
        <v>0</v>
      </c>
      <c r="B91" s="9">
        <f t="shared" si="16"/>
        <v>90</v>
      </c>
      <c r="C91" s="47" t="e">
        <f>_xlfn.XLOOKUP($D91,Tab_Process_TCs[Name(EN)],Tab_Process_TCs[Process_ID],,0,)</f>
        <v>#N/A</v>
      </c>
      <c r="D91" s="189" t="s">
        <v>35</v>
      </c>
      <c r="E91" s="189" t="s">
        <v>35</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3"/>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4" t="b">
        <v>0</v>
      </c>
      <c r="B92" s="9">
        <f t="shared" si="16"/>
        <v>91</v>
      </c>
      <c r="C92" s="47" t="e">
        <f>_xlfn.XLOOKUP($D92,Tab_Process_TCs[Name(EN)],Tab_Process_TCs[Process_ID],,0,)</f>
        <v>#N/A</v>
      </c>
      <c r="D92" s="189" t="s">
        <v>35</v>
      </c>
      <c r="E92" s="189" t="s">
        <v>35</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3"/>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4" t="b">
        <v>0</v>
      </c>
      <c r="B93" s="9">
        <f t="shared" si="16"/>
        <v>92</v>
      </c>
      <c r="C93" s="47" t="e">
        <f>_xlfn.XLOOKUP($D93,Tab_Process_TCs[Name(EN)],Tab_Process_TCs[Process_ID],,0,)</f>
        <v>#N/A</v>
      </c>
      <c r="D93" s="189" t="s">
        <v>35</v>
      </c>
      <c r="E93" s="189" t="s">
        <v>35</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3"/>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 t="e">
        <f>_xlfn.XLOOKUP($D93,#REF!,#REF!,,0,)</f>
        <v>#REF!</v>
      </c>
      <c r="AI93" s="9"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4" t="b">
        <v>0</v>
      </c>
      <c r="B94" s="9">
        <f t="shared" si="16"/>
        <v>93</v>
      </c>
      <c r="C94" s="47" t="e">
        <f>_xlfn.XLOOKUP($D94,Tab_Process_TCs[Name(EN)],Tab_Process_TCs[Process_ID],,0,)</f>
        <v>#N/A</v>
      </c>
      <c r="D94" s="189" t="s">
        <v>35</v>
      </c>
      <c r="E94" s="189" t="s">
        <v>35</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3"/>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 t="e">
        <f>_xlfn.XLOOKUP($D94,#REF!,#REF!,,0,)</f>
        <v>#REF!</v>
      </c>
      <c r="AI94" s="9"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4" t="b">
        <v>0</v>
      </c>
      <c r="B95" s="9">
        <f t="shared" si="16"/>
        <v>94</v>
      </c>
      <c r="C95" s="47" t="e">
        <f>_xlfn.XLOOKUP($D95,Tab_Process_TCs[Name(EN)],Tab_Process_TCs[Process_ID],,0,)</f>
        <v>#N/A</v>
      </c>
      <c r="D95" s="189" t="s">
        <v>35</v>
      </c>
      <c r="E95" s="189" t="s">
        <v>35</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3"/>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4" t="b">
        <v>0</v>
      </c>
      <c r="B96" s="9">
        <f t="shared" ref="B96:B127" si="23">ROW()-1</f>
        <v>95</v>
      </c>
      <c r="C96" s="47" t="e">
        <f>_xlfn.XLOOKUP($D96,Tab_Process_TCs[Name(EN)],Tab_Process_TCs[Process_ID],,0,)</f>
        <v>#N/A</v>
      </c>
      <c r="D96" s="189" t="s">
        <v>35</v>
      </c>
      <c r="E96" s="189" t="s">
        <v>35</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3"/>
      <c r="L96" s="9"/>
      <c r="M96" s="16" t="e">
        <f>_xlfn.XLOOKUP($D96,Tab_Def_Processes[Name(EN)],Tab_Def_Processes[Input_Flow_I_1],,0,)</f>
        <v>#N/A</v>
      </c>
      <c r="N96" s="9" t="e">
        <f>_xlfn.XLOOKUP($D96,Tab_Def_Processes[Name(EN)],Tab_Def_Processes[Flow_ID_I_1],,0,)</f>
        <v>#N/A</v>
      </c>
      <c r="O96" s="180"/>
      <c r="P96" s="29" t="e">
        <f>_xlfn.XLOOKUP($D96,Tab_Def_Processes[Name(EN)],Tab_Def_Processes[Input_Flow_I_2],,0,)</f>
        <v>#N/A</v>
      </c>
      <c r="Q96" s="9" t="e">
        <f>_xlfn.XLOOKUP($D96,Tab_Def_Processes[Name(EN)],Tab_Def_Processes[Flow_ID_I_2],,0,)</f>
        <v>#N/A</v>
      </c>
      <c r="R96" s="180"/>
      <c r="S96" s="29" t="e">
        <f>_xlfn.XLOOKUP($D96,Tab_Def_Processes[Name(EN)],Tab_Def_Processes[Input_Flow_I_3],,0,)</f>
        <v>#N/A</v>
      </c>
      <c r="T96" s="9" t="e">
        <f>_xlfn.XLOOKUP($D96,Tab_Def_Processes[Name(EN)],Tab_Def_Processes[Flow_ID_I_3],,0,)</f>
        <v>#N/A</v>
      </c>
      <c r="U96" s="180"/>
      <c r="V96" s="29" t="e">
        <f>_xlfn.XLOOKUP($D96,Tab_Def_Processes[Name(EN)],Tab_Def_Processes[Input_Flow_I_4],,0,)</f>
        <v>#N/A</v>
      </c>
      <c r="W96" s="9" t="e">
        <f>_xlfn.XLOOKUP($D96,Tab_Def_Processes[Name(EN)],Tab_Def_Processes[Flow_ID_I_4],,0,)</f>
        <v>#N/A</v>
      </c>
      <c r="X96" s="180"/>
      <c r="Y96" s="29" t="e">
        <f>_xlfn.XLOOKUP($D96,Tab_Def_Processes[Name(EN)],Tab_Def_Processes[Input_Flow_I_5],,0,)</f>
        <v>#N/A</v>
      </c>
      <c r="Z96" s="9" t="e">
        <f>_xlfn.XLOOKUP($D96,Tab_Def_Processes[Name(EN)],Tab_Def_Processes[Flow_ID_I_5],,0,)</f>
        <v>#N/A</v>
      </c>
      <c r="AA96" s="180"/>
      <c r="AB96" s="39">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ref="AF96:AF127" si="24">"TC"&amp;"_"&amp;RIGHT(AD96,5)</f>
        <v>#REF!</v>
      </c>
      <c r="AG96" s="49">
        <v>0.4</v>
      </c>
      <c r="AH96" s="16" t="e">
        <f>_xlfn.XLOOKUP($D96,#REF!,#REF!,,0,)</f>
        <v>#REF!</v>
      </c>
      <c r="AI96" s="9" t="e">
        <f>_xlfn.XLOOKUP($D96,#REF!,#REF!,,0,)</f>
        <v>#REF!</v>
      </c>
      <c r="AJ96" s="42" t="str">
        <f>Tab_Process_TCs2527[[#This Row],[Flow_ID]]</f>
        <v>N.A.</v>
      </c>
      <c r="AK96" s="9" t="e">
        <f t="shared" ref="AK96:AK127" si="25">"TC"&amp;"_"&amp;RIGHT(AI96,5)</f>
        <v>#REF!</v>
      </c>
      <c r="AL96" s="168">
        <v>0.6</v>
      </c>
      <c r="AM96" s="16" t="e">
        <f>_xlfn.XLOOKUP($D96,#REF!,#REF!,,0,)</f>
        <v>#REF!</v>
      </c>
      <c r="AN96" s="9" t="e">
        <f>_xlfn.XLOOKUP($D96,#REF!,#REF!,,0,)</f>
        <v>#REF!</v>
      </c>
      <c r="AO96" s="42" t="str">
        <f>Tab_Process_TCs2527[[#This Row],[Flow_ID]]</f>
        <v>N.A.</v>
      </c>
      <c r="AP96" s="9" t="e">
        <f t="shared" ref="AP96:AP127" si="26">"TC"&amp;"_"&amp;RIGHT(AN96,5)</f>
        <v>#REF!</v>
      </c>
      <c r="AQ96" s="168"/>
      <c r="AR96" s="16" t="e">
        <f>_xlfn.XLOOKUP($D96,#REF!,#REF!,,0,)</f>
        <v>#REF!</v>
      </c>
      <c r="AS96" s="9" t="e">
        <f>_xlfn.XLOOKUP($D96,#REF!,#REF!,,0,)</f>
        <v>#REF!</v>
      </c>
      <c r="AT96" s="42" t="str">
        <f>Tab_Process_TCs2527[[#This Row],[Flow_ID]]</f>
        <v>N.A.</v>
      </c>
      <c r="AU96" s="42" t="e">
        <f t="shared" ref="AU96:AU127" si="27">"TC"&amp;"_"&amp;RIGHT(AN96,5)</f>
        <v>#REF!</v>
      </c>
      <c r="AV96" s="168"/>
      <c r="AW96" s="16" t="e">
        <f>_xlfn.XLOOKUP($D96,#REF!,#REF!,,0,)</f>
        <v>#REF!</v>
      </c>
      <c r="AX96" s="9" t="e">
        <f>_xlfn.XLOOKUP($D96,#REF!,#REF!,,0,)</f>
        <v>#REF!</v>
      </c>
      <c r="AY96" s="42" t="str">
        <f>Tab_Process_TCs2527[[#This Row],[Flow_ID]]</f>
        <v>N.A.</v>
      </c>
      <c r="AZ96" s="42" t="e">
        <f t="shared" ref="AZ96:AZ127" si="28">"TC"&amp;"_"&amp;RIGHT(AX96,5)</f>
        <v>#REF!</v>
      </c>
      <c r="BA96" s="168"/>
      <c r="BB96" s="9" t="e">
        <f>_xlfn.XLOOKUP($D96,#REF!,#REF!,,0,)</f>
        <v>#REF!</v>
      </c>
      <c r="BC96" s="9" t="e">
        <f>_xlfn.XLOOKUP($D96,#REF!,#REF!,,0,)</f>
        <v>#REF!</v>
      </c>
      <c r="BD96" s="42" t="str">
        <f>Tab_Process_TCs2527[[#This Row],[Flow_ID]]</f>
        <v>N.A.</v>
      </c>
      <c r="BE96" s="42" t="e">
        <f t="shared" ref="BE96:BE127" si="29">"TC"&amp;"_"&amp;RIGHT(BC96,5)</f>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4" t="b">
        <v>0</v>
      </c>
      <c r="B97" s="9">
        <f t="shared" si="23"/>
        <v>96</v>
      </c>
      <c r="C97" s="47" t="e">
        <f>_xlfn.XLOOKUP($D97,Tab_Process_TCs[Name(EN)],Tab_Process_TCs[Process_ID],,0,)</f>
        <v>#N/A</v>
      </c>
      <c r="D97" s="189" t="s">
        <v>35</v>
      </c>
      <c r="E97" s="189" t="s">
        <v>35</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3"/>
      <c r="L97" s="9"/>
      <c r="M97" s="16" t="e">
        <f>_xlfn.XLOOKUP($D97,Tab_Def_Processes[Name(EN)],Tab_Def_Processes[Input_Flow_I_1],,0,)</f>
        <v>#N/A</v>
      </c>
      <c r="N97" s="9" t="e">
        <f>_xlfn.XLOOKUP($D97,Tab_Def_Processes[Name(EN)],Tab_Def_Processes[Flow_ID_I_1],,0,)</f>
        <v>#N/A</v>
      </c>
      <c r="O97" s="180"/>
      <c r="P97" s="29" t="e">
        <f>_xlfn.XLOOKUP($D97,Tab_Def_Processes[Name(EN)],Tab_Def_Processes[Input_Flow_I_2],,0,)</f>
        <v>#N/A</v>
      </c>
      <c r="Q97" s="9" t="e">
        <f>_xlfn.XLOOKUP($D97,Tab_Def_Processes[Name(EN)],Tab_Def_Processes[Flow_ID_I_2],,0,)</f>
        <v>#N/A</v>
      </c>
      <c r="R97" s="180"/>
      <c r="S97" s="29" t="e">
        <f>_xlfn.XLOOKUP($D97,Tab_Def_Processes[Name(EN)],Tab_Def_Processes[Input_Flow_I_3],,0,)</f>
        <v>#N/A</v>
      </c>
      <c r="T97" s="9" t="e">
        <f>_xlfn.XLOOKUP($D97,Tab_Def_Processes[Name(EN)],Tab_Def_Processes[Flow_ID_I_3],,0,)</f>
        <v>#N/A</v>
      </c>
      <c r="U97" s="180"/>
      <c r="V97" s="29" t="e">
        <f>_xlfn.XLOOKUP($D97,Tab_Def_Processes[Name(EN)],Tab_Def_Processes[Input_Flow_I_4],,0,)</f>
        <v>#N/A</v>
      </c>
      <c r="W97" s="9" t="e">
        <f>_xlfn.XLOOKUP($D97,Tab_Def_Processes[Name(EN)],Tab_Def_Processes[Flow_ID_I_4],,0,)</f>
        <v>#N/A</v>
      </c>
      <c r="X97" s="180"/>
      <c r="Y97" s="29" t="e">
        <f>_xlfn.XLOOKUP($D97,Tab_Def_Processes[Name(EN)],Tab_Def_Processes[Input_Flow_I_5],,0,)</f>
        <v>#N/A</v>
      </c>
      <c r="Z97" s="9" t="e">
        <f>_xlfn.XLOOKUP($D97,Tab_Def_Processes[Name(EN)],Tab_Def_Processes[Flow_ID_I_5],,0,)</f>
        <v>#N/A</v>
      </c>
      <c r="AA97" s="180"/>
      <c r="AB97" s="39">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24"/>
        <v>#REF!</v>
      </c>
      <c r="AG97" s="49">
        <v>0.4</v>
      </c>
      <c r="AH97" s="16" t="e">
        <f>_xlfn.XLOOKUP($D97,#REF!,#REF!,,0,)</f>
        <v>#REF!</v>
      </c>
      <c r="AI97" s="9" t="e">
        <f>_xlfn.XLOOKUP($D97,#REF!,#REF!,,0,)</f>
        <v>#REF!</v>
      </c>
      <c r="AJ97" s="42" t="str">
        <f>Tab_Process_TCs2527[[#This Row],[Flow_ID]]</f>
        <v>N.A.</v>
      </c>
      <c r="AK97" s="9" t="e">
        <f t="shared" si="25"/>
        <v>#REF!</v>
      </c>
      <c r="AL97" s="168">
        <v>0.6</v>
      </c>
      <c r="AM97" s="16" t="e">
        <f>_xlfn.XLOOKUP($D97,#REF!,#REF!,,0,)</f>
        <v>#REF!</v>
      </c>
      <c r="AN97" s="9" t="e">
        <f>_xlfn.XLOOKUP($D97,#REF!,#REF!,,0,)</f>
        <v>#REF!</v>
      </c>
      <c r="AO97" s="42" t="str">
        <f>Tab_Process_TCs2527[[#This Row],[Flow_ID]]</f>
        <v>N.A.</v>
      </c>
      <c r="AP97" s="9" t="e">
        <f t="shared" si="26"/>
        <v>#REF!</v>
      </c>
      <c r="AQ97" s="168"/>
      <c r="AR97" s="16" t="e">
        <f>_xlfn.XLOOKUP($D97,#REF!,#REF!,,0,)</f>
        <v>#REF!</v>
      </c>
      <c r="AS97" s="9" t="e">
        <f>_xlfn.XLOOKUP($D97,#REF!,#REF!,,0,)</f>
        <v>#REF!</v>
      </c>
      <c r="AT97" s="42" t="str">
        <f>Tab_Process_TCs2527[[#This Row],[Flow_ID]]</f>
        <v>N.A.</v>
      </c>
      <c r="AU97" s="42" t="e">
        <f t="shared" si="27"/>
        <v>#REF!</v>
      </c>
      <c r="AV97" s="168"/>
      <c r="AW97" s="16" t="e">
        <f>_xlfn.XLOOKUP($D97,#REF!,#REF!,,0,)</f>
        <v>#REF!</v>
      </c>
      <c r="AX97" s="9" t="e">
        <f>_xlfn.XLOOKUP($D97,#REF!,#REF!,,0,)</f>
        <v>#REF!</v>
      </c>
      <c r="AY97" s="42" t="str">
        <f>Tab_Process_TCs2527[[#This Row],[Flow_ID]]</f>
        <v>N.A.</v>
      </c>
      <c r="AZ97" s="42" t="e">
        <f t="shared" si="28"/>
        <v>#REF!</v>
      </c>
      <c r="BA97" s="168"/>
      <c r="BB97" s="9" t="e">
        <f>_xlfn.XLOOKUP($D97,#REF!,#REF!,,0,)</f>
        <v>#REF!</v>
      </c>
      <c r="BC97" s="9" t="e">
        <f>_xlfn.XLOOKUP($D97,#REF!,#REF!,,0,)</f>
        <v>#REF!</v>
      </c>
      <c r="BD97" s="42" t="str">
        <f>Tab_Process_TCs2527[[#This Row],[Flow_ID]]</f>
        <v>N.A.</v>
      </c>
      <c r="BE97" s="42" t="e">
        <f t="shared" si="29"/>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4" t="b">
        <v>0</v>
      </c>
      <c r="B98" s="9">
        <f t="shared" si="23"/>
        <v>97</v>
      </c>
      <c r="C98" s="47" t="e">
        <f>_xlfn.XLOOKUP($D98,Tab_Process_TCs[Name(EN)],Tab_Process_TCs[Process_ID],,0,)</f>
        <v>#N/A</v>
      </c>
      <c r="D98" s="189" t="s">
        <v>35</v>
      </c>
      <c r="E98" s="189" t="s">
        <v>35</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3"/>
      <c r="L98" s="9"/>
      <c r="M98" s="16" t="e">
        <f>_xlfn.XLOOKUP($D98,Tab_Def_Processes[Name(EN)],Tab_Def_Processes[Input_Flow_I_1],,0,)</f>
        <v>#N/A</v>
      </c>
      <c r="N98" s="9" t="e">
        <f>_xlfn.XLOOKUP($D98,Tab_Def_Processes[Name(EN)],Tab_Def_Processes[Flow_ID_I_1],,0,)</f>
        <v>#N/A</v>
      </c>
      <c r="O98" s="180"/>
      <c r="P98" s="29" t="e">
        <f>_xlfn.XLOOKUP($D98,Tab_Def_Processes[Name(EN)],Tab_Def_Processes[Input_Flow_I_2],,0,)</f>
        <v>#N/A</v>
      </c>
      <c r="Q98" s="9" t="e">
        <f>_xlfn.XLOOKUP($D98,Tab_Def_Processes[Name(EN)],Tab_Def_Processes[Flow_ID_I_2],,0,)</f>
        <v>#N/A</v>
      </c>
      <c r="R98" s="180"/>
      <c r="S98" s="29" t="e">
        <f>_xlfn.XLOOKUP($D98,Tab_Def_Processes[Name(EN)],Tab_Def_Processes[Input_Flow_I_3],,0,)</f>
        <v>#N/A</v>
      </c>
      <c r="T98" s="9" t="e">
        <f>_xlfn.XLOOKUP($D98,Tab_Def_Processes[Name(EN)],Tab_Def_Processes[Flow_ID_I_3],,0,)</f>
        <v>#N/A</v>
      </c>
      <c r="U98" s="180"/>
      <c r="V98" s="29" t="e">
        <f>_xlfn.XLOOKUP($D98,Tab_Def_Processes[Name(EN)],Tab_Def_Processes[Input_Flow_I_4],,0,)</f>
        <v>#N/A</v>
      </c>
      <c r="W98" s="9" t="e">
        <f>_xlfn.XLOOKUP($D98,Tab_Def_Processes[Name(EN)],Tab_Def_Processes[Flow_ID_I_4],,0,)</f>
        <v>#N/A</v>
      </c>
      <c r="X98" s="180"/>
      <c r="Y98" s="29" t="e">
        <f>_xlfn.XLOOKUP($D98,Tab_Def_Processes[Name(EN)],Tab_Def_Processes[Input_Flow_I_5],,0,)</f>
        <v>#N/A</v>
      </c>
      <c r="Z98" s="9" t="e">
        <f>_xlfn.XLOOKUP($D98,Tab_Def_Processes[Name(EN)],Tab_Def_Processes[Flow_ID_I_5],,0,)</f>
        <v>#N/A</v>
      </c>
      <c r="AA98" s="180"/>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si="24"/>
        <v>#REF!</v>
      </c>
      <c r="AG98" s="49">
        <v>0.4</v>
      </c>
      <c r="AH98" s="16" t="e">
        <f>_xlfn.XLOOKUP($D98,#REF!,#REF!,,0,)</f>
        <v>#REF!</v>
      </c>
      <c r="AI98" s="9" t="e">
        <f>_xlfn.XLOOKUP($D98,#REF!,#REF!,,0,)</f>
        <v>#REF!</v>
      </c>
      <c r="AJ98" s="42" t="str">
        <f>Tab_Process_TCs2527[[#This Row],[Flow_ID]]</f>
        <v>N.A.</v>
      </c>
      <c r="AK98" s="9" t="e">
        <f t="shared" si="25"/>
        <v>#REF!</v>
      </c>
      <c r="AL98" s="168">
        <v>0.6</v>
      </c>
      <c r="AM98" s="16" t="e">
        <f>_xlfn.XLOOKUP($D98,#REF!,#REF!,,0,)</f>
        <v>#REF!</v>
      </c>
      <c r="AN98" s="9" t="e">
        <f>_xlfn.XLOOKUP($D98,#REF!,#REF!,,0,)</f>
        <v>#REF!</v>
      </c>
      <c r="AO98" s="42" t="str">
        <f>Tab_Process_TCs2527[[#This Row],[Flow_ID]]</f>
        <v>N.A.</v>
      </c>
      <c r="AP98" s="9" t="e">
        <f t="shared" si="26"/>
        <v>#REF!</v>
      </c>
      <c r="AQ98" s="168"/>
      <c r="AR98" s="16" t="e">
        <f>_xlfn.XLOOKUP($D98,#REF!,#REF!,,0,)</f>
        <v>#REF!</v>
      </c>
      <c r="AS98" s="9" t="e">
        <f>_xlfn.XLOOKUP($D98,#REF!,#REF!,,0,)</f>
        <v>#REF!</v>
      </c>
      <c r="AT98" s="42" t="str">
        <f>Tab_Process_TCs2527[[#This Row],[Flow_ID]]</f>
        <v>N.A.</v>
      </c>
      <c r="AU98" s="42" t="e">
        <f t="shared" si="27"/>
        <v>#REF!</v>
      </c>
      <c r="AV98" s="168"/>
      <c r="AW98" s="16" t="e">
        <f>_xlfn.XLOOKUP($D98,#REF!,#REF!,,0,)</f>
        <v>#REF!</v>
      </c>
      <c r="AX98" s="9" t="e">
        <f>_xlfn.XLOOKUP($D98,#REF!,#REF!,,0,)</f>
        <v>#REF!</v>
      </c>
      <c r="AY98" s="42" t="str">
        <f>Tab_Process_TCs2527[[#This Row],[Flow_ID]]</f>
        <v>N.A.</v>
      </c>
      <c r="AZ98" s="42" t="e">
        <f t="shared" si="28"/>
        <v>#REF!</v>
      </c>
      <c r="BA98" s="168"/>
      <c r="BB98" s="9" t="e">
        <f>_xlfn.XLOOKUP($D98,#REF!,#REF!,,0,)</f>
        <v>#REF!</v>
      </c>
      <c r="BC98" s="9" t="e">
        <f>_xlfn.XLOOKUP($D98,#REF!,#REF!,,0,)</f>
        <v>#REF!</v>
      </c>
      <c r="BD98" s="42" t="str">
        <f>Tab_Process_TCs2527[[#This Row],[Flow_ID]]</f>
        <v>N.A.</v>
      </c>
      <c r="BE98" s="42" t="e">
        <f t="shared" si="29"/>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4" t="b">
        <v>0</v>
      </c>
      <c r="B99" s="9">
        <f t="shared" si="23"/>
        <v>98</v>
      </c>
      <c r="C99" s="47" t="e">
        <f>_xlfn.XLOOKUP($D99,Tab_Process_TCs[Name(EN)],Tab_Process_TCs[Process_ID],,0,)</f>
        <v>#N/A</v>
      </c>
      <c r="D99" s="189" t="s">
        <v>35</v>
      </c>
      <c r="E99" s="189" t="s">
        <v>35</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3"/>
      <c r="L99" s="9"/>
      <c r="M99" s="16" t="e">
        <f>_xlfn.XLOOKUP($D99,Tab_Def_Processes[Name(EN)],Tab_Def_Processes[Input_Flow_I_1],,0,)</f>
        <v>#N/A</v>
      </c>
      <c r="N99" s="9" t="e">
        <f>_xlfn.XLOOKUP($D99,Tab_Def_Processes[Name(EN)],Tab_Def_Processes[Flow_ID_I_1],,0,)</f>
        <v>#N/A</v>
      </c>
      <c r="O99" s="180"/>
      <c r="P99" s="29" t="e">
        <f>_xlfn.XLOOKUP($D99,Tab_Def_Processes[Name(EN)],Tab_Def_Processes[Input_Flow_I_2],,0,)</f>
        <v>#N/A</v>
      </c>
      <c r="Q99" s="9" t="e">
        <f>_xlfn.XLOOKUP($D99,Tab_Def_Processes[Name(EN)],Tab_Def_Processes[Flow_ID_I_2],,0,)</f>
        <v>#N/A</v>
      </c>
      <c r="R99" s="180"/>
      <c r="S99" s="29" t="e">
        <f>_xlfn.XLOOKUP($D99,Tab_Def_Processes[Name(EN)],Tab_Def_Processes[Input_Flow_I_3],,0,)</f>
        <v>#N/A</v>
      </c>
      <c r="T99" s="9" t="e">
        <f>_xlfn.XLOOKUP($D99,Tab_Def_Processes[Name(EN)],Tab_Def_Processes[Flow_ID_I_3],,0,)</f>
        <v>#N/A</v>
      </c>
      <c r="U99" s="180"/>
      <c r="V99" s="29" t="e">
        <f>_xlfn.XLOOKUP($D99,Tab_Def_Processes[Name(EN)],Tab_Def_Processes[Input_Flow_I_4],,0,)</f>
        <v>#N/A</v>
      </c>
      <c r="W99" s="9" t="e">
        <f>_xlfn.XLOOKUP($D99,Tab_Def_Processes[Name(EN)],Tab_Def_Processes[Flow_ID_I_4],,0,)</f>
        <v>#N/A</v>
      </c>
      <c r="X99" s="180"/>
      <c r="Y99" s="29" t="e">
        <f>_xlfn.XLOOKUP($D99,Tab_Def_Processes[Name(EN)],Tab_Def_Processes[Input_Flow_I_5],,0,)</f>
        <v>#N/A</v>
      </c>
      <c r="Z99" s="9" t="e">
        <f>_xlfn.XLOOKUP($D99,Tab_Def_Processes[Name(EN)],Tab_Def_Processes[Flow_ID_I_5],,0,)</f>
        <v>#N/A</v>
      </c>
      <c r="AA99" s="180"/>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4" t="b">
        <v>0</v>
      </c>
      <c r="B100" s="9">
        <f t="shared" si="23"/>
        <v>99</v>
      </c>
      <c r="C100" s="47" t="e">
        <f>_xlfn.XLOOKUP($D100,Tab_Process_TCs[Name(EN)],Tab_Process_TCs[Process_ID],,0,)</f>
        <v>#N/A</v>
      </c>
      <c r="D100" s="189" t="s">
        <v>35</v>
      </c>
      <c r="E100" s="189" t="s">
        <v>35</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3"/>
      <c r="L100" s="9"/>
      <c r="M100" s="16" t="e">
        <f>_xlfn.XLOOKUP($D100,Tab_Def_Processes[Name(EN)],Tab_Def_Processes[Input_Flow_I_1],,0,)</f>
        <v>#N/A</v>
      </c>
      <c r="N100" s="9" t="e">
        <f>_xlfn.XLOOKUP($D100,Tab_Def_Processes[Name(EN)],Tab_Def_Processes[Flow_ID_I_1],,0,)</f>
        <v>#N/A</v>
      </c>
      <c r="O100" s="180"/>
      <c r="P100" s="29" t="e">
        <f>_xlfn.XLOOKUP($D100,Tab_Def_Processes[Name(EN)],Tab_Def_Processes[Input_Flow_I_2],,0,)</f>
        <v>#N/A</v>
      </c>
      <c r="Q100" s="9" t="e">
        <f>_xlfn.XLOOKUP($D100,Tab_Def_Processes[Name(EN)],Tab_Def_Processes[Flow_ID_I_2],,0,)</f>
        <v>#N/A</v>
      </c>
      <c r="R100" s="180"/>
      <c r="S100" s="29" t="e">
        <f>_xlfn.XLOOKUP($D100,Tab_Def_Processes[Name(EN)],Tab_Def_Processes[Input_Flow_I_3],,0,)</f>
        <v>#N/A</v>
      </c>
      <c r="T100" s="9" t="e">
        <f>_xlfn.XLOOKUP($D100,Tab_Def_Processes[Name(EN)],Tab_Def_Processes[Flow_ID_I_3],,0,)</f>
        <v>#N/A</v>
      </c>
      <c r="U100" s="180"/>
      <c r="V100" s="29" t="e">
        <f>_xlfn.XLOOKUP($D100,Tab_Def_Processes[Name(EN)],Tab_Def_Processes[Input_Flow_I_4],,0,)</f>
        <v>#N/A</v>
      </c>
      <c r="W100" s="9" t="e">
        <f>_xlfn.XLOOKUP($D100,Tab_Def_Processes[Name(EN)],Tab_Def_Processes[Flow_ID_I_4],,0,)</f>
        <v>#N/A</v>
      </c>
      <c r="X100" s="180"/>
      <c r="Y100" s="29" t="e">
        <f>_xlfn.XLOOKUP($D100,Tab_Def_Processes[Name(EN)],Tab_Def_Processes[Input_Flow_I_5],,0,)</f>
        <v>#N/A</v>
      </c>
      <c r="Z100" s="9" t="e">
        <f>_xlfn.XLOOKUP($D100,Tab_Def_Processes[Name(EN)],Tab_Def_Processes[Flow_ID_I_5],,0,)</f>
        <v>#N/A</v>
      </c>
      <c r="AA100" s="180"/>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4" t="b">
        <v>0</v>
      </c>
      <c r="B101" s="9">
        <f t="shared" si="23"/>
        <v>100</v>
      </c>
      <c r="C101" s="47" t="e">
        <f>_xlfn.XLOOKUP($D101,Tab_Process_TCs[Name(EN)],Tab_Process_TCs[Process_ID],,0,)</f>
        <v>#N/A</v>
      </c>
      <c r="D101" s="189" t="s">
        <v>35</v>
      </c>
      <c r="E101" s="189" t="s">
        <v>35</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3"/>
      <c r="L101" s="9"/>
      <c r="M101" s="16" t="e">
        <f>_xlfn.XLOOKUP($D101,Tab_Def_Processes[Name(EN)],Tab_Def_Processes[Input_Flow_I_1],,0,)</f>
        <v>#N/A</v>
      </c>
      <c r="N101" s="9" t="e">
        <f>_xlfn.XLOOKUP($D101,Tab_Def_Processes[Name(EN)],Tab_Def_Processes[Flow_ID_I_1],,0,)</f>
        <v>#N/A</v>
      </c>
      <c r="O101" s="180"/>
      <c r="P101" s="29" t="e">
        <f>_xlfn.XLOOKUP($D101,Tab_Def_Processes[Name(EN)],Tab_Def_Processes[Input_Flow_I_2],,0,)</f>
        <v>#N/A</v>
      </c>
      <c r="Q101" s="9" t="e">
        <f>_xlfn.XLOOKUP($D101,Tab_Def_Processes[Name(EN)],Tab_Def_Processes[Flow_ID_I_2],,0,)</f>
        <v>#N/A</v>
      </c>
      <c r="R101" s="180"/>
      <c r="S101" s="29" t="e">
        <f>_xlfn.XLOOKUP($D101,Tab_Def_Processes[Name(EN)],Tab_Def_Processes[Input_Flow_I_3],,0,)</f>
        <v>#N/A</v>
      </c>
      <c r="T101" s="9" t="e">
        <f>_xlfn.XLOOKUP($D101,Tab_Def_Processes[Name(EN)],Tab_Def_Processes[Flow_ID_I_3],,0,)</f>
        <v>#N/A</v>
      </c>
      <c r="U101" s="180"/>
      <c r="V101" s="29" t="e">
        <f>_xlfn.XLOOKUP($D101,Tab_Def_Processes[Name(EN)],Tab_Def_Processes[Input_Flow_I_4],,0,)</f>
        <v>#N/A</v>
      </c>
      <c r="W101" s="9" t="e">
        <f>_xlfn.XLOOKUP($D101,Tab_Def_Processes[Name(EN)],Tab_Def_Processes[Flow_ID_I_4],,0,)</f>
        <v>#N/A</v>
      </c>
      <c r="X101" s="180"/>
      <c r="Y101" s="29" t="e">
        <f>_xlfn.XLOOKUP($D101,Tab_Def_Processes[Name(EN)],Tab_Def_Processes[Input_Flow_I_5],,0,)</f>
        <v>#N/A</v>
      </c>
      <c r="Z101" s="9" t="e">
        <f>_xlfn.XLOOKUP($D101,Tab_Def_Processes[Name(EN)],Tab_Def_Processes[Flow_ID_I_5],,0,)</f>
        <v>#N/A</v>
      </c>
      <c r="AA101" s="180"/>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4" t="b">
        <v>0</v>
      </c>
      <c r="B102" s="9">
        <f t="shared" si="23"/>
        <v>101</v>
      </c>
      <c r="C102" s="47" t="e">
        <f>_xlfn.XLOOKUP($D102,Tab_Process_TCs[Name(EN)],Tab_Process_TCs[Process_ID],,0,)</f>
        <v>#N/A</v>
      </c>
      <c r="D102" s="189" t="s">
        <v>35</v>
      </c>
      <c r="E102" s="189" t="s">
        <v>35</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3"/>
      <c r="L102" s="9"/>
      <c r="M102" s="16" t="e">
        <f>_xlfn.XLOOKUP($D102,Tab_Def_Processes[Name(EN)],Tab_Def_Processes[Input_Flow_I_1],,0,)</f>
        <v>#N/A</v>
      </c>
      <c r="N102" s="9" t="e">
        <f>_xlfn.XLOOKUP($D102,Tab_Def_Processes[Name(EN)],Tab_Def_Processes[Flow_ID_I_1],,0,)</f>
        <v>#N/A</v>
      </c>
      <c r="O102" s="180"/>
      <c r="P102" s="29" t="e">
        <f>_xlfn.XLOOKUP($D102,Tab_Def_Processes[Name(EN)],Tab_Def_Processes[Input_Flow_I_2],,0,)</f>
        <v>#N/A</v>
      </c>
      <c r="Q102" s="9" t="e">
        <f>_xlfn.XLOOKUP($D102,Tab_Def_Processes[Name(EN)],Tab_Def_Processes[Flow_ID_I_2],,0,)</f>
        <v>#N/A</v>
      </c>
      <c r="R102" s="180"/>
      <c r="S102" s="29" t="e">
        <f>_xlfn.XLOOKUP($D102,Tab_Def_Processes[Name(EN)],Tab_Def_Processes[Input_Flow_I_3],,0,)</f>
        <v>#N/A</v>
      </c>
      <c r="T102" s="9" t="e">
        <f>_xlfn.XLOOKUP($D102,Tab_Def_Processes[Name(EN)],Tab_Def_Processes[Flow_ID_I_3],,0,)</f>
        <v>#N/A</v>
      </c>
      <c r="U102" s="180"/>
      <c r="V102" s="29" t="e">
        <f>_xlfn.XLOOKUP($D102,Tab_Def_Processes[Name(EN)],Tab_Def_Processes[Input_Flow_I_4],,0,)</f>
        <v>#N/A</v>
      </c>
      <c r="W102" s="9" t="e">
        <f>_xlfn.XLOOKUP($D102,Tab_Def_Processes[Name(EN)],Tab_Def_Processes[Flow_ID_I_4],,0,)</f>
        <v>#N/A</v>
      </c>
      <c r="X102" s="180"/>
      <c r="Y102" s="29" t="e">
        <f>_xlfn.XLOOKUP($D102,Tab_Def_Processes[Name(EN)],Tab_Def_Processes[Input_Flow_I_5],,0,)</f>
        <v>#N/A</v>
      </c>
      <c r="Z102" s="9" t="e">
        <f>_xlfn.XLOOKUP($D102,Tab_Def_Processes[Name(EN)],Tab_Def_Processes[Flow_ID_I_5],,0,)</f>
        <v>#N/A</v>
      </c>
      <c r="AA102" s="180"/>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4" t="b">
        <v>0</v>
      </c>
      <c r="B103" s="9">
        <f t="shared" si="23"/>
        <v>102</v>
      </c>
      <c r="C103" s="47" t="e">
        <f>_xlfn.XLOOKUP($D103,Tab_Process_TCs[Name(EN)],Tab_Process_TCs[Process_ID],,0,)</f>
        <v>#N/A</v>
      </c>
      <c r="D103" s="189" t="s">
        <v>35</v>
      </c>
      <c r="E103" s="189" t="s">
        <v>35</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3"/>
      <c r="L103" s="9"/>
      <c r="M103" s="16" t="e">
        <f>_xlfn.XLOOKUP($D103,Tab_Def_Processes[Name(EN)],Tab_Def_Processes[Input_Flow_I_1],,0,)</f>
        <v>#N/A</v>
      </c>
      <c r="N103" s="9" t="e">
        <f>_xlfn.XLOOKUP($D103,Tab_Def_Processes[Name(EN)],Tab_Def_Processes[Flow_ID_I_1],,0,)</f>
        <v>#N/A</v>
      </c>
      <c r="O103" s="180"/>
      <c r="P103" s="29" t="e">
        <f>_xlfn.XLOOKUP($D103,Tab_Def_Processes[Name(EN)],Tab_Def_Processes[Input_Flow_I_2],,0,)</f>
        <v>#N/A</v>
      </c>
      <c r="Q103" s="9" t="e">
        <f>_xlfn.XLOOKUP($D103,Tab_Def_Processes[Name(EN)],Tab_Def_Processes[Flow_ID_I_2],,0,)</f>
        <v>#N/A</v>
      </c>
      <c r="R103" s="180"/>
      <c r="S103" s="29" t="e">
        <f>_xlfn.XLOOKUP($D103,Tab_Def_Processes[Name(EN)],Tab_Def_Processes[Input_Flow_I_3],,0,)</f>
        <v>#N/A</v>
      </c>
      <c r="T103" s="9" t="e">
        <f>_xlfn.XLOOKUP($D103,Tab_Def_Processes[Name(EN)],Tab_Def_Processes[Flow_ID_I_3],,0,)</f>
        <v>#N/A</v>
      </c>
      <c r="U103" s="180"/>
      <c r="V103" s="29" t="e">
        <f>_xlfn.XLOOKUP($D103,Tab_Def_Processes[Name(EN)],Tab_Def_Processes[Input_Flow_I_4],,0,)</f>
        <v>#N/A</v>
      </c>
      <c r="W103" s="9" t="e">
        <f>_xlfn.XLOOKUP($D103,Tab_Def_Processes[Name(EN)],Tab_Def_Processes[Flow_ID_I_4],,0,)</f>
        <v>#N/A</v>
      </c>
      <c r="X103" s="180"/>
      <c r="Y103" s="29" t="e">
        <f>_xlfn.XLOOKUP($D103,Tab_Def_Processes[Name(EN)],Tab_Def_Processes[Input_Flow_I_5],,0,)</f>
        <v>#N/A</v>
      </c>
      <c r="Z103" s="9" t="e">
        <f>_xlfn.XLOOKUP($D103,Tab_Def_Processes[Name(EN)],Tab_Def_Processes[Flow_ID_I_5],,0,)</f>
        <v>#N/A</v>
      </c>
      <c r="AA103" s="180"/>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4" t="b">
        <v>0</v>
      </c>
      <c r="B104" s="9">
        <f t="shared" si="23"/>
        <v>103</v>
      </c>
      <c r="C104" s="47" t="e">
        <f>_xlfn.XLOOKUP($D104,Tab_Process_TCs[Name(EN)],Tab_Process_TCs[Process_ID],,0,)</f>
        <v>#N/A</v>
      </c>
      <c r="D104" s="189" t="s">
        <v>35</v>
      </c>
      <c r="E104" s="189" t="s">
        <v>35</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3"/>
      <c r="L104" s="9"/>
      <c r="M104" s="16" t="e">
        <f>_xlfn.XLOOKUP($D104,Tab_Def_Processes[Name(EN)],Tab_Def_Processes[Input_Flow_I_1],,0,)</f>
        <v>#N/A</v>
      </c>
      <c r="N104" s="9" t="e">
        <f>_xlfn.XLOOKUP($D104,Tab_Def_Processes[Name(EN)],Tab_Def_Processes[Flow_ID_I_1],,0,)</f>
        <v>#N/A</v>
      </c>
      <c r="O104" s="180"/>
      <c r="P104" s="29" t="e">
        <f>_xlfn.XLOOKUP($D104,Tab_Def_Processes[Name(EN)],Tab_Def_Processes[Input_Flow_I_2],,0,)</f>
        <v>#N/A</v>
      </c>
      <c r="Q104" s="9" t="e">
        <f>_xlfn.XLOOKUP($D104,Tab_Def_Processes[Name(EN)],Tab_Def_Processes[Flow_ID_I_2],,0,)</f>
        <v>#N/A</v>
      </c>
      <c r="R104" s="180"/>
      <c r="S104" s="29" t="e">
        <f>_xlfn.XLOOKUP($D104,Tab_Def_Processes[Name(EN)],Tab_Def_Processes[Input_Flow_I_3],,0,)</f>
        <v>#N/A</v>
      </c>
      <c r="T104" s="9" t="e">
        <f>_xlfn.XLOOKUP($D104,Tab_Def_Processes[Name(EN)],Tab_Def_Processes[Flow_ID_I_3],,0,)</f>
        <v>#N/A</v>
      </c>
      <c r="U104" s="180"/>
      <c r="V104" s="29" t="e">
        <f>_xlfn.XLOOKUP($D104,Tab_Def_Processes[Name(EN)],Tab_Def_Processes[Input_Flow_I_4],,0,)</f>
        <v>#N/A</v>
      </c>
      <c r="W104" s="9" t="e">
        <f>_xlfn.XLOOKUP($D104,Tab_Def_Processes[Name(EN)],Tab_Def_Processes[Flow_ID_I_4],,0,)</f>
        <v>#N/A</v>
      </c>
      <c r="X104" s="180"/>
      <c r="Y104" s="29" t="e">
        <f>_xlfn.XLOOKUP($D104,Tab_Def_Processes[Name(EN)],Tab_Def_Processes[Input_Flow_I_5],,0,)</f>
        <v>#N/A</v>
      </c>
      <c r="Z104" s="9" t="e">
        <f>_xlfn.XLOOKUP($D104,Tab_Def_Processes[Name(EN)],Tab_Def_Processes[Flow_ID_I_5],,0,)</f>
        <v>#N/A</v>
      </c>
      <c r="AA104" s="180"/>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4" t="b">
        <v>0</v>
      </c>
      <c r="B105" s="9">
        <f t="shared" si="23"/>
        <v>104</v>
      </c>
      <c r="C105" s="47" t="e">
        <f>_xlfn.XLOOKUP($D105,Tab_Process_TCs[Name(EN)],Tab_Process_TCs[Process_ID],,0,)</f>
        <v>#N/A</v>
      </c>
      <c r="D105" s="189" t="s">
        <v>35</v>
      </c>
      <c r="E105" s="189" t="s">
        <v>35</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3"/>
      <c r="L105" s="9"/>
      <c r="M105" s="16" t="e">
        <f>_xlfn.XLOOKUP($D105,Tab_Def_Processes[Name(EN)],Tab_Def_Processes[Input_Flow_I_1],,0,)</f>
        <v>#N/A</v>
      </c>
      <c r="N105" s="9" t="e">
        <f>_xlfn.XLOOKUP($D105,Tab_Def_Processes[Name(EN)],Tab_Def_Processes[Flow_ID_I_1],,0,)</f>
        <v>#N/A</v>
      </c>
      <c r="O105" s="180"/>
      <c r="P105" s="29" t="e">
        <f>_xlfn.XLOOKUP($D105,Tab_Def_Processes[Name(EN)],Tab_Def_Processes[Input_Flow_I_2],,0,)</f>
        <v>#N/A</v>
      </c>
      <c r="Q105" s="9" t="e">
        <f>_xlfn.XLOOKUP($D105,Tab_Def_Processes[Name(EN)],Tab_Def_Processes[Flow_ID_I_2],,0,)</f>
        <v>#N/A</v>
      </c>
      <c r="R105" s="180"/>
      <c r="S105" s="29" t="e">
        <f>_xlfn.XLOOKUP($D105,Tab_Def_Processes[Name(EN)],Tab_Def_Processes[Input_Flow_I_3],,0,)</f>
        <v>#N/A</v>
      </c>
      <c r="T105" s="9" t="e">
        <f>_xlfn.XLOOKUP($D105,Tab_Def_Processes[Name(EN)],Tab_Def_Processes[Flow_ID_I_3],,0,)</f>
        <v>#N/A</v>
      </c>
      <c r="U105" s="180"/>
      <c r="V105" s="29" t="e">
        <f>_xlfn.XLOOKUP($D105,Tab_Def_Processes[Name(EN)],Tab_Def_Processes[Input_Flow_I_4],,0,)</f>
        <v>#N/A</v>
      </c>
      <c r="W105" s="9" t="e">
        <f>_xlfn.XLOOKUP($D105,Tab_Def_Processes[Name(EN)],Tab_Def_Processes[Flow_ID_I_4],,0,)</f>
        <v>#N/A</v>
      </c>
      <c r="X105" s="180"/>
      <c r="Y105" s="29" t="e">
        <f>_xlfn.XLOOKUP($D105,Tab_Def_Processes[Name(EN)],Tab_Def_Processes[Input_Flow_I_5],,0,)</f>
        <v>#N/A</v>
      </c>
      <c r="Z105" s="9" t="e">
        <f>_xlfn.XLOOKUP($D105,Tab_Def_Processes[Name(EN)],Tab_Def_Processes[Flow_ID_I_5],,0,)</f>
        <v>#N/A</v>
      </c>
      <c r="AA105" s="180"/>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4" t="b">
        <v>0</v>
      </c>
      <c r="B106" s="9">
        <f t="shared" si="23"/>
        <v>105</v>
      </c>
      <c r="C106" s="47" t="e">
        <f>_xlfn.XLOOKUP($D106,Tab_Process_TCs[Name(EN)],Tab_Process_TCs[Process_ID],,0,)</f>
        <v>#N/A</v>
      </c>
      <c r="D106" s="189" t="s">
        <v>35</v>
      </c>
      <c r="E106" s="189" t="s">
        <v>35</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3"/>
      <c r="L106" s="9"/>
      <c r="M106" s="16" t="e">
        <f>_xlfn.XLOOKUP($D106,Tab_Def_Processes[Name(EN)],Tab_Def_Processes[Input_Flow_I_1],,0,)</f>
        <v>#N/A</v>
      </c>
      <c r="N106" s="9" t="e">
        <f>_xlfn.XLOOKUP($D106,Tab_Def_Processes[Name(EN)],Tab_Def_Processes[Flow_ID_I_1],,0,)</f>
        <v>#N/A</v>
      </c>
      <c r="O106" s="180"/>
      <c r="P106" s="29" t="e">
        <f>_xlfn.XLOOKUP($D106,Tab_Def_Processes[Name(EN)],Tab_Def_Processes[Input_Flow_I_2],,0,)</f>
        <v>#N/A</v>
      </c>
      <c r="Q106" s="9" t="e">
        <f>_xlfn.XLOOKUP($D106,Tab_Def_Processes[Name(EN)],Tab_Def_Processes[Flow_ID_I_2],,0,)</f>
        <v>#N/A</v>
      </c>
      <c r="R106" s="180"/>
      <c r="S106" s="29" t="e">
        <f>_xlfn.XLOOKUP($D106,Tab_Def_Processes[Name(EN)],Tab_Def_Processes[Input_Flow_I_3],,0,)</f>
        <v>#N/A</v>
      </c>
      <c r="T106" s="9" t="e">
        <f>_xlfn.XLOOKUP($D106,Tab_Def_Processes[Name(EN)],Tab_Def_Processes[Flow_ID_I_3],,0,)</f>
        <v>#N/A</v>
      </c>
      <c r="U106" s="180"/>
      <c r="V106" s="29" t="e">
        <f>_xlfn.XLOOKUP($D106,Tab_Def_Processes[Name(EN)],Tab_Def_Processes[Input_Flow_I_4],,0,)</f>
        <v>#N/A</v>
      </c>
      <c r="W106" s="9" t="e">
        <f>_xlfn.XLOOKUP($D106,Tab_Def_Processes[Name(EN)],Tab_Def_Processes[Flow_ID_I_4],,0,)</f>
        <v>#N/A</v>
      </c>
      <c r="X106" s="180"/>
      <c r="Y106" s="29" t="e">
        <f>_xlfn.XLOOKUP($D106,Tab_Def_Processes[Name(EN)],Tab_Def_Processes[Input_Flow_I_5],,0,)</f>
        <v>#N/A</v>
      </c>
      <c r="Z106" s="9" t="e">
        <f>_xlfn.XLOOKUP($D106,Tab_Def_Processes[Name(EN)],Tab_Def_Processes[Flow_ID_I_5],,0,)</f>
        <v>#N/A</v>
      </c>
      <c r="AA106" s="180"/>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ht="15.75" thickBot="1" x14ac:dyDescent="0.3">
      <c r="A107" s="194" t="b">
        <v>0</v>
      </c>
      <c r="B107" s="9">
        <f t="shared" si="23"/>
        <v>106</v>
      </c>
      <c r="C107" s="47" t="e">
        <f>_xlfn.XLOOKUP($D107,Tab_Process_TCs[Name(EN)],Tab_Process_TCs[Process_ID],,0,)</f>
        <v>#N/A</v>
      </c>
      <c r="D107" s="189" t="s">
        <v>35</v>
      </c>
      <c r="E107" s="189" t="s">
        <v>35</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3"/>
      <c r="L107" s="9"/>
      <c r="M107" s="18" t="e">
        <f>_xlfn.XLOOKUP($D107,Tab_Def_Processes[Name(EN)],Tab_Def_Processes[Input_Flow_I_1],,0,)</f>
        <v>#N/A</v>
      </c>
      <c r="N107" s="19" t="e">
        <f>_xlfn.XLOOKUP($D107,Tab_Def_Processes[Name(EN)],Tab_Def_Processes[Flow_ID_I_1],,0,)</f>
        <v>#N/A</v>
      </c>
      <c r="O107" s="180"/>
      <c r="P107" s="30" t="e">
        <f>_xlfn.XLOOKUP($D107,Tab_Def_Processes[Name(EN)],Tab_Def_Processes[Input_Flow_I_2],,0,)</f>
        <v>#N/A</v>
      </c>
      <c r="Q107" s="19" t="e">
        <f>_xlfn.XLOOKUP($D107,Tab_Def_Processes[Name(EN)],Tab_Def_Processes[Flow_ID_I_2],,0,)</f>
        <v>#N/A</v>
      </c>
      <c r="R107" s="180"/>
      <c r="S107" s="30" t="e">
        <f>_xlfn.XLOOKUP($D107,Tab_Def_Processes[Name(EN)],Tab_Def_Processes[Input_Flow_I_3],,0,)</f>
        <v>#N/A</v>
      </c>
      <c r="T107" s="19" t="e">
        <f>_xlfn.XLOOKUP($D107,Tab_Def_Processes[Name(EN)],Tab_Def_Processes[Flow_ID_I_3],,0,)</f>
        <v>#N/A</v>
      </c>
      <c r="U107" s="180"/>
      <c r="V107" s="30" t="e">
        <f>_xlfn.XLOOKUP($D107,Tab_Def_Processes[Name(EN)],Tab_Def_Processes[Input_Flow_I_4],,0,)</f>
        <v>#N/A</v>
      </c>
      <c r="W107" s="19" t="e">
        <f>_xlfn.XLOOKUP($D107,Tab_Def_Processes[Name(EN)],Tab_Def_Processes[Flow_ID_I_4],,0,)</f>
        <v>#N/A</v>
      </c>
      <c r="X107" s="180"/>
      <c r="Y107" s="30" t="e">
        <f>_xlfn.XLOOKUP($D107,Tab_Def_Processes[Name(EN)],Tab_Def_Processes[Input_Flow_I_5],,0,)</f>
        <v>#N/A</v>
      </c>
      <c r="Z107" s="19" t="e">
        <f>_xlfn.XLOOKUP($D107,Tab_Def_Processes[Name(EN)],Tab_Def_Processes[Flow_ID_I_5],,0,)</f>
        <v>#N/A</v>
      </c>
      <c r="AA107" s="180"/>
      <c r="AB107" s="182">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4" t="b">
        <v>0</v>
      </c>
      <c r="B108" s="9">
        <f t="shared" si="23"/>
        <v>107</v>
      </c>
      <c r="C108" s="47" t="e">
        <f>_xlfn.XLOOKUP($D108,Tab_Process_TCs[Name(EN)],Tab_Process_TCs[Process_ID],,0,)</f>
        <v>#N/A</v>
      </c>
      <c r="D108" s="189" t="s">
        <v>35</v>
      </c>
      <c r="E108" s="189" t="s">
        <v>35</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3"/>
      <c r="L108" s="9"/>
      <c r="M108" s="16" t="e">
        <f>_xlfn.XLOOKUP($D108,Tab_Def_Processes[Name(EN)],Tab_Def_Processes[Input_Flow_I_1],,0,)</f>
        <v>#N/A</v>
      </c>
      <c r="N108" s="9" t="e">
        <f>_xlfn.XLOOKUP($D108,Tab_Def_Processes[Name(EN)],Tab_Def_Processes[Flow_ID_I_1],,0,)</f>
        <v>#N/A</v>
      </c>
      <c r="O108" s="34"/>
      <c r="P108" s="29" t="e">
        <f>_xlfn.XLOOKUP($D108,Tab_Def_Processes[Name(EN)],Tab_Def_Processes[Input_Flow_I_2],,0,)</f>
        <v>#N/A</v>
      </c>
      <c r="Q108" s="9" t="e">
        <f>_xlfn.XLOOKUP($D108,Tab_Def_Processes[Name(EN)],Tab_Def_Processes[Flow_ID_I_2],,0,)</f>
        <v>#N/A</v>
      </c>
      <c r="R108" s="34"/>
      <c r="S108" s="29" t="e">
        <f>_xlfn.XLOOKUP($D108,Tab_Def_Processes[Name(EN)],Tab_Def_Processes[Input_Flow_I_3],,0,)</f>
        <v>#N/A</v>
      </c>
      <c r="T108" s="9" t="e">
        <f>_xlfn.XLOOKUP($D108,Tab_Def_Processes[Name(EN)],Tab_Def_Processes[Flow_ID_I_3],,0,)</f>
        <v>#N/A</v>
      </c>
      <c r="U108" s="34"/>
      <c r="V108" s="29" t="e">
        <f>_xlfn.XLOOKUP($D108,Tab_Def_Processes[Name(EN)],Tab_Def_Processes[Input_Flow_I_4],,0,)</f>
        <v>#N/A</v>
      </c>
      <c r="W108" s="9" t="e">
        <f>_xlfn.XLOOKUP($D108,Tab_Def_Processes[Name(EN)],Tab_Def_Processes[Flow_ID_I_4],,0,)</f>
        <v>#N/A</v>
      </c>
      <c r="X108" s="34"/>
      <c r="Y108" s="29" t="e">
        <f>_xlfn.XLOOKUP($D108,Tab_Def_Processes[Name(EN)],Tab_Def_Processes[Input_Flow_I_5],,0,)</f>
        <v>#N/A</v>
      </c>
      <c r="Z108" s="9" t="e">
        <f>_xlfn.XLOOKUP($D108,Tab_Def_Processes[Name(EN)],Tab_Def_Processes[Flow_ID_I_5],,0,)</f>
        <v>#N/A</v>
      </c>
      <c r="AA108" s="34"/>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9" t="e">
        <f>_xlfn.XLOOKUP($D108,#REF!,#REF!,,0,)</f>
        <v>#REF!</v>
      </c>
      <c r="AI108" s="53"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x14ac:dyDescent="0.25">
      <c r="A109" s="194" t="b">
        <v>0</v>
      </c>
      <c r="B109" s="9">
        <f t="shared" si="23"/>
        <v>108</v>
      </c>
      <c r="C109" s="47" t="e">
        <f>_xlfn.XLOOKUP($D109,Tab_Process_TCs[Name(EN)],Tab_Process_TCs[Process_ID],,0,)</f>
        <v>#N/A</v>
      </c>
      <c r="D109" s="189" t="s">
        <v>35</v>
      </c>
      <c r="E109" s="189" t="s">
        <v>35</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3"/>
      <c r="L109" s="9"/>
      <c r="M109" s="16" t="e">
        <f>_xlfn.XLOOKUP($D109,Tab_Def_Processes[Name(EN)],Tab_Def_Processes[Input_Flow_I_1],,0,)</f>
        <v>#N/A</v>
      </c>
      <c r="N109" s="9" t="e">
        <f>_xlfn.XLOOKUP($D109,Tab_Def_Processes[Name(EN)],Tab_Def_Processes[Flow_ID_I_1],,0,)</f>
        <v>#N/A</v>
      </c>
      <c r="O109" s="34"/>
      <c r="P109" s="29" t="e">
        <f>_xlfn.XLOOKUP($D109,Tab_Def_Processes[Name(EN)],Tab_Def_Processes[Input_Flow_I_2],,0,)</f>
        <v>#N/A</v>
      </c>
      <c r="Q109" s="9" t="e">
        <f>_xlfn.XLOOKUP($D109,Tab_Def_Processes[Name(EN)],Tab_Def_Processes[Flow_ID_I_2],,0,)</f>
        <v>#N/A</v>
      </c>
      <c r="R109" s="34"/>
      <c r="S109" s="29" t="e">
        <f>_xlfn.XLOOKUP($D109,Tab_Def_Processes[Name(EN)],Tab_Def_Processes[Input_Flow_I_3],,0,)</f>
        <v>#N/A</v>
      </c>
      <c r="T109" s="9" t="e">
        <f>_xlfn.XLOOKUP($D109,Tab_Def_Processes[Name(EN)],Tab_Def_Processes[Flow_ID_I_3],,0,)</f>
        <v>#N/A</v>
      </c>
      <c r="U109" s="34"/>
      <c r="V109" s="29" t="e">
        <f>_xlfn.XLOOKUP($D109,Tab_Def_Processes[Name(EN)],Tab_Def_Processes[Input_Flow_I_4],,0,)</f>
        <v>#N/A</v>
      </c>
      <c r="W109" s="9" t="e">
        <f>_xlfn.XLOOKUP($D109,Tab_Def_Processes[Name(EN)],Tab_Def_Processes[Flow_ID_I_4],,0,)</f>
        <v>#N/A</v>
      </c>
      <c r="X109" s="34"/>
      <c r="Y109" s="29" t="e">
        <f>_xlfn.XLOOKUP($D109,Tab_Def_Processes[Name(EN)],Tab_Def_Processes[Input_Flow_I_5],,0,)</f>
        <v>#N/A</v>
      </c>
      <c r="Z109" s="9" t="e">
        <f>_xlfn.XLOOKUP($D109,Tab_Def_Processes[Name(EN)],Tab_Def_Processes[Flow_ID_I_5],,0,)</f>
        <v>#N/A</v>
      </c>
      <c r="AA109" s="34"/>
      <c r="AB109" s="39">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9" t="e">
        <f>_xlfn.XLOOKUP($D109,#REF!,#REF!,,0,)</f>
        <v>#REF!</v>
      </c>
      <c r="AI109" s="53"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4" t="b">
        <v>0</v>
      </c>
      <c r="B110" s="9">
        <f t="shared" si="23"/>
        <v>109</v>
      </c>
      <c r="C110" s="47" t="e">
        <f>_xlfn.XLOOKUP($D110,Tab_Process_TCs[Name(EN)],Tab_Process_TCs[Process_ID],,0,)</f>
        <v>#N/A</v>
      </c>
      <c r="D110" s="189" t="s">
        <v>35</v>
      </c>
      <c r="E110" s="189" t="s">
        <v>35</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3"/>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4" t="b">
        <v>0</v>
      </c>
      <c r="B111" s="9">
        <f t="shared" si="23"/>
        <v>110</v>
      </c>
      <c r="C111" s="47" t="e">
        <f>_xlfn.XLOOKUP($D111,Tab_Process_TCs[Name(EN)],Tab_Process_TCs[Process_ID],,0,)</f>
        <v>#N/A</v>
      </c>
      <c r="D111" s="189" t="s">
        <v>35</v>
      </c>
      <c r="E111" s="189" t="s">
        <v>35</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3"/>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4" t="b">
        <v>0</v>
      </c>
      <c r="B112" s="9">
        <f t="shared" si="23"/>
        <v>111</v>
      </c>
      <c r="C112" s="47" t="e">
        <f>_xlfn.XLOOKUP($D112,Tab_Process_TCs[Name(EN)],Tab_Process_TCs[Process_ID],,0,)</f>
        <v>#N/A</v>
      </c>
      <c r="D112" s="189" t="s">
        <v>35</v>
      </c>
      <c r="E112" s="189" t="s">
        <v>35</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3"/>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c r="AH112" s="169" t="e">
        <f>_xlfn.XLOOKUP($D112,#REF!,#REF!,,0,)</f>
        <v>#REF!</v>
      </c>
      <c r="AI112" s="53" t="e">
        <f>_xlfn.XLOOKUP($D112,#REF!,#REF!,,0,)</f>
        <v>#REF!</v>
      </c>
      <c r="AJ112" s="42" t="str">
        <f>Tab_Process_TCs2527[[#This Row],[Flow_ID]]</f>
        <v>N.A.</v>
      </c>
      <c r="AK112" s="9" t="e">
        <f t="shared" si="25"/>
        <v>#REF!</v>
      </c>
      <c r="AL112" s="168"/>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0</v>
      </c>
      <c r="BH112" s="11"/>
      <c r="BI112" s="11"/>
      <c r="BJ112" s="11"/>
      <c r="BK112" s="11"/>
      <c r="BL112" s="11"/>
    </row>
    <row r="113" spans="1:64" x14ac:dyDescent="0.25">
      <c r="A113" s="194" t="b">
        <v>0</v>
      </c>
      <c r="B113" s="9">
        <f t="shared" si="23"/>
        <v>112</v>
      </c>
      <c r="C113" s="47" t="e">
        <f>_xlfn.XLOOKUP($D113,Tab_Process_TCs[Name(EN)],Tab_Process_TCs[Process_ID],,0,)</f>
        <v>#N/A</v>
      </c>
      <c r="D113" s="189" t="s">
        <v>35</v>
      </c>
      <c r="E113" s="189" t="s">
        <v>35</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3"/>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c r="AH113" s="169" t="e">
        <f>_xlfn.XLOOKUP($D113,#REF!,#REF!,,0,)</f>
        <v>#REF!</v>
      </c>
      <c r="AI113" s="53" t="e">
        <f>_xlfn.XLOOKUP($D113,#REF!,#REF!,,0,)</f>
        <v>#REF!</v>
      </c>
      <c r="AJ113" s="42" t="str">
        <f>Tab_Process_TCs2527[[#This Row],[Flow_ID]]</f>
        <v>N.A.</v>
      </c>
      <c r="AK113" s="9" t="e">
        <f t="shared" si="25"/>
        <v>#REF!</v>
      </c>
      <c r="AL113" s="168"/>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0</v>
      </c>
      <c r="BH113" s="11"/>
      <c r="BI113" s="11"/>
      <c r="BJ113" s="11"/>
      <c r="BK113" s="11"/>
      <c r="BL113" s="11"/>
    </row>
    <row r="114" spans="1:64" x14ac:dyDescent="0.25">
      <c r="A114" s="194" t="b">
        <v>0</v>
      </c>
      <c r="B114" s="9">
        <f t="shared" si="23"/>
        <v>113</v>
      </c>
      <c r="C114" s="47" t="e">
        <f>_xlfn.XLOOKUP($D114,Tab_Process_TCs[Name(EN)],Tab_Process_TCs[Process_ID],,0,)</f>
        <v>#N/A</v>
      </c>
      <c r="D114" s="189" t="s">
        <v>35</v>
      </c>
      <c r="E114" s="189" t="s">
        <v>35</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3"/>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4" t="b">
        <v>0</v>
      </c>
      <c r="B115" s="9">
        <f t="shared" si="23"/>
        <v>114</v>
      </c>
      <c r="C115" s="47" t="e">
        <f>_xlfn.XLOOKUP($D115,Tab_Process_TCs[Name(EN)],Tab_Process_TCs[Process_ID],,0,)</f>
        <v>#N/A</v>
      </c>
      <c r="D115" s="189" t="s">
        <v>35</v>
      </c>
      <c r="E115" s="189" t="s">
        <v>35</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3"/>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4" t="b">
        <v>0</v>
      </c>
      <c r="B116" s="9">
        <f t="shared" si="23"/>
        <v>115</v>
      </c>
      <c r="C116" s="47" t="e">
        <f>_xlfn.XLOOKUP($D116,Tab_Process_TCs[Name(EN)],Tab_Process_TCs[Process_ID],,0,)</f>
        <v>#N/A</v>
      </c>
      <c r="D116" s="189" t="s">
        <v>35</v>
      </c>
      <c r="E116" s="189" t="s">
        <v>35</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3"/>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4" t="b">
        <v>0</v>
      </c>
      <c r="B117" s="9">
        <f t="shared" si="23"/>
        <v>116</v>
      </c>
      <c r="C117" s="47" t="e">
        <f>_xlfn.XLOOKUP($D117,Tab_Process_TCs[Name(EN)],Tab_Process_TCs[Process_ID],,0,)</f>
        <v>#N/A</v>
      </c>
      <c r="D117" s="189" t="s">
        <v>35</v>
      </c>
      <c r="E117" s="189" t="s">
        <v>35</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3"/>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4" t="b">
        <v>0</v>
      </c>
      <c r="B118" s="9">
        <f t="shared" si="23"/>
        <v>117</v>
      </c>
      <c r="C118" s="47" t="e">
        <f>_xlfn.XLOOKUP($D118,Tab_Process_TCs[Name(EN)],Tab_Process_TCs[Process_ID],,0,)</f>
        <v>#N/A</v>
      </c>
      <c r="D118" s="189" t="s">
        <v>35</v>
      </c>
      <c r="E118" s="189" t="s">
        <v>35</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3"/>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4" t="b">
        <v>0</v>
      </c>
      <c r="B119" s="9">
        <f t="shared" si="23"/>
        <v>118</v>
      </c>
      <c r="C119" s="47" t="e">
        <f>_xlfn.XLOOKUP($D119,Tab_Process_TCs[Name(EN)],Tab_Process_TCs[Process_ID],,0,)</f>
        <v>#N/A</v>
      </c>
      <c r="D119" s="189" t="s">
        <v>35</v>
      </c>
      <c r="E119" s="189" t="s">
        <v>35</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3"/>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4" t="b">
        <v>0</v>
      </c>
      <c r="B120" s="9">
        <f t="shared" si="23"/>
        <v>119</v>
      </c>
      <c r="C120" s="47" t="e">
        <f>_xlfn.XLOOKUP($D120,Tab_Process_TCs[Name(EN)],Tab_Process_TCs[Process_ID],,0,)</f>
        <v>#N/A</v>
      </c>
      <c r="D120" s="189" t="s">
        <v>35</v>
      </c>
      <c r="E120" s="189" t="s">
        <v>35</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3"/>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4" t="b">
        <v>0</v>
      </c>
      <c r="B121" s="9">
        <f t="shared" si="23"/>
        <v>120</v>
      </c>
      <c r="C121" s="47" t="e">
        <f>_xlfn.XLOOKUP($D121,Tab_Process_TCs[Name(EN)],Tab_Process_TCs[Process_ID],,0,)</f>
        <v>#N/A</v>
      </c>
      <c r="D121" s="189" t="s">
        <v>35</v>
      </c>
      <c r="E121" s="189" t="s">
        <v>35</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3"/>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4" t="b">
        <v>0</v>
      </c>
      <c r="B122" s="9">
        <f t="shared" si="23"/>
        <v>121</v>
      </c>
      <c r="C122" s="47" t="e">
        <f>_xlfn.XLOOKUP($D122,Tab_Process_TCs[Name(EN)],Tab_Process_TCs[Process_ID],,0,)</f>
        <v>#N/A</v>
      </c>
      <c r="D122" s="189" t="s">
        <v>35</v>
      </c>
      <c r="E122" s="189" t="s">
        <v>35</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3"/>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4" t="b">
        <v>0</v>
      </c>
      <c r="B123" s="9">
        <f t="shared" si="23"/>
        <v>122</v>
      </c>
      <c r="C123" s="47" t="e">
        <f>_xlfn.XLOOKUP($D123,Tab_Process_TCs[Name(EN)],Tab_Process_TCs[Process_ID],,0,)</f>
        <v>#N/A</v>
      </c>
      <c r="D123" s="189" t="s">
        <v>35</v>
      </c>
      <c r="E123" s="189" t="s">
        <v>35</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3"/>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4" t="b">
        <v>0</v>
      </c>
      <c r="B124" s="9">
        <f t="shared" si="23"/>
        <v>123</v>
      </c>
      <c r="C124" s="47" t="e">
        <f>_xlfn.XLOOKUP($D124,Tab_Process_TCs[Name(EN)],Tab_Process_TCs[Process_ID],,0,)</f>
        <v>#N/A</v>
      </c>
      <c r="D124" s="189" t="s">
        <v>35</v>
      </c>
      <c r="E124" s="189" t="s">
        <v>35</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3"/>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170"/>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4" t="b">
        <v>0</v>
      </c>
      <c r="B125" s="9">
        <f t="shared" si="23"/>
        <v>124</v>
      </c>
      <c r="C125" s="47" t="e">
        <f>_xlfn.XLOOKUP($D125,Tab_Process_TCs[Name(EN)],Tab_Process_TCs[Process_ID],,0,)</f>
        <v>#N/A</v>
      </c>
      <c r="D125" s="189" t="s">
        <v>35</v>
      </c>
      <c r="E125" s="189" t="s">
        <v>35</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3"/>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170"/>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4" t="b">
        <v>0</v>
      </c>
      <c r="B126" s="9">
        <f t="shared" si="23"/>
        <v>125</v>
      </c>
      <c r="C126" s="47" t="e">
        <f>_xlfn.XLOOKUP($D126,Tab_Process_TCs[Name(EN)],Tab_Process_TCs[Process_ID],,0,)</f>
        <v>#N/A</v>
      </c>
      <c r="D126" s="189" t="s">
        <v>35</v>
      </c>
      <c r="E126" s="189" t="s">
        <v>35</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3"/>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4" t="b">
        <v>0</v>
      </c>
      <c r="B127" s="9">
        <f t="shared" si="23"/>
        <v>126</v>
      </c>
      <c r="C127" s="47" t="e">
        <f>_xlfn.XLOOKUP($D127,Tab_Process_TCs[Name(EN)],Tab_Process_TCs[Process_ID],,0,)</f>
        <v>#N/A</v>
      </c>
      <c r="D127" s="189" t="s">
        <v>35</v>
      </c>
      <c r="E127" s="189" t="s">
        <v>35</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3"/>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4" t="b">
        <v>0</v>
      </c>
      <c r="B128" s="9">
        <f t="shared" ref="B128:B149" si="30">ROW()-1</f>
        <v>127</v>
      </c>
      <c r="C128" s="47" t="e">
        <f>_xlfn.XLOOKUP($D128,Tab_Process_TCs[Name(EN)],Tab_Process_TCs[Process_ID],,0,)</f>
        <v>#N/A</v>
      </c>
      <c r="D128" s="189" t="s">
        <v>35</v>
      </c>
      <c r="E128" s="189" t="s">
        <v>35</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3"/>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ref="AF128:AF149" si="31">"TC"&amp;"_"&amp;RIGHT(AD128,5)</f>
        <v>#REF!</v>
      </c>
      <c r="AG128" s="170"/>
      <c r="AH128" s="169" t="e">
        <f>_xlfn.XLOOKUP($D128,#REF!,#REF!,,0,)</f>
        <v>#REF!</v>
      </c>
      <c r="AI128" s="53" t="e">
        <f>_xlfn.XLOOKUP($D128,#REF!,#REF!,,0,)</f>
        <v>#REF!</v>
      </c>
      <c r="AJ128" s="42" t="str">
        <f>Tab_Process_TCs2527[[#This Row],[Flow_ID]]</f>
        <v>N.A.</v>
      </c>
      <c r="AK128" s="9" t="e">
        <f t="shared" ref="AK128:AK149" si="32">"TC"&amp;"_"&amp;RIGHT(AI128,5)</f>
        <v>#REF!</v>
      </c>
      <c r="AL128" s="168"/>
      <c r="AM128" s="16" t="e">
        <f>_xlfn.XLOOKUP($D128,#REF!,#REF!,,0,)</f>
        <v>#REF!</v>
      </c>
      <c r="AN128" s="9" t="e">
        <f>_xlfn.XLOOKUP($D128,#REF!,#REF!,,0,)</f>
        <v>#REF!</v>
      </c>
      <c r="AO128" s="42" t="str">
        <f>Tab_Process_TCs2527[[#This Row],[Flow_ID]]</f>
        <v>N.A.</v>
      </c>
      <c r="AP128" s="9" t="e">
        <f t="shared" ref="AP128:AP149" si="33">"TC"&amp;"_"&amp;RIGHT(AN128,5)</f>
        <v>#REF!</v>
      </c>
      <c r="AQ128" s="168"/>
      <c r="AR128" s="16" t="e">
        <f>_xlfn.XLOOKUP($D128,#REF!,#REF!,,0,)</f>
        <v>#REF!</v>
      </c>
      <c r="AS128" s="9" t="e">
        <f>_xlfn.XLOOKUP($D128,#REF!,#REF!,,0,)</f>
        <v>#REF!</v>
      </c>
      <c r="AT128" s="42" t="str">
        <f>Tab_Process_TCs2527[[#This Row],[Flow_ID]]</f>
        <v>N.A.</v>
      </c>
      <c r="AU128" s="42" t="e">
        <f t="shared" ref="AU128:AU149" si="34">"TC"&amp;"_"&amp;RIGHT(AN128,5)</f>
        <v>#REF!</v>
      </c>
      <c r="AV128" s="168"/>
      <c r="AW128" s="16" t="e">
        <f>_xlfn.XLOOKUP($D128,#REF!,#REF!,,0,)</f>
        <v>#REF!</v>
      </c>
      <c r="AX128" s="9" t="e">
        <f>_xlfn.XLOOKUP($D128,#REF!,#REF!,,0,)</f>
        <v>#REF!</v>
      </c>
      <c r="AY128" s="42" t="str">
        <f>Tab_Process_TCs2527[[#This Row],[Flow_ID]]</f>
        <v>N.A.</v>
      </c>
      <c r="AZ128" s="42" t="e">
        <f t="shared" ref="AZ128:AZ149" si="35">"TC"&amp;"_"&amp;RIGHT(AX128,5)</f>
        <v>#REF!</v>
      </c>
      <c r="BA128" s="168"/>
      <c r="BB128" s="9" t="e">
        <f>_xlfn.XLOOKUP($D128,#REF!,#REF!,,0,)</f>
        <v>#REF!</v>
      </c>
      <c r="BC128" s="9" t="e">
        <f>_xlfn.XLOOKUP($D128,#REF!,#REF!,,0,)</f>
        <v>#REF!</v>
      </c>
      <c r="BD128" s="42" t="str">
        <f>Tab_Process_TCs2527[[#This Row],[Flow_ID]]</f>
        <v>N.A.</v>
      </c>
      <c r="BE128" s="42" t="e">
        <f t="shared" ref="BE128:BE149" si="36">"TC"&amp;"_"&amp;RIGHT(BC128,5)</f>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4" t="b">
        <v>0</v>
      </c>
      <c r="B129" s="9">
        <f t="shared" si="30"/>
        <v>128</v>
      </c>
      <c r="C129" s="47" t="e">
        <f>_xlfn.XLOOKUP($D129,Tab_Process_TCs[Name(EN)],Tab_Process_TCs[Process_ID],,0,)</f>
        <v>#N/A</v>
      </c>
      <c r="D129" s="189" t="s">
        <v>35</v>
      </c>
      <c r="E129" s="189" t="s">
        <v>35</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3"/>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31"/>
        <v>#REF!</v>
      </c>
      <c r="AG129" s="170"/>
      <c r="AH129" s="169" t="e">
        <f>_xlfn.XLOOKUP($D129,#REF!,#REF!,,0,)</f>
        <v>#REF!</v>
      </c>
      <c r="AI129" s="53" t="e">
        <f>_xlfn.XLOOKUP($D129,#REF!,#REF!,,0,)</f>
        <v>#REF!</v>
      </c>
      <c r="AJ129" s="42" t="str">
        <f>Tab_Process_TCs2527[[#This Row],[Flow_ID]]</f>
        <v>N.A.</v>
      </c>
      <c r="AK129" s="9" t="e">
        <f t="shared" si="32"/>
        <v>#REF!</v>
      </c>
      <c r="AL129" s="168"/>
      <c r="AM129" s="16" t="e">
        <f>_xlfn.XLOOKUP($D129,#REF!,#REF!,,0,)</f>
        <v>#REF!</v>
      </c>
      <c r="AN129" s="9" t="e">
        <f>_xlfn.XLOOKUP($D129,#REF!,#REF!,,0,)</f>
        <v>#REF!</v>
      </c>
      <c r="AO129" s="42" t="str">
        <f>Tab_Process_TCs2527[[#This Row],[Flow_ID]]</f>
        <v>N.A.</v>
      </c>
      <c r="AP129" s="9" t="e">
        <f t="shared" si="33"/>
        <v>#REF!</v>
      </c>
      <c r="AQ129" s="168"/>
      <c r="AR129" s="16" t="e">
        <f>_xlfn.XLOOKUP($D129,#REF!,#REF!,,0,)</f>
        <v>#REF!</v>
      </c>
      <c r="AS129" s="9" t="e">
        <f>_xlfn.XLOOKUP($D129,#REF!,#REF!,,0,)</f>
        <v>#REF!</v>
      </c>
      <c r="AT129" s="42" t="str">
        <f>Tab_Process_TCs2527[[#This Row],[Flow_ID]]</f>
        <v>N.A.</v>
      </c>
      <c r="AU129" s="42" t="e">
        <f t="shared" si="34"/>
        <v>#REF!</v>
      </c>
      <c r="AV129" s="168"/>
      <c r="AW129" s="16" t="e">
        <f>_xlfn.XLOOKUP($D129,#REF!,#REF!,,0,)</f>
        <v>#REF!</v>
      </c>
      <c r="AX129" s="9" t="e">
        <f>_xlfn.XLOOKUP($D129,#REF!,#REF!,,0,)</f>
        <v>#REF!</v>
      </c>
      <c r="AY129" s="42" t="str">
        <f>Tab_Process_TCs2527[[#This Row],[Flow_ID]]</f>
        <v>N.A.</v>
      </c>
      <c r="AZ129" s="42" t="e">
        <f t="shared" si="35"/>
        <v>#REF!</v>
      </c>
      <c r="BA129" s="168"/>
      <c r="BB129" s="9" t="e">
        <f>_xlfn.XLOOKUP($D129,#REF!,#REF!,,0,)</f>
        <v>#REF!</v>
      </c>
      <c r="BC129" s="9" t="e">
        <f>_xlfn.XLOOKUP($D129,#REF!,#REF!,,0,)</f>
        <v>#REF!</v>
      </c>
      <c r="BD129" s="42" t="str">
        <f>Tab_Process_TCs2527[[#This Row],[Flow_ID]]</f>
        <v>N.A.</v>
      </c>
      <c r="BE129" s="42" t="e">
        <f t="shared" si="36"/>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4" t="b">
        <v>0</v>
      </c>
      <c r="B130" s="9">
        <f t="shared" si="30"/>
        <v>129</v>
      </c>
      <c r="C130" s="47" t="e">
        <f>_xlfn.XLOOKUP($D130,Tab_Process_TCs[Name(EN)],Tab_Process_TCs[Process_ID],,0,)</f>
        <v>#N/A</v>
      </c>
      <c r="D130" s="189" t="s">
        <v>35</v>
      </c>
      <c r="E130" s="189" t="s">
        <v>35</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3"/>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si="31"/>
        <v>#REF!</v>
      </c>
      <c r="AG130" s="170"/>
      <c r="AH130" s="169" t="e">
        <f>_xlfn.XLOOKUP($D130,#REF!,#REF!,,0,)</f>
        <v>#REF!</v>
      </c>
      <c r="AI130" s="53" t="e">
        <f>_xlfn.XLOOKUP($D130,#REF!,#REF!,,0,)</f>
        <v>#REF!</v>
      </c>
      <c r="AJ130" s="42" t="str">
        <f>Tab_Process_TCs2527[[#This Row],[Flow_ID]]</f>
        <v>N.A.</v>
      </c>
      <c r="AK130" s="9" t="e">
        <f t="shared" si="32"/>
        <v>#REF!</v>
      </c>
      <c r="AL130" s="168"/>
      <c r="AM130" s="16" t="e">
        <f>_xlfn.XLOOKUP($D130,#REF!,#REF!,,0,)</f>
        <v>#REF!</v>
      </c>
      <c r="AN130" s="9" t="e">
        <f>_xlfn.XLOOKUP($D130,#REF!,#REF!,,0,)</f>
        <v>#REF!</v>
      </c>
      <c r="AO130" s="42" t="str">
        <f>Tab_Process_TCs2527[[#This Row],[Flow_ID]]</f>
        <v>N.A.</v>
      </c>
      <c r="AP130" s="9" t="e">
        <f t="shared" si="33"/>
        <v>#REF!</v>
      </c>
      <c r="AQ130" s="168"/>
      <c r="AR130" s="16" t="e">
        <f>_xlfn.XLOOKUP($D130,#REF!,#REF!,,0,)</f>
        <v>#REF!</v>
      </c>
      <c r="AS130" s="9" t="e">
        <f>_xlfn.XLOOKUP($D130,#REF!,#REF!,,0,)</f>
        <v>#REF!</v>
      </c>
      <c r="AT130" s="42" t="str">
        <f>Tab_Process_TCs2527[[#This Row],[Flow_ID]]</f>
        <v>N.A.</v>
      </c>
      <c r="AU130" s="42" t="e">
        <f t="shared" si="34"/>
        <v>#REF!</v>
      </c>
      <c r="AV130" s="168"/>
      <c r="AW130" s="16" t="e">
        <f>_xlfn.XLOOKUP($D130,#REF!,#REF!,,0,)</f>
        <v>#REF!</v>
      </c>
      <c r="AX130" s="9" t="e">
        <f>_xlfn.XLOOKUP($D130,#REF!,#REF!,,0,)</f>
        <v>#REF!</v>
      </c>
      <c r="AY130" s="42" t="str">
        <f>Tab_Process_TCs2527[[#This Row],[Flow_ID]]</f>
        <v>N.A.</v>
      </c>
      <c r="AZ130" s="42" t="e">
        <f t="shared" si="35"/>
        <v>#REF!</v>
      </c>
      <c r="BA130" s="168"/>
      <c r="BB130" s="9" t="e">
        <f>_xlfn.XLOOKUP($D130,#REF!,#REF!,,0,)</f>
        <v>#REF!</v>
      </c>
      <c r="BC130" s="9" t="e">
        <f>_xlfn.XLOOKUP($D130,#REF!,#REF!,,0,)</f>
        <v>#REF!</v>
      </c>
      <c r="BD130" s="42" t="str">
        <f>Tab_Process_TCs2527[[#This Row],[Flow_ID]]</f>
        <v>N.A.</v>
      </c>
      <c r="BE130" s="42" t="e">
        <f t="shared" si="36"/>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4" t="b">
        <v>0</v>
      </c>
      <c r="B131" s="9">
        <f t="shared" si="30"/>
        <v>130</v>
      </c>
      <c r="C131" s="47" t="e">
        <f>_xlfn.XLOOKUP($D131,Tab_Process_TCs[Name(EN)],Tab_Process_TCs[Process_ID],,0,)</f>
        <v>#N/A</v>
      </c>
      <c r="D131" s="189" t="s">
        <v>35</v>
      </c>
      <c r="E131" s="189" t="s">
        <v>35</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3"/>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4" t="b">
        <v>0</v>
      </c>
      <c r="B132" s="9">
        <f t="shared" si="30"/>
        <v>131</v>
      </c>
      <c r="C132" s="47" t="e">
        <f>_xlfn.XLOOKUP($D132,Tab_Process_TCs[Name(EN)],Tab_Process_TCs[Process_ID],,0,)</f>
        <v>#N/A</v>
      </c>
      <c r="D132" s="189" t="s">
        <v>35</v>
      </c>
      <c r="E132" s="189" t="s">
        <v>35</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3"/>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4" t="b">
        <v>0</v>
      </c>
      <c r="B133" s="9">
        <f t="shared" si="30"/>
        <v>132</v>
      </c>
      <c r="C133" s="47" t="e">
        <f>_xlfn.XLOOKUP($D133,Tab_Process_TCs[Name(EN)],Tab_Process_TCs[Process_ID],,0,)</f>
        <v>#N/A</v>
      </c>
      <c r="D133" s="189" t="s">
        <v>35</v>
      </c>
      <c r="E133" s="189" t="s">
        <v>35</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3"/>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4" t="b">
        <v>0</v>
      </c>
      <c r="B134" s="9">
        <f t="shared" si="30"/>
        <v>133</v>
      </c>
      <c r="C134" s="47" t="e">
        <f>_xlfn.XLOOKUP($D134,Tab_Process_TCs[Name(EN)],Tab_Process_TCs[Process_ID],,0,)</f>
        <v>#N/A</v>
      </c>
      <c r="D134" s="189" t="s">
        <v>35</v>
      </c>
      <c r="E134" s="189" t="s">
        <v>35</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3"/>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4" t="b">
        <v>0</v>
      </c>
      <c r="B135" s="9">
        <f t="shared" si="30"/>
        <v>134</v>
      </c>
      <c r="C135" s="47" t="e">
        <f>_xlfn.XLOOKUP($D135,Tab_Process_TCs[Name(EN)],Tab_Process_TCs[Process_ID],,0,)</f>
        <v>#N/A</v>
      </c>
      <c r="D135" s="189" t="s">
        <v>35</v>
      </c>
      <c r="E135" s="189" t="s">
        <v>35</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3"/>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4" t="b">
        <v>0</v>
      </c>
      <c r="B136" s="9">
        <f t="shared" si="30"/>
        <v>135</v>
      </c>
      <c r="C136" s="47" t="e">
        <f>_xlfn.XLOOKUP($D136,Tab_Process_TCs[Name(EN)],Tab_Process_TCs[Process_ID],,0,)</f>
        <v>#N/A</v>
      </c>
      <c r="D136" s="189" t="s">
        <v>35</v>
      </c>
      <c r="E136" s="189" t="s">
        <v>35</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3"/>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4" t="b">
        <v>0</v>
      </c>
      <c r="B137" s="9">
        <f t="shared" si="30"/>
        <v>136</v>
      </c>
      <c r="C137" s="47" t="e">
        <f>_xlfn.XLOOKUP($D137,Tab_Process_TCs[Name(EN)],Tab_Process_TCs[Process_ID],,0,)</f>
        <v>#N/A</v>
      </c>
      <c r="D137" s="189" t="s">
        <v>35</v>
      </c>
      <c r="E137" s="189" t="s">
        <v>35</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3"/>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4" t="b">
        <v>0</v>
      </c>
      <c r="B138" s="9">
        <f t="shared" si="30"/>
        <v>137</v>
      </c>
      <c r="C138" s="47" t="e">
        <f>_xlfn.XLOOKUP($D138,Tab_Process_TCs[Name(EN)],Tab_Process_TCs[Process_ID],,0,)</f>
        <v>#N/A</v>
      </c>
      <c r="D138" s="189" t="s">
        <v>35</v>
      </c>
      <c r="E138" s="189" t="s">
        <v>35</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56"/>
      <c r="L138" s="9"/>
      <c r="M138" s="16" t="e">
        <f>_xlfn.XLOOKUP($D138,Tab_Def_Processes[Name(EN)],Tab_Def_Processes[Input_Flow_I_1],,0,)</f>
        <v>#N/A</v>
      </c>
      <c r="N138" s="9" t="e">
        <f>_xlfn.XLOOKUP($D138,Tab_Def_Processes[Name(EN)],Tab_Def_Processes[Flow_ID_I_1],,0,)</f>
        <v>#N/A</v>
      </c>
      <c r="O138" s="181"/>
      <c r="P138" s="29" t="e">
        <f>_xlfn.XLOOKUP($D138,Tab_Def_Processes[Name(EN)],Tab_Def_Processes[Input_Flow_I_2],,0,)</f>
        <v>#N/A</v>
      </c>
      <c r="Q138" s="9" t="e">
        <f>_xlfn.XLOOKUP($D138,Tab_Def_Processes[Name(EN)],Tab_Def_Processes[Flow_ID_I_2],,0,)</f>
        <v>#N/A</v>
      </c>
      <c r="R138" s="181"/>
      <c r="S138" s="29" t="e">
        <f>_xlfn.XLOOKUP($D138,Tab_Def_Processes[Name(EN)],Tab_Def_Processes[Input_Flow_I_3],,0,)</f>
        <v>#N/A</v>
      </c>
      <c r="T138" s="9" t="e">
        <f>_xlfn.XLOOKUP($D138,Tab_Def_Processes[Name(EN)],Tab_Def_Processes[Flow_ID_I_3],,0,)</f>
        <v>#N/A</v>
      </c>
      <c r="U138" s="181"/>
      <c r="V138" s="29" t="e">
        <f>_xlfn.XLOOKUP($D138,Tab_Def_Processes[Name(EN)],Tab_Def_Processes[Input_Flow_I_4],,0,)</f>
        <v>#N/A</v>
      </c>
      <c r="W138" s="9" t="e">
        <f>_xlfn.XLOOKUP($D138,Tab_Def_Processes[Name(EN)],Tab_Def_Processes[Flow_ID_I_4],,0,)</f>
        <v>#N/A</v>
      </c>
      <c r="X138" s="181"/>
      <c r="Y138" s="29" t="e">
        <f>_xlfn.XLOOKUP($D138,Tab_Def_Processes[Name(EN)],Tab_Def_Processes[Input_Flow_I_5],,0,)</f>
        <v>#N/A</v>
      </c>
      <c r="Z138" s="9" t="e">
        <f>_xlfn.XLOOKUP($D138,Tab_Def_Processes[Name(EN)],Tab_Def_Processes[Flow_ID_I_5],,0,)</f>
        <v>#N/A</v>
      </c>
      <c r="AA138" s="181"/>
      <c r="AB138" s="32">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v>0.2</v>
      </c>
      <c r="AH138" s="16" t="e">
        <f>_xlfn.XLOOKUP($D138,#REF!,#REF!,,0,)</f>
        <v>#REF!</v>
      </c>
      <c r="AI138" s="9" t="e">
        <f>_xlfn.XLOOKUP($D138,#REF!,#REF!,,0,)</f>
        <v>#REF!</v>
      </c>
      <c r="AJ138" s="42" t="str">
        <f>Tab_Process_TCs2527[[#This Row],[Flow_ID]]</f>
        <v>N.A.</v>
      </c>
      <c r="AK138" s="9" t="e">
        <f t="shared" si="32"/>
        <v>#REF!</v>
      </c>
      <c r="AL138" s="168">
        <v>0.8</v>
      </c>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1</v>
      </c>
      <c r="BH138" s="11"/>
      <c r="BI138" s="11"/>
      <c r="BJ138" s="11"/>
      <c r="BK138" s="11"/>
      <c r="BL138" s="11"/>
    </row>
    <row r="139" spans="1:64" x14ac:dyDescent="0.25">
      <c r="A139" s="194" t="b">
        <v>0</v>
      </c>
      <c r="B139" s="9">
        <f t="shared" si="30"/>
        <v>138</v>
      </c>
      <c r="C139" s="47" t="e">
        <f>_xlfn.XLOOKUP($D139,Tab_Process_TCs[Name(EN)],Tab_Process_TCs[Process_ID],,0,)</f>
        <v>#N/A</v>
      </c>
      <c r="D139" s="189" t="s">
        <v>35</v>
      </c>
      <c r="E139" s="189" t="s">
        <v>35</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56"/>
      <c r="L139" s="9"/>
      <c r="M139" s="16" t="e">
        <f>_xlfn.XLOOKUP($D139,Tab_Def_Processes[Name(EN)],Tab_Def_Processes[Input_Flow_I_1],,0,)</f>
        <v>#N/A</v>
      </c>
      <c r="N139" s="9" t="e">
        <f>_xlfn.XLOOKUP($D139,Tab_Def_Processes[Name(EN)],Tab_Def_Processes[Flow_ID_I_1],,0,)</f>
        <v>#N/A</v>
      </c>
      <c r="O139" s="181"/>
      <c r="P139" s="29" t="e">
        <f>_xlfn.XLOOKUP($D139,Tab_Def_Processes[Name(EN)],Tab_Def_Processes[Input_Flow_I_2],,0,)</f>
        <v>#N/A</v>
      </c>
      <c r="Q139" s="9" t="e">
        <f>_xlfn.XLOOKUP($D139,Tab_Def_Processes[Name(EN)],Tab_Def_Processes[Flow_ID_I_2],,0,)</f>
        <v>#N/A</v>
      </c>
      <c r="R139" s="181"/>
      <c r="S139" s="29" t="e">
        <f>_xlfn.XLOOKUP($D139,Tab_Def_Processes[Name(EN)],Tab_Def_Processes[Input_Flow_I_3],,0,)</f>
        <v>#N/A</v>
      </c>
      <c r="T139" s="9" t="e">
        <f>_xlfn.XLOOKUP($D139,Tab_Def_Processes[Name(EN)],Tab_Def_Processes[Flow_ID_I_3],,0,)</f>
        <v>#N/A</v>
      </c>
      <c r="U139" s="181"/>
      <c r="V139" s="29" t="e">
        <f>_xlfn.XLOOKUP($D139,Tab_Def_Processes[Name(EN)],Tab_Def_Processes[Input_Flow_I_4],,0,)</f>
        <v>#N/A</v>
      </c>
      <c r="W139" s="9" t="e">
        <f>_xlfn.XLOOKUP($D139,Tab_Def_Processes[Name(EN)],Tab_Def_Processes[Flow_ID_I_4],,0,)</f>
        <v>#N/A</v>
      </c>
      <c r="X139" s="181"/>
      <c r="Y139" s="29" t="e">
        <f>_xlfn.XLOOKUP($D139,Tab_Def_Processes[Name(EN)],Tab_Def_Processes[Input_Flow_I_5],,0,)</f>
        <v>#N/A</v>
      </c>
      <c r="Z139" s="9" t="e">
        <f>_xlfn.XLOOKUP($D139,Tab_Def_Processes[Name(EN)],Tab_Def_Processes[Flow_ID_I_5],,0,)</f>
        <v>#N/A</v>
      </c>
      <c r="AA139" s="181"/>
      <c r="AB139" s="32">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v>0.2</v>
      </c>
      <c r="AH139" s="16" t="e">
        <f>_xlfn.XLOOKUP($D139,#REF!,#REF!,,0,)</f>
        <v>#REF!</v>
      </c>
      <c r="AI139" s="9" t="e">
        <f>_xlfn.XLOOKUP($D139,#REF!,#REF!,,0,)</f>
        <v>#REF!</v>
      </c>
      <c r="AJ139" s="42" t="str">
        <f>Tab_Process_TCs2527[[#This Row],[Flow_ID]]</f>
        <v>N.A.</v>
      </c>
      <c r="AK139" s="9" t="e">
        <f t="shared" si="32"/>
        <v>#REF!</v>
      </c>
      <c r="AL139" s="168">
        <v>0.8</v>
      </c>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1</v>
      </c>
      <c r="BH139" s="11"/>
      <c r="BI139" s="11"/>
      <c r="BJ139" s="11"/>
      <c r="BK139" s="11"/>
      <c r="BL139" s="11"/>
    </row>
    <row r="140" spans="1:64" x14ac:dyDescent="0.25">
      <c r="A140" s="194" t="b">
        <v>0</v>
      </c>
      <c r="B140" s="9">
        <f t="shared" si="30"/>
        <v>139</v>
      </c>
      <c r="C140" s="47" t="e">
        <f>_xlfn.XLOOKUP($D140,Tab_Process_TCs[Name(EN)],Tab_Process_TCs[Process_ID],,0,)</f>
        <v>#N/A</v>
      </c>
      <c r="D140" s="189" t="s">
        <v>35</v>
      </c>
      <c r="E140" s="189" t="s">
        <v>35</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1"/>
      <c r="P140" s="29" t="e">
        <f>_xlfn.XLOOKUP($D140,Tab_Def_Processes[Name(EN)],Tab_Def_Processes[Input_Flow_I_2],,0,)</f>
        <v>#N/A</v>
      </c>
      <c r="Q140" s="9" t="e">
        <f>_xlfn.XLOOKUP($D140,Tab_Def_Processes[Name(EN)],Tab_Def_Processes[Flow_ID_I_2],,0,)</f>
        <v>#N/A</v>
      </c>
      <c r="R140" s="181"/>
      <c r="S140" s="29" t="e">
        <f>_xlfn.XLOOKUP($D140,Tab_Def_Processes[Name(EN)],Tab_Def_Processes[Input_Flow_I_3],,0,)</f>
        <v>#N/A</v>
      </c>
      <c r="T140" s="9" t="e">
        <f>_xlfn.XLOOKUP($D140,Tab_Def_Processes[Name(EN)],Tab_Def_Processes[Flow_ID_I_3],,0,)</f>
        <v>#N/A</v>
      </c>
      <c r="U140" s="181"/>
      <c r="V140" s="29" t="e">
        <f>_xlfn.XLOOKUP($D140,Tab_Def_Processes[Name(EN)],Tab_Def_Processes[Input_Flow_I_4],,0,)</f>
        <v>#N/A</v>
      </c>
      <c r="W140" s="9" t="e">
        <f>_xlfn.XLOOKUP($D140,Tab_Def_Processes[Name(EN)],Tab_Def_Processes[Flow_ID_I_4],,0,)</f>
        <v>#N/A</v>
      </c>
      <c r="X140" s="181"/>
      <c r="Y140" s="29" t="e">
        <f>_xlfn.XLOOKUP($D140,Tab_Def_Processes[Name(EN)],Tab_Def_Processes[Input_Flow_I_5],,0,)</f>
        <v>#N/A</v>
      </c>
      <c r="Z140" s="9" t="e">
        <f>_xlfn.XLOOKUP($D140,Tab_Def_Processes[Name(EN)],Tab_Def_Processes[Flow_ID_I_5],,0,)</f>
        <v>#N/A</v>
      </c>
      <c r="AA140" s="181"/>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4" t="b">
        <v>0</v>
      </c>
      <c r="B141" s="9">
        <f t="shared" si="30"/>
        <v>140</v>
      </c>
      <c r="C141" s="47" t="e">
        <f>_xlfn.XLOOKUP($D141,Tab_Process_TCs[Name(EN)],Tab_Process_TCs[Process_ID],,0,)</f>
        <v>#N/A</v>
      </c>
      <c r="D141" s="189" t="s">
        <v>35</v>
      </c>
      <c r="E141" s="189" t="s">
        <v>35</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1"/>
      <c r="P141" s="29" t="e">
        <f>_xlfn.XLOOKUP($D141,Tab_Def_Processes[Name(EN)],Tab_Def_Processes[Input_Flow_I_2],,0,)</f>
        <v>#N/A</v>
      </c>
      <c r="Q141" s="9" t="e">
        <f>_xlfn.XLOOKUP($D141,Tab_Def_Processes[Name(EN)],Tab_Def_Processes[Flow_ID_I_2],,0,)</f>
        <v>#N/A</v>
      </c>
      <c r="R141" s="181"/>
      <c r="S141" s="29" t="e">
        <f>_xlfn.XLOOKUP($D141,Tab_Def_Processes[Name(EN)],Tab_Def_Processes[Input_Flow_I_3],,0,)</f>
        <v>#N/A</v>
      </c>
      <c r="T141" s="9" t="e">
        <f>_xlfn.XLOOKUP($D141,Tab_Def_Processes[Name(EN)],Tab_Def_Processes[Flow_ID_I_3],,0,)</f>
        <v>#N/A</v>
      </c>
      <c r="U141" s="181"/>
      <c r="V141" s="29" t="e">
        <f>_xlfn.XLOOKUP($D141,Tab_Def_Processes[Name(EN)],Tab_Def_Processes[Input_Flow_I_4],,0,)</f>
        <v>#N/A</v>
      </c>
      <c r="W141" s="9" t="e">
        <f>_xlfn.XLOOKUP($D141,Tab_Def_Processes[Name(EN)],Tab_Def_Processes[Flow_ID_I_4],,0,)</f>
        <v>#N/A</v>
      </c>
      <c r="X141" s="181"/>
      <c r="Y141" s="29" t="e">
        <f>_xlfn.XLOOKUP($D141,Tab_Def_Processes[Name(EN)],Tab_Def_Processes[Input_Flow_I_5],,0,)</f>
        <v>#N/A</v>
      </c>
      <c r="Z141" s="9" t="e">
        <f>_xlfn.XLOOKUP($D141,Tab_Def_Processes[Name(EN)],Tab_Def_Processes[Flow_ID_I_5],,0,)</f>
        <v>#N/A</v>
      </c>
      <c r="AA141" s="181"/>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4" t="b">
        <v>0</v>
      </c>
      <c r="B142" s="9">
        <f t="shared" si="30"/>
        <v>141</v>
      </c>
      <c r="C142" s="47" t="e">
        <f>_xlfn.XLOOKUP($D142,Tab_Process_TCs[Name(EN)],Tab_Process_TCs[Process_ID],,0,)</f>
        <v>#N/A</v>
      </c>
      <c r="D142" s="189" t="s">
        <v>35</v>
      </c>
      <c r="E142" s="189" t="s">
        <v>35</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1"/>
      <c r="P142" s="29" t="e">
        <f>_xlfn.XLOOKUP($D142,Tab_Def_Processes[Name(EN)],Tab_Def_Processes[Input_Flow_I_2],,0,)</f>
        <v>#N/A</v>
      </c>
      <c r="Q142" s="9" t="e">
        <f>_xlfn.XLOOKUP($D142,Tab_Def_Processes[Name(EN)],Tab_Def_Processes[Flow_ID_I_2],,0,)</f>
        <v>#N/A</v>
      </c>
      <c r="R142" s="181"/>
      <c r="S142" s="29" t="e">
        <f>_xlfn.XLOOKUP($D142,Tab_Def_Processes[Name(EN)],Tab_Def_Processes[Input_Flow_I_3],,0,)</f>
        <v>#N/A</v>
      </c>
      <c r="T142" s="9" t="e">
        <f>_xlfn.XLOOKUP($D142,Tab_Def_Processes[Name(EN)],Tab_Def_Processes[Flow_ID_I_3],,0,)</f>
        <v>#N/A</v>
      </c>
      <c r="U142" s="181"/>
      <c r="V142" s="29" t="e">
        <f>_xlfn.XLOOKUP($D142,Tab_Def_Processes[Name(EN)],Tab_Def_Processes[Input_Flow_I_4],,0,)</f>
        <v>#N/A</v>
      </c>
      <c r="W142" s="9" t="e">
        <f>_xlfn.XLOOKUP($D142,Tab_Def_Processes[Name(EN)],Tab_Def_Processes[Flow_ID_I_4],,0,)</f>
        <v>#N/A</v>
      </c>
      <c r="X142" s="181"/>
      <c r="Y142" s="29" t="e">
        <f>_xlfn.XLOOKUP($D142,Tab_Def_Processes[Name(EN)],Tab_Def_Processes[Input_Flow_I_5],,0,)</f>
        <v>#N/A</v>
      </c>
      <c r="Z142" s="9" t="e">
        <f>_xlfn.XLOOKUP($D142,Tab_Def_Processes[Name(EN)],Tab_Def_Processes[Flow_ID_I_5],,0,)</f>
        <v>#N/A</v>
      </c>
      <c r="AA142" s="181"/>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4" t="b">
        <v>0</v>
      </c>
      <c r="B143" s="9">
        <f t="shared" si="30"/>
        <v>142</v>
      </c>
      <c r="C143" s="47" t="e">
        <f>_xlfn.XLOOKUP($D143,Tab_Process_TCs[Name(EN)],Tab_Process_TCs[Process_ID],,0,)</f>
        <v>#N/A</v>
      </c>
      <c r="D143" s="189" t="s">
        <v>35</v>
      </c>
      <c r="E143" s="189" t="s">
        <v>35</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1"/>
      <c r="P143" s="29" t="e">
        <f>_xlfn.XLOOKUP($D143,Tab_Def_Processes[Name(EN)],Tab_Def_Processes[Input_Flow_I_2],,0,)</f>
        <v>#N/A</v>
      </c>
      <c r="Q143" s="9" t="e">
        <f>_xlfn.XLOOKUP($D143,Tab_Def_Processes[Name(EN)],Tab_Def_Processes[Flow_ID_I_2],,0,)</f>
        <v>#N/A</v>
      </c>
      <c r="R143" s="181"/>
      <c r="S143" s="29" t="e">
        <f>_xlfn.XLOOKUP($D143,Tab_Def_Processes[Name(EN)],Tab_Def_Processes[Input_Flow_I_3],,0,)</f>
        <v>#N/A</v>
      </c>
      <c r="T143" s="9" t="e">
        <f>_xlfn.XLOOKUP($D143,Tab_Def_Processes[Name(EN)],Tab_Def_Processes[Flow_ID_I_3],,0,)</f>
        <v>#N/A</v>
      </c>
      <c r="U143" s="181"/>
      <c r="V143" s="29" t="e">
        <f>_xlfn.XLOOKUP($D143,Tab_Def_Processes[Name(EN)],Tab_Def_Processes[Input_Flow_I_4],,0,)</f>
        <v>#N/A</v>
      </c>
      <c r="W143" s="9" t="e">
        <f>_xlfn.XLOOKUP($D143,Tab_Def_Processes[Name(EN)],Tab_Def_Processes[Flow_ID_I_4],,0,)</f>
        <v>#N/A</v>
      </c>
      <c r="X143" s="181"/>
      <c r="Y143" s="29" t="e">
        <f>_xlfn.XLOOKUP($D143,Tab_Def_Processes[Name(EN)],Tab_Def_Processes[Input_Flow_I_5],,0,)</f>
        <v>#N/A</v>
      </c>
      <c r="Z143" s="9" t="e">
        <f>_xlfn.XLOOKUP($D143,Tab_Def_Processes[Name(EN)],Tab_Def_Processes[Flow_ID_I_5],,0,)</f>
        <v>#N/A</v>
      </c>
      <c r="AA143" s="181"/>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4" t="b">
        <v>0</v>
      </c>
      <c r="B144" s="9">
        <f t="shared" si="30"/>
        <v>143</v>
      </c>
      <c r="C144" s="47" t="e">
        <f>_xlfn.XLOOKUP($D144,Tab_Process_TCs[Name(EN)],Tab_Process_TCs[Process_ID],,0,)</f>
        <v>#N/A</v>
      </c>
      <c r="D144" s="189" t="s">
        <v>35</v>
      </c>
      <c r="E144" s="189" t="s">
        <v>35</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183"/>
      <c r="L144" s="9"/>
      <c r="M144" s="16" t="e">
        <f>_xlfn.XLOOKUP($D144,Tab_Def_Processes[Name(EN)],Tab_Def_Processes[Input_Flow_I_1],,0,)</f>
        <v>#N/A</v>
      </c>
      <c r="N144" s="9" t="e">
        <f>_xlfn.XLOOKUP($D144,Tab_Def_Processes[Name(EN)],Tab_Def_Processes[Flow_ID_I_1],,0,)</f>
        <v>#N/A</v>
      </c>
      <c r="O144" s="181"/>
      <c r="P144" s="29" t="e">
        <f>_xlfn.XLOOKUP($D144,Tab_Def_Processes[Name(EN)],Tab_Def_Processes[Input_Flow_I_2],,0,)</f>
        <v>#N/A</v>
      </c>
      <c r="Q144" s="9" t="e">
        <f>_xlfn.XLOOKUP($D144,Tab_Def_Processes[Name(EN)],Tab_Def_Processes[Flow_ID_I_2],,0,)</f>
        <v>#N/A</v>
      </c>
      <c r="R144" s="181"/>
      <c r="S144" s="29" t="e">
        <f>_xlfn.XLOOKUP($D144,Tab_Def_Processes[Name(EN)],Tab_Def_Processes[Input_Flow_I_3],,0,)</f>
        <v>#N/A</v>
      </c>
      <c r="T144" s="9" t="e">
        <f>_xlfn.XLOOKUP($D144,Tab_Def_Processes[Name(EN)],Tab_Def_Processes[Flow_ID_I_3],,0,)</f>
        <v>#N/A</v>
      </c>
      <c r="U144" s="181"/>
      <c r="V144" s="29" t="e">
        <f>_xlfn.XLOOKUP($D144,Tab_Def_Processes[Name(EN)],Tab_Def_Processes[Input_Flow_I_4],,0,)</f>
        <v>#N/A</v>
      </c>
      <c r="W144" s="9" t="e">
        <f>_xlfn.XLOOKUP($D144,Tab_Def_Processes[Name(EN)],Tab_Def_Processes[Flow_ID_I_4],,0,)</f>
        <v>#N/A</v>
      </c>
      <c r="X144" s="181"/>
      <c r="Y144" s="29" t="e">
        <f>_xlfn.XLOOKUP($D144,Tab_Def_Processes[Name(EN)],Tab_Def_Processes[Input_Flow_I_5],,0,)</f>
        <v>#N/A</v>
      </c>
      <c r="Z144" s="9" t="e">
        <f>_xlfn.XLOOKUP($D144,Tab_Def_Processes[Name(EN)],Tab_Def_Processes[Flow_ID_I_5],,0,)</f>
        <v>#N/A</v>
      </c>
      <c r="AA144" s="181"/>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4" t="b">
        <v>0</v>
      </c>
      <c r="B145" s="9">
        <f t="shared" si="30"/>
        <v>144</v>
      </c>
      <c r="C145" s="47" t="e">
        <f>_xlfn.XLOOKUP($D145,Tab_Process_TCs[Name(EN)],Tab_Process_TCs[Process_ID],,0,)</f>
        <v>#N/A</v>
      </c>
      <c r="D145" s="189" t="s">
        <v>35</v>
      </c>
      <c r="E145" s="189" t="s">
        <v>35</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183"/>
      <c r="L145" s="9"/>
      <c r="M145" s="16" t="e">
        <f>_xlfn.XLOOKUP($D145,Tab_Def_Processes[Name(EN)],Tab_Def_Processes[Input_Flow_I_1],,0,)</f>
        <v>#N/A</v>
      </c>
      <c r="N145" s="9" t="e">
        <f>_xlfn.XLOOKUP($D145,Tab_Def_Processes[Name(EN)],Tab_Def_Processes[Flow_ID_I_1],,0,)</f>
        <v>#N/A</v>
      </c>
      <c r="O145" s="181"/>
      <c r="P145" s="29" t="e">
        <f>_xlfn.XLOOKUP($D145,Tab_Def_Processes[Name(EN)],Tab_Def_Processes[Input_Flow_I_2],,0,)</f>
        <v>#N/A</v>
      </c>
      <c r="Q145" s="9" t="e">
        <f>_xlfn.XLOOKUP($D145,Tab_Def_Processes[Name(EN)],Tab_Def_Processes[Flow_ID_I_2],,0,)</f>
        <v>#N/A</v>
      </c>
      <c r="R145" s="181"/>
      <c r="S145" s="29" t="e">
        <f>_xlfn.XLOOKUP($D145,Tab_Def_Processes[Name(EN)],Tab_Def_Processes[Input_Flow_I_3],,0,)</f>
        <v>#N/A</v>
      </c>
      <c r="T145" s="9" t="e">
        <f>_xlfn.XLOOKUP($D145,Tab_Def_Processes[Name(EN)],Tab_Def_Processes[Flow_ID_I_3],,0,)</f>
        <v>#N/A</v>
      </c>
      <c r="U145" s="181"/>
      <c r="V145" s="29" t="e">
        <f>_xlfn.XLOOKUP($D145,Tab_Def_Processes[Name(EN)],Tab_Def_Processes[Input_Flow_I_4],,0,)</f>
        <v>#N/A</v>
      </c>
      <c r="W145" s="9" t="e">
        <f>_xlfn.XLOOKUP($D145,Tab_Def_Processes[Name(EN)],Tab_Def_Processes[Flow_ID_I_4],,0,)</f>
        <v>#N/A</v>
      </c>
      <c r="X145" s="181"/>
      <c r="Y145" s="29" t="e">
        <f>_xlfn.XLOOKUP($D145,Tab_Def_Processes[Name(EN)],Tab_Def_Processes[Input_Flow_I_5],,0,)</f>
        <v>#N/A</v>
      </c>
      <c r="Z145" s="9" t="e">
        <f>_xlfn.XLOOKUP($D145,Tab_Def_Processes[Name(EN)],Tab_Def_Processes[Flow_ID_I_5],,0,)</f>
        <v>#N/A</v>
      </c>
      <c r="AA145" s="181"/>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4" t="b">
        <v>0</v>
      </c>
      <c r="B146" s="9">
        <f t="shared" si="30"/>
        <v>145</v>
      </c>
      <c r="C146" s="47" t="e">
        <f>_xlfn.XLOOKUP($D146,Tab_Process_TCs[Name(EN)],Tab_Process_TCs[Process_ID],,0,)</f>
        <v>#N/A</v>
      </c>
      <c r="D146" s="189" t="s">
        <v>35</v>
      </c>
      <c r="E146" s="189" t="s">
        <v>35</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3"/>
      <c r="L146" s="9"/>
      <c r="M146" s="16" t="e">
        <f>_xlfn.XLOOKUP($D146,Tab_Def_Processes[Name(EN)],Tab_Def_Processes[Input_Flow_I_1],,0,)</f>
        <v>#N/A</v>
      </c>
      <c r="N146" s="9" t="e">
        <f>_xlfn.XLOOKUP($D146,Tab_Def_Processes[Name(EN)],Tab_Def_Processes[Flow_ID_I_1],,0,)</f>
        <v>#N/A</v>
      </c>
      <c r="O146" s="181"/>
      <c r="P146" s="29" t="e">
        <f>_xlfn.XLOOKUP($D146,Tab_Def_Processes[Name(EN)],Tab_Def_Processes[Input_Flow_I_2],,0,)</f>
        <v>#N/A</v>
      </c>
      <c r="Q146" s="9" t="e">
        <f>_xlfn.XLOOKUP($D146,Tab_Def_Processes[Name(EN)],Tab_Def_Processes[Flow_ID_I_2],,0,)</f>
        <v>#N/A</v>
      </c>
      <c r="R146" s="181"/>
      <c r="S146" s="29" t="e">
        <f>_xlfn.XLOOKUP($D146,Tab_Def_Processes[Name(EN)],Tab_Def_Processes[Input_Flow_I_3],,0,)</f>
        <v>#N/A</v>
      </c>
      <c r="T146" s="9" t="e">
        <f>_xlfn.XLOOKUP($D146,Tab_Def_Processes[Name(EN)],Tab_Def_Processes[Flow_ID_I_3],,0,)</f>
        <v>#N/A</v>
      </c>
      <c r="U146" s="181"/>
      <c r="V146" s="29" t="e">
        <f>_xlfn.XLOOKUP($D146,Tab_Def_Processes[Name(EN)],Tab_Def_Processes[Input_Flow_I_4],,0,)</f>
        <v>#N/A</v>
      </c>
      <c r="W146" s="9" t="e">
        <f>_xlfn.XLOOKUP($D146,Tab_Def_Processes[Name(EN)],Tab_Def_Processes[Flow_ID_I_4],,0,)</f>
        <v>#N/A</v>
      </c>
      <c r="X146" s="181"/>
      <c r="Y146" s="29" t="e">
        <f>_xlfn.XLOOKUP($D146,Tab_Def_Processes[Name(EN)],Tab_Def_Processes[Input_Flow_I_5],,0,)</f>
        <v>#N/A</v>
      </c>
      <c r="Z146" s="9" t="e">
        <f>_xlfn.XLOOKUP($D146,Tab_Def_Processes[Name(EN)],Tab_Def_Processes[Flow_ID_I_5],,0,)</f>
        <v>#N/A</v>
      </c>
      <c r="AA146" s="181"/>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4" t="b">
        <v>0</v>
      </c>
      <c r="B147" s="9">
        <f t="shared" si="30"/>
        <v>146</v>
      </c>
      <c r="C147" s="47" t="e">
        <f>_xlfn.XLOOKUP($D147,Tab_Process_TCs[Name(EN)],Tab_Process_TCs[Process_ID],,0,)</f>
        <v>#N/A</v>
      </c>
      <c r="D147" s="189" t="s">
        <v>35</v>
      </c>
      <c r="E147" s="189" t="s">
        <v>35</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56"/>
      <c r="L147" s="9"/>
      <c r="M147" s="16" t="e">
        <f>_xlfn.XLOOKUP($D147,Tab_Def_Processes[Name(EN)],Tab_Def_Processes[Input_Flow_I_1],,0,)</f>
        <v>#N/A</v>
      </c>
      <c r="N147" s="9" t="e">
        <f>_xlfn.XLOOKUP($D147,Tab_Def_Processes[Name(EN)],Tab_Def_Processes[Flow_ID_I_1],,0,)</f>
        <v>#N/A</v>
      </c>
      <c r="O147" s="181"/>
      <c r="P147" s="29" t="e">
        <f>_xlfn.XLOOKUP($D147,Tab_Def_Processes[Name(EN)],Tab_Def_Processes[Input_Flow_I_2],,0,)</f>
        <v>#N/A</v>
      </c>
      <c r="Q147" s="9" t="e">
        <f>_xlfn.XLOOKUP($D147,Tab_Def_Processes[Name(EN)],Tab_Def_Processes[Flow_ID_I_2],,0,)</f>
        <v>#N/A</v>
      </c>
      <c r="R147" s="181"/>
      <c r="S147" s="29" t="e">
        <f>_xlfn.XLOOKUP($D147,Tab_Def_Processes[Name(EN)],Tab_Def_Processes[Input_Flow_I_3],,0,)</f>
        <v>#N/A</v>
      </c>
      <c r="T147" s="9" t="e">
        <f>_xlfn.XLOOKUP($D147,Tab_Def_Processes[Name(EN)],Tab_Def_Processes[Flow_ID_I_3],,0,)</f>
        <v>#N/A</v>
      </c>
      <c r="U147" s="181"/>
      <c r="V147" s="29" t="e">
        <f>_xlfn.XLOOKUP($D147,Tab_Def_Processes[Name(EN)],Tab_Def_Processes[Input_Flow_I_4],,0,)</f>
        <v>#N/A</v>
      </c>
      <c r="W147" s="9" t="e">
        <f>_xlfn.XLOOKUP($D147,Tab_Def_Processes[Name(EN)],Tab_Def_Processes[Flow_ID_I_4],,0,)</f>
        <v>#N/A</v>
      </c>
      <c r="X147" s="181"/>
      <c r="Y147" s="29" t="e">
        <f>_xlfn.XLOOKUP($D147,Tab_Def_Processes[Name(EN)],Tab_Def_Processes[Input_Flow_I_5],,0,)</f>
        <v>#N/A</v>
      </c>
      <c r="Z147" s="9" t="e">
        <f>_xlfn.XLOOKUP($D147,Tab_Def_Processes[Name(EN)],Tab_Def_Processes[Flow_ID_I_5],,0,)</f>
        <v>#N/A</v>
      </c>
      <c r="AA147" s="181"/>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4" t="b">
        <v>0</v>
      </c>
      <c r="B148" s="9">
        <f t="shared" si="30"/>
        <v>147</v>
      </c>
      <c r="C148" s="47" t="e">
        <f>_xlfn.XLOOKUP($D148,Tab_Process_TCs[Name(EN)],Tab_Process_TCs[Process_ID],,0,)</f>
        <v>#N/A</v>
      </c>
      <c r="D148" s="189" t="s">
        <v>35</v>
      </c>
      <c r="E148" s="189" t="s">
        <v>35</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56"/>
      <c r="L148" s="9"/>
      <c r="M148" s="16" t="e">
        <f>_xlfn.XLOOKUP($D148,Tab_Def_Processes[Name(EN)],Tab_Def_Processes[Input_Flow_I_1],,0,)</f>
        <v>#N/A</v>
      </c>
      <c r="N148" s="9" t="e">
        <f>_xlfn.XLOOKUP($D148,Tab_Def_Processes[Name(EN)],Tab_Def_Processes[Flow_ID_I_1],,0,)</f>
        <v>#N/A</v>
      </c>
      <c r="O148" s="181"/>
      <c r="P148" s="29" t="e">
        <f>_xlfn.XLOOKUP($D148,Tab_Def_Processes[Name(EN)],Tab_Def_Processes[Input_Flow_I_2],,0,)</f>
        <v>#N/A</v>
      </c>
      <c r="Q148" s="9" t="e">
        <f>_xlfn.XLOOKUP($D148,Tab_Def_Processes[Name(EN)],Tab_Def_Processes[Flow_ID_I_2],,0,)</f>
        <v>#N/A</v>
      </c>
      <c r="R148" s="181"/>
      <c r="S148" s="29" t="e">
        <f>_xlfn.XLOOKUP($D148,Tab_Def_Processes[Name(EN)],Tab_Def_Processes[Input_Flow_I_3],,0,)</f>
        <v>#N/A</v>
      </c>
      <c r="T148" s="9" t="e">
        <f>_xlfn.XLOOKUP($D148,Tab_Def_Processes[Name(EN)],Tab_Def_Processes[Flow_ID_I_3],,0,)</f>
        <v>#N/A</v>
      </c>
      <c r="U148" s="181"/>
      <c r="V148" s="29" t="e">
        <f>_xlfn.XLOOKUP($D148,Tab_Def_Processes[Name(EN)],Tab_Def_Processes[Input_Flow_I_4],,0,)</f>
        <v>#N/A</v>
      </c>
      <c r="W148" s="9" t="e">
        <f>_xlfn.XLOOKUP($D148,Tab_Def_Processes[Name(EN)],Tab_Def_Processes[Flow_ID_I_4],,0,)</f>
        <v>#N/A</v>
      </c>
      <c r="X148" s="181"/>
      <c r="Y148" s="29" t="e">
        <f>_xlfn.XLOOKUP($D148,Tab_Def_Processes[Name(EN)],Tab_Def_Processes[Input_Flow_I_5],,0,)</f>
        <v>#N/A</v>
      </c>
      <c r="Z148" s="9" t="e">
        <f>_xlfn.XLOOKUP($D148,Tab_Def_Processes[Name(EN)],Tab_Def_Processes[Flow_ID_I_5],,0,)</f>
        <v>#N/A</v>
      </c>
      <c r="AA148" s="181"/>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ht="15.75" thickBot="1" x14ac:dyDescent="0.3">
      <c r="A149" s="194" t="b">
        <v>0</v>
      </c>
      <c r="B149" s="9">
        <f t="shared" si="30"/>
        <v>148</v>
      </c>
      <c r="C149" s="47" t="e">
        <f>_xlfn.XLOOKUP($D149,Tab_Process_TCs[Name(EN)],Tab_Process_TCs[Process_ID],,0,)</f>
        <v>#N/A</v>
      </c>
      <c r="D149" s="189" t="s">
        <v>35</v>
      </c>
      <c r="E149" s="189" t="s">
        <v>35</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183"/>
      <c r="L149" s="9"/>
      <c r="M149" s="16" t="e">
        <f>_xlfn.XLOOKUP($D149,Tab_Def_Processes[Name(EN)],Tab_Def_Processes[Input_Flow_I_1],,0,)</f>
        <v>#N/A</v>
      </c>
      <c r="N149" s="9" t="e">
        <f>_xlfn.XLOOKUP($D149,Tab_Def_Processes[Name(EN)],Tab_Def_Processes[Flow_ID_I_1],,0,)</f>
        <v>#N/A</v>
      </c>
      <c r="O149" s="181"/>
      <c r="P149" s="29" t="e">
        <f>_xlfn.XLOOKUP($D149,Tab_Def_Processes[Name(EN)],Tab_Def_Processes[Input_Flow_I_2],,0,)</f>
        <v>#N/A</v>
      </c>
      <c r="Q149" s="9" t="e">
        <f>_xlfn.XLOOKUP($D149,Tab_Def_Processes[Name(EN)],Tab_Def_Processes[Flow_ID_I_2],,0,)</f>
        <v>#N/A</v>
      </c>
      <c r="R149" s="181"/>
      <c r="S149" s="29" t="e">
        <f>_xlfn.XLOOKUP($D149,Tab_Def_Processes[Name(EN)],Tab_Def_Processes[Input_Flow_I_3],,0,)</f>
        <v>#N/A</v>
      </c>
      <c r="T149" s="9" t="e">
        <f>_xlfn.XLOOKUP($D149,Tab_Def_Processes[Name(EN)],Tab_Def_Processes[Flow_ID_I_3],,0,)</f>
        <v>#N/A</v>
      </c>
      <c r="U149" s="181"/>
      <c r="V149" s="29" t="e">
        <f>_xlfn.XLOOKUP($D149,Tab_Def_Processes[Name(EN)],Tab_Def_Processes[Input_Flow_I_4],,0,)</f>
        <v>#N/A</v>
      </c>
      <c r="W149" s="9" t="e">
        <f>_xlfn.XLOOKUP($D149,Tab_Def_Processes[Name(EN)],Tab_Def_Processes[Flow_ID_I_4],,0,)</f>
        <v>#N/A</v>
      </c>
      <c r="X149" s="181"/>
      <c r="Y149" s="29" t="e">
        <f>_xlfn.XLOOKUP($D149,Tab_Def_Processes[Name(EN)],Tab_Def_Processes[Input_Flow_I_5],,0,)</f>
        <v>#N/A</v>
      </c>
      <c r="Z149" s="9" t="e">
        <f>_xlfn.XLOOKUP($D149,Tab_Def_Processes[Name(EN)],Tab_Def_Processes[Flow_ID_I_5],,0,)</f>
        <v>#N/A</v>
      </c>
      <c r="AA149" s="181"/>
      <c r="AB149" s="32">
        <f>Tab_Process_TCs2527[[#This Row],[Flow_TC_I_1_'[%']]]+Tab_Process_TCs2527[[#This Row],[Flow_TC_I_2_'[%']]]+Tab_Process_TCs2527[[#This Row],[Flow_TC_I_3_'[%']]]+Tab_Process_TCs2527[[#This Row],[Flow_TC_I_4_'[%']]]+Tab_Process_TCs2527[[#This Row],[Flow_TC_I_5_'[%']]]</f>
        <v>0</v>
      </c>
      <c r="AC149" s="18" t="e">
        <f>_xlfn.XLOOKUP($D149,#REF!,#REF!,,0,)</f>
        <v>#REF!</v>
      </c>
      <c r="AD149" s="19" t="e">
        <f>_xlfn.XLOOKUP($D149,#REF!,#REF!,,0,)</f>
        <v>#REF!</v>
      </c>
      <c r="AE149" s="42" t="str">
        <f>Tab_Process_TCs2527[[#This Row],[Flow_ID]]</f>
        <v>N.A.</v>
      </c>
      <c r="AF149" s="19" t="e">
        <f t="shared" si="31"/>
        <v>#REF!</v>
      </c>
      <c r="AG149" s="173">
        <v>0.2</v>
      </c>
      <c r="AH149" s="18" t="e">
        <f>_xlfn.XLOOKUP($D149,#REF!,#REF!,,0,)</f>
        <v>#REF!</v>
      </c>
      <c r="AI149" s="19" t="e">
        <f>_xlfn.XLOOKUP($D149,#REF!,#REF!,,0,)</f>
        <v>#REF!</v>
      </c>
      <c r="AJ149" s="42" t="str">
        <f>Tab_Process_TCs2527[[#This Row],[Flow_ID]]</f>
        <v>N.A.</v>
      </c>
      <c r="AK149" s="19" t="e">
        <f t="shared" si="32"/>
        <v>#REF!</v>
      </c>
      <c r="AL149" s="174">
        <v>0.8</v>
      </c>
      <c r="AM149" s="18" t="e">
        <f>_xlfn.XLOOKUP($D149,#REF!,#REF!,,0,)</f>
        <v>#REF!</v>
      </c>
      <c r="AN149" s="19" t="e">
        <f>_xlfn.XLOOKUP($D149,#REF!,#REF!,,0,)</f>
        <v>#REF!</v>
      </c>
      <c r="AO149" s="42" t="str">
        <f>Tab_Process_TCs2527[[#This Row],[Flow_ID]]</f>
        <v>N.A.</v>
      </c>
      <c r="AP149" s="19" t="e">
        <f t="shared" si="33"/>
        <v>#REF!</v>
      </c>
      <c r="AQ149" s="174"/>
      <c r="AR149" s="18" t="e">
        <f>_xlfn.XLOOKUP($D149,#REF!,#REF!,,0,)</f>
        <v>#REF!</v>
      </c>
      <c r="AS149" s="19" t="e">
        <f>_xlfn.XLOOKUP($D149,#REF!,#REF!,,0,)</f>
        <v>#REF!</v>
      </c>
      <c r="AT149" s="42" t="str">
        <f>Tab_Process_TCs2527[[#This Row],[Flow_ID]]</f>
        <v>N.A.</v>
      </c>
      <c r="AU149" s="42" t="e">
        <f t="shared" si="34"/>
        <v>#REF!</v>
      </c>
      <c r="AV149" s="174"/>
      <c r="AW149" s="18" t="e">
        <f>_xlfn.XLOOKUP($D149,#REF!,#REF!,,0,)</f>
        <v>#REF!</v>
      </c>
      <c r="AX149" s="19" t="e">
        <f>_xlfn.XLOOKUP($D149,#REF!,#REF!,,0,)</f>
        <v>#REF!</v>
      </c>
      <c r="AY149" s="42" t="str">
        <f>Tab_Process_TCs2527[[#This Row],[Flow_ID]]</f>
        <v>N.A.</v>
      </c>
      <c r="AZ149" s="42" t="e">
        <f t="shared" si="35"/>
        <v>#REF!</v>
      </c>
      <c r="BA149" s="174"/>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sheetData>
  <phoneticPr fontId="2" type="noConversion"/>
  <conditionalFormatting sqref="BG2:BG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BH150:BH1048576 BG1:BG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F4EFD03A-BDB8-4DE7-AC41-A9180EB54B38}">
          <x14:formula1>
            <xm:f>'2_3_Process_TCs'!$D$2:$D$59</xm:f>
          </x14:formula1>
          <xm:sqref>D2:D149</xm:sqref>
        </x14:dataValidation>
        <x14:dataValidation type="list" allowBlank="1" showInputMessage="1" showErrorMessage="1" xr:uid="{9CEE14C6-3DF5-4113-8F14-B3CFD1104D19}">
          <x14:formula1>
            <xm:f>'0_ReadMe'!$T$6:$T$46</xm:f>
          </x14:formula1>
          <xm:sqref>L2:L149</xm:sqref>
        </x14:dataValidation>
        <x14:dataValidation type="list" allowBlank="1" showInputMessage="1" showErrorMessage="1" xr:uid="{ECCCB0BA-60EF-4ADA-8E59-41B74CA55900}">
          <x14:formula1>
            <xm:f>'2_1_Definition_Processes'!$D$2:$D$54</xm:f>
          </x14:formula1>
          <xm:sqref>E150:I1048576</xm:sqref>
        </x14:dataValidation>
        <x14:dataValidation type="list" allowBlank="1" showInputMessage="1" showErrorMessage="1" xr:uid="{E70A1220-F6BB-4B6C-91C7-5FE358B027E5}">
          <x14:formula1>
            <xm:f>'1_1_Definition_Flows'!$D$2:$D$79</xm:f>
          </x14:formula1>
          <xm:sqref>E2:E149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145" zoomScaleNormal="145" workbookViewId="0">
      <selection activeCell="M2" sqref="M2"/>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3" t="s">
        <v>88</v>
      </c>
      <c r="B1" s="193" t="s">
        <v>32</v>
      </c>
      <c r="C1" s="193" t="s">
        <v>62</v>
      </c>
      <c r="D1" s="193" t="s">
        <v>90</v>
      </c>
      <c r="E1" s="193" t="s">
        <v>121</v>
      </c>
      <c r="F1" s="193" t="s">
        <v>65</v>
      </c>
      <c r="G1" s="193" t="s">
        <v>277</v>
      </c>
      <c r="H1" s="193" t="s">
        <v>92</v>
      </c>
      <c r="I1" s="193" t="s">
        <v>300</v>
      </c>
      <c r="J1" s="193" t="s">
        <v>305</v>
      </c>
      <c r="K1" s="193" t="s">
        <v>306</v>
      </c>
      <c r="L1" s="193" t="s">
        <v>307</v>
      </c>
      <c r="M1" s="193" t="s">
        <v>319</v>
      </c>
      <c r="N1" s="193" t="s">
        <v>325</v>
      </c>
      <c r="O1" s="193" t="s">
        <v>324</v>
      </c>
      <c r="P1" s="193" t="s">
        <v>308</v>
      </c>
      <c r="Q1" s="193" t="s">
        <v>309</v>
      </c>
      <c r="R1" s="193" t="s">
        <v>310</v>
      </c>
    </row>
    <row r="2" spans="1:18" x14ac:dyDescent="0.25">
      <c r="A2" s="194" t="b">
        <v>1</v>
      </c>
      <c r="B2" s="9">
        <f t="shared" ref="B2:B51" si="0">ROW()-1</f>
        <v>1</v>
      </c>
      <c r="C2" s="9" t="e">
        <f>_xlfn.XLOOKUP($D2,Tab_Def_Processes[Name(EN)],Tab_Def_Processes[Process_ID],,0,)</f>
        <v>#N/A</v>
      </c>
      <c r="D2" s="11" t="s">
        <v>35</v>
      </c>
      <c r="E2" s="9" t="e">
        <f>_xlfn.XLOOKUP($D2,Tab_Def_Processes[Name(EN)],Tab_Def_Processes[Process_Type],,0,)</f>
        <v>#N/A</v>
      </c>
      <c r="F2" s="9" t="e">
        <f>_xlfn.XLOOKUP($D2,Tab_Def_Processes[Name(EN)],Tab_Def_Processes[TC?],,0,)</f>
        <v>#N/A</v>
      </c>
      <c r="G2" s="9" t="e">
        <f>_xlfn.XLOOKUP($D2,Tab_Def_Processes[Name(EN)],Tab_Def_Processes[Dyn_TC?],,0,)</f>
        <v>#N/A</v>
      </c>
      <c r="H2" s="9" t="e">
        <f>_xlfn.XLOOKUP($D2,Tab_Def_Processes[Name(EN)],Tab_Def_Processes[Stock?],,0,)</f>
        <v>#N/A</v>
      </c>
      <c r="I2" s="9" t="e">
        <f>_xlfn.XLOOKUP($D2,Tab_Def_Processes[Name(EN)],Tab_Def_Processes[Initial_Stock?],,0,)</f>
        <v>#N/A</v>
      </c>
      <c r="J2" s="9" t="e">
        <f>_xlfn.XLOOKUP($D2,Tab_Def_Processes[Name(EN)],Tab_Def_Processes[DSM?],,0,)</f>
        <v>#N/A</v>
      </c>
      <c r="K2" s="9" t="e">
        <f>_xlfn.XLOOKUP($D2,Tab_Def_Processes[Name(EN)],Tab_Def_Processes[FOMP?],,0,)</f>
        <v>#N/A</v>
      </c>
      <c r="L2" s="11">
        <v>1</v>
      </c>
      <c r="M2" s="9" t="str">
        <f>_xlfn.XLOOKUP($L2,Tab_DSM_Category_ID[Category ID],Tab_DSM_Category_ID[DSM Material],,0,)</f>
        <v>DSM Material 1</v>
      </c>
      <c r="N2" s="11"/>
      <c r="O2" s="33"/>
      <c r="P2" s="11"/>
      <c r="Q2" s="11"/>
      <c r="R2" s="11"/>
    </row>
    <row r="3" spans="1:18" x14ac:dyDescent="0.25">
      <c r="A3" s="194" t="b">
        <v>0</v>
      </c>
      <c r="B3" s="9">
        <f t="shared" si="0"/>
        <v>2</v>
      </c>
      <c r="C3" s="9" t="e">
        <f>_xlfn.XLOOKUP($D3,Tab_Def_Processes[Name(EN)],Tab_Def_Processes[Process_ID],,0,)</f>
        <v>#N/A</v>
      </c>
      <c r="D3" s="11" t="s">
        <v>35</v>
      </c>
      <c r="E3" s="9" t="e">
        <f>_xlfn.XLOOKUP($D3,Tab_Def_Processes[Name(EN)],Tab_Def_Processes[Process_Type],,0,)</f>
        <v>#N/A</v>
      </c>
      <c r="F3" s="9" t="e">
        <f>_xlfn.XLOOKUP($D3,Tab_Def_Processes[Name(EN)],Tab_Def_Processes[TC?],,0,)</f>
        <v>#N/A</v>
      </c>
      <c r="G3" s="9" t="e">
        <f>_xlfn.XLOOKUP($D3,Tab_Def_Processes[Name(EN)],Tab_Def_Processes[Dyn_TC?],,0,)</f>
        <v>#N/A</v>
      </c>
      <c r="H3" s="9" t="e">
        <f>_xlfn.XLOOKUP($D3,Tab_Def_Processes[Name(EN)],Tab_Def_Processes[Stock?],,0,)</f>
        <v>#N/A</v>
      </c>
      <c r="I3" s="9" t="e">
        <f>_xlfn.XLOOKUP($D3,Tab_Def_Processes[Name(EN)],Tab_Def_Processes[Initial_Stock?],,0,)</f>
        <v>#N/A</v>
      </c>
      <c r="J3" s="9" t="e">
        <f>_xlfn.XLOOKUP($D3,Tab_Def_Processes[Name(EN)],Tab_Def_Processes[DSM?],,0,)</f>
        <v>#N/A</v>
      </c>
      <c r="K3" s="9" t="e">
        <f>_xlfn.XLOOKUP($D3,Tab_Def_Processes[Name(EN)],Tab_Def_Processes[FOMP?],,0,)</f>
        <v>#N/A</v>
      </c>
      <c r="L3" s="11">
        <v>3</v>
      </c>
      <c r="M3" s="9" t="str">
        <f>_xlfn.XLOOKUP($L3,Tab_DSM_Category_ID[Category ID],Tab_DSM_Category_ID[DSM Material],,0,)</f>
        <v>DSM Material 3</v>
      </c>
      <c r="N3" s="11"/>
      <c r="O3" s="33"/>
      <c r="P3" s="11"/>
      <c r="Q3" s="11"/>
      <c r="R3" s="11"/>
    </row>
    <row r="4" spans="1:18" x14ac:dyDescent="0.25">
      <c r="A4" s="194" t="b">
        <v>0</v>
      </c>
      <c r="B4" s="9">
        <f t="shared" si="0"/>
        <v>3</v>
      </c>
      <c r="C4" s="9" t="e">
        <f>_xlfn.XLOOKUP($D4,Tab_Def_Processes[Name(EN)],Tab_Def_Processes[Process_ID],,0,)</f>
        <v>#N/A</v>
      </c>
      <c r="D4" s="11" t="s">
        <v>35</v>
      </c>
      <c r="E4" s="9" t="e">
        <f>_xlfn.XLOOKUP($D4,Tab_Def_Processes[Name(EN)],Tab_Def_Processes[Process_Type],,0,)</f>
        <v>#N/A</v>
      </c>
      <c r="F4" s="9" t="e">
        <f>_xlfn.XLOOKUP($D4,Tab_Def_Processes[Name(EN)],Tab_Def_Processes[TC?],,0,)</f>
        <v>#N/A</v>
      </c>
      <c r="G4" s="9" t="e">
        <f>_xlfn.XLOOKUP($D4,Tab_Def_Processes[Name(EN)],Tab_Def_Processes[Dyn_TC?],,0,)</f>
        <v>#N/A</v>
      </c>
      <c r="H4" s="9" t="e">
        <f>_xlfn.XLOOKUP($D4,Tab_Def_Processes[Name(EN)],Tab_Def_Processes[Stock?],,0,)</f>
        <v>#N/A</v>
      </c>
      <c r="I4" s="9" t="e">
        <f>_xlfn.XLOOKUP($D4,Tab_Def_Processes[Name(EN)],Tab_Def_Processes[Initial_Stock?],,0,)</f>
        <v>#N/A</v>
      </c>
      <c r="J4" s="9" t="e">
        <f>_xlfn.XLOOKUP($D4,Tab_Def_Processes[Name(EN)],Tab_Def_Processes[DSM?],,0,)</f>
        <v>#N/A</v>
      </c>
      <c r="K4" s="9" t="e">
        <f>_xlfn.XLOOKUP($D4,Tab_Def_Processes[Name(EN)],Tab_Def_Processes[FOMP?],,0,)</f>
        <v>#N/A</v>
      </c>
      <c r="L4" s="11"/>
      <c r="M4" s="9" t="e">
        <f>_xlfn.XLOOKUP($L4,Tab_DSM_Category_ID[Category ID],Tab_DSM_Category_ID[DSM Material],,0,)</f>
        <v>#N/A</v>
      </c>
      <c r="N4" s="11"/>
      <c r="O4" s="33"/>
      <c r="P4" s="11"/>
      <c r="Q4" s="11"/>
      <c r="R4" s="11"/>
    </row>
    <row r="5" spans="1:18" x14ac:dyDescent="0.25">
      <c r="A5" s="194" t="b">
        <v>0</v>
      </c>
      <c r="B5" s="9">
        <f t="shared" si="0"/>
        <v>4</v>
      </c>
      <c r="C5" s="9" t="e">
        <f>_xlfn.XLOOKUP($D5,Tab_Def_Processes[Name(EN)],Tab_Def_Processes[Process_ID],,0,)</f>
        <v>#N/A</v>
      </c>
      <c r="D5" s="11" t="s">
        <v>35</v>
      </c>
      <c r="E5" s="9" t="e">
        <f>_xlfn.XLOOKUP($D5,Tab_Def_Processes[Name(EN)],Tab_Def_Processes[Process_Type],,0,)</f>
        <v>#N/A</v>
      </c>
      <c r="F5" s="9" t="e">
        <f>_xlfn.XLOOKUP($D5,Tab_Def_Processes[Name(EN)],Tab_Def_Processes[TC?],,0,)</f>
        <v>#N/A</v>
      </c>
      <c r="G5" s="9" t="e">
        <f>_xlfn.XLOOKUP($D5,Tab_Def_Processes[Name(EN)],Tab_Def_Processes[Dyn_TC?],,0,)</f>
        <v>#N/A</v>
      </c>
      <c r="H5" s="9" t="e">
        <f>_xlfn.XLOOKUP($D5,Tab_Def_Processes[Name(EN)],Tab_Def_Processes[Stock?],,0,)</f>
        <v>#N/A</v>
      </c>
      <c r="I5" s="9" t="e">
        <f>_xlfn.XLOOKUP($D5,Tab_Def_Processes[Name(EN)],Tab_Def_Processes[Initial_Stock?],,0,)</f>
        <v>#N/A</v>
      </c>
      <c r="J5" s="9" t="e">
        <f>_xlfn.XLOOKUP($D5,Tab_Def_Processes[Name(EN)],Tab_Def_Processes[DSM?],,0,)</f>
        <v>#N/A</v>
      </c>
      <c r="K5" s="9" t="e">
        <f>_xlfn.XLOOKUP($D5,Tab_Def_Processes[Name(EN)],Tab_Def_Processes[FOMP?],,0,)</f>
        <v>#N/A</v>
      </c>
      <c r="L5" s="11"/>
      <c r="M5" s="9" t="e">
        <f>_xlfn.XLOOKUP($L5,Tab_DSM_Category_ID[Category ID],Tab_DSM_Category_ID[DSM Material],,0,)</f>
        <v>#N/A</v>
      </c>
      <c r="N5" s="11"/>
      <c r="O5" s="33"/>
      <c r="P5" s="11"/>
      <c r="Q5" s="11"/>
      <c r="R5" s="11"/>
    </row>
    <row r="6" spans="1:18" x14ac:dyDescent="0.25">
      <c r="A6" s="194"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9" t="e">
        <f>_xlfn.XLOOKUP($L6,Tab_DSM_Category_ID[Category ID],Tab_DSM_Category_ID[DSM Material],,0,)</f>
        <v>#N/A</v>
      </c>
      <c r="N6" s="11"/>
      <c r="O6" s="33"/>
      <c r="P6" s="11"/>
      <c r="Q6" s="11"/>
      <c r="R6" s="11"/>
    </row>
    <row r="7" spans="1:18" x14ac:dyDescent="0.25">
      <c r="A7" s="194"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9" t="e">
        <f>_xlfn.XLOOKUP($L7,Tab_DSM_Category_ID[Category ID],Tab_DSM_Category_ID[DSM Material],,0,)</f>
        <v>#N/A</v>
      </c>
      <c r="N7" s="11"/>
      <c r="O7" s="33"/>
      <c r="P7" s="11"/>
      <c r="Q7" s="11"/>
      <c r="R7" s="11"/>
    </row>
    <row r="8" spans="1:18" x14ac:dyDescent="0.25">
      <c r="A8" s="194"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4"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4"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4"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4"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4"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4"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4"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4"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4"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4"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4"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4" t="b">
        <v>0</v>
      </c>
      <c r="B47" s="9">
        <f t="shared" si="0"/>
        <v>46</v>
      </c>
      <c r="C47" s="9" t="e">
        <f>_xlfn.XLOOKUP($D47,Tab_Def_Processes[Name(EN)],Tab_Def_Processes[Process_ID],,0,)</f>
        <v>#N/A</v>
      </c>
      <c r="D47" s="11"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4" t="b">
        <v>0</v>
      </c>
      <c r="B48" s="9">
        <f t="shared" si="0"/>
        <v>47</v>
      </c>
      <c r="C48" s="9" t="e">
        <f>_xlfn.XLOOKUP($D48,Tab_Def_Processes[Name(EN)],Tab_Def_Processes[Process_ID],,0,)</f>
        <v>#N/A</v>
      </c>
      <c r="D48" s="11" t="s">
        <v>35</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4" t="b">
        <v>0</v>
      </c>
      <c r="B49" s="9">
        <f t="shared" si="0"/>
        <v>48</v>
      </c>
      <c r="C49" s="9" t="e">
        <f>_xlfn.XLOOKUP($D49,Tab_Def_Processes[Name(EN)],Tab_Def_Processes[Process_ID],,0,)</f>
        <v>#N/A</v>
      </c>
      <c r="D49" s="11" t="s">
        <v>35</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4" t="b">
        <v>0</v>
      </c>
      <c r="B50" s="9">
        <f t="shared" si="0"/>
        <v>49</v>
      </c>
      <c r="C50" s="9" t="e">
        <f>_xlfn.XLOOKUP($D50,Tab_Def_Processes[Name(EN)],Tab_Def_Processes[Process_ID],,0,)</f>
        <v>#N/A</v>
      </c>
      <c r="D50" s="11" t="s">
        <v>35</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4" t="b">
        <v>0</v>
      </c>
      <c r="B51" s="185">
        <f t="shared" si="0"/>
        <v>50</v>
      </c>
      <c r="C51" s="185" t="e">
        <f>_xlfn.XLOOKUP($D51,Tab_Def_Processes[Name(EN)],Tab_Def_Processes[Process_ID],,0,)</f>
        <v>#N/A</v>
      </c>
      <c r="D51" s="186" t="s">
        <v>35</v>
      </c>
      <c r="E51" s="185" t="e">
        <f>_xlfn.XLOOKUP($D51,Tab_Def_Processes[Name(EN)],Tab_Def_Processes[Process_Type],,0,)</f>
        <v>#N/A</v>
      </c>
      <c r="F51" s="185" t="e">
        <f>_xlfn.XLOOKUP($D51,Tab_Def_Processes[Name(EN)],Tab_Def_Processes[TC?],,0,)</f>
        <v>#N/A</v>
      </c>
      <c r="G51" s="185" t="e">
        <f>_xlfn.XLOOKUP($D51,Tab_Def_Processes[Name(EN)],Tab_Def_Processes[Dyn_TC?],,0,)</f>
        <v>#N/A</v>
      </c>
      <c r="H51" s="185" t="e">
        <f>_xlfn.XLOOKUP($D51,Tab_Def_Processes[Name(EN)],Tab_Def_Processes[Stock?],,0,)</f>
        <v>#N/A</v>
      </c>
      <c r="I51" s="185"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'2_1_Definition_Processes'!$D$2:$D$54</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zoomScaleNormal="100" workbookViewId="0">
      <selection activeCell="P37" sqref="P37"/>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93" t="s">
        <v>88</v>
      </c>
      <c r="B1" s="193" t="s">
        <v>32</v>
      </c>
      <c r="C1" s="193" t="s">
        <v>62</v>
      </c>
      <c r="D1" s="193" t="s">
        <v>90</v>
      </c>
      <c r="E1" s="193" t="s">
        <v>121</v>
      </c>
      <c r="F1" s="193" t="s">
        <v>65</v>
      </c>
      <c r="G1" s="193" t="s">
        <v>277</v>
      </c>
      <c r="H1" s="193" t="s">
        <v>92</v>
      </c>
      <c r="I1" s="193" t="s">
        <v>300</v>
      </c>
      <c r="J1" s="193" t="s">
        <v>305</v>
      </c>
      <c r="K1" s="193" t="s">
        <v>306</v>
      </c>
      <c r="L1" s="193" t="s">
        <v>333</v>
      </c>
      <c r="M1" s="193" t="s">
        <v>449</v>
      </c>
      <c r="N1" s="193" t="s">
        <v>463</v>
      </c>
      <c r="O1" s="193" t="s">
        <v>452</v>
      </c>
      <c r="P1" s="193" t="s">
        <v>323</v>
      </c>
      <c r="Q1" s="193" t="s">
        <v>297</v>
      </c>
    </row>
    <row r="2" spans="1:17" x14ac:dyDescent="0.25">
      <c r="A2" s="194" t="b">
        <v>1</v>
      </c>
      <c r="B2" s="9">
        <f t="shared" ref="B2:B41" si="0">ROW()-1</f>
        <v>1</v>
      </c>
      <c r="C2" s="9" t="str">
        <f>_xlfn.XLOOKUP($D2,Tab_Def_Processes[Name(EN)],Tab_Def_Processes[Process_ID],,0,)</f>
        <v>08</v>
      </c>
      <c r="D2" s="11" t="s">
        <v>472</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No</v>
      </c>
      <c r="K2" s="9" t="str">
        <f>_xlfn.XLOOKUP($D2,Tab_Def_Processes[Name(EN)],Tab_Def_Processes[FOMP?],,0,)</f>
        <v>Yes</v>
      </c>
      <c r="L2" s="9">
        <f>_xlfn.XLOOKUP(Tab_FOMP[[#This Row],[Name(EN)]],Tab_Def_Processes[Name(EN)],Tab_Def_Processes[Nr. Outflows],,0,)</f>
        <v>2</v>
      </c>
      <c r="M2" s="11">
        <v>2</v>
      </c>
      <c r="N2" s="11">
        <v>1</v>
      </c>
      <c r="O2" s="9" t="str">
        <f>_xlfn.XLOOKUP($N2,CL_3.1_FOMP_Parameters[Category ID],CL_3.1_FOMP_Parameters[Pool_ID],,0,)</f>
        <v>pool_1</v>
      </c>
      <c r="P2" s="11" t="s">
        <v>465</v>
      </c>
      <c r="Q2" s="11">
        <v>0.7</v>
      </c>
    </row>
    <row r="3" spans="1:17" x14ac:dyDescent="0.25">
      <c r="A3" s="194" t="b">
        <v>1</v>
      </c>
      <c r="B3" s="9">
        <f t="shared" si="0"/>
        <v>2</v>
      </c>
      <c r="C3" s="9" t="str">
        <f>_xlfn.XLOOKUP($D3,Tab_Def_Processes[Name(EN)],Tab_Def_Processes[Process_ID],,0,)</f>
        <v>08</v>
      </c>
      <c r="D3" s="11" t="s">
        <v>472</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No</v>
      </c>
      <c r="K3" s="9" t="str">
        <f>_xlfn.XLOOKUP($D3,Tab_Def_Processes[Name(EN)],Tab_Def_Processes[FOMP?],,0,)</f>
        <v>Yes</v>
      </c>
      <c r="L3" s="9">
        <f>_xlfn.XLOOKUP(Tab_FOMP[[#This Row],[Name(EN)]],Tab_Def_Processes[Name(EN)],Tab_Def_Processes[Nr. Outflows],,0,)</f>
        <v>2</v>
      </c>
      <c r="M3" s="11">
        <v>2</v>
      </c>
      <c r="N3" s="11">
        <v>1</v>
      </c>
      <c r="O3" s="9" t="str">
        <f>_xlfn.XLOOKUP($N3,CL_3.1_FOMP_Parameters[Category ID],CL_3.1_FOMP_Parameters[Pool_ID],,0,)</f>
        <v>pool_1</v>
      </c>
      <c r="P3" s="11" t="s">
        <v>466</v>
      </c>
      <c r="Q3" s="11">
        <v>0.5</v>
      </c>
    </row>
    <row r="4" spans="1:17" x14ac:dyDescent="0.25">
      <c r="A4" s="194" t="b">
        <v>1</v>
      </c>
      <c r="B4" s="9">
        <f t="shared" si="0"/>
        <v>3</v>
      </c>
      <c r="C4" s="9" t="str">
        <f>_xlfn.XLOOKUP($D4,Tab_Def_Processes[Name(EN)],Tab_Def_Processes[Process_ID],,0,)</f>
        <v>08</v>
      </c>
      <c r="D4" s="11" t="s">
        <v>472</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No</v>
      </c>
      <c r="K4" s="9" t="str">
        <f>_xlfn.XLOOKUP($D4,Tab_Def_Processes[Name(EN)],Tab_Def_Processes[FOMP?],,0,)</f>
        <v>Yes</v>
      </c>
      <c r="L4" s="9">
        <f>_xlfn.XLOOKUP(Tab_FOMP[[#This Row],[Name(EN)]],Tab_Def_Processes[Name(EN)],Tab_Def_Processes[Nr. Outflows],,0,)</f>
        <v>2</v>
      </c>
      <c r="M4" s="11">
        <v>2</v>
      </c>
      <c r="N4" s="11">
        <v>2</v>
      </c>
      <c r="O4" s="9" t="str">
        <f>_xlfn.XLOOKUP($N4,CL_3.1_FOMP_Parameters[Category ID],CL_3.1_FOMP_Parameters[Pool_ID],,0,)</f>
        <v>pool_2</v>
      </c>
      <c r="P4" s="11" t="s">
        <v>467</v>
      </c>
      <c r="Q4" s="11">
        <v>0.3</v>
      </c>
    </row>
    <row r="5" spans="1:17" x14ac:dyDescent="0.25">
      <c r="A5" s="194" t="b">
        <v>1</v>
      </c>
      <c r="B5" s="9">
        <f t="shared" si="0"/>
        <v>4</v>
      </c>
      <c r="C5" s="9" t="str">
        <f>_xlfn.XLOOKUP($D5,Tab_Def_Processes[Name(EN)],Tab_Def_Processes[Process_ID],,0,)</f>
        <v>08</v>
      </c>
      <c r="D5" s="11" t="s">
        <v>472</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No</v>
      </c>
      <c r="K5" s="9" t="str">
        <f>_xlfn.XLOOKUP($D5,Tab_Def_Processes[Name(EN)],Tab_Def_Processes[FOMP?],,0,)</f>
        <v>Yes</v>
      </c>
      <c r="L5" s="9">
        <f>_xlfn.XLOOKUP(Tab_FOMP[[#This Row],[Name(EN)]],Tab_Def_Processes[Name(EN)],Tab_Def_Processes[Nr. Outflows],,0,)</f>
        <v>2</v>
      </c>
      <c r="M5" s="11">
        <v>2</v>
      </c>
      <c r="N5" s="11">
        <v>2</v>
      </c>
      <c r="O5" s="9" t="str">
        <f>_xlfn.XLOOKUP($N5,CL_3.1_FOMP_Parameters[Category ID],CL_3.1_FOMP_Parameters[Pool_ID],,0,)</f>
        <v>pool_2</v>
      </c>
      <c r="P5" s="11" t="s">
        <v>468</v>
      </c>
      <c r="Q5" s="11">
        <v>2.5000000000000001E-2</v>
      </c>
    </row>
    <row r="6" spans="1:17" x14ac:dyDescent="0.25">
      <c r="A6" s="194" t="b">
        <v>1</v>
      </c>
      <c r="B6" s="9">
        <f t="shared" si="0"/>
        <v>5</v>
      </c>
      <c r="C6" s="9" t="str">
        <f>_xlfn.XLOOKUP($D6,Tab_Def_Processes[Name(EN)],Tab_Def_Processes[Process_ID],,0,)</f>
        <v>08</v>
      </c>
      <c r="D6" s="11" t="s">
        <v>472</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Yes</v>
      </c>
      <c r="I6" s="9" t="str">
        <f>_xlfn.XLOOKUP($D6,Tab_Def_Processes[Name(EN)],Tab_Def_Processes[Initial_Stock?],,0,)</f>
        <v>No</v>
      </c>
      <c r="J6" s="9" t="str">
        <f>_xlfn.XLOOKUP($D6,Tab_Def_Processes[Name(EN)],Tab_Def_Processes[DSM?],,0,)</f>
        <v>No</v>
      </c>
      <c r="K6" s="9" t="str">
        <f>_xlfn.XLOOKUP($D6,Tab_Def_Processes[Name(EN)],Tab_Def_Processes[FOMP?],,0,)</f>
        <v>Yes</v>
      </c>
      <c r="L6" s="9">
        <f>_xlfn.XLOOKUP(Tab_FOMP[[#This Row],[Name(EN)]],Tab_Def_Processes[Name(EN)],Tab_Def_Processes[Nr. Outflows],,0,)</f>
        <v>2</v>
      </c>
      <c r="M6" s="11">
        <v>2</v>
      </c>
      <c r="N6" s="11" t="s">
        <v>460</v>
      </c>
      <c r="O6" s="9" t="str">
        <f>_xlfn.XLOOKUP($N6,CL_3.1_FOMP_Parameters[Category ID],CL_3.1_FOMP_Parameters[Pool_ID],,0,)</f>
        <v>Outflow_1</v>
      </c>
      <c r="P6" s="11" t="s">
        <v>454</v>
      </c>
      <c r="Q6" s="11" t="s">
        <v>448</v>
      </c>
    </row>
    <row r="7" spans="1:17" x14ac:dyDescent="0.25">
      <c r="A7" s="194" t="b">
        <v>1</v>
      </c>
      <c r="B7" s="9">
        <f t="shared" si="0"/>
        <v>6</v>
      </c>
      <c r="C7" s="9" t="str">
        <f>_xlfn.XLOOKUP($D7,Tab_Def_Processes[Name(EN)],Tab_Def_Processes[Process_ID],,0,)</f>
        <v>08</v>
      </c>
      <c r="D7" s="11" t="s">
        <v>472</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Yes</v>
      </c>
      <c r="I7" s="9" t="str">
        <f>_xlfn.XLOOKUP($D7,Tab_Def_Processes[Name(EN)],Tab_Def_Processes[Initial_Stock?],,0,)</f>
        <v>No</v>
      </c>
      <c r="J7" s="9" t="str">
        <f>_xlfn.XLOOKUP($D7,Tab_Def_Processes[Name(EN)],Tab_Def_Processes[DSM?],,0,)</f>
        <v>No</v>
      </c>
      <c r="K7" s="9" t="str">
        <f>_xlfn.XLOOKUP($D7,Tab_Def_Processes[Name(EN)],Tab_Def_Processes[FOMP?],,0,)</f>
        <v>Yes</v>
      </c>
      <c r="L7" s="9">
        <f>_xlfn.XLOOKUP(Tab_FOMP[[#This Row],[Name(EN)]],Tab_Def_Processes[Name(EN)],Tab_Def_Processes[Nr. Outflows],,0,)</f>
        <v>2</v>
      </c>
      <c r="M7" s="11">
        <v>2</v>
      </c>
      <c r="N7" s="11" t="s">
        <v>461</v>
      </c>
      <c r="O7" s="9" t="str">
        <f>_xlfn.XLOOKUP($N7,CL_3.1_FOMP_Parameters[Category ID],CL_3.1_FOMP_Parameters[Pool_ID],,0,)</f>
        <v>Outflow_2</v>
      </c>
      <c r="P7" s="11" t="s">
        <v>464</v>
      </c>
      <c r="Q7" s="11" t="s">
        <v>453</v>
      </c>
    </row>
    <row r="8" spans="1:17" x14ac:dyDescent="0.25">
      <c r="A8" s="194" t="b">
        <v>1</v>
      </c>
      <c r="B8" s="9">
        <f t="shared" si="0"/>
        <v>7</v>
      </c>
      <c r="C8" s="9" t="str">
        <f>_xlfn.XLOOKUP($D8,Tab_Def_Processes[Name(EN)],Tab_Def_Processes[Process_ID],,0,)</f>
        <v>10</v>
      </c>
      <c r="D8" s="11" t="s">
        <v>471</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Yes</v>
      </c>
      <c r="I8" s="9" t="str">
        <f>_xlfn.XLOOKUP($D8,Tab_Def_Processes[Name(EN)],Tab_Def_Processes[Initial_Stock?],,0,)</f>
        <v>No</v>
      </c>
      <c r="J8" s="9" t="str">
        <f>_xlfn.XLOOKUP($D8,Tab_Def_Processes[Name(EN)],Tab_Def_Processes[DSM?],,0,)</f>
        <v>No</v>
      </c>
      <c r="K8" s="9" t="str">
        <f>_xlfn.XLOOKUP($D8,Tab_Def_Processes[Name(EN)],Tab_Def_Processes[FOMP?],,0,)</f>
        <v>Yes</v>
      </c>
      <c r="L8" s="9">
        <f>_xlfn.XLOOKUP(Tab_FOMP[[#This Row],[Name(EN)]],Tab_Def_Processes[Name(EN)],Tab_Def_Processes[Nr. Outflows],,0,)</f>
        <v>2</v>
      </c>
      <c r="M8" s="11">
        <v>2</v>
      </c>
      <c r="N8" s="11">
        <v>1</v>
      </c>
      <c r="O8" s="9" t="str">
        <f>_xlfn.XLOOKUP($N8,CL_3.1_FOMP_Parameters[Category ID],CL_3.1_FOMP_Parameters[Pool_ID],,0,)</f>
        <v>pool_1</v>
      </c>
      <c r="P8" s="11" t="s">
        <v>465</v>
      </c>
      <c r="Q8" s="11">
        <v>0.2</v>
      </c>
    </row>
    <row r="9" spans="1:17" x14ac:dyDescent="0.25">
      <c r="A9" s="194" t="b">
        <v>1</v>
      </c>
      <c r="B9" s="9">
        <f t="shared" si="0"/>
        <v>8</v>
      </c>
      <c r="C9" s="9" t="str">
        <f>_xlfn.XLOOKUP($D9,Tab_Def_Processes[Name(EN)],Tab_Def_Processes[Process_ID],,0,)</f>
        <v>10</v>
      </c>
      <c r="D9" s="11" t="s">
        <v>471</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Yes</v>
      </c>
      <c r="I9" s="9" t="str">
        <f>_xlfn.XLOOKUP($D9,Tab_Def_Processes[Name(EN)],Tab_Def_Processes[Initial_Stock?],,0,)</f>
        <v>No</v>
      </c>
      <c r="J9" s="9" t="str">
        <f>_xlfn.XLOOKUP($D9,Tab_Def_Processes[Name(EN)],Tab_Def_Processes[DSM?],,0,)</f>
        <v>No</v>
      </c>
      <c r="K9" s="9" t="str">
        <f>_xlfn.XLOOKUP($D9,Tab_Def_Processes[Name(EN)],Tab_Def_Processes[FOMP?],,0,)</f>
        <v>Yes</v>
      </c>
      <c r="L9" s="9">
        <f>_xlfn.XLOOKUP(Tab_FOMP[[#This Row],[Name(EN)]],Tab_Def_Processes[Name(EN)],Tab_Def_Processes[Nr. Outflows],,0,)</f>
        <v>2</v>
      </c>
      <c r="M9" s="11">
        <v>2</v>
      </c>
      <c r="N9" s="11">
        <v>1</v>
      </c>
      <c r="O9" s="9" t="str">
        <f>_xlfn.XLOOKUP($N9,CL_3.1_FOMP_Parameters[Category ID],CL_3.1_FOMP_Parameters[Pool_ID],,0,)</f>
        <v>pool_1</v>
      </c>
      <c r="P9" s="11" t="s">
        <v>466</v>
      </c>
      <c r="Q9" s="11">
        <v>0.05</v>
      </c>
    </row>
    <row r="10" spans="1:17" x14ac:dyDescent="0.25">
      <c r="A10" s="194" t="b">
        <v>1</v>
      </c>
      <c r="B10" s="9">
        <f t="shared" si="0"/>
        <v>9</v>
      </c>
      <c r="C10" s="9" t="str">
        <f>_xlfn.XLOOKUP($D10,Tab_Def_Processes[Name(EN)],Tab_Def_Processes[Process_ID],,0,)</f>
        <v>10</v>
      </c>
      <c r="D10" s="11" t="s">
        <v>471</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Yes</v>
      </c>
      <c r="I10" s="9" t="str">
        <f>_xlfn.XLOOKUP($D10,Tab_Def_Processes[Name(EN)],Tab_Def_Processes[Initial_Stock?],,0,)</f>
        <v>No</v>
      </c>
      <c r="J10" s="9" t="str">
        <f>_xlfn.XLOOKUP($D10,Tab_Def_Processes[Name(EN)],Tab_Def_Processes[DSM?],,0,)</f>
        <v>No</v>
      </c>
      <c r="K10" s="9" t="str">
        <f>_xlfn.XLOOKUP($D10,Tab_Def_Processes[Name(EN)],Tab_Def_Processes[FOMP?],,0,)</f>
        <v>Yes</v>
      </c>
      <c r="L10" s="9">
        <f>_xlfn.XLOOKUP(Tab_FOMP[[#This Row],[Name(EN)]],Tab_Def_Processes[Name(EN)],Tab_Def_Processes[Nr. Outflows],,0,)</f>
        <v>2</v>
      </c>
      <c r="M10" s="11">
        <v>2</v>
      </c>
      <c r="N10" s="11">
        <v>2</v>
      </c>
      <c r="O10" s="9" t="str">
        <f>_xlfn.XLOOKUP($N10,CL_3.1_FOMP_Parameters[Category ID],CL_3.1_FOMP_Parameters[Pool_ID],,0,)</f>
        <v>pool_2</v>
      </c>
      <c r="P10" s="11" t="s">
        <v>467</v>
      </c>
      <c r="Q10" s="11">
        <v>0.8</v>
      </c>
    </row>
    <row r="11" spans="1:17" x14ac:dyDescent="0.25">
      <c r="A11" s="194" t="b">
        <v>1</v>
      </c>
      <c r="B11" s="9">
        <f t="shared" si="0"/>
        <v>10</v>
      </c>
      <c r="C11" s="9" t="str">
        <f>_xlfn.XLOOKUP($D11,Tab_Def_Processes[Name(EN)],Tab_Def_Processes[Process_ID],,0,)</f>
        <v>10</v>
      </c>
      <c r="D11" s="11" t="s">
        <v>471</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Yes</v>
      </c>
      <c r="I11" s="9" t="str">
        <f>_xlfn.XLOOKUP($D11,Tab_Def_Processes[Name(EN)],Tab_Def_Processes[Initial_Stock?],,0,)</f>
        <v>No</v>
      </c>
      <c r="J11" s="9" t="str">
        <f>_xlfn.XLOOKUP($D11,Tab_Def_Processes[Name(EN)],Tab_Def_Processes[DSM?],,0,)</f>
        <v>No</v>
      </c>
      <c r="K11" s="9" t="str">
        <f>_xlfn.XLOOKUP($D11,Tab_Def_Processes[Name(EN)],Tab_Def_Processes[FOMP?],,0,)</f>
        <v>Yes</v>
      </c>
      <c r="L11" s="9">
        <f>_xlfn.XLOOKUP(Tab_FOMP[[#This Row],[Name(EN)]],Tab_Def_Processes[Name(EN)],Tab_Def_Processes[Nr. Outflows],,0,)</f>
        <v>2</v>
      </c>
      <c r="M11" s="11">
        <v>2</v>
      </c>
      <c r="N11" s="11">
        <v>2</v>
      </c>
      <c r="O11" s="9" t="str">
        <f>_xlfn.XLOOKUP($N11,CL_3.1_FOMP_Parameters[Category ID],CL_3.1_FOMP_Parameters[Pool_ID],,0,)</f>
        <v>pool_2</v>
      </c>
      <c r="P11" s="11" t="s">
        <v>468</v>
      </c>
      <c r="Q11" s="11">
        <v>2.5000000000000001E-3</v>
      </c>
    </row>
    <row r="12" spans="1:17" x14ac:dyDescent="0.25">
      <c r="A12" s="194" t="b">
        <v>1</v>
      </c>
      <c r="B12" s="9">
        <f t="shared" si="0"/>
        <v>11</v>
      </c>
      <c r="C12" s="9" t="str">
        <f>_xlfn.XLOOKUP($D12,Tab_Def_Processes[Name(EN)],Tab_Def_Processes[Process_ID],,0,)</f>
        <v>10</v>
      </c>
      <c r="D12" s="11" t="s">
        <v>471</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No</v>
      </c>
      <c r="K12" s="9" t="str">
        <f>_xlfn.XLOOKUP($D12,Tab_Def_Processes[Name(EN)],Tab_Def_Processes[FOMP?],,0,)</f>
        <v>Yes</v>
      </c>
      <c r="L12" s="9">
        <f>_xlfn.XLOOKUP(Tab_FOMP[[#This Row],[Name(EN)]],Tab_Def_Processes[Name(EN)],Tab_Def_Processes[Nr. Outflows],,0,)</f>
        <v>2</v>
      </c>
      <c r="M12" s="11">
        <v>2</v>
      </c>
      <c r="N12" s="11" t="s">
        <v>460</v>
      </c>
      <c r="O12" s="9" t="str">
        <f>_xlfn.XLOOKUP($N12,CL_3.1_FOMP_Parameters[Category ID],CL_3.1_FOMP_Parameters[Pool_ID],,0,)</f>
        <v>Outflow_1</v>
      </c>
      <c r="P12" s="11" t="s">
        <v>454</v>
      </c>
      <c r="Q12" s="11" t="s">
        <v>483</v>
      </c>
    </row>
    <row r="13" spans="1:17" x14ac:dyDescent="0.25">
      <c r="A13" s="194" t="b">
        <v>1</v>
      </c>
      <c r="B13" s="9">
        <f t="shared" si="0"/>
        <v>12</v>
      </c>
      <c r="C13" s="9" t="str">
        <f>_xlfn.XLOOKUP($D13,Tab_Def_Processes[Name(EN)],Tab_Def_Processes[Process_ID],,0,)</f>
        <v>10</v>
      </c>
      <c r="D13" s="11" t="s">
        <v>471</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_xlfn.XLOOKUP(Tab_FOMP[[#This Row],[Name(EN)]],Tab_Def_Processes[Name(EN)],Tab_Def_Processes[Nr. Outflows],,0,)</f>
        <v>2</v>
      </c>
      <c r="M13" s="11">
        <v>2</v>
      </c>
      <c r="N13" s="11" t="s">
        <v>461</v>
      </c>
      <c r="O13" s="9" t="str">
        <f>_xlfn.XLOOKUP($N13,CL_3.1_FOMP_Parameters[Category ID],CL_3.1_FOMP_Parameters[Pool_ID],,0,)</f>
        <v>Outflow_2</v>
      </c>
      <c r="P13" s="11" t="s">
        <v>464</v>
      </c>
      <c r="Q13" s="11" t="s">
        <v>484</v>
      </c>
    </row>
    <row r="14" spans="1:17"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_xlfn.XLOOKUP(Tab_FOMP[[#This Row],[Name(EN)]],Tab_Def_Processes[Name(EN)],Tab_Def_Processes[Nr. Outflows],,0,)</f>
        <v>#N/A</v>
      </c>
      <c r="M14" s="11"/>
      <c r="N14" s="11"/>
      <c r="O14" s="9" t="e">
        <f>_xlfn.XLOOKUP($N14,CL_3.1_FOMP_Parameters[Category ID],CL_3.1_FOMP_Parameters[Pool_ID],,0,)</f>
        <v>#N/A</v>
      </c>
      <c r="P14" s="11"/>
      <c r="Q14" s="11"/>
    </row>
    <row r="15" spans="1:17"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_xlfn.XLOOKUP(Tab_FOMP[[#This Row],[Name(EN)]],Tab_Def_Processes[Name(EN)],Tab_Def_Processes[Nr. Outflows],,0,)</f>
        <v>#N/A</v>
      </c>
      <c r="M15" s="11"/>
      <c r="N15" s="11"/>
      <c r="O15" s="9" t="e">
        <f>_xlfn.XLOOKUP($N15,CL_3.1_FOMP_Parameters[Category ID],CL_3.1_FOMP_Parameters[Pool_ID],,0,)</f>
        <v>#N/A</v>
      </c>
      <c r="P15" s="11"/>
      <c r="Q15" s="11"/>
    </row>
    <row r="16" spans="1:17"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_xlfn.XLOOKUP(Tab_FOMP[[#This Row],[Name(EN)]],Tab_Def_Processes[Name(EN)],Tab_Def_Processes[Nr. Outflows],,0,)</f>
        <v>#N/A</v>
      </c>
      <c r="M16" s="11"/>
      <c r="N16" s="11"/>
      <c r="O16" s="9" t="e">
        <f>_xlfn.XLOOKUP($N16,CL_3.1_FOMP_Parameters[Category ID],CL_3.1_FOMP_Parameters[Pool_ID],,0,)</f>
        <v>#N/A</v>
      </c>
      <c r="P16" s="11"/>
      <c r="Q16" s="11"/>
    </row>
    <row r="17" spans="1:17"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_xlfn.XLOOKUP(Tab_FOMP[[#This Row],[Name(EN)]],Tab_Def_Processes[Name(EN)],Tab_Def_Processes[Nr. Outflows],,0,)</f>
        <v>#N/A</v>
      </c>
      <c r="M17" s="11"/>
      <c r="N17" s="11"/>
      <c r="O17" s="9" t="e">
        <f>_xlfn.XLOOKUP($N17,CL_3.1_FOMP_Parameters[Category ID],CL_3.1_FOMP_Parameters[Pool_ID],,0,)</f>
        <v>#N/A</v>
      </c>
      <c r="P17" s="11"/>
      <c r="Q17" s="11"/>
    </row>
    <row r="18" spans="1:17"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_xlfn.XLOOKUP(Tab_FOMP[[#This Row],[Name(EN)]],Tab_Def_Processes[Name(EN)],Tab_Def_Processes[Nr. Outflows],,0,)</f>
        <v>#N/A</v>
      </c>
      <c r="M18" s="11"/>
      <c r="N18" s="11"/>
      <c r="O18" s="9" t="e">
        <f>_xlfn.XLOOKUP($N18,CL_3.1_FOMP_Parameters[Category ID],CL_3.1_FOMP_Parameters[Pool_ID],,0,)</f>
        <v>#N/A</v>
      </c>
      <c r="P18" s="11"/>
      <c r="Q18" s="11"/>
    </row>
    <row r="19" spans="1:17"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_xlfn.XLOOKUP(Tab_FOMP[[#This Row],[Name(EN)]],Tab_Def_Processes[Name(EN)],Tab_Def_Processes[Nr. Outflows],,0,)</f>
        <v>#N/A</v>
      </c>
      <c r="M19" s="11"/>
      <c r="N19" s="11"/>
      <c r="O19" s="9" t="e">
        <f>_xlfn.XLOOKUP($N19,CL_3.1_FOMP_Parameters[Category ID],CL_3.1_FOMP_Parameters[Pool_ID],,0,)</f>
        <v>#N/A</v>
      </c>
      <c r="P19" s="11"/>
      <c r="Q19" s="11"/>
    </row>
    <row r="20" spans="1:17"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_xlfn.XLOOKUP(Tab_FOMP[[#This Row],[Name(EN)]],Tab_Def_Processes[Name(EN)],Tab_Def_Processes[Nr. Outflows],,0,)</f>
        <v>#N/A</v>
      </c>
      <c r="M20" s="11"/>
      <c r="N20" s="11"/>
      <c r="O20" s="9" t="e">
        <f>_xlfn.XLOOKUP($N20,CL_3.1_FOMP_Parameters[Category ID],CL_3.1_FOMP_Parameters[Pool_ID],,0,)</f>
        <v>#N/A</v>
      </c>
      <c r="P20" s="11"/>
      <c r="Q20" s="11"/>
    </row>
    <row r="21" spans="1:17"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_xlfn.XLOOKUP(Tab_FOMP[[#This Row],[Name(EN)]],Tab_Def_Processes[Name(EN)],Tab_Def_Processes[Nr. Outflows],,0,)</f>
        <v>#N/A</v>
      </c>
      <c r="M21" s="11"/>
      <c r="N21" s="11"/>
      <c r="O21" s="9" t="e">
        <f>_xlfn.XLOOKUP($N21,CL_3.1_FOMP_Parameters[Category ID],CL_3.1_FOMP_Parameters[Pool_ID],,0,)</f>
        <v>#N/A</v>
      </c>
      <c r="P21" s="11"/>
      <c r="Q21" s="11"/>
    </row>
    <row r="22" spans="1:17"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_xlfn.XLOOKUP(Tab_FOMP[[#This Row],[Name(EN)]],Tab_Def_Processes[Name(EN)],Tab_Def_Processes[Nr. Outflows],,0,)</f>
        <v>#N/A</v>
      </c>
      <c r="M22" s="11"/>
      <c r="N22" s="11"/>
      <c r="O22" s="9" t="e">
        <f>_xlfn.XLOOKUP($N22,CL_3.1_FOMP_Parameters[Category ID],CL_3.1_FOMP_Parameters[Pool_ID],,0,)</f>
        <v>#N/A</v>
      </c>
      <c r="P22" s="11"/>
      <c r="Q22" s="11"/>
    </row>
    <row r="23" spans="1:17"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_xlfn.XLOOKUP(Tab_FOMP[[#This Row],[Name(EN)]],Tab_Def_Processes[Name(EN)],Tab_Def_Processes[Nr. Outflows],,0,)</f>
        <v>#N/A</v>
      </c>
      <c r="M23" s="11"/>
      <c r="N23" s="11"/>
      <c r="O23" s="9" t="e">
        <f>_xlfn.XLOOKUP($N23,CL_3.1_FOMP_Parameters[Category ID],CL_3.1_FOMP_Parameters[Pool_ID],,0,)</f>
        <v>#N/A</v>
      </c>
      <c r="P23" s="11"/>
      <c r="Q23" s="11"/>
    </row>
    <row r="24" spans="1:17"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_xlfn.XLOOKUP(Tab_FOMP[[#This Row],[Name(EN)]],Tab_Def_Processes[Name(EN)],Tab_Def_Processes[Nr. Outflows],,0,)</f>
        <v>#N/A</v>
      </c>
      <c r="M24" s="11"/>
      <c r="N24" s="11"/>
      <c r="O24" s="9" t="e">
        <f>_xlfn.XLOOKUP($N24,CL_3.1_FOMP_Parameters[Category ID],CL_3.1_FOMP_Parameters[Pool_ID],,0,)</f>
        <v>#N/A</v>
      </c>
      <c r="P24" s="11"/>
      <c r="Q24" s="11"/>
    </row>
    <row r="25" spans="1:17"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_xlfn.XLOOKUP(Tab_FOMP[[#This Row],[Name(EN)]],Tab_Def_Processes[Name(EN)],Tab_Def_Processes[Nr. Outflows],,0,)</f>
        <v>#N/A</v>
      </c>
      <c r="M25" s="11"/>
      <c r="N25" s="11"/>
      <c r="O25" s="9" t="e">
        <f>_xlfn.XLOOKUP($N25,CL_3.1_FOMP_Parameters[Category ID],CL_3.1_FOMP_Parameters[Pool_ID],,0,)</f>
        <v>#N/A</v>
      </c>
      <c r="P25" s="11"/>
      <c r="Q25" s="11"/>
    </row>
    <row r="26" spans="1:17"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_xlfn.XLOOKUP(Tab_FOMP[[#This Row],[Name(EN)]],Tab_Def_Processes[Name(EN)],Tab_Def_Processes[Nr. Outflows],,0,)</f>
        <v>#N/A</v>
      </c>
      <c r="M26" s="11"/>
      <c r="N26" s="11"/>
      <c r="O26" s="9" t="e">
        <f>_xlfn.XLOOKUP($N26,CL_3.1_FOMP_Parameters[Category ID],CL_3.1_FOMP_Parameters[Pool_ID],,0,)</f>
        <v>#N/A</v>
      </c>
      <c r="P26" s="11"/>
      <c r="Q26" s="11"/>
    </row>
    <row r="27" spans="1:17"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_xlfn.XLOOKUP(Tab_FOMP[[#This Row],[Name(EN)]],Tab_Def_Processes[Name(EN)],Tab_Def_Processes[Nr. Outflows],,0,)</f>
        <v>#N/A</v>
      </c>
      <c r="M27" s="11"/>
      <c r="N27" s="11"/>
      <c r="O27" s="9" t="e">
        <f>_xlfn.XLOOKUP($N27,CL_3.1_FOMP_Parameters[Category ID],CL_3.1_FOMP_Parameters[Pool_ID],,0,)</f>
        <v>#N/A</v>
      </c>
      <c r="P27" s="11"/>
      <c r="Q27" s="11"/>
    </row>
    <row r="28" spans="1:17"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_xlfn.XLOOKUP(Tab_FOMP[[#This Row],[Name(EN)]],Tab_Def_Processes[Name(EN)],Tab_Def_Processes[Nr. Outflows],,0,)</f>
        <v>#N/A</v>
      </c>
      <c r="M28" s="11"/>
      <c r="N28" s="11"/>
      <c r="O28" s="9" t="e">
        <f>_xlfn.XLOOKUP($N28,CL_3.1_FOMP_Parameters[Category ID],CL_3.1_FOMP_Parameters[Pool_ID],,0,)</f>
        <v>#N/A</v>
      </c>
      <c r="P28" s="11"/>
      <c r="Q28" s="11"/>
    </row>
    <row r="29" spans="1:17"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_xlfn.XLOOKUP(Tab_FOMP[[#This Row],[Name(EN)]],Tab_Def_Processes[Name(EN)],Tab_Def_Processes[Nr. Outflows],,0,)</f>
        <v>#N/A</v>
      </c>
      <c r="M29" s="11"/>
      <c r="N29" s="11"/>
      <c r="O29" s="9" t="e">
        <f>_xlfn.XLOOKUP($N29,CL_3.1_FOMP_Parameters[Category ID],CL_3.1_FOMP_Parameters[Pool_ID],,0,)</f>
        <v>#N/A</v>
      </c>
      <c r="P29" s="11"/>
      <c r="Q29" s="11"/>
    </row>
    <row r="30" spans="1:17"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_xlfn.XLOOKUP(Tab_FOMP[[#This Row],[Name(EN)]],Tab_Def_Processes[Name(EN)],Tab_Def_Processes[Nr. Outflows],,0,)</f>
        <v>#N/A</v>
      </c>
      <c r="M30" s="11"/>
      <c r="N30" s="11"/>
      <c r="O30" s="9" t="e">
        <f>_xlfn.XLOOKUP($N30,CL_3.1_FOMP_Parameters[Category ID],CL_3.1_FOMP_Parameters[Pool_ID],,0,)</f>
        <v>#N/A</v>
      </c>
      <c r="P30" s="11"/>
      <c r="Q30" s="11"/>
    </row>
    <row r="31" spans="1:17"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_xlfn.XLOOKUP(Tab_FOMP[[#This Row],[Name(EN)]],Tab_Def_Processes[Name(EN)],Tab_Def_Processes[Nr. Outflows],,0,)</f>
        <v>#N/A</v>
      </c>
      <c r="M31" s="11"/>
      <c r="N31" s="11"/>
      <c r="O31" s="9" t="e">
        <f>_xlfn.XLOOKUP($N31,CL_3.1_FOMP_Parameters[Category ID],CL_3.1_FOMP_Parameters[Pool_ID],,0,)</f>
        <v>#N/A</v>
      </c>
      <c r="P31" s="11"/>
      <c r="Q31" s="11"/>
    </row>
    <row r="32" spans="1:17"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_xlfn.XLOOKUP(Tab_FOMP[[#This Row],[Name(EN)]],Tab_Def_Processes[Name(EN)],Tab_Def_Processes[Nr. Outflows],,0,)</f>
        <v>#N/A</v>
      </c>
      <c r="M32" s="11"/>
      <c r="N32" s="11"/>
      <c r="O32" s="9" t="e">
        <f>_xlfn.XLOOKUP($N32,CL_3.1_FOMP_Parameters[Category ID],CL_3.1_FOMP_Parameters[Pool_ID],,0,)</f>
        <v>#N/A</v>
      </c>
      <c r="P32" s="11"/>
      <c r="Q32" s="11"/>
    </row>
    <row r="33" spans="1:17"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_xlfn.XLOOKUP(Tab_FOMP[[#This Row],[Name(EN)]],Tab_Def_Processes[Name(EN)],Tab_Def_Processes[Nr. Outflows],,0,)</f>
        <v>#N/A</v>
      </c>
      <c r="M33" s="11"/>
      <c r="N33" s="11"/>
      <c r="O33" s="9" t="e">
        <f>_xlfn.XLOOKUP($N33,CL_3.1_FOMP_Parameters[Category ID],CL_3.1_FOMP_Parameters[Pool_ID],,0,)</f>
        <v>#N/A</v>
      </c>
      <c r="P33" s="11"/>
      <c r="Q33" s="11"/>
    </row>
    <row r="34" spans="1:17"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_xlfn.XLOOKUP(Tab_FOMP[[#This Row],[Name(EN)]],Tab_Def_Processes[Name(EN)],Tab_Def_Processes[Nr. Outflows],,0,)</f>
        <v>#N/A</v>
      </c>
      <c r="M34" s="11"/>
      <c r="N34" s="11"/>
      <c r="O34" s="9" t="e">
        <f>_xlfn.XLOOKUP($N34,CL_3.1_FOMP_Parameters[Category ID],CL_3.1_FOMP_Parameters[Pool_ID],,0,)</f>
        <v>#N/A</v>
      </c>
      <c r="P34" s="11"/>
      <c r="Q34" s="11"/>
    </row>
    <row r="35" spans="1:17"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_xlfn.XLOOKUP(Tab_FOMP[[#This Row],[Name(EN)]],Tab_Def_Processes[Name(EN)],Tab_Def_Processes[Nr. Outflows],,0,)</f>
        <v>#N/A</v>
      </c>
      <c r="M35" s="11"/>
      <c r="N35" s="11"/>
      <c r="O35" s="9" t="e">
        <f>_xlfn.XLOOKUP($N35,CL_3.1_FOMP_Parameters[Category ID],CL_3.1_FOMP_Parameters[Pool_ID],,0,)</f>
        <v>#N/A</v>
      </c>
      <c r="P35" s="11"/>
      <c r="Q35" s="11"/>
    </row>
    <row r="36" spans="1:17"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_xlfn.XLOOKUP(Tab_FOMP[[#This Row],[Name(EN)]],Tab_Def_Processes[Name(EN)],Tab_Def_Processes[Nr. Outflows],,0,)</f>
        <v>#N/A</v>
      </c>
      <c r="M36" s="11"/>
      <c r="N36" s="11"/>
      <c r="O36" s="9" t="e">
        <f>_xlfn.XLOOKUP($N36,CL_3.1_FOMP_Parameters[Category ID],CL_3.1_FOMP_Parameters[Pool_ID],,0,)</f>
        <v>#N/A</v>
      </c>
      <c r="P36" s="11"/>
      <c r="Q36" s="11"/>
    </row>
    <row r="37" spans="1:17"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_xlfn.XLOOKUP(Tab_FOMP[[#This Row],[Name(EN)]],Tab_Def_Processes[Name(EN)],Tab_Def_Processes[Nr. Outflows],,0,)</f>
        <v>#N/A</v>
      </c>
      <c r="M37" s="11"/>
      <c r="N37" s="11"/>
      <c r="O37" s="9" t="e">
        <f>_xlfn.XLOOKUP($N37,CL_3.1_FOMP_Parameters[Category ID],CL_3.1_FOMP_Parameters[Pool_ID],,0,)</f>
        <v>#N/A</v>
      </c>
      <c r="P37" s="11"/>
      <c r="Q37" s="11"/>
    </row>
    <row r="38" spans="1:17"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_xlfn.XLOOKUP(Tab_FOMP[[#This Row],[Name(EN)]],Tab_Def_Processes[Name(EN)],Tab_Def_Processes[Nr. Outflows],,0,)</f>
        <v>#N/A</v>
      </c>
      <c r="M38" s="11"/>
      <c r="N38" s="11"/>
      <c r="O38" s="9" t="e">
        <f>_xlfn.XLOOKUP($N38,CL_3.1_FOMP_Parameters[Category ID],CL_3.1_FOMP_Parameters[Pool_ID],,0,)</f>
        <v>#N/A</v>
      </c>
      <c r="P38" s="11"/>
      <c r="Q38" s="11"/>
    </row>
    <row r="39" spans="1:17"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_xlfn.XLOOKUP(Tab_FOMP[[#This Row],[Name(EN)]],Tab_Def_Processes[Name(EN)],Tab_Def_Processes[Nr. Outflows],,0,)</f>
        <v>#N/A</v>
      </c>
      <c r="M39" s="11"/>
      <c r="N39" s="11"/>
      <c r="O39" s="9" t="e">
        <f>_xlfn.XLOOKUP($N39,CL_3.1_FOMP_Parameters[Category ID],CL_3.1_FOMP_Parameters[Pool_ID],,0,)</f>
        <v>#N/A</v>
      </c>
      <c r="P39" s="11"/>
      <c r="Q39" s="11"/>
    </row>
    <row r="40" spans="1:17"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_xlfn.XLOOKUP(Tab_FOMP[[#This Row],[Name(EN)]],Tab_Def_Processes[Name(EN)],Tab_Def_Processes[Nr. Outflows],,0,)</f>
        <v>#N/A</v>
      </c>
      <c r="M40" s="11"/>
      <c r="N40" s="11"/>
      <c r="O40" s="9" t="e">
        <f>_xlfn.XLOOKUP($N40,CL_3.1_FOMP_Parameters[Category ID],CL_3.1_FOMP_Parameters[Pool_ID],,0,)</f>
        <v>#N/A</v>
      </c>
      <c r="P40" s="11"/>
      <c r="Q40" s="11"/>
    </row>
    <row r="41" spans="1:17" x14ac:dyDescent="0.25">
      <c r="A41" s="194" t="b">
        <v>0</v>
      </c>
      <c r="B41" s="185">
        <f t="shared" si="0"/>
        <v>40</v>
      </c>
      <c r="C41" s="185" t="e">
        <f>_xlfn.XLOOKUP($D41,Tab_Def_Processes[Name(EN)],Tab_Def_Processes[Process_ID],,0,)</f>
        <v>#N/A</v>
      </c>
      <c r="D41" s="186" t="s">
        <v>35</v>
      </c>
      <c r="E41" s="185" t="e">
        <f>_xlfn.XLOOKUP($D41,Tab_Def_Processes[Name(EN)],Tab_Def_Processes[Process_Type],,0,)</f>
        <v>#N/A</v>
      </c>
      <c r="F41" s="185" t="e">
        <f>_xlfn.XLOOKUP($D41,Tab_Def_Processes[Name(EN)],Tab_Def_Processes[TC?],,0,)</f>
        <v>#N/A</v>
      </c>
      <c r="G41" s="185" t="e">
        <f>_xlfn.XLOOKUP($D41,Tab_Def_Processes[Name(EN)],Tab_Def_Processes[Dyn_TC?],,0,)</f>
        <v>#N/A</v>
      </c>
      <c r="H41" s="185" t="e">
        <f>_xlfn.XLOOKUP($D41,Tab_Def_Processes[Name(EN)],Tab_Def_Processes[Stock?],,0,)</f>
        <v>#N/A</v>
      </c>
      <c r="I41" s="185" t="e">
        <f>_xlfn.XLOOKUP($D41,Tab_Def_Processes[Name(EN)],Tab_Def_Processes[Initial_Stock?],,0,)</f>
        <v>#N/A</v>
      </c>
      <c r="J41" s="9" t="e">
        <f>_xlfn.XLOOKUP($D41,Tab_Def_Processes[Name(EN)],Tab_Def_Processes[DSM?],,0,)</f>
        <v>#N/A</v>
      </c>
      <c r="K41" s="9" t="e">
        <f>_xlfn.XLOOKUP($D41,Tab_Def_Processes[Name(EN)],Tab_Def_Processes[FOMP?],,0,)</f>
        <v>#N/A</v>
      </c>
      <c r="L41" s="9" t="e">
        <f>_xlfn.XLOOKUP(Tab_FOMP[[#This Row],[Name(EN)]],Tab_Def_Processes[Name(EN)],Tab_Def_Processes[Nr. Outflows],,0,)</f>
        <v>#N/A</v>
      </c>
      <c r="M41" s="11"/>
      <c r="N41" s="11"/>
      <c r="O41" s="9" t="e">
        <f>_xlfn.XLOOKUP($N41,CL_3.1_FOMP_Parameters[Category ID],CL_3.1_FOMP_Parameters[Pool_ID],,0,)</f>
        <v>#N/A</v>
      </c>
      <c r="P41" s="11"/>
      <c r="Q41" s="11"/>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0F74E799-D021-40E5-9FC7-FFB2E7126E7C}">
          <x14:formula1>
            <xm:f>'2_1_Definition_Processes'!$D$2:$D$54</xm:f>
          </x14:formula1>
          <xm:sqref>D2:D41</xm:sqref>
        </x14:dataValidation>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J13"/>
  <sheetViews>
    <sheetView workbookViewId="0">
      <selection activeCell="D32" sqref="D32"/>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3" t="s">
        <v>32</v>
      </c>
      <c r="B1" s="193" t="s">
        <v>218</v>
      </c>
      <c r="C1" s="193" t="s">
        <v>431</v>
      </c>
      <c r="D1" s="193" t="s">
        <v>323</v>
      </c>
      <c r="E1" s="193" t="s">
        <v>326</v>
      </c>
      <c r="F1" s="193" t="s">
        <v>327</v>
      </c>
      <c r="G1" s="193" t="s">
        <v>328</v>
      </c>
      <c r="H1" s="193" t="s">
        <v>329</v>
      </c>
      <c r="I1" s="193" t="s">
        <v>330</v>
      </c>
      <c r="J1" s="193" t="s">
        <v>331</v>
      </c>
    </row>
    <row r="2" spans="1:10" x14ac:dyDescent="0.25">
      <c r="A2" s="9">
        <f>ROW()-1</f>
        <v>1</v>
      </c>
      <c r="B2" s="189" t="s">
        <v>435</v>
      </c>
      <c r="C2" s="189" t="s">
        <v>418</v>
      </c>
      <c r="D2" s="189" t="s">
        <v>332</v>
      </c>
      <c r="E2" s="189" t="s">
        <v>321</v>
      </c>
      <c r="F2" s="11"/>
      <c r="G2" s="11"/>
      <c r="H2" s="11">
        <v>0.3</v>
      </c>
      <c r="I2" s="11">
        <v>0.6</v>
      </c>
      <c r="J2" s="11"/>
    </row>
    <row r="3" spans="1:10" x14ac:dyDescent="0.25">
      <c r="A3" s="9">
        <f t="shared" ref="A3:A13" si="0">ROW()-1</f>
        <v>2</v>
      </c>
      <c r="B3" s="189" t="s">
        <v>435</v>
      </c>
      <c r="C3" s="189" t="s">
        <v>418</v>
      </c>
      <c r="D3" s="189" t="s">
        <v>469</v>
      </c>
      <c r="E3" s="189" t="s">
        <v>320</v>
      </c>
      <c r="F3" s="11">
        <v>0.4</v>
      </c>
      <c r="G3" s="11">
        <v>0.1</v>
      </c>
      <c r="H3" s="11"/>
      <c r="I3" s="11"/>
      <c r="J3" s="11"/>
    </row>
    <row r="4" spans="1:10" x14ac:dyDescent="0.25">
      <c r="A4" s="9">
        <f t="shared" si="0"/>
        <v>3</v>
      </c>
      <c r="B4" s="189"/>
      <c r="C4" s="189"/>
      <c r="D4" s="189"/>
      <c r="E4" s="189"/>
      <c r="F4" s="11"/>
      <c r="G4" s="11"/>
      <c r="H4" s="11"/>
      <c r="I4" s="11"/>
      <c r="J4" s="11"/>
    </row>
    <row r="5" spans="1:10" x14ac:dyDescent="0.25">
      <c r="A5" s="9">
        <f t="shared" si="0"/>
        <v>4</v>
      </c>
      <c r="B5" s="189"/>
      <c r="C5" s="189"/>
      <c r="D5" s="189"/>
      <c r="E5" s="189"/>
      <c r="F5" s="11"/>
      <c r="G5" s="11"/>
      <c r="H5" s="11"/>
      <c r="I5" s="11"/>
      <c r="J5" s="11"/>
    </row>
    <row r="6" spans="1:10" x14ac:dyDescent="0.25">
      <c r="A6" s="9">
        <f t="shared" si="0"/>
        <v>5</v>
      </c>
      <c r="B6" s="189"/>
      <c r="C6" s="189"/>
      <c r="D6" s="189"/>
      <c r="E6" s="189"/>
      <c r="F6" s="11"/>
      <c r="G6" s="11"/>
      <c r="H6" s="11"/>
      <c r="I6" s="11"/>
      <c r="J6" s="11"/>
    </row>
    <row r="7" spans="1:10" x14ac:dyDescent="0.25">
      <c r="A7" s="9">
        <f t="shared" si="0"/>
        <v>6</v>
      </c>
      <c r="B7" s="189"/>
      <c r="C7" s="189"/>
      <c r="D7" s="189"/>
      <c r="E7" s="189"/>
      <c r="F7" s="11"/>
      <c r="G7" s="11"/>
      <c r="H7" s="11"/>
      <c r="I7" s="11"/>
      <c r="J7" s="11"/>
    </row>
    <row r="8" spans="1:10" x14ac:dyDescent="0.25">
      <c r="A8" s="9">
        <f t="shared" si="0"/>
        <v>7</v>
      </c>
      <c r="B8" s="189"/>
      <c r="C8" s="189"/>
      <c r="D8" s="189"/>
      <c r="E8" s="189"/>
      <c r="F8" s="11"/>
      <c r="G8" s="11"/>
      <c r="H8" s="11"/>
      <c r="I8" s="11"/>
      <c r="J8" s="11"/>
    </row>
    <row r="9" spans="1:10" x14ac:dyDescent="0.25">
      <c r="A9" s="9">
        <f t="shared" si="0"/>
        <v>8</v>
      </c>
      <c r="B9" s="189"/>
      <c r="C9" s="189"/>
      <c r="D9" s="189"/>
      <c r="E9" s="189"/>
      <c r="F9" s="11"/>
      <c r="G9" s="11"/>
      <c r="H9" s="11"/>
      <c r="I9" s="11"/>
      <c r="J9" s="11"/>
    </row>
    <row r="10" spans="1:10" x14ac:dyDescent="0.25">
      <c r="A10" s="9">
        <f>ROW()-1</f>
        <v>9</v>
      </c>
      <c r="B10" s="189"/>
      <c r="C10" s="189"/>
      <c r="D10" s="189"/>
      <c r="E10" s="189"/>
      <c r="F10" s="11"/>
      <c r="G10" s="11"/>
      <c r="H10" s="11"/>
      <c r="I10" s="11"/>
      <c r="J10" s="11"/>
    </row>
    <row r="11" spans="1:10" x14ac:dyDescent="0.25">
      <c r="A11" s="9">
        <f t="shared" si="0"/>
        <v>10</v>
      </c>
      <c r="B11" s="189"/>
      <c r="C11" s="189"/>
      <c r="D11" s="189"/>
      <c r="E11" s="189"/>
      <c r="F11" s="11"/>
      <c r="G11" s="11"/>
      <c r="H11" s="11"/>
      <c r="I11" s="11"/>
      <c r="J11" s="11"/>
    </row>
    <row r="12" spans="1:10" x14ac:dyDescent="0.25">
      <c r="A12" s="9">
        <f t="shared" si="0"/>
        <v>11</v>
      </c>
      <c r="B12" s="189"/>
      <c r="C12" s="189"/>
      <c r="D12" s="189"/>
      <c r="E12" s="189"/>
      <c r="F12" s="11"/>
      <c r="G12" s="11"/>
      <c r="H12" s="11"/>
      <c r="I12" s="11"/>
      <c r="J12" s="11"/>
    </row>
    <row r="13" spans="1:10" x14ac:dyDescent="0.25">
      <c r="A13" s="9">
        <f t="shared" si="0"/>
        <v>12</v>
      </c>
      <c r="B13" s="189"/>
      <c r="C13" s="189"/>
      <c r="D13" s="189"/>
      <c r="E13" s="189"/>
      <c r="F13" s="11"/>
      <c r="G13" s="11"/>
      <c r="H13" s="11"/>
      <c r="I13" s="11"/>
      <c r="J13" s="11"/>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dimension ref="A1:H10"/>
  <sheetViews>
    <sheetView zoomScaleNormal="100" workbookViewId="0">
      <selection activeCell="G21" sqref="G21"/>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93" t="s">
        <v>32</v>
      </c>
      <c r="B1" s="193" t="s">
        <v>496</v>
      </c>
      <c r="C1" s="193" t="s">
        <v>218</v>
      </c>
      <c r="D1" s="193" t="s">
        <v>431</v>
      </c>
      <c r="E1" s="193" t="s">
        <v>323</v>
      </c>
      <c r="F1" s="193" t="s">
        <v>487</v>
      </c>
      <c r="G1" s="193" t="s">
        <v>432</v>
      </c>
      <c r="H1" s="193" t="s">
        <v>43</v>
      </c>
    </row>
    <row r="2" spans="1:8" x14ac:dyDescent="0.25">
      <c r="A2" s="9">
        <f>ROW()-1</f>
        <v>1</v>
      </c>
      <c r="B2" s="189" t="s">
        <v>495</v>
      </c>
      <c r="C2" s="189" t="s">
        <v>427</v>
      </c>
      <c r="D2" s="189" t="s">
        <v>418</v>
      </c>
      <c r="E2" s="189" t="s">
        <v>332</v>
      </c>
      <c r="F2" s="189" t="s">
        <v>485</v>
      </c>
      <c r="G2" s="11">
        <v>0.999</v>
      </c>
      <c r="H2" s="37"/>
    </row>
    <row r="3" spans="1:8" x14ac:dyDescent="0.25">
      <c r="A3" s="9">
        <f t="shared" ref="A3:A10" si="0">ROW()-1</f>
        <v>2</v>
      </c>
      <c r="B3" s="189" t="s">
        <v>495</v>
      </c>
      <c r="C3" s="189" t="s">
        <v>427</v>
      </c>
      <c r="D3" s="189" t="s">
        <v>418</v>
      </c>
      <c r="E3" s="189" t="s">
        <v>469</v>
      </c>
      <c r="F3" s="189" t="s">
        <v>485</v>
      </c>
      <c r="G3" s="11">
        <v>1E-3</v>
      </c>
      <c r="H3" s="37"/>
    </row>
    <row r="4" spans="1:8" x14ac:dyDescent="0.25">
      <c r="A4" s="9">
        <f t="shared" si="0"/>
        <v>3</v>
      </c>
      <c r="B4" s="189" t="s">
        <v>495</v>
      </c>
      <c r="C4" s="189" t="s">
        <v>439</v>
      </c>
      <c r="D4" s="189"/>
      <c r="E4" s="189" t="s">
        <v>493</v>
      </c>
      <c r="F4" s="189" t="s">
        <v>491</v>
      </c>
      <c r="G4" s="11">
        <v>1.2</v>
      </c>
      <c r="H4" s="37"/>
    </row>
    <row r="5" spans="1:8" x14ac:dyDescent="0.25">
      <c r="A5" s="9">
        <f t="shared" si="0"/>
        <v>4</v>
      </c>
      <c r="B5" s="189" t="s">
        <v>495</v>
      </c>
      <c r="C5" s="189" t="s">
        <v>439</v>
      </c>
      <c r="D5" s="189"/>
      <c r="E5" s="189" t="s">
        <v>494</v>
      </c>
      <c r="F5" s="189" t="s">
        <v>491</v>
      </c>
      <c r="G5" s="11">
        <v>1.2</v>
      </c>
      <c r="H5" s="37"/>
    </row>
    <row r="6" spans="1:8" x14ac:dyDescent="0.25">
      <c r="A6" s="9">
        <f>ROW()-1</f>
        <v>5</v>
      </c>
      <c r="B6" s="189" t="s">
        <v>498</v>
      </c>
      <c r="C6" s="189" t="s">
        <v>427</v>
      </c>
      <c r="D6" s="189" t="s">
        <v>418</v>
      </c>
      <c r="E6" s="189" t="s">
        <v>332</v>
      </c>
      <c r="F6" s="189" t="s">
        <v>485</v>
      </c>
      <c r="G6" s="11">
        <v>1E-3</v>
      </c>
      <c r="H6" s="37"/>
    </row>
    <row r="7" spans="1:8" x14ac:dyDescent="0.25">
      <c r="A7" s="9">
        <f t="shared" si="0"/>
        <v>6</v>
      </c>
      <c r="B7" s="189" t="s">
        <v>498</v>
      </c>
      <c r="C7" s="189" t="s">
        <v>427</v>
      </c>
      <c r="D7" s="189" t="s">
        <v>418</v>
      </c>
      <c r="E7" s="189" t="s">
        <v>469</v>
      </c>
      <c r="F7" s="189" t="s">
        <v>485</v>
      </c>
      <c r="G7" s="11">
        <v>0.999</v>
      </c>
      <c r="H7" s="37"/>
    </row>
    <row r="8" spans="1:8" x14ac:dyDescent="0.25">
      <c r="A8" s="9">
        <f t="shared" si="0"/>
        <v>7</v>
      </c>
      <c r="B8" s="189" t="s">
        <v>498</v>
      </c>
      <c r="C8" s="189" t="s">
        <v>439</v>
      </c>
      <c r="D8" s="189"/>
      <c r="E8" s="189" t="s">
        <v>493</v>
      </c>
      <c r="F8" s="189" t="s">
        <v>491</v>
      </c>
      <c r="G8" s="11">
        <v>1.9</v>
      </c>
      <c r="H8" s="37"/>
    </row>
    <row r="9" spans="1:8" x14ac:dyDescent="0.25">
      <c r="A9" s="9">
        <f>ROW()-1</f>
        <v>8</v>
      </c>
      <c r="B9" s="189" t="s">
        <v>498</v>
      </c>
      <c r="C9" s="189" t="s">
        <v>439</v>
      </c>
      <c r="D9" s="189"/>
      <c r="E9" s="189" t="s">
        <v>494</v>
      </c>
      <c r="F9" s="189" t="s">
        <v>491</v>
      </c>
      <c r="G9" s="11">
        <v>1.9</v>
      </c>
      <c r="H9" s="37"/>
    </row>
    <row r="10" spans="1:8" x14ac:dyDescent="0.25">
      <c r="A10" s="9">
        <f t="shared" si="0"/>
        <v>9</v>
      </c>
      <c r="B10" s="189"/>
      <c r="C10" s="189"/>
      <c r="D10" s="189"/>
      <c r="E10" s="189"/>
      <c r="F10" s="189"/>
      <c r="G10" s="11"/>
      <c r="H10"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'0_Configuration'!#REF!</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59"/>
  <sheetViews>
    <sheetView zoomScale="85" zoomScaleNormal="85" workbookViewId="0">
      <selection activeCell="H35" sqref="H35"/>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220" t="s">
        <v>88</v>
      </c>
      <c r="B1" s="220" t="s">
        <v>32</v>
      </c>
      <c r="C1" s="220" t="s">
        <v>62</v>
      </c>
      <c r="D1" s="220" t="s">
        <v>90</v>
      </c>
      <c r="E1" s="224" t="s">
        <v>765</v>
      </c>
      <c r="F1" s="224" t="s">
        <v>615</v>
      </c>
      <c r="G1" s="224" t="s">
        <v>618</v>
      </c>
      <c r="H1" s="224" t="s">
        <v>799</v>
      </c>
      <c r="I1" t="s">
        <v>800</v>
      </c>
      <c r="J1" s="224" t="s">
        <v>801</v>
      </c>
      <c r="K1" s="224" t="s">
        <v>804</v>
      </c>
      <c r="L1" s="224" t="s">
        <v>802</v>
      </c>
      <c r="M1" s="224" t="s">
        <v>805</v>
      </c>
      <c r="N1" s="224" t="s">
        <v>803</v>
      </c>
      <c r="O1" t="s">
        <v>806</v>
      </c>
      <c r="P1" t="s">
        <v>6</v>
      </c>
    </row>
    <row r="2" spans="1:16" x14ac:dyDescent="0.25">
      <c r="A2" s="225" t="b">
        <v>0</v>
      </c>
      <c r="B2" s="9">
        <f>ROW()-1</f>
        <v>1</v>
      </c>
      <c r="C2" s="47" t="str">
        <f>_xlfn.XLOOKUP($D2,Tab_Def_Processes[Name(EN)],Tab_Def_Processes[ID],,0,)</f>
        <v>00</v>
      </c>
      <c r="D2" s="221" t="str">
        <f>Tab_Def_Processes[[#This Row],[Name(EN)]]</f>
        <v>Atmosphere</v>
      </c>
      <c r="E2" s="227" t="s">
        <v>676</v>
      </c>
      <c r="F2" s="227" t="s">
        <v>710</v>
      </c>
      <c r="G2" s="9" t="str">
        <f>_xlfn.XLOOKUP($F2,Table32[Color_Name],Table32[Hex_Code],,0,)</f>
        <v>#87CEEB</v>
      </c>
      <c r="H2">
        <v>0.1</v>
      </c>
      <c r="I2">
        <v>0.8</v>
      </c>
      <c r="J2">
        <v>0.1</v>
      </c>
      <c r="K2">
        <v>0.8</v>
      </c>
      <c r="L2">
        <v>0.1</v>
      </c>
      <c r="M2">
        <v>0.8</v>
      </c>
      <c r="N2">
        <v>0.1</v>
      </c>
      <c r="O2">
        <v>0.8</v>
      </c>
    </row>
    <row r="3" spans="1:16" x14ac:dyDescent="0.25">
      <c r="A3" s="225" t="b">
        <v>0</v>
      </c>
      <c r="B3" s="9">
        <f t="shared" ref="B3:B59" si="0">ROW()-1</f>
        <v>2</v>
      </c>
      <c r="C3" s="47" t="str">
        <f>_xlfn.XLOOKUP($D3,Tab_Def_Processes[Name(EN)],Tab_Def_Processes[ID],,0,)</f>
        <v>01</v>
      </c>
      <c r="D3" s="221" t="str">
        <f>Tab_Def_Processes[[#This Row],[Name(EN)]]</f>
        <v>Environment</v>
      </c>
      <c r="E3" s="227" t="s">
        <v>676</v>
      </c>
      <c r="F3" s="227" t="s">
        <v>677</v>
      </c>
      <c r="G3" s="9" t="str">
        <f>_xlfn.XLOOKUP($F3,Table32[Color_Name],Table32[Hex_Code],,0,)</f>
        <v>#228B22</v>
      </c>
      <c r="H3">
        <v>0.1</v>
      </c>
      <c r="I3">
        <v>0.2</v>
      </c>
      <c r="J3">
        <v>0.1</v>
      </c>
      <c r="K3">
        <v>0.2</v>
      </c>
      <c r="L3">
        <v>0.1</v>
      </c>
      <c r="M3">
        <v>0.2</v>
      </c>
      <c r="N3">
        <v>0.1</v>
      </c>
      <c r="O3">
        <v>0.2</v>
      </c>
    </row>
    <row r="4" spans="1:16" x14ac:dyDescent="0.25">
      <c r="A4" s="225" t="b">
        <v>0</v>
      </c>
      <c r="B4" s="9">
        <f t="shared" si="0"/>
        <v>3</v>
      </c>
      <c r="C4" s="47" t="str">
        <f>_xlfn.XLOOKUP($D4,Tab_Def_Processes[Name(EN)],Tab_Def_Processes[ID],,0,)</f>
        <v>02</v>
      </c>
      <c r="D4" s="221" t="str">
        <f>Tab_Def_Processes[[#This Row],[Name(EN)]]</f>
        <v>Cultivation</v>
      </c>
      <c r="E4" s="227" t="s">
        <v>676</v>
      </c>
      <c r="F4" s="227" t="s">
        <v>693</v>
      </c>
      <c r="G4" s="9" t="str">
        <f>_xlfn.XLOOKUP($F4,Table32[Color_Name],Table32[Hex_Code],,0,)</f>
        <v>#F5DEB3</v>
      </c>
      <c r="H4">
        <v>0.2</v>
      </c>
      <c r="I4">
        <v>0.5</v>
      </c>
      <c r="J4">
        <v>0.2</v>
      </c>
      <c r="K4">
        <v>0.5</v>
      </c>
      <c r="L4">
        <v>0.2</v>
      </c>
      <c r="M4">
        <v>0.5</v>
      </c>
      <c r="N4">
        <v>0.2</v>
      </c>
      <c r="O4">
        <v>0.5</v>
      </c>
    </row>
    <row r="5" spans="1:16" x14ac:dyDescent="0.25">
      <c r="A5" s="225" t="b">
        <v>0</v>
      </c>
      <c r="B5" s="9">
        <f t="shared" si="0"/>
        <v>4</v>
      </c>
      <c r="C5" s="47" t="str">
        <f>_xlfn.XLOOKUP($D5,Tab_Def_Processes[Name(EN)],Tab_Def_Processes[ID],,0,)</f>
        <v>03</v>
      </c>
      <c r="D5" s="221" t="str">
        <f>Tab_Def_Processes[[#This Row],[Name(EN)]]</f>
        <v>Harvest</v>
      </c>
      <c r="E5" s="227" t="s">
        <v>676</v>
      </c>
      <c r="F5" s="227" t="s">
        <v>693</v>
      </c>
      <c r="G5" s="9" t="str">
        <f>_xlfn.XLOOKUP($F5,Table32[Color_Name],Table32[Hex_Code],,0,)</f>
        <v>#F5DEB3</v>
      </c>
      <c r="H5">
        <v>0.3</v>
      </c>
      <c r="I5">
        <v>0.5</v>
      </c>
      <c r="J5">
        <v>0.3</v>
      </c>
      <c r="K5">
        <v>0.5</v>
      </c>
      <c r="L5">
        <v>0.3</v>
      </c>
      <c r="M5">
        <v>0.5</v>
      </c>
      <c r="N5">
        <v>0.3</v>
      </c>
      <c r="O5">
        <v>0.5</v>
      </c>
    </row>
    <row r="6" spans="1:16" x14ac:dyDescent="0.25">
      <c r="A6" s="225" t="b">
        <v>0</v>
      </c>
      <c r="B6" s="9">
        <f t="shared" si="0"/>
        <v>5</v>
      </c>
      <c r="C6" s="47" t="str">
        <f>_xlfn.XLOOKUP($D6,Tab_Def_Processes[Name(EN)],Tab_Def_Processes[ID],,0,)</f>
        <v>04</v>
      </c>
      <c r="D6" s="221" t="str">
        <f>Tab_Def_Processes[[#This Row],[Name(EN)]]</f>
        <v>Grain Processing &amp; Consumption</v>
      </c>
      <c r="E6" s="227" t="s">
        <v>676</v>
      </c>
      <c r="F6" s="227" t="s">
        <v>693</v>
      </c>
      <c r="G6" s="9" t="str">
        <f>_xlfn.XLOOKUP($F6,Table32[Color_Name],Table32[Hex_Code],,0,)</f>
        <v>#F5DEB3</v>
      </c>
      <c r="H6">
        <v>0.4</v>
      </c>
      <c r="I6">
        <v>0.2</v>
      </c>
      <c r="J6">
        <v>0.4</v>
      </c>
      <c r="K6">
        <v>0.2</v>
      </c>
      <c r="L6">
        <v>0.4</v>
      </c>
      <c r="M6">
        <v>0.2</v>
      </c>
      <c r="N6">
        <v>0.4</v>
      </c>
      <c r="O6">
        <v>0.2</v>
      </c>
    </row>
    <row r="7" spans="1:16" x14ac:dyDescent="0.25">
      <c r="A7" s="225" t="b">
        <v>0</v>
      </c>
      <c r="B7" s="9">
        <f>ROW()-1</f>
        <v>6</v>
      </c>
      <c r="C7" s="47" t="str">
        <f>_xlfn.XLOOKUP($D7,Tab_Def_Processes[Name(EN)],Tab_Def_Processes[ID],,0,)</f>
        <v>05</v>
      </c>
      <c r="D7" s="221" t="str">
        <f>Tab_Def_Processes[[#This Row],[Name(EN)]]</f>
        <v>Straw C&amp;D</v>
      </c>
      <c r="E7" s="227" t="s">
        <v>676</v>
      </c>
      <c r="F7" s="227" t="s">
        <v>693</v>
      </c>
      <c r="G7" s="9" t="str">
        <f>_xlfn.XLOOKUP($F7,Table32[Color_Name],Table32[Hex_Code],,0,)</f>
        <v>#F5DEB3</v>
      </c>
      <c r="H7">
        <v>0.4</v>
      </c>
      <c r="I7">
        <v>0.6</v>
      </c>
      <c r="J7">
        <v>0.4</v>
      </c>
      <c r="K7">
        <v>0.6</v>
      </c>
      <c r="L7">
        <v>0.4</v>
      </c>
      <c r="M7">
        <v>0.6</v>
      </c>
      <c r="N7">
        <v>0.4</v>
      </c>
      <c r="O7">
        <v>0.6</v>
      </c>
    </row>
    <row r="8" spans="1:16" x14ac:dyDescent="0.25">
      <c r="A8" s="225" t="b">
        <v>0</v>
      </c>
      <c r="B8" s="9">
        <f t="shared" si="0"/>
        <v>7</v>
      </c>
      <c r="C8" s="47" t="str">
        <f>_xlfn.XLOOKUP($D8,Tab_Def_Processes[Name(EN)],Tab_Def_Processes[ID],,0,)</f>
        <v>06</v>
      </c>
      <c r="D8" s="221" t="str">
        <f>Tab_Def_Processes[[#This Row],[Name(EN)]]</f>
        <v>Direct Incorporation</v>
      </c>
      <c r="E8" s="227" t="s">
        <v>676</v>
      </c>
      <c r="F8" s="227" t="s">
        <v>693</v>
      </c>
      <c r="G8" s="9" t="str">
        <f>_xlfn.XLOOKUP($F8,Table32[Color_Name],Table32[Hex_Code],,0,)</f>
        <v>#F5DEB3</v>
      </c>
      <c r="H8">
        <v>0.6</v>
      </c>
      <c r="I8">
        <v>0.6</v>
      </c>
      <c r="J8">
        <v>0.6</v>
      </c>
      <c r="K8">
        <v>0.6</v>
      </c>
      <c r="L8">
        <v>0.6</v>
      </c>
      <c r="M8">
        <v>0.6</v>
      </c>
      <c r="N8">
        <v>0.6</v>
      </c>
      <c r="O8">
        <v>0.6</v>
      </c>
    </row>
    <row r="9" spans="1:16" x14ac:dyDescent="0.25">
      <c r="A9" s="225" t="b">
        <v>0</v>
      </c>
      <c r="B9" s="9">
        <f t="shared" si="0"/>
        <v>8</v>
      </c>
      <c r="C9" s="47" t="str">
        <f>_xlfn.XLOOKUP($D9,Tab_Def_Processes[Name(EN)],Tab_Def_Processes[ID],,0,)</f>
        <v>07</v>
      </c>
      <c r="D9" s="221" t="str">
        <f>Tab_Def_Processes[[#This Row],[Name(EN)]]</f>
        <v>Animal bedding</v>
      </c>
      <c r="E9" s="227" t="s">
        <v>676</v>
      </c>
      <c r="F9" s="227" t="s">
        <v>693</v>
      </c>
      <c r="G9" s="9" t="str">
        <f>_xlfn.XLOOKUP($F9,Table32[Color_Name],Table32[Hex_Code],,0,)</f>
        <v>#F5DEB3</v>
      </c>
      <c r="H9">
        <v>0.5</v>
      </c>
      <c r="I9">
        <v>0.2</v>
      </c>
      <c r="J9">
        <v>0.5</v>
      </c>
      <c r="K9">
        <v>0.2</v>
      </c>
      <c r="L9">
        <v>0.5</v>
      </c>
      <c r="M9">
        <v>0.2</v>
      </c>
      <c r="N9">
        <v>0.5</v>
      </c>
      <c r="O9">
        <v>0.2</v>
      </c>
    </row>
    <row r="10" spans="1:16" x14ac:dyDescent="0.25">
      <c r="A10" s="225" t="b">
        <v>0</v>
      </c>
      <c r="B10" s="9">
        <f t="shared" si="0"/>
        <v>9</v>
      </c>
      <c r="C10" s="47" t="str">
        <f>_xlfn.XLOOKUP($D10,Tab_Def_Processes[Name(EN)],Tab_Def_Processes[ID],,0,)</f>
        <v>08</v>
      </c>
      <c r="D10" s="221" t="str">
        <f>Tab_Def_Processes[[#This Row],[Name(EN)]]</f>
        <v>Lithosphere (DI)</v>
      </c>
      <c r="E10" s="227" t="s">
        <v>676</v>
      </c>
      <c r="F10" s="227" t="s">
        <v>689</v>
      </c>
      <c r="G10" s="9" t="str">
        <f>_xlfn.XLOOKUP($F10,Table32[Color_Name],Table32[Hex_Code],,0,)</f>
        <v>#8B4513</v>
      </c>
      <c r="H10">
        <v>0.9</v>
      </c>
      <c r="I10">
        <v>0.6</v>
      </c>
      <c r="J10">
        <v>0.9</v>
      </c>
      <c r="K10">
        <v>0.6</v>
      </c>
      <c r="L10">
        <v>0.9</v>
      </c>
      <c r="M10">
        <v>0.6</v>
      </c>
      <c r="N10">
        <v>0.9</v>
      </c>
      <c r="O10">
        <v>0.6</v>
      </c>
    </row>
    <row r="11" spans="1:16" x14ac:dyDescent="0.25">
      <c r="A11" s="225" t="b">
        <v>0</v>
      </c>
      <c r="B11" s="9">
        <f t="shared" si="0"/>
        <v>10</v>
      </c>
      <c r="C11" s="47" t="str">
        <f>_xlfn.XLOOKUP($D11,Tab_Def_Processes[Name(EN)],Tab_Def_Processes[ID],,0,)</f>
        <v>09</v>
      </c>
      <c r="D11" s="221" t="str">
        <f>Tab_Def_Processes[[#This Row],[Name(EN)]]</f>
        <v>Compostation &amp; Incorporation</v>
      </c>
      <c r="E11" s="227" t="s">
        <v>676</v>
      </c>
      <c r="F11" s="227" t="s">
        <v>693</v>
      </c>
      <c r="G11" s="9" t="str">
        <f>_xlfn.XLOOKUP($F11,Table32[Color_Name],Table32[Hex_Code],,0,)</f>
        <v>#F5DEB3</v>
      </c>
      <c r="H11">
        <v>0.6</v>
      </c>
      <c r="I11">
        <v>0.4</v>
      </c>
      <c r="J11">
        <v>0.6</v>
      </c>
      <c r="K11">
        <v>0.4</v>
      </c>
      <c r="L11">
        <v>0.6</v>
      </c>
      <c r="M11">
        <v>0.4</v>
      </c>
      <c r="N11">
        <v>0.6</v>
      </c>
      <c r="O11">
        <v>0.4</v>
      </c>
    </row>
    <row r="12" spans="1:16" x14ac:dyDescent="0.25">
      <c r="A12" s="225" t="b">
        <v>0</v>
      </c>
      <c r="B12" s="9">
        <f t="shared" si="0"/>
        <v>11</v>
      </c>
      <c r="C12" s="47" t="str">
        <f>_xlfn.XLOOKUP($D12,Tab_Def_Processes[Name(EN)],Tab_Def_Processes[ID],,0,)</f>
        <v>10</v>
      </c>
      <c r="D12" s="221" t="str">
        <f>Tab_Def_Processes[[#This Row],[Name(EN)]]</f>
        <v>Lithosphere (C&amp;I)</v>
      </c>
      <c r="E12" s="227" t="s">
        <v>676</v>
      </c>
      <c r="F12" s="227" t="s">
        <v>689</v>
      </c>
      <c r="G12" s="9" t="str">
        <f>_xlfn.XLOOKUP($F12,Table32[Color_Name],Table32[Hex_Code],,0,)</f>
        <v>#8B4513</v>
      </c>
      <c r="H12">
        <v>0.9</v>
      </c>
      <c r="I12">
        <v>0.4</v>
      </c>
      <c r="J12">
        <v>0.9</v>
      </c>
      <c r="K12">
        <v>0.4</v>
      </c>
      <c r="L12">
        <v>0.9</v>
      </c>
      <c r="M12">
        <v>0.4</v>
      </c>
      <c r="N12">
        <v>0.9</v>
      </c>
      <c r="O12">
        <v>0.4</v>
      </c>
    </row>
    <row r="13" spans="1:16" x14ac:dyDescent="0.25">
      <c r="A13" s="225" t="b">
        <v>0</v>
      </c>
      <c r="B13" s="9">
        <f t="shared" si="0"/>
        <v>12</v>
      </c>
      <c r="C13" s="47" t="str">
        <f>_xlfn.XLOOKUP($D13,Tab_Def_Processes[Name(EN)],Tab_Def_Processes[ID],,0,)</f>
        <v>11</v>
      </c>
      <c r="D13" s="221"/>
      <c r="E13" s="227"/>
      <c r="F13" s="227"/>
      <c r="G13" s="9" t="e">
        <f>_xlfn.XLOOKUP($F13,Table32[Color_Name],Table32[Hex_Code],,0,)</f>
        <v>#N/A</v>
      </c>
    </row>
    <row r="14" spans="1:16" x14ac:dyDescent="0.25">
      <c r="A14" s="225" t="b">
        <v>0</v>
      </c>
      <c r="B14" s="9">
        <f t="shared" si="0"/>
        <v>13</v>
      </c>
      <c r="C14" s="47" t="str">
        <f>_xlfn.XLOOKUP($D14,Tab_Def_Processes[Name(EN)],Tab_Def_Processes[ID],,0,)</f>
        <v>11</v>
      </c>
      <c r="D14" s="221"/>
      <c r="E14" s="227"/>
      <c r="F14" s="227"/>
      <c r="G14" s="9" t="e">
        <f>_xlfn.XLOOKUP($F14,Table32[Color_Name],Table32[Hex_Code],,0,)</f>
        <v>#N/A</v>
      </c>
    </row>
    <row r="15" spans="1:16" x14ac:dyDescent="0.25">
      <c r="A15" s="225" t="b">
        <v>0</v>
      </c>
      <c r="B15" s="9">
        <f t="shared" si="0"/>
        <v>14</v>
      </c>
      <c r="C15" s="47" t="str">
        <f>_xlfn.XLOOKUP($D15,Tab_Def_Processes[Name(EN)],Tab_Def_Processes[ID],,0,)</f>
        <v>11</v>
      </c>
      <c r="D15" s="221"/>
      <c r="E15" s="227"/>
      <c r="F15" s="227"/>
      <c r="G15" s="9" t="e">
        <f>_xlfn.XLOOKUP($F15,Table32[Color_Name],Table32[Hex_Code],,0,)</f>
        <v>#N/A</v>
      </c>
    </row>
    <row r="16" spans="1:16" x14ac:dyDescent="0.25">
      <c r="A16" s="225" t="b">
        <v>0</v>
      </c>
      <c r="B16" s="9">
        <f t="shared" si="0"/>
        <v>15</v>
      </c>
      <c r="C16" s="47" t="str">
        <f>_xlfn.XLOOKUP($D16,Tab_Def_Processes[Name(EN)],Tab_Def_Processes[ID],,0,)</f>
        <v>11</v>
      </c>
      <c r="D16" s="221"/>
      <c r="E16" s="227"/>
      <c r="F16" s="227"/>
      <c r="G16" s="9" t="e">
        <f>_xlfn.XLOOKUP($F16,Table32[Color_Name],Table32[Hex_Code],,0,)</f>
        <v>#N/A</v>
      </c>
    </row>
    <row r="17" spans="1:7" x14ac:dyDescent="0.25">
      <c r="A17" s="225" t="b">
        <v>0</v>
      </c>
      <c r="B17" s="9">
        <f t="shared" si="0"/>
        <v>16</v>
      </c>
      <c r="C17" s="47" t="str">
        <f>_xlfn.XLOOKUP($D17,Tab_Def_Processes[Name(EN)],Tab_Def_Processes[ID],,0,)</f>
        <v>11</v>
      </c>
      <c r="D17" s="221"/>
      <c r="E17" s="227"/>
      <c r="F17" s="227"/>
      <c r="G17" s="9" t="e">
        <f>_xlfn.XLOOKUP($F17,Table32[Color_Name],Table32[Hex_Code],,0,)</f>
        <v>#N/A</v>
      </c>
    </row>
    <row r="18" spans="1:7" x14ac:dyDescent="0.25">
      <c r="A18" s="225" t="b">
        <v>0</v>
      </c>
      <c r="B18" s="9">
        <f t="shared" si="0"/>
        <v>17</v>
      </c>
      <c r="C18" s="47" t="str">
        <f>_xlfn.XLOOKUP($D18,Tab_Def_Processes[Name(EN)],Tab_Def_Processes[ID],,0,)</f>
        <v>11</v>
      </c>
      <c r="D18" s="221"/>
      <c r="E18" s="227"/>
      <c r="F18" s="227"/>
      <c r="G18" s="9" t="e">
        <f>_xlfn.XLOOKUP($F18,Table32[Color_Name],Table32[Hex_Code],,0,)</f>
        <v>#N/A</v>
      </c>
    </row>
    <row r="19" spans="1:7" x14ac:dyDescent="0.25">
      <c r="A19" s="225" t="b">
        <v>0</v>
      </c>
      <c r="B19" s="9">
        <f t="shared" si="0"/>
        <v>18</v>
      </c>
      <c r="C19" s="47" t="str">
        <f>_xlfn.XLOOKUP($D19,Tab_Def_Processes[Name(EN)],Tab_Def_Processes[ID],,0,)</f>
        <v>11</v>
      </c>
      <c r="D19" s="221"/>
      <c r="E19" s="227"/>
      <c r="F19" s="227"/>
      <c r="G19" s="9" t="e">
        <f>_xlfn.XLOOKUP($F19,Table32[Color_Name],Table32[Hex_Code],,0,)</f>
        <v>#N/A</v>
      </c>
    </row>
    <row r="20" spans="1:7" x14ac:dyDescent="0.25">
      <c r="A20" s="225" t="b">
        <v>0</v>
      </c>
      <c r="B20" s="9">
        <f t="shared" si="0"/>
        <v>19</v>
      </c>
      <c r="C20" s="47" t="str">
        <f>_xlfn.XLOOKUP($D20,Tab_Def_Processes[Name(EN)],Tab_Def_Processes[ID],,0,)</f>
        <v>11</v>
      </c>
      <c r="D20" s="221"/>
      <c r="E20" s="227"/>
      <c r="F20" s="227"/>
      <c r="G20" s="9" t="e">
        <f>_xlfn.XLOOKUP($F20,Table32[Color_Name],Table32[Hex_Code],,0,)</f>
        <v>#N/A</v>
      </c>
    </row>
    <row r="21" spans="1:7" x14ac:dyDescent="0.25">
      <c r="A21" s="225" t="b">
        <v>0</v>
      </c>
      <c r="B21" s="9">
        <f t="shared" si="0"/>
        <v>20</v>
      </c>
      <c r="C21" s="47" t="str">
        <f>_xlfn.XLOOKUP($D21,Tab_Def_Processes[Name(EN)],Tab_Def_Processes[ID],,0,)</f>
        <v>11</v>
      </c>
      <c r="D21" s="221"/>
      <c r="E21" s="227"/>
      <c r="F21" s="227"/>
      <c r="G21" s="9" t="e">
        <f>_xlfn.XLOOKUP($F21,Table32[Color_Name],Table32[Hex_Code],,0,)</f>
        <v>#N/A</v>
      </c>
    </row>
    <row r="22" spans="1:7" x14ac:dyDescent="0.25">
      <c r="A22" s="225" t="b">
        <v>0</v>
      </c>
      <c r="B22" s="9">
        <f t="shared" si="0"/>
        <v>21</v>
      </c>
      <c r="C22" s="47" t="str">
        <f>_xlfn.XLOOKUP($D22,Tab_Def_Processes[Name(EN)],Tab_Def_Processes[ID],,0,)</f>
        <v>11</v>
      </c>
      <c r="D22" s="221"/>
      <c r="E22" s="227"/>
      <c r="F22" s="227"/>
      <c r="G22" s="9" t="e">
        <f>_xlfn.XLOOKUP($F22,Table32[Color_Name],Table32[Hex_Code],,0,)</f>
        <v>#N/A</v>
      </c>
    </row>
    <row r="23" spans="1:7" x14ac:dyDescent="0.25">
      <c r="A23" s="225" t="b">
        <v>0</v>
      </c>
      <c r="B23" s="9">
        <f t="shared" si="0"/>
        <v>22</v>
      </c>
      <c r="C23" s="47" t="str">
        <f>_xlfn.XLOOKUP($D23,Tab_Def_Processes[Name(EN)],Tab_Def_Processes[ID],,0,)</f>
        <v>11</v>
      </c>
      <c r="D23" s="221"/>
      <c r="E23" s="227"/>
      <c r="F23" s="227"/>
      <c r="G23" s="9" t="e">
        <f>_xlfn.XLOOKUP($F23,Table32[Color_Name],Table32[Hex_Code],,0,)</f>
        <v>#N/A</v>
      </c>
    </row>
    <row r="24" spans="1:7" x14ac:dyDescent="0.25">
      <c r="A24" s="225" t="b">
        <v>0</v>
      </c>
      <c r="B24" s="9">
        <f t="shared" si="0"/>
        <v>23</v>
      </c>
      <c r="C24" s="47" t="str">
        <f>_xlfn.XLOOKUP($D24,Tab_Def_Processes[Name(EN)],Tab_Def_Processes[ID],,0,)</f>
        <v>11</v>
      </c>
      <c r="D24" s="221"/>
      <c r="E24" s="227"/>
      <c r="F24" s="227"/>
      <c r="G24" s="9" t="e">
        <f>_xlfn.XLOOKUP($F24,Table32[Color_Name],Table32[Hex_Code],,0,)</f>
        <v>#N/A</v>
      </c>
    </row>
    <row r="25" spans="1:7" x14ac:dyDescent="0.25">
      <c r="A25" s="225" t="b">
        <v>0</v>
      </c>
      <c r="B25" s="9">
        <f t="shared" si="0"/>
        <v>24</v>
      </c>
      <c r="C25" s="47" t="str">
        <f>_xlfn.XLOOKUP($D25,Tab_Def_Processes[Name(EN)],Tab_Def_Processes[ID],,0,)</f>
        <v>11</v>
      </c>
      <c r="D25" s="221"/>
      <c r="E25" s="227"/>
      <c r="F25" s="227"/>
      <c r="G25" s="9" t="e">
        <f>_xlfn.XLOOKUP($F25,Table32[Color_Name],Table32[Hex_Code],,0,)</f>
        <v>#N/A</v>
      </c>
    </row>
    <row r="26" spans="1:7" x14ac:dyDescent="0.25">
      <c r="A26" s="225" t="b">
        <v>0</v>
      </c>
      <c r="B26" s="9">
        <f t="shared" si="0"/>
        <v>25</v>
      </c>
      <c r="C26" s="47" t="str">
        <f>_xlfn.XLOOKUP($D26,Tab_Def_Processes[Name(EN)],Tab_Def_Processes[ID],,0,)</f>
        <v>11</v>
      </c>
      <c r="D26" s="221"/>
      <c r="E26" s="227"/>
      <c r="F26" s="227"/>
      <c r="G26" s="9" t="e">
        <f>_xlfn.XLOOKUP($F26,Table32[Color_Name],Table32[Hex_Code],,0,)</f>
        <v>#N/A</v>
      </c>
    </row>
    <row r="27" spans="1:7" x14ac:dyDescent="0.25">
      <c r="A27" s="225" t="b">
        <v>0</v>
      </c>
      <c r="B27" s="9">
        <f t="shared" si="0"/>
        <v>26</v>
      </c>
      <c r="C27" s="47" t="str">
        <f>_xlfn.XLOOKUP($D27,Tab_Def_Processes[Name(EN)],Tab_Def_Processes[ID],,0,)</f>
        <v>11</v>
      </c>
      <c r="D27" s="221"/>
      <c r="E27" s="227"/>
      <c r="F27" s="227"/>
      <c r="G27" s="9" t="e">
        <f>_xlfn.XLOOKUP($F27,Table32[Color_Name],Table32[Hex_Code],,0,)</f>
        <v>#N/A</v>
      </c>
    </row>
    <row r="28" spans="1:7" x14ac:dyDescent="0.25">
      <c r="A28" s="225" t="b">
        <v>0</v>
      </c>
      <c r="B28" s="9">
        <f t="shared" si="0"/>
        <v>27</v>
      </c>
      <c r="C28" s="47" t="str">
        <f>_xlfn.XLOOKUP($D28,Tab_Def_Processes[Name(EN)],Tab_Def_Processes[ID],,0,)</f>
        <v>11</v>
      </c>
      <c r="D28" s="221"/>
      <c r="E28" s="227"/>
      <c r="F28" s="227"/>
      <c r="G28" s="9" t="e">
        <f>_xlfn.XLOOKUP($F28,Table32[Color_Name],Table32[Hex_Code],,0,)</f>
        <v>#N/A</v>
      </c>
    </row>
    <row r="29" spans="1:7" x14ac:dyDescent="0.25">
      <c r="A29" s="225" t="b">
        <v>0</v>
      </c>
      <c r="B29" s="9">
        <f t="shared" si="0"/>
        <v>28</v>
      </c>
      <c r="C29" s="47" t="str">
        <f>_xlfn.XLOOKUP($D29,Tab_Def_Processes[Name(EN)],Tab_Def_Processes[ID],,0,)</f>
        <v>11</v>
      </c>
      <c r="D29" s="221"/>
      <c r="E29" s="227"/>
      <c r="F29" s="227"/>
      <c r="G29" s="9" t="e">
        <f>_xlfn.XLOOKUP($F29,Table32[Color_Name],Table32[Hex_Code],,0,)</f>
        <v>#N/A</v>
      </c>
    </row>
    <row r="30" spans="1:7" x14ac:dyDescent="0.25">
      <c r="A30" s="225" t="b">
        <v>0</v>
      </c>
      <c r="B30" s="9">
        <f t="shared" si="0"/>
        <v>29</v>
      </c>
      <c r="C30" s="47" t="str">
        <f>_xlfn.XLOOKUP($D30,Tab_Def_Processes[Name(EN)],Tab_Def_Processes[ID],,0,)</f>
        <v>11</v>
      </c>
      <c r="D30" s="221"/>
      <c r="E30" s="227"/>
      <c r="F30" s="227"/>
      <c r="G30" s="9" t="e">
        <f>_xlfn.XLOOKUP($F30,Table32[Color_Name],Table32[Hex_Code],,0,)</f>
        <v>#N/A</v>
      </c>
    </row>
    <row r="31" spans="1:7" x14ac:dyDescent="0.25">
      <c r="A31" s="225" t="b">
        <v>0</v>
      </c>
      <c r="B31" s="9">
        <f t="shared" si="0"/>
        <v>30</v>
      </c>
      <c r="C31" s="47" t="str">
        <f>_xlfn.XLOOKUP($D31,Tab_Def_Processes[Name(EN)],Tab_Def_Processes[ID],,0,)</f>
        <v>11</v>
      </c>
      <c r="D31" s="221"/>
      <c r="E31" s="227"/>
      <c r="F31" s="227"/>
      <c r="G31" s="9" t="e">
        <f>_xlfn.XLOOKUP($F31,Table32[Color_Name],Table32[Hex_Code],,0,)</f>
        <v>#N/A</v>
      </c>
    </row>
    <row r="32" spans="1:7" x14ac:dyDescent="0.25">
      <c r="A32" s="225" t="b">
        <v>0</v>
      </c>
      <c r="B32" s="9">
        <f t="shared" si="0"/>
        <v>31</v>
      </c>
      <c r="C32" s="47" t="str">
        <f>_xlfn.XLOOKUP($D32,Tab_Def_Processes[Name(EN)],Tab_Def_Processes[ID],,0,)</f>
        <v>11</v>
      </c>
      <c r="D32" s="221"/>
      <c r="E32" s="227"/>
      <c r="F32" s="227"/>
      <c r="G32" s="9" t="e">
        <f>_xlfn.XLOOKUP($F32,Table32[Color_Name],Table32[Hex_Code],,0,)</f>
        <v>#N/A</v>
      </c>
    </row>
    <row r="33" spans="1:7" x14ac:dyDescent="0.25">
      <c r="A33" s="225" t="b">
        <v>0</v>
      </c>
      <c r="B33" s="9">
        <f t="shared" si="0"/>
        <v>32</v>
      </c>
      <c r="C33" s="47" t="str">
        <f>_xlfn.XLOOKUP($D33,Tab_Def_Processes[Name(EN)],Tab_Def_Processes[ID],,0,)</f>
        <v>11</v>
      </c>
      <c r="D33" s="221"/>
      <c r="E33" s="227"/>
      <c r="F33" s="227"/>
      <c r="G33" s="9" t="e">
        <f>_xlfn.XLOOKUP($F33,Table32[Color_Name],Table32[Hex_Code],,0,)</f>
        <v>#N/A</v>
      </c>
    </row>
    <row r="34" spans="1:7" x14ac:dyDescent="0.25">
      <c r="A34" s="225" t="b">
        <v>0</v>
      </c>
      <c r="B34" s="9">
        <f t="shared" si="0"/>
        <v>33</v>
      </c>
      <c r="C34" s="47" t="str">
        <f>_xlfn.XLOOKUP($D34,Tab_Def_Processes[Name(EN)],Tab_Def_Processes[ID],,0,)</f>
        <v>11</v>
      </c>
      <c r="D34" s="221"/>
      <c r="E34" s="227"/>
      <c r="F34" s="227"/>
      <c r="G34" s="9" t="e">
        <f>_xlfn.XLOOKUP($F34,Table32[Color_Name],Table32[Hex_Code],,0,)</f>
        <v>#N/A</v>
      </c>
    </row>
    <row r="35" spans="1:7" x14ac:dyDescent="0.25">
      <c r="A35" s="225" t="b">
        <v>0</v>
      </c>
      <c r="B35" s="9">
        <f t="shared" si="0"/>
        <v>34</v>
      </c>
      <c r="C35" s="47" t="str">
        <f>_xlfn.XLOOKUP($D35,Tab_Def_Processes[Name(EN)],Tab_Def_Processes[ID],,0,)</f>
        <v>11</v>
      </c>
      <c r="D35" s="221"/>
      <c r="E35" s="227"/>
      <c r="F35" s="227"/>
      <c r="G35" s="9" t="e">
        <f>_xlfn.XLOOKUP($F35,Table32[Color_Name],Table32[Hex_Code],,0,)</f>
        <v>#N/A</v>
      </c>
    </row>
    <row r="36" spans="1:7" x14ac:dyDescent="0.25">
      <c r="A36" s="225" t="b">
        <v>0</v>
      </c>
      <c r="B36" s="9">
        <f t="shared" si="0"/>
        <v>35</v>
      </c>
      <c r="C36" s="47" t="str">
        <f>_xlfn.XLOOKUP($D36,Tab_Def_Processes[Name(EN)],Tab_Def_Processes[ID],,0,)</f>
        <v>11</v>
      </c>
      <c r="D36" s="221"/>
      <c r="E36" s="227"/>
      <c r="F36" s="227"/>
      <c r="G36" s="9" t="e">
        <f>_xlfn.XLOOKUP($F36,Table32[Color_Name],Table32[Hex_Code],,0,)</f>
        <v>#N/A</v>
      </c>
    </row>
    <row r="37" spans="1:7" x14ac:dyDescent="0.25">
      <c r="A37" s="225" t="b">
        <v>0</v>
      </c>
      <c r="B37" s="9">
        <f t="shared" si="0"/>
        <v>36</v>
      </c>
      <c r="C37" s="47" t="str">
        <f>_xlfn.XLOOKUP($D37,Tab_Def_Processes[Name(EN)],Tab_Def_Processes[ID],,0,)</f>
        <v>11</v>
      </c>
      <c r="D37" s="221"/>
      <c r="E37" s="227"/>
      <c r="F37" s="227"/>
      <c r="G37" s="9" t="e">
        <f>_xlfn.XLOOKUP($F37,Table32[Color_Name],Table32[Hex_Code],,0,)</f>
        <v>#N/A</v>
      </c>
    </row>
    <row r="38" spans="1:7" x14ac:dyDescent="0.25">
      <c r="A38" s="225" t="b">
        <v>0</v>
      </c>
      <c r="B38" s="9">
        <f t="shared" si="0"/>
        <v>37</v>
      </c>
      <c r="C38" s="47" t="str">
        <f>_xlfn.XLOOKUP($D38,Tab_Def_Processes[Name(EN)],Tab_Def_Processes[ID],,0,)</f>
        <v>11</v>
      </c>
      <c r="D38" s="221"/>
      <c r="E38" s="227"/>
      <c r="F38" s="227"/>
      <c r="G38" s="9" t="e">
        <f>_xlfn.XLOOKUP($F38,Table32[Color_Name],Table32[Hex_Code],,0,)</f>
        <v>#N/A</v>
      </c>
    </row>
    <row r="39" spans="1:7" x14ac:dyDescent="0.25">
      <c r="A39" s="225" t="b">
        <v>0</v>
      </c>
      <c r="B39" s="9">
        <f t="shared" si="0"/>
        <v>38</v>
      </c>
      <c r="C39" s="47" t="str">
        <f>_xlfn.XLOOKUP($D39,Tab_Def_Processes[Name(EN)],Tab_Def_Processes[ID],,0,)</f>
        <v>11</v>
      </c>
      <c r="D39" s="221"/>
      <c r="E39" s="227"/>
      <c r="F39" s="227"/>
      <c r="G39" s="9" t="e">
        <f>_xlfn.XLOOKUP($F39,Table32[Color_Name],Table32[Hex_Code],,0,)</f>
        <v>#N/A</v>
      </c>
    </row>
    <row r="40" spans="1:7" x14ac:dyDescent="0.25">
      <c r="A40" s="225" t="b">
        <v>0</v>
      </c>
      <c r="B40" s="9">
        <f t="shared" si="0"/>
        <v>39</v>
      </c>
      <c r="C40" s="47" t="str">
        <f>_xlfn.XLOOKUP($D40,Tab_Def_Processes[Name(EN)],Tab_Def_Processes[ID],,0,)</f>
        <v>11</v>
      </c>
      <c r="D40" s="221"/>
      <c r="E40" s="227"/>
      <c r="F40" s="227"/>
      <c r="G40" s="9" t="e">
        <f>_xlfn.XLOOKUP($F40,Table32[Color_Name],Table32[Hex_Code],,0,)</f>
        <v>#N/A</v>
      </c>
    </row>
    <row r="41" spans="1:7" x14ac:dyDescent="0.25">
      <c r="A41" s="225" t="b">
        <v>0</v>
      </c>
      <c r="B41" s="9">
        <f t="shared" si="0"/>
        <v>40</v>
      </c>
      <c r="C41" s="47" t="str">
        <f>_xlfn.XLOOKUP($D41,Tab_Def_Processes[Name(EN)],Tab_Def_Processes[ID],,0,)</f>
        <v>11</v>
      </c>
      <c r="D41" s="221"/>
      <c r="E41" s="227"/>
      <c r="F41" s="227"/>
      <c r="G41" s="9" t="e">
        <f>_xlfn.XLOOKUP($F41,Table32[Color_Name],Table32[Hex_Code],,0,)</f>
        <v>#N/A</v>
      </c>
    </row>
    <row r="42" spans="1:7" x14ac:dyDescent="0.25">
      <c r="A42" s="225" t="b">
        <v>0</v>
      </c>
      <c r="B42" s="9">
        <f t="shared" si="0"/>
        <v>41</v>
      </c>
      <c r="C42" s="47" t="str">
        <f>_xlfn.XLOOKUP($D42,Tab_Def_Processes[Name(EN)],Tab_Def_Processes[ID],,0,)</f>
        <v>11</v>
      </c>
      <c r="D42" s="221"/>
      <c r="E42" s="227"/>
      <c r="F42" s="227"/>
      <c r="G42" s="9" t="e">
        <f>_xlfn.XLOOKUP($F42,Table32[Color_Name],Table32[Hex_Code],,0,)</f>
        <v>#N/A</v>
      </c>
    </row>
    <row r="43" spans="1:7" x14ac:dyDescent="0.25">
      <c r="A43" s="225" t="b">
        <v>0</v>
      </c>
      <c r="B43" s="9">
        <f t="shared" si="0"/>
        <v>42</v>
      </c>
      <c r="C43" s="47" t="str">
        <f>_xlfn.XLOOKUP($D43,Tab_Def_Processes[Name(EN)],Tab_Def_Processes[ID],,0,)</f>
        <v>11</v>
      </c>
      <c r="D43" s="221"/>
      <c r="E43" s="227"/>
      <c r="F43" s="227"/>
      <c r="G43" s="9" t="e">
        <f>_xlfn.XLOOKUP($F43,Table32[Color_Name],Table32[Hex_Code],,0,)</f>
        <v>#N/A</v>
      </c>
    </row>
    <row r="44" spans="1:7" x14ac:dyDescent="0.25">
      <c r="A44" s="225" t="b">
        <v>0</v>
      </c>
      <c r="B44" s="9">
        <f t="shared" si="0"/>
        <v>43</v>
      </c>
      <c r="C44" s="47" t="str">
        <f>_xlfn.XLOOKUP($D44,Tab_Def_Processes[Name(EN)],Tab_Def_Processes[ID],,0,)</f>
        <v>11</v>
      </c>
      <c r="D44" s="221"/>
      <c r="E44" s="227"/>
      <c r="F44" s="227"/>
      <c r="G44" s="9" t="e">
        <f>_xlfn.XLOOKUP($F44,Table32[Color_Name],Table32[Hex_Code],,0,)</f>
        <v>#N/A</v>
      </c>
    </row>
    <row r="45" spans="1:7" x14ac:dyDescent="0.25">
      <c r="A45" s="225" t="b">
        <v>0</v>
      </c>
      <c r="B45" s="9">
        <f t="shared" si="0"/>
        <v>44</v>
      </c>
      <c r="C45" s="47" t="str">
        <f>_xlfn.XLOOKUP($D45,Tab_Def_Processes[Name(EN)],Tab_Def_Processes[ID],,0,)</f>
        <v>11</v>
      </c>
      <c r="D45" s="221"/>
      <c r="E45" s="227"/>
      <c r="F45" s="227"/>
      <c r="G45" s="9" t="e">
        <f>_xlfn.XLOOKUP($F45,Table32[Color_Name],Table32[Hex_Code],,0,)</f>
        <v>#N/A</v>
      </c>
    </row>
    <row r="46" spans="1:7" x14ac:dyDescent="0.25">
      <c r="A46" s="225" t="b">
        <v>0</v>
      </c>
      <c r="B46" s="9">
        <f t="shared" si="0"/>
        <v>45</v>
      </c>
      <c r="C46" s="47" t="str">
        <f>_xlfn.XLOOKUP($D46,Tab_Def_Processes[Name(EN)],Tab_Def_Processes[ID],,0,)</f>
        <v>11</v>
      </c>
      <c r="D46" s="221"/>
      <c r="E46" s="227"/>
      <c r="F46" s="227"/>
      <c r="G46" s="9" t="e">
        <f>_xlfn.XLOOKUP($F46,Table32[Color_Name],Table32[Hex_Code],,0,)</f>
        <v>#N/A</v>
      </c>
    </row>
    <row r="47" spans="1:7" x14ac:dyDescent="0.25">
      <c r="A47" s="225" t="b">
        <v>0</v>
      </c>
      <c r="B47" s="9">
        <f t="shared" si="0"/>
        <v>46</v>
      </c>
      <c r="C47" s="47" t="str">
        <f>_xlfn.XLOOKUP($D47,Tab_Def_Processes[Name(EN)],Tab_Def_Processes[ID],,0,)</f>
        <v>11</v>
      </c>
      <c r="D47" s="221"/>
      <c r="E47" s="227"/>
      <c r="F47" s="227"/>
      <c r="G47" s="9" t="e">
        <f>_xlfn.XLOOKUP($F47,Table32[Color_Name],Table32[Hex_Code],,0,)</f>
        <v>#N/A</v>
      </c>
    </row>
    <row r="48" spans="1:7" x14ac:dyDescent="0.25">
      <c r="A48" s="225" t="b">
        <v>0</v>
      </c>
      <c r="B48" s="9">
        <f t="shared" si="0"/>
        <v>47</v>
      </c>
      <c r="C48" s="47" t="str">
        <f>_xlfn.XLOOKUP($D48,Tab_Def_Processes[Name(EN)],Tab_Def_Processes[ID],,0,)</f>
        <v>11</v>
      </c>
      <c r="D48" s="221"/>
      <c r="E48" s="227"/>
      <c r="F48" s="227"/>
      <c r="G48" s="9" t="e">
        <f>_xlfn.XLOOKUP($F48,Table32[Color_Name],Table32[Hex_Code],,0,)</f>
        <v>#N/A</v>
      </c>
    </row>
    <row r="49" spans="1:7" x14ac:dyDescent="0.25">
      <c r="A49" s="225" t="b">
        <v>0</v>
      </c>
      <c r="B49" s="9">
        <f t="shared" si="0"/>
        <v>48</v>
      </c>
      <c r="C49" s="47" t="str">
        <f>_xlfn.XLOOKUP($D49,Tab_Def_Processes[Name(EN)],Tab_Def_Processes[ID],,0,)</f>
        <v>11</v>
      </c>
      <c r="D49" s="221"/>
      <c r="E49" s="227"/>
      <c r="F49" s="227"/>
      <c r="G49" s="9" t="e">
        <f>_xlfn.XLOOKUP($F49,Table32[Color_Name],Table32[Hex_Code],,0,)</f>
        <v>#N/A</v>
      </c>
    </row>
    <row r="50" spans="1:7" x14ac:dyDescent="0.25">
      <c r="A50" s="225" t="b">
        <v>0</v>
      </c>
      <c r="B50" s="9">
        <f t="shared" si="0"/>
        <v>49</v>
      </c>
      <c r="C50" s="47" t="str">
        <f>_xlfn.XLOOKUP($D50,Tab_Def_Processes[Name(EN)],Tab_Def_Processes[ID],,0,)</f>
        <v>11</v>
      </c>
      <c r="D50" s="221"/>
      <c r="E50" s="227"/>
      <c r="F50" s="227"/>
      <c r="G50" s="9" t="e">
        <f>_xlfn.XLOOKUP($F50,Table32[Color_Name],Table32[Hex_Code],,0,)</f>
        <v>#N/A</v>
      </c>
    </row>
    <row r="51" spans="1:7" x14ac:dyDescent="0.25">
      <c r="A51" s="225" t="b">
        <v>0</v>
      </c>
      <c r="B51" s="9">
        <f t="shared" si="0"/>
        <v>50</v>
      </c>
      <c r="C51" s="47" t="str">
        <f>_xlfn.XLOOKUP($D51,Tab_Def_Processes[Name(EN)],Tab_Def_Processes[ID],,0,)</f>
        <v>11</v>
      </c>
      <c r="D51" s="221"/>
      <c r="E51" s="227"/>
      <c r="F51" s="227"/>
      <c r="G51" s="9" t="e">
        <f>_xlfn.XLOOKUP($F51,Table32[Color_Name],Table32[Hex_Code],,0,)</f>
        <v>#N/A</v>
      </c>
    </row>
    <row r="52" spans="1:7" x14ac:dyDescent="0.25">
      <c r="A52" s="225" t="b">
        <v>0</v>
      </c>
      <c r="B52" s="9">
        <f t="shared" si="0"/>
        <v>51</v>
      </c>
      <c r="C52" s="47" t="str">
        <f>_xlfn.XLOOKUP($D52,Tab_Def_Processes[Name(EN)],Tab_Def_Processes[ID],,0,)</f>
        <v>11</v>
      </c>
      <c r="D52" s="221"/>
      <c r="E52" s="227"/>
      <c r="F52" s="227"/>
      <c r="G52" s="9" t="e">
        <f>_xlfn.XLOOKUP($F52,Table32[Color_Name],Table32[Hex_Code],,0,)</f>
        <v>#N/A</v>
      </c>
    </row>
    <row r="53" spans="1:7" x14ac:dyDescent="0.25">
      <c r="A53" s="225" t="b">
        <v>0</v>
      </c>
      <c r="B53" s="9">
        <f t="shared" si="0"/>
        <v>52</v>
      </c>
      <c r="C53" s="47" t="str">
        <f>_xlfn.XLOOKUP($D53,Tab_Def_Processes[Name(EN)],Tab_Def_Processes[ID],,0,)</f>
        <v>11</v>
      </c>
      <c r="D53" s="221"/>
      <c r="E53" s="227"/>
      <c r="F53" s="227"/>
      <c r="G53" s="9" t="e">
        <f>_xlfn.XLOOKUP($F53,Table32[Color_Name],Table32[Hex_Code],,0,)</f>
        <v>#N/A</v>
      </c>
    </row>
    <row r="54" spans="1:7" x14ac:dyDescent="0.25">
      <c r="A54" s="225" t="b">
        <v>0</v>
      </c>
      <c r="B54" s="9">
        <f t="shared" si="0"/>
        <v>53</v>
      </c>
      <c r="C54" s="47" t="str">
        <f>_xlfn.XLOOKUP($D54,Tab_Def_Processes[Name(EN)],Tab_Def_Processes[ID],,0,)</f>
        <v>11</v>
      </c>
      <c r="D54" s="221"/>
      <c r="E54" s="227"/>
      <c r="F54" s="227"/>
      <c r="G54" s="9" t="e">
        <f>_xlfn.XLOOKUP($F54,Table32[Color_Name],Table32[Hex_Code],,0,)</f>
        <v>#N/A</v>
      </c>
    </row>
    <row r="55" spans="1:7" x14ac:dyDescent="0.25">
      <c r="A55" s="225" t="b">
        <v>0</v>
      </c>
      <c r="B55" s="9">
        <f t="shared" si="0"/>
        <v>54</v>
      </c>
      <c r="C55" s="47" t="str">
        <f>_xlfn.XLOOKUP($D55,Tab_Def_Processes[Name(EN)],Tab_Def_Processes[ID],,0,)</f>
        <v>11</v>
      </c>
      <c r="D55" s="221"/>
      <c r="E55" s="227"/>
      <c r="F55" s="227"/>
      <c r="G55" s="9" t="e">
        <f>_xlfn.XLOOKUP($F55,Table32[Color_Name],Table32[Hex_Code],,0,)</f>
        <v>#N/A</v>
      </c>
    </row>
    <row r="56" spans="1:7" x14ac:dyDescent="0.25">
      <c r="A56" s="225" t="b">
        <v>0</v>
      </c>
      <c r="B56" s="9">
        <f t="shared" si="0"/>
        <v>55</v>
      </c>
      <c r="C56" s="47" t="str">
        <f>_xlfn.XLOOKUP($D56,Tab_Def_Processes[Name(EN)],Tab_Def_Processes[ID],,0,)</f>
        <v>11</v>
      </c>
      <c r="D56" s="221"/>
      <c r="E56" s="227"/>
      <c r="F56" s="227"/>
      <c r="G56" s="9" t="e">
        <f>_xlfn.XLOOKUP($F56,Table32[Color_Name],Table32[Hex_Code],,0,)</f>
        <v>#N/A</v>
      </c>
    </row>
    <row r="57" spans="1:7" x14ac:dyDescent="0.25">
      <c r="A57" s="225" t="b">
        <v>0</v>
      </c>
      <c r="B57" s="9">
        <f t="shared" si="0"/>
        <v>56</v>
      </c>
      <c r="C57" s="47" t="str">
        <f>_xlfn.XLOOKUP($D57,Tab_Def_Processes[Name(EN)],Tab_Def_Processes[ID],,0,)</f>
        <v>11</v>
      </c>
      <c r="D57" s="221"/>
      <c r="E57" s="227"/>
      <c r="F57" s="227"/>
      <c r="G57" s="9" t="e">
        <f>_xlfn.XLOOKUP($F57,Table32[Color_Name],Table32[Hex_Code],,0,)</f>
        <v>#N/A</v>
      </c>
    </row>
    <row r="58" spans="1:7" x14ac:dyDescent="0.25">
      <c r="A58" s="225" t="b">
        <v>0</v>
      </c>
      <c r="B58" s="9">
        <f t="shared" si="0"/>
        <v>57</v>
      </c>
      <c r="C58" s="47" t="str">
        <f>_xlfn.XLOOKUP($D58,Tab_Def_Processes[Name(EN)],Tab_Def_Processes[ID],,0,)</f>
        <v>11</v>
      </c>
      <c r="D58" s="221"/>
      <c r="E58" s="227"/>
      <c r="F58" s="227"/>
      <c r="G58" s="9" t="e">
        <f>_xlfn.XLOOKUP($F58,Table32[Color_Name],Table32[Hex_Code],,0,)</f>
        <v>#N/A</v>
      </c>
    </row>
    <row r="59" spans="1:7" ht="15.75" thickBot="1" x14ac:dyDescent="0.3">
      <c r="A59" s="226" t="b">
        <v>0</v>
      </c>
      <c r="B59" s="222">
        <f t="shared" si="0"/>
        <v>58</v>
      </c>
      <c r="C59" s="47" t="str">
        <f>_xlfn.XLOOKUP($D59,Tab_Def_Processes[Name(EN)],Tab_Def_Processes[ID],,0,)</f>
        <v>11</v>
      </c>
      <c r="D59" s="223"/>
      <c r="E59" s="227"/>
      <c r="F59" s="227"/>
      <c r="G59" s="9" t="e">
        <f>_xlfn.XLOOKUP($F59,Table32[Color_Name],Table32[Hex_Code],,0,)</f>
        <v>#N/A</v>
      </c>
    </row>
  </sheetData>
  <phoneticPr fontId="2" type="noConversion"/>
  <dataValidations count="2">
    <dataValidation type="decimal" allowBlank="1" showInputMessage="1" showErrorMessage="1" sqref="N13:N59 H27:H37" xr:uid="{FFD38C98-6D62-4B69-9EF7-23AF0A39097D}">
      <formula1>0.001</formula1>
      <formula2>1</formula2>
    </dataValidation>
    <dataValidation type="decimal" allowBlank="1" showInputMessage="1" showErrorMessage="1" sqref="O13:O59 I23:I33 H2:O12"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2DA96D14-9C71-4701-9202-082B3EC1A125}">
          <x14:formula1>
            <xm:f>'2_1_Definition_Processes'!$D$2:$D$54</xm:f>
          </x14:formula1>
          <xm:sqref>D1</xm:sqref>
        </x14:dataValidation>
        <x14:dataValidation type="list" allowBlank="1" showInputMessage="1" showErrorMessage="1" xr:uid="{6DC68BE2-6604-41CF-9595-3EE66728B11D}">
          <x14:formula1>
            <xm:f>'6_4_CL_Visualisation'!$B$22:$B$42</xm:f>
          </x14:formula1>
          <xm:sqref>E2:E59</xm:sqref>
        </x14:dataValidation>
        <x14:dataValidation type="list" allowBlank="1" showInputMessage="1" showErrorMessage="1" xr:uid="{BCC99CA4-C54F-413A-A529-E4748A828007}">
          <x14:formula1>
            <xm:f>'6_4_CL_Visualisation'!$C$22:$C$42</xm:f>
          </x14:formula1>
          <xm:sqref>F2:F59</xm:sqref>
        </x14:dataValidation>
        <x14:dataValidation type="list" allowBlank="1" showInputMessage="1" showErrorMessage="1" xr:uid="{1A7ED763-BCAB-42B0-9D0B-916BD5D740AF}">
          <x14:formula1>
            <xm:f>'6_4_CL_Visualisation'!$C$3:$C$14</xm:f>
          </x14:formula1>
          <xm:sqref>H38:H59 H13:H26 J13:M59 I13:I22 I34:I59</xm:sqref>
        </x14:dataValidation>
        <x14:dataValidation type="list" allowBlank="1" showInputMessage="1" showErrorMessage="1" xr:uid="{B10DE572-5B05-4B50-A53F-2E55505D0589}">
          <x14:formula1>
            <xm:f>'6_4_CL_Visualisation'!$D$3:$D$14</xm:f>
          </x14:formula1>
          <xm:sqref>N60:N1048576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J51"/>
  <sheetViews>
    <sheetView workbookViewId="0">
      <selection activeCell="D26" sqref="D26"/>
    </sheetView>
  </sheetViews>
  <sheetFormatPr defaultRowHeight="15" x14ac:dyDescent="0.25"/>
  <cols>
    <col min="2" max="2" width="10.28515625" customWidth="1"/>
    <col min="3" max="3" width="31.5703125" customWidth="1"/>
    <col min="4" max="5" width="18.85546875" customWidth="1"/>
    <col min="6" max="6" width="13.28515625" customWidth="1"/>
  </cols>
  <sheetData>
    <row r="1" spans="1:10" x14ac:dyDescent="0.25">
      <c r="A1" s="193" t="s">
        <v>32</v>
      </c>
      <c r="B1" s="193" t="s">
        <v>41</v>
      </c>
      <c r="C1" s="193" t="s">
        <v>90</v>
      </c>
      <c r="D1" s="228" t="s">
        <v>638</v>
      </c>
      <c r="E1" s="228" t="s">
        <v>766</v>
      </c>
      <c r="F1" s="228" t="s">
        <v>6</v>
      </c>
    </row>
    <row r="2" spans="1:10" x14ac:dyDescent="0.25">
      <c r="A2" s="16">
        <f>ROW()-1</f>
        <v>1</v>
      </c>
      <c r="B2" s="9" t="str">
        <f>_xlfn.XLOOKUP(C2,Tab_Def_Flows[Name(EN)],Tab_Def_Flows[Flow_ID],,0,)</f>
        <v>F_00_02</v>
      </c>
      <c r="C2" s="9" t="str">
        <f>Tab_Def_Flows[[#This Row],[Name(EN)]]</f>
        <v>Atmossphere_Input_C</v>
      </c>
      <c r="D2" s="189" t="s">
        <v>710</v>
      </c>
      <c r="E2" s="9" t="str">
        <f>_xlfn.XLOOKUP($D2,Table32[Color_Name],Table32[Hex_Code],,0,)</f>
        <v>#87CEEB</v>
      </c>
      <c r="F2" s="37"/>
      <c r="J2" t="s">
        <v>767</v>
      </c>
    </row>
    <row r="3" spans="1:10" x14ac:dyDescent="0.25">
      <c r="A3" s="16">
        <f t="shared" ref="A3:A51" si="0">ROW()-1</f>
        <v>2</v>
      </c>
      <c r="B3" s="9" t="str">
        <f>_xlfn.XLOOKUP(C3,Tab_Def_Flows[Name(EN)],Tab_Def_Flows[Flow_ID],,0,)</f>
        <v>F_01_02</v>
      </c>
      <c r="C3" s="9" t="str">
        <f>Tab_Def_Flows[[#This Row],[Name(EN)]]</f>
        <v>Environment_Input_E</v>
      </c>
      <c r="D3" s="189" t="s">
        <v>677</v>
      </c>
      <c r="E3" s="9" t="str">
        <f>_xlfn.XLOOKUP($D3,Table32[Color_Name],Table32[Hex_Code],,0,)</f>
        <v>#228B22</v>
      </c>
      <c r="F3" s="37"/>
      <c r="J3" t="s">
        <v>768</v>
      </c>
    </row>
    <row r="4" spans="1:10" x14ac:dyDescent="0.25">
      <c r="A4" s="16">
        <f t="shared" si="0"/>
        <v>3</v>
      </c>
      <c r="B4" s="9" t="str">
        <f>_xlfn.XLOOKUP(C4,Tab_Def_Flows[Name(EN)],Tab_Def_Flows[Flow_ID],,0,)</f>
        <v>F_02_03</v>
      </c>
      <c r="C4" s="9" t="str">
        <f>Tab_Def_Flows[[#This Row],[Name(EN)]]</f>
        <v>Wheat Plant</v>
      </c>
      <c r="D4" s="189" t="s">
        <v>693</v>
      </c>
      <c r="E4" s="9" t="str">
        <f>_xlfn.XLOOKUP($D4,Table32[Color_Name],Table32[Hex_Code],,0,)</f>
        <v>#F5DEB3</v>
      </c>
      <c r="F4" s="37"/>
      <c r="J4" t="s">
        <v>769</v>
      </c>
    </row>
    <row r="5" spans="1:10" x14ac:dyDescent="0.25">
      <c r="A5" s="16">
        <f t="shared" si="0"/>
        <v>4</v>
      </c>
      <c r="B5" s="9" t="str">
        <f>_xlfn.XLOOKUP(C5,Tab_Def_Flows[Name(EN)],Tab_Def_Flows[Flow_ID],,0,)</f>
        <v>F_03_04</v>
      </c>
      <c r="C5" s="9" t="str">
        <f>Tab_Def_Flows[[#This Row],[Name(EN)]]</f>
        <v>Grain</v>
      </c>
      <c r="D5" s="189" t="s">
        <v>693</v>
      </c>
      <c r="E5" s="9" t="str">
        <f>_xlfn.XLOOKUP($D5,Table32[Color_Name],Table32[Hex_Code],,0,)</f>
        <v>#F5DEB3</v>
      </c>
      <c r="F5" s="37"/>
      <c r="J5" t="s">
        <v>770</v>
      </c>
    </row>
    <row r="6" spans="1:10" x14ac:dyDescent="0.25">
      <c r="A6" s="16">
        <f t="shared" si="0"/>
        <v>5</v>
      </c>
      <c r="B6" s="9" t="str">
        <f>_xlfn.XLOOKUP(C6,Tab_Def_Flows[Name(EN)],Tab_Def_Flows[Flow_ID],,0,)</f>
        <v>F_03_05</v>
      </c>
      <c r="C6" s="9" t="str">
        <f>Tab_Def_Flows[[#This Row],[Name(EN)]]</f>
        <v>Straw</v>
      </c>
      <c r="D6" s="189" t="s">
        <v>693</v>
      </c>
      <c r="E6" s="9" t="str">
        <f>_xlfn.XLOOKUP($D6,Table32[Color_Name],Table32[Hex_Code],,0,)</f>
        <v>#F5DEB3</v>
      </c>
      <c r="F6" s="37"/>
      <c r="J6" t="s">
        <v>771</v>
      </c>
    </row>
    <row r="7" spans="1:10" x14ac:dyDescent="0.25">
      <c r="A7" s="16">
        <f t="shared" si="0"/>
        <v>6</v>
      </c>
      <c r="B7" s="9" t="str">
        <f>_xlfn.XLOOKUP(C7,Tab_Def_Flows[Name(EN)],Tab_Def_Flows[Flow_ID],,0,)</f>
        <v>F_04_00</v>
      </c>
      <c r="C7" s="9" t="str">
        <f>Tab_Def_Flows[[#This Row],[Name(EN)]]</f>
        <v>Food_Emissions_C</v>
      </c>
      <c r="D7" s="189" t="s">
        <v>710</v>
      </c>
      <c r="E7" s="9" t="str">
        <f>_xlfn.XLOOKUP($D7,Table32[Color_Name],Table32[Hex_Code],,0,)</f>
        <v>#87CEEB</v>
      </c>
      <c r="F7" s="37"/>
    </row>
    <row r="8" spans="1:10" x14ac:dyDescent="0.25">
      <c r="A8" s="16">
        <f t="shared" si="0"/>
        <v>7</v>
      </c>
      <c r="B8" s="9" t="str">
        <f>_xlfn.XLOOKUP(C8,Tab_Def_Flows[Name(EN)],Tab_Def_Flows[Flow_ID],,0,)</f>
        <v>F_04_01</v>
      </c>
      <c r="C8" s="9" t="str">
        <f>Tab_Def_Flows[[#This Row],[Name(EN)]]</f>
        <v>Food_Emissions_E</v>
      </c>
      <c r="D8" s="189" t="s">
        <v>677</v>
      </c>
      <c r="E8" s="9" t="str">
        <f>_xlfn.XLOOKUP($D8,Table32[Color_Name],Table32[Hex_Code],,0,)</f>
        <v>#228B22</v>
      </c>
      <c r="F8" s="37"/>
    </row>
    <row r="9" spans="1:10" x14ac:dyDescent="0.25">
      <c r="A9" s="16">
        <f t="shared" si="0"/>
        <v>8</v>
      </c>
      <c r="B9" s="9" t="str">
        <f>_xlfn.XLOOKUP(C9,Tab_Def_Flows[Name(EN)],Tab_Def_Flows[Flow_ID],,0,)</f>
        <v>F_05_06</v>
      </c>
      <c r="C9" s="9" t="str">
        <f>Tab_Def_Flows[[#This Row],[Name(EN)]]</f>
        <v>Straw_incorperation</v>
      </c>
      <c r="D9" s="189" t="s">
        <v>693</v>
      </c>
      <c r="E9" s="9" t="str">
        <f>_xlfn.XLOOKUP($D9,Table32[Color_Name],Table32[Hex_Code],,0,)</f>
        <v>#F5DEB3</v>
      </c>
      <c r="F9" s="37"/>
    </row>
    <row r="10" spans="1:10" x14ac:dyDescent="0.25">
      <c r="A10" s="16">
        <f t="shared" si="0"/>
        <v>9</v>
      </c>
      <c r="B10" s="9" t="str">
        <f>_xlfn.XLOOKUP(C10,Tab_Def_Flows[Name(EN)],Tab_Def_Flows[Flow_ID],,0,)</f>
        <v>F_06_08</v>
      </c>
      <c r="C10" s="9" t="str">
        <f>Tab_Def_Flows[[#This Row],[Name(EN)]]</f>
        <v>Straw_lithosphere</v>
      </c>
      <c r="D10" s="189" t="s">
        <v>693</v>
      </c>
      <c r="E10" s="9" t="str">
        <f>_xlfn.XLOOKUP($D10,Table32[Color_Name],Table32[Hex_Code],,0,)</f>
        <v>#F5DEB3</v>
      </c>
      <c r="F10" s="37"/>
    </row>
    <row r="11" spans="1:10" x14ac:dyDescent="0.25">
      <c r="A11" s="16">
        <f t="shared" si="0"/>
        <v>10</v>
      </c>
      <c r="B11" s="9" t="str">
        <f>_xlfn.XLOOKUP(C11,Tab_Def_Flows[Name(EN)],Tab_Def_Flows[Flow_ID],,0,)</f>
        <v>F_05_07</v>
      </c>
      <c r="C11" s="9" t="str">
        <f>Tab_Def_Flows[[#This Row],[Name(EN)]]</f>
        <v>Straw_animal_bedding</v>
      </c>
      <c r="D11" s="189" t="s">
        <v>693</v>
      </c>
      <c r="E11" s="9" t="str">
        <f>_xlfn.XLOOKUP($D11,Table32[Color_Name],Table32[Hex_Code],,0,)</f>
        <v>#F5DEB3</v>
      </c>
      <c r="F11" s="37"/>
    </row>
    <row r="12" spans="1:10" x14ac:dyDescent="0.25">
      <c r="A12" s="16">
        <f t="shared" si="0"/>
        <v>11</v>
      </c>
      <c r="B12" s="9" t="str">
        <f>_xlfn.XLOOKUP(C12,Tab_Def_Flows[Name(EN)],Tab_Def_Flows[Flow_ID],,0,)</f>
        <v>F_07_00</v>
      </c>
      <c r="C12" s="9" t="str">
        <f>Tab_Def_Flows[[#This Row],[Name(EN)]]</f>
        <v>Animal bedding_Emissions_C</v>
      </c>
      <c r="D12" s="189" t="s">
        <v>710</v>
      </c>
      <c r="E12" s="9" t="str">
        <f>_xlfn.XLOOKUP($D12,Table32[Color_Name],Table32[Hex_Code],,0,)</f>
        <v>#87CEEB</v>
      </c>
      <c r="F12" s="37"/>
    </row>
    <row r="13" spans="1:10" x14ac:dyDescent="0.25">
      <c r="A13" s="16">
        <f t="shared" si="0"/>
        <v>12</v>
      </c>
      <c r="B13" s="9" t="str">
        <f>_xlfn.XLOOKUP(C13,Tab_Def_Flows[Name(EN)],Tab_Def_Flows[Flow_ID],,0,)</f>
        <v>F_07_01</v>
      </c>
      <c r="C13" s="9" t="str">
        <f>Tab_Def_Flows[[#This Row],[Name(EN)]]</f>
        <v>Animal bedding_Emissions_E</v>
      </c>
      <c r="D13" s="189" t="s">
        <v>677</v>
      </c>
      <c r="E13" s="9" t="str">
        <f>_xlfn.XLOOKUP($D13,Table32[Color_Name],Table32[Hex_Code],,0,)</f>
        <v>#228B22</v>
      </c>
      <c r="F13" s="37"/>
    </row>
    <row r="14" spans="1:10" x14ac:dyDescent="0.25">
      <c r="A14" s="16">
        <f t="shared" si="0"/>
        <v>13</v>
      </c>
      <c r="B14" s="9" t="str">
        <f>_xlfn.XLOOKUP(C14,Tab_Def_Flows[Name(EN)],Tab_Def_Flows[Flow_ID],,0,)</f>
        <v>F_08_00</v>
      </c>
      <c r="C14" s="9" t="str">
        <f>Tab_Def_Flows[[#This Row],[Name(EN)]]</f>
        <v>Lithosphere(DI)_Emissions_C</v>
      </c>
      <c r="D14" s="189" t="s">
        <v>710</v>
      </c>
      <c r="E14" s="9" t="str">
        <f>_xlfn.XLOOKUP($D14,Table32[Color_Name],Table32[Hex_Code],,0,)</f>
        <v>#87CEEB</v>
      </c>
      <c r="F14" s="37"/>
    </row>
    <row r="15" spans="1:10" x14ac:dyDescent="0.25">
      <c r="A15" s="16">
        <f t="shared" si="0"/>
        <v>14</v>
      </c>
      <c r="B15" s="9" t="str">
        <f>_xlfn.XLOOKUP(C15,Tab_Def_Flows[Name(EN)],Tab_Def_Flows[Flow_ID],,0,)</f>
        <v>F_08_01</v>
      </c>
      <c r="C15" s="9" t="str">
        <f>Tab_Def_Flows[[#This Row],[Name(EN)]]</f>
        <v>Lithosphere(DI)_Emissions_E</v>
      </c>
      <c r="D15" s="189" t="s">
        <v>677</v>
      </c>
      <c r="E15" s="9" t="str">
        <f>_xlfn.XLOOKUP($D15,Table32[Color_Name],Table32[Hex_Code],,0,)</f>
        <v>#228B22</v>
      </c>
      <c r="F15" s="37"/>
    </row>
    <row r="16" spans="1:10" x14ac:dyDescent="0.25">
      <c r="A16" s="16">
        <f t="shared" si="0"/>
        <v>15</v>
      </c>
      <c r="B16" s="9" t="str">
        <f>_xlfn.XLOOKUP(C16,Tab_Def_Flows[Name(EN)],Tab_Def_Flows[Flow_ID],,0,)</f>
        <v>F_05_09</v>
      </c>
      <c r="C16" s="9" t="str">
        <f>Tab_Def_Flows[[#This Row],[Name(EN)]]</f>
        <v>Straw_Compost</v>
      </c>
      <c r="D16" s="189" t="s">
        <v>693</v>
      </c>
      <c r="E16" s="9" t="str">
        <f>_xlfn.XLOOKUP($D16,Table32[Color_Name],Table32[Hex_Code],,0,)</f>
        <v>#F5DEB3</v>
      </c>
      <c r="F16" s="37"/>
    </row>
    <row r="17" spans="1:6" x14ac:dyDescent="0.25">
      <c r="A17" s="16">
        <f t="shared" si="0"/>
        <v>16</v>
      </c>
      <c r="B17" s="9" t="str">
        <f>_xlfn.XLOOKUP(C17,Tab_Def_Flows[Name(EN)],Tab_Def_Flows[Flow_ID],,0,)</f>
        <v>F_09_00</v>
      </c>
      <c r="C17" s="9" t="str">
        <f>Tab_Def_Flows[[#This Row],[Name(EN)]]</f>
        <v>Compost_Emissions_C</v>
      </c>
      <c r="D17" s="189" t="s">
        <v>710</v>
      </c>
      <c r="E17" s="9" t="str">
        <f>_xlfn.XLOOKUP($D17,Table32[Color_Name],Table32[Hex_Code],,0,)</f>
        <v>#87CEEB</v>
      </c>
      <c r="F17" s="37"/>
    </row>
    <row r="18" spans="1:6" x14ac:dyDescent="0.25">
      <c r="A18" s="16">
        <f t="shared" si="0"/>
        <v>17</v>
      </c>
      <c r="B18" s="9" t="str">
        <f>_xlfn.XLOOKUP(C18,Tab_Def_Flows[Name(EN)],Tab_Def_Flows[Flow_ID],,0,)</f>
        <v>F_09_01</v>
      </c>
      <c r="C18" s="9" t="str">
        <f>Tab_Def_Flows[[#This Row],[Name(EN)]]</f>
        <v>Compost_Emissions_E</v>
      </c>
      <c r="D18" s="189" t="s">
        <v>677</v>
      </c>
      <c r="E18" s="9" t="str">
        <f>_xlfn.XLOOKUP($D18,Table32[Color_Name],Table32[Hex_Code],,0,)</f>
        <v>#228B22</v>
      </c>
      <c r="F18" s="37"/>
    </row>
    <row r="19" spans="1:6" x14ac:dyDescent="0.25">
      <c r="A19" s="16">
        <f t="shared" si="0"/>
        <v>18</v>
      </c>
      <c r="B19" s="9" t="str">
        <f>_xlfn.XLOOKUP(C19,Tab_Def_Flows[Name(EN)],Tab_Def_Flows[Flow_ID],,0,)</f>
        <v>F_10_00</v>
      </c>
      <c r="C19" s="9" t="str">
        <f>Tab_Def_Flows[[#This Row],[Name(EN)]]</f>
        <v>Lithosphere(CI)_Emissions_C</v>
      </c>
      <c r="D19" s="189" t="s">
        <v>710</v>
      </c>
      <c r="E19" s="9" t="str">
        <f>_xlfn.XLOOKUP($D19,Table32[Color_Name],Table32[Hex_Code],,0,)</f>
        <v>#87CEEB</v>
      </c>
      <c r="F19" s="37"/>
    </row>
    <row r="20" spans="1:6" x14ac:dyDescent="0.25">
      <c r="A20" s="16">
        <f t="shared" si="0"/>
        <v>19</v>
      </c>
      <c r="B20" s="9" t="str">
        <f>_xlfn.XLOOKUP(C20,Tab_Def_Flows[Name(EN)],Tab_Def_Flows[Flow_ID],,0,)</f>
        <v>F_10_01</v>
      </c>
      <c r="C20" s="9" t="str">
        <f>Tab_Def_Flows[[#This Row],[Name(EN)]]</f>
        <v>Lithosphere(CI)_Emissions_E</v>
      </c>
      <c r="D20" s="189" t="s">
        <v>677</v>
      </c>
      <c r="E20" s="9" t="str">
        <f>_xlfn.XLOOKUP($D20,Table32[Color_Name],Table32[Hex_Code],,0,)</f>
        <v>#228B22</v>
      </c>
      <c r="F20" s="37"/>
    </row>
    <row r="21" spans="1:6" x14ac:dyDescent="0.25">
      <c r="A21" s="16">
        <f t="shared" si="0"/>
        <v>20</v>
      </c>
      <c r="B21" s="9" t="str">
        <f>_xlfn.XLOOKUP(C21,Tab_Def_Flows[Name(EN)],Tab_Def_Flows[Flow_ID],,0,)</f>
        <v>F_09_10</v>
      </c>
      <c r="C21" s="9" t="str">
        <f>Tab_Def_Flows[[#This Row],[Name(EN)]]</f>
        <v>Compost_lithosphere</v>
      </c>
      <c r="D21" s="189" t="s">
        <v>693</v>
      </c>
      <c r="E21" s="9" t="str">
        <f>_xlfn.XLOOKUP($D21,Table32[Color_Name],Table32[Hex_Code],,0,)</f>
        <v>#F5DEB3</v>
      </c>
      <c r="F21" s="37"/>
    </row>
    <row r="22" spans="1:6" x14ac:dyDescent="0.25">
      <c r="A22" s="16">
        <f t="shared" si="0"/>
        <v>21</v>
      </c>
      <c r="B22" s="9" t="str">
        <f>_xlfn.XLOOKUP(C22,Tab_Def_Flows[Name(EN)],Tab_Def_Flows[Flow_ID],,0,)</f>
        <v>F_01_09</v>
      </c>
      <c r="C22" s="9" t="str">
        <f>Tab_Def_Flows[[#This Row],[Name(EN)]]</f>
        <v>Water_Compost</v>
      </c>
      <c r="D22" s="189"/>
      <c r="E22" s="9" t="e">
        <f>_xlfn.XLOOKUP($D22,Table32[Color_Name],Table32[Hex_Code],,0,)</f>
        <v>#N/A</v>
      </c>
      <c r="F22" s="37"/>
    </row>
    <row r="23" spans="1:6" x14ac:dyDescent="0.25">
      <c r="A23" s="16">
        <f t="shared" si="0"/>
        <v>22</v>
      </c>
      <c r="B23" s="9" t="e">
        <f>_xlfn.XLOOKUP(C23,Tab_Def_Flows[Name(EN)],Tab_Def_Flows[Flow_ID],,0,)</f>
        <v>#N/A</v>
      </c>
      <c r="C23" s="9">
        <f>Tab_Def_Flows[[#This Row],[Name(EN)]]</f>
        <v>0</v>
      </c>
      <c r="D23" s="189"/>
      <c r="E23" s="9" t="e">
        <f>_xlfn.XLOOKUP($D23,Table32[Color_Name],Table32[Hex_Code],,0,)</f>
        <v>#N/A</v>
      </c>
      <c r="F23" s="37"/>
    </row>
    <row r="24" spans="1:6" x14ac:dyDescent="0.25">
      <c r="A24" s="16">
        <f t="shared" si="0"/>
        <v>23</v>
      </c>
      <c r="B24" s="9" t="e">
        <f>_xlfn.XLOOKUP(C24,Tab_Def_Flows[Name(EN)],Tab_Def_Flows[Flow_ID],,0,)</f>
        <v>#N/A</v>
      </c>
      <c r="C24" s="9">
        <f>Tab_Def_Flows[[#This Row],[Name(EN)]]</f>
        <v>0</v>
      </c>
      <c r="D24" s="189"/>
      <c r="E24" s="9" t="e">
        <f>_xlfn.XLOOKUP($D24,Table32[Color_Name],Table32[Hex_Code],,0,)</f>
        <v>#N/A</v>
      </c>
      <c r="F24" s="37"/>
    </row>
    <row r="25" spans="1:6" x14ac:dyDescent="0.25">
      <c r="A25" s="16">
        <f t="shared" si="0"/>
        <v>24</v>
      </c>
      <c r="B25" s="9" t="e">
        <f>_xlfn.XLOOKUP(C25,Tab_Def_Flows[Name(EN)],Tab_Def_Flows[Flow_ID],,0,)</f>
        <v>#N/A</v>
      </c>
      <c r="C25" s="9">
        <f>Tab_Def_Flows[[#This Row],[Name(EN)]]</f>
        <v>0</v>
      </c>
      <c r="D25" s="189"/>
      <c r="E25" s="9" t="e">
        <f>_xlfn.XLOOKUP($D25,Table32[Color_Name],Table32[Hex_Code],,0,)</f>
        <v>#N/A</v>
      </c>
      <c r="F25" s="37"/>
    </row>
    <row r="26" spans="1:6" x14ac:dyDescent="0.25">
      <c r="A26" s="16">
        <f t="shared" si="0"/>
        <v>25</v>
      </c>
      <c r="B26" s="9" t="e">
        <f>_xlfn.XLOOKUP(C26,Tab_Def_Flows[Name(EN)],Tab_Def_Flows[Flow_ID],,0,)</f>
        <v>#N/A</v>
      </c>
      <c r="C26" s="9">
        <f>Tab_Def_Flows[[#This Row],[Name(EN)]]</f>
        <v>0</v>
      </c>
      <c r="D26" s="189"/>
      <c r="E26" s="9" t="e">
        <f>_xlfn.XLOOKUP($D26,Table32[Color_Name],Table32[Hex_Code],,0,)</f>
        <v>#N/A</v>
      </c>
      <c r="F26" s="37"/>
    </row>
    <row r="27" spans="1:6" x14ac:dyDescent="0.25">
      <c r="A27" s="16">
        <f t="shared" si="0"/>
        <v>26</v>
      </c>
      <c r="B27" s="9" t="e">
        <f>_xlfn.XLOOKUP(C27,Tab_Def_Flows[Name(EN)],Tab_Def_Flows[Flow_ID],,0,)</f>
        <v>#N/A</v>
      </c>
      <c r="C27" s="9">
        <f>Tab_Def_Flows[[#This Row],[Name(EN)]]</f>
        <v>0</v>
      </c>
      <c r="D27" s="189"/>
      <c r="E27" s="9" t="e">
        <f>_xlfn.XLOOKUP($D27,Table32[Color_Name],Table32[Hex_Code],,0,)</f>
        <v>#N/A</v>
      </c>
      <c r="F27" s="37"/>
    </row>
    <row r="28" spans="1:6" x14ac:dyDescent="0.25">
      <c r="A28" s="16">
        <f t="shared" si="0"/>
        <v>27</v>
      </c>
      <c r="B28" s="9" t="e">
        <f>_xlfn.XLOOKUP(C28,Tab_Def_Flows[Name(EN)],Tab_Def_Flows[Flow_ID],,0,)</f>
        <v>#N/A</v>
      </c>
      <c r="C28" s="9">
        <f>Tab_Def_Flows[[#This Row],[Name(EN)]]</f>
        <v>0</v>
      </c>
      <c r="D28" s="189"/>
      <c r="E28" s="9" t="e">
        <f>_xlfn.XLOOKUP($D28,Table32[Color_Name],Table32[Hex_Code],,0,)</f>
        <v>#N/A</v>
      </c>
      <c r="F28" s="37"/>
    </row>
    <row r="29" spans="1:6" x14ac:dyDescent="0.25">
      <c r="A29" s="16">
        <f t="shared" si="0"/>
        <v>28</v>
      </c>
      <c r="B29" s="9" t="e">
        <f>_xlfn.XLOOKUP(C29,Tab_Def_Flows[Name(EN)],Tab_Def_Flows[Flow_ID],,0,)</f>
        <v>#N/A</v>
      </c>
      <c r="C29" s="9">
        <f>Tab_Def_Flows[[#This Row],[Name(EN)]]</f>
        <v>0</v>
      </c>
      <c r="D29" s="189"/>
      <c r="E29" s="9" t="e">
        <f>_xlfn.XLOOKUP($D29,Table32[Color_Name],Table32[Hex_Code],,0,)</f>
        <v>#N/A</v>
      </c>
      <c r="F29" s="37"/>
    </row>
    <row r="30" spans="1:6" x14ac:dyDescent="0.25">
      <c r="A30" s="16">
        <f t="shared" si="0"/>
        <v>29</v>
      </c>
      <c r="B30" s="9" t="e">
        <f>_xlfn.XLOOKUP(C30,Tab_Def_Flows[Name(EN)],Tab_Def_Flows[Flow_ID],,0,)</f>
        <v>#N/A</v>
      </c>
      <c r="C30" s="9">
        <f>Tab_Def_Flows[[#This Row],[Name(EN)]]</f>
        <v>0</v>
      </c>
      <c r="D30" s="189"/>
      <c r="E30" s="9" t="e">
        <f>_xlfn.XLOOKUP($D30,Table32[Color_Name],Table32[Hex_Code],,0,)</f>
        <v>#N/A</v>
      </c>
      <c r="F30" s="37"/>
    </row>
    <row r="31" spans="1:6" x14ac:dyDescent="0.25">
      <c r="A31" s="16">
        <f t="shared" si="0"/>
        <v>30</v>
      </c>
      <c r="B31" s="9" t="e">
        <f>_xlfn.XLOOKUP(C31,Tab_Def_Flows[Name(EN)],Tab_Def_Flows[Flow_ID],,0,)</f>
        <v>#N/A</v>
      </c>
      <c r="C31" s="9">
        <f>Tab_Def_Flows[[#This Row],[Name(EN)]]</f>
        <v>0</v>
      </c>
      <c r="D31" s="189"/>
      <c r="E31" s="9" t="e">
        <f>_xlfn.XLOOKUP($D31,Table32[Color_Name],Table32[Hex_Code],,0,)</f>
        <v>#N/A</v>
      </c>
      <c r="F31" s="37"/>
    </row>
    <row r="32" spans="1:6" x14ac:dyDescent="0.25">
      <c r="A32" s="16">
        <f t="shared" si="0"/>
        <v>31</v>
      </c>
      <c r="B32" s="9" t="e">
        <f>_xlfn.XLOOKUP(C32,Tab_Def_Flows[Name(EN)],Tab_Def_Flows[Flow_ID],,0,)</f>
        <v>#N/A</v>
      </c>
      <c r="C32" s="9">
        <f>Tab_Def_Flows[[#This Row],[Name(EN)]]</f>
        <v>0</v>
      </c>
      <c r="D32" s="189"/>
      <c r="E32" s="9" t="e">
        <f>_xlfn.XLOOKUP($D32,Table32[Color_Name],Table32[Hex_Code],,0,)</f>
        <v>#N/A</v>
      </c>
      <c r="F32" s="37"/>
    </row>
    <row r="33" spans="1:6" x14ac:dyDescent="0.25">
      <c r="A33" s="16">
        <f t="shared" si="0"/>
        <v>32</v>
      </c>
      <c r="B33" s="9" t="e">
        <f>_xlfn.XLOOKUP(C33,Tab_Def_Flows[Name(EN)],Tab_Def_Flows[Flow_ID],,0,)</f>
        <v>#N/A</v>
      </c>
      <c r="C33" s="9">
        <f>Tab_Def_Flows[[#This Row],[Name(EN)]]</f>
        <v>0</v>
      </c>
      <c r="D33" s="189"/>
      <c r="E33" s="9" t="e">
        <f>_xlfn.XLOOKUP($D33,Table32[Color_Name],Table32[Hex_Code],,0,)</f>
        <v>#N/A</v>
      </c>
      <c r="F33" s="37"/>
    </row>
    <row r="34" spans="1:6" x14ac:dyDescent="0.25">
      <c r="A34" s="16">
        <f t="shared" si="0"/>
        <v>33</v>
      </c>
      <c r="B34" s="9" t="e">
        <f>_xlfn.XLOOKUP(C34,Tab_Def_Flows[Name(EN)],Tab_Def_Flows[Flow_ID],,0,)</f>
        <v>#N/A</v>
      </c>
      <c r="C34" s="9">
        <f>Tab_Def_Flows[[#This Row],[Name(EN)]]</f>
        <v>0</v>
      </c>
      <c r="D34" s="189"/>
      <c r="E34" s="9" t="e">
        <f>_xlfn.XLOOKUP($D34,Table32[Color_Name],Table32[Hex_Code],,0,)</f>
        <v>#N/A</v>
      </c>
      <c r="F34" s="37"/>
    </row>
    <row r="35" spans="1:6" x14ac:dyDescent="0.25">
      <c r="A35" s="16">
        <f t="shared" si="0"/>
        <v>34</v>
      </c>
      <c r="B35" s="9" t="e">
        <f>_xlfn.XLOOKUP(C35,Tab_Def_Flows[Name(EN)],Tab_Def_Flows[Flow_ID],,0,)</f>
        <v>#N/A</v>
      </c>
      <c r="C35" s="9">
        <f>Tab_Def_Flows[[#This Row],[Name(EN)]]</f>
        <v>0</v>
      </c>
      <c r="D35" s="189"/>
      <c r="E35" s="9" t="e">
        <f>_xlfn.XLOOKUP($D35,Table32[Color_Name],Table32[Hex_Code],,0,)</f>
        <v>#N/A</v>
      </c>
      <c r="F35" s="37"/>
    </row>
    <row r="36" spans="1:6" x14ac:dyDescent="0.25">
      <c r="A36" s="16">
        <f t="shared" si="0"/>
        <v>35</v>
      </c>
      <c r="B36" s="9" t="e">
        <f>_xlfn.XLOOKUP(C36,Tab_Def_Flows[Name(EN)],Tab_Def_Flows[Flow_ID],,0,)</f>
        <v>#N/A</v>
      </c>
      <c r="C36" s="9">
        <f>Tab_Def_Flows[[#This Row],[Name(EN)]]</f>
        <v>0</v>
      </c>
      <c r="D36" s="189"/>
      <c r="E36" s="9" t="e">
        <f>_xlfn.XLOOKUP($D36,Table32[Color_Name],Table32[Hex_Code],,0,)</f>
        <v>#N/A</v>
      </c>
      <c r="F36" s="37"/>
    </row>
    <row r="37" spans="1:6" x14ac:dyDescent="0.25">
      <c r="A37" s="16">
        <f t="shared" si="0"/>
        <v>36</v>
      </c>
      <c r="B37" s="9" t="e">
        <f>_xlfn.XLOOKUP(C37,Tab_Def_Flows[Name(EN)],Tab_Def_Flows[Flow_ID],,0,)</f>
        <v>#N/A</v>
      </c>
      <c r="C37" s="9">
        <f>Tab_Def_Flows[[#This Row],[Name(EN)]]</f>
        <v>0</v>
      </c>
      <c r="D37" s="189"/>
      <c r="E37" s="9" t="e">
        <f>_xlfn.XLOOKUP($D37,Table32[Color_Name],Table32[Hex_Code],,0,)</f>
        <v>#N/A</v>
      </c>
      <c r="F37" s="37"/>
    </row>
    <row r="38" spans="1:6" x14ac:dyDescent="0.25">
      <c r="A38" s="16">
        <f t="shared" si="0"/>
        <v>37</v>
      </c>
      <c r="B38" s="9" t="e">
        <f>_xlfn.XLOOKUP(C38,Tab_Def_Flows[Name(EN)],Tab_Def_Flows[Flow_ID],,0,)</f>
        <v>#N/A</v>
      </c>
      <c r="C38" s="9">
        <f>Tab_Def_Flows[[#This Row],[Name(EN)]]</f>
        <v>0</v>
      </c>
      <c r="D38" s="189"/>
      <c r="E38" s="9" t="e">
        <f>_xlfn.XLOOKUP($D38,Table32[Color_Name],Table32[Hex_Code],,0,)</f>
        <v>#N/A</v>
      </c>
      <c r="F38" s="37"/>
    </row>
    <row r="39" spans="1:6" x14ac:dyDescent="0.25">
      <c r="A39" s="16">
        <f t="shared" si="0"/>
        <v>38</v>
      </c>
      <c r="B39" s="9" t="e">
        <f>_xlfn.XLOOKUP(C39,Tab_Def_Flows[Name(EN)],Tab_Def_Flows[Flow_ID],,0,)</f>
        <v>#N/A</v>
      </c>
      <c r="C39" s="9">
        <f>Tab_Def_Flows[[#This Row],[Name(EN)]]</f>
        <v>0</v>
      </c>
      <c r="D39" s="189"/>
      <c r="E39" s="9" t="e">
        <f>_xlfn.XLOOKUP($D39,Table32[Color_Name],Table32[Hex_Code],,0,)</f>
        <v>#N/A</v>
      </c>
      <c r="F39" s="37"/>
    </row>
    <row r="40" spans="1:6" x14ac:dyDescent="0.25">
      <c r="A40" s="16">
        <f t="shared" si="0"/>
        <v>39</v>
      </c>
      <c r="B40" s="9" t="e">
        <f>_xlfn.XLOOKUP(C40,Tab_Def_Flows[Name(EN)],Tab_Def_Flows[Flow_ID],,0,)</f>
        <v>#N/A</v>
      </c>
      <c r="C40" s="9">
        <f>Tab_Def_Flows[[#This Row],[Name(EN)]]</f>
        <v>0</v>
      </c>
      <c r="D40" s="189"/>
      <c r="E40" s="9" t="e">
        <f>_xlfn.XLOOKUP($D40,Table32[Color_Name],Table32[Hex_Code],,0,)</f>
        <v>#N/A</v>
      </c>
      <c r="F40" s="37"/>
    </row>
    <row r="41" spans="1:6" x14ac:dyDescent="0.25">
      <c r="A41" s="16">
        <f t="shared" si="0"/>
        <v>40</v>
      </c>
      <c r="B41" s="9" t="e">
        <f>_xlfn.XLOOKUP(C41,Tab_Def_Flows[Name(EN)],Tab_Def_Flows[Flow_ID],,0,)</f>
        <v>#N/A</v>
      </c>
      <c r="C41" s="9">
        <f>Tab_Def_Flows[[#This Row],[Name(EN)]]</f>
        <v>0</v>
      </c>
      <c r="D41" s="189"/>
      <c r="E41" s="9" t="e">
        <f>_xlfn.XLOOKUP($D41,Table32[Color_Name],Table32[Hex_Code],,0,)</f>
        <v>#N/A</v>
      </c>
      <c r="F41" s="37"/>
    </row>
    <row r="42" spans="1:6" x14ac:dyDescent="0.25">
      <c r="A42" s="16">
        <f t="shared" si="0"/>
        <v>41</v>
      </c>
      <c r="B42" s="9" t="e">
        <f>_xlfn.XLOOKUP(C42,Tab_Def_Flows[Name(EN)],Tab_Def_Flows[Flow_ID],,0,)</f>
        <v>#N/A</v>
      </c>
      <c r="C42" s="9">
        <f>Tab_Def_Flows[[#This Row],[Name(EN)]]</f>
        <v>0</v>
      </c>
      <c r="D42" s="189"/>
      <c r="E42" s="9" t="e">
        <f>_xlfn.XLOOKUP($D42,Table32[Color_Name],Table32[Hex_Code],,0,)</f>
        <v>#N/A</v>
      </c>
      <c r="F42" s="37"/>
    </row>
    <row r="43" spans="1:6" x14ac:dyDescent="0.25">
      <c r="A43" s="16">
        <f t="shared" si="0"/>
        <v>42</v>
      </c>
      <c r="B43" s="9" t="e">
        <f>_xlfn.XLOOKUP(C43,Tab_Def_Flows[Name(EN)],Tab_Def_Flows[Flow_ID],,0,)</f>
        <v>#N/A</v>
      </c>
      <c r="C43" s="9">
        <f>Tab_Def_Flows[[#This Row],[Name(EN)]]</f>
        <v>0</v>
      </c>
      <c r="D43" s="189"/>
      <c r="E43" s="9" t="e">
        <f>_xlfn.XLOOKUP($D43,Table32[Color_Name],Table32[Hex_Code],,0,)</f>
        <v>#N/A</v>
      </c>
      <c r="F43" s="37"/>
    </row>
    <row r="44" spans="1:6" x14ac:dyDescent="0.25">
      <c r="A44" s="16">
        <f t="shared" si="0"/>
        <v>43</v>
      </c>
      <c r="B44" s="9" t="e">
        <f>_xlfn.XLOOKUP(C44,Tab_Def_Flows[Name(EN)],Tab_Def_Flows[Flow_ID],,0,)</f>
        <v>#N/A</v>
      </c>
      <c r="C44" s="9">
        <f>Tab_Def_Flows[[#This Row],[Name(EN)]]</f>
        <v>0</v>
      </c>
      <c r="D44" s="189"/>
      <c r="E44" s="9" t="e">
        <f>_xlfn.XLOOKUP($D44,Table32[Color_Name],Table32[Hex_Code],,0,)</f>
        <v>#N/A</v>
      </c>
      <c r="F44" s="37"/>
    </row>
    <row r="45" spans="1:6" x14ac:dyDescent="0.25">
      <c r="A45" s="16">
        <f t="shared" si="0"/>
        <v>44</v>
      </c>
      <c r="B45" s="9" t="e">
        <f>_xlfn.XLOOKUP(C45,Tab_Def_Flows[Name(EN)],Tab_Def_Flows[Flow_ID],,0,)</f>
        <v>#N/A</v>
      </c>
      <c r="C45" s="9">
        <f>Tab_Def_Flows[[#This Row],[Name(EN)]]</f>
        <v>0</v>
      </c>
      <c r="D45" s="189"/>
      <c r="E45" s="9" t="e">
        <f>_xlfn.XLOOKUP($D45,Table32[Color_Name],Table32[Hex_Code],,0,)</f>
        <v>#N/A</v>
      </c>
      <c r="F45" s="37"/>
    </row>
    <row r="46" spans="1:6" x14ac:dyDescent="0.25">
      <c r="A46" s="16">
        <f t="shared" si="0"/>
        <v>45</v>
      </c>
      <c r="B46" s="9" t="e">
        <f>_xlfn.XLOOKUP(C46,Tab_Def_Flows[Name(EN)],Tab_Def_Flows[Flow_ID],,0,)</f>
        <v>#N/A</v>
      </c>
      <c r="C46" s="9">
        <f>Tab_Def_Flows[[#This Row],[Name(EN)]]</f>
        <v>0</v>
      </c>
      <c r="D46" s="189"/>
      <c r="E46" s="9" t="e">
        <f>_xlfn.XLOOKUP($D46,Table32[Color_Name],Table32[Hex_Code],,0,)</f>
        <v>#N/A</v>
      </c>
      <c r="F46" s="37"/>
    </row>
    <row r="47" spans="1:6" x14ac:dyDescent="0.25">
      <c r="A47" s="16">
        <f t="shared" si="0"/>
        <v>46</v>
      </c>
      <c r="B47" s="9" t="e">
        <f>_xlfn.XLOOKUP(C47,Tab_Def_Flows[Name(EN)],Tab_Def_Flows[Flow_ID],,0,)</f>
        <v>#N/A</v>
      </c>
      <c r="C47" s="9">
        <f>Tab_Def_Flows[[#This Row],[Name(EN)]]</f>
        <v>0</v>
      </c>
      <c r="D47" s="189"/>
      <c r="E47" s="9" t="e">
        <f>_xlfn.XLOOKUP($D47,Table32[Color_Name],Table32[Hex_Code],,0,)</f>
        <v>#N/A</v>
      </c>
      <c r="F47" s="37"/>
    </row>
    <row r="48" spans="1:6" x14ac:dyDescent="0.25">
      <c r="A48" s="16">
        <f t="shared" si="0"/>
        <v>47</v>
      </c>
      <c r="B48" s="9" t="e">
        <f>_xlfn.XLOOKUP(C48,Tab_Def_Flows[Name(EN)],Tab_Def_Flows[Flow_ID],,0,)</f>
        <v>#N/A</v>
      </c>
      <c r="C48" s="9">
        <f>Tab_Def_Flows[[#This Row],[Name(EN)]]</f>
        <v>0</v>
      </c>
      <c r="D48" s="189"/>
      <c r="E48" s="9" t="e">
        <f>_xlfn.XLOOKUP($D48,Table32[Color_Name],Table32[Hex_Code],,0,)</f>
        <v>#N/A</v>
      </c>
      <c r="F48" s="37"/>
    </row>
    <row r="49" spans="1:6" x14ac:dyDescent="0.25">
      <c r="A49" s="16">
        <f t="shared" si="0"/>
        <v>48</v>
      </c>
      <c r="B49" s="9" t="e">
        <f>_xlfn.XLOOKUP(C49,Tab_Def_Flows[Name(EN)],Tab_Def_Flows[Flow_ID],,0,)</f>
        <v>#N/A</v>
      </c>
      <c r="C49" s="9">
        <f>Tab_Def_Flows[[#This Row],[Name(EN)]]</f>
        <v>0</v>
      </c>
      <c r="D49" s="189"/>
      <c r="E49" s="9" t="e">
        <f>_xlfn.XLOOKUP($D49,Table32[Color_Name],Table32[Hex_Code],,0,)</f>
        <v>#N/A</v>
      </c>
      <c r="F49" s="37"/>
    </row>
    <row r="50" spans="1:6" x14ac:dyDescent="0.25">
      <c r="A50" s="16">
        <f t="shared" si="0"/>
        <v>49</v>
      </c>
      <c r="B50" s="9" t="e">
        <f>_xlfn.XLOOKUP(C50,Tab_Def_Flows[Name(EN)],Tab_Def_Flows[Flow_ID],,0,)</f>
        <v>#N/A</v>
      </c>
      <c r="C50" s="9">
        <f>Tab_Def_Flows[[#This Row],[Name(EN)]]</f>
        <v>0</v>
      </c>
      <c r="D50" s="189"/>
      <c r="E50" s="9" t="e">
        <f>_xlfn.XLOOKUP($D50,Table32[Color_Name],Table32[Hex_Code],,0,)</f>
        <v>#N/A</v>
      </c>
      <c r="F50" s="37"/>
    </row>
    <row r="51" spans="1:6" x14ac:dyDescent="0.25">
      <c r="A51" s="16">
        <f t="shared" si="0"/>
        <v>50</v>
      </c>
      <c r="B51" s="9" t="e">
        <f>_xlfn.XLOOKUP(C51,Tab_Def_Flows[Name(EN)],Tab_Def_Flows[Flow_ID],,0,)</f>
        <v>#N/A</v>
      </c>
      <c r="C51" s="9">
        <f>Tab_Def_Flows[[#This Row],[Name(EN)]]</f>
        <v>0</v>
      </c>
      <c r="D51" s="189"/>
      <c r="E51" s="9" t="e">
        <f>_xlfn.XLOOKUP($D51,Table32[Color_Name],Table32[Hex_Code],,0,)</f>
        <v>#N/A</v>
      </c>
      <c r="F51" s="37"/>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FF566CFD-D4B6-4FB3-99A7-CE06354EF1E6}">
          <x14:formula1>
            <xm:f>'1_1_Definition_Flows'!$D$2:$D$79</xm:f>
          </x14:formula1>
          <xm:sqref>C2:C51</xm:sqref>
        </x14:dataValidation>
        <x14:dataValidation type="list" allowBlank="1" showInputMessage="1" showErrorMessage="1" xr:uid="{8D9ACA64-5F12-4E15-98BD-FCCDA322F7CC}">
          <x14:formula1>
            <xm:f>'6_4_CL_Visualisation'!$C$22:$C$42</xm:f>
          </x14:formula1>
          <xm:sqref>D2:D51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N15"/>
  <sheetViews>
    <sheetView zoomScale="85" zoomScaleNormal="85" workbookViewId="0">
      <selection activeCell="F32" sqref="F32"/>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229" t="s">
        <v>643</v>
      </c>
      <c r="B1" s="229" t="s">
        <v>297</v>
      </c>
      <c r="C1" s="229" t="s">
        <v>6</v>
      </c>
      <c r="D1" s="229" t="s">
        <v>644</v>
      </c>
      <c r="E1" s="229" t="s">
        <v>266</v>
      </c>
      <c r="I1" s="228" t="s">
        <v>663</v>
      </c>
      <c r="J1" s="228" t="s">
        <v>664</v>
      </c>
      <c r="K1" s="228" t="s">
        <v>665</v>
      </c>
      <c r="L1" s="228" t="s">
        <v>6</v>
      </c>
    </row>
    <row r="2" spans="1:14" x14ac:dyDescent="0.25">
      <c r="A2" s="9" t="s">
        <v>645</v>
      </c>
      <c r="B2" s="11">
        <v>0.5</v>
      </c>
      <c r="C2" s="37" t="s">
        <v>646</v>
      </c>
      <c r="D2" s="37" t="s">
        <v>647</v>
      </c>
      <c r="I2" t="s">
        <v>188</v>
      </c>
      <c r="J2" t="s">
        <v>667</v>
      </c>
      <c r="K2" t="s">
        <v>666</v>
      </c>
      <c r="L2" t="s">
        <v>245</v>
      </c>
    </row>
    <row r="3" spans="1:14" x14ac:dyDescent="0.25">
      <c r="A3" s="9" t="s">
        <v>648</v>
      </c>
      <c r="B3" s="11">
        <v>0.5</v>
      </c>
      <c r="C3" s="37" t="s">
        <v>649</v>
      </c>
      <c r="D3" s="37" t="s">
        <v>647</v>
      </c>
      <c r="I3" t="s">
        <v>189</v>
      </c>
      <c r="J3" t="s">
        <v>668</v>
      </c>
      <c r="K3" t="s">
        <v>666</v>
      </c>
      <c r="L3" t="s">
        <v>669</v>
      </c>
    </row>
    <row r="4" spans="1:14" x14ac:dyDescent="0.25">
      <c r="A4" s="9" t="s">
        <v>650</v>
      </c>
      <c r="B4" s="11">
        <v>0.3</v>
      </c>
      <c r="C4" s="37" t="s">
        <v>651</v>
      </c>
      <c r="D4" s="37" t="s">
        <v>652</v>
      </c>
      <c r="I4" t="s">
        <v>190</v>
      </c>
      <c r="J4" t="s">
        <v>670</v>
      </c>
      <c r="K4" t="s">
        <v>666</v>
      </c>
      <c r="L4" t="s">
        <v>671</v>
      </c>
    </row>
    <row r="5" spans="1:14" x14ac:dyDescent="0.25">
      <c r="A5" s="9" t="s">
        <v>653</v>
      </c>
      <c r="B5" s="11" t="s">
        <v>807</v>
      </c>
      <c r="C5" s="37" t="s">
        <v>654</v>
      </c>
      <c r="D5" s="37" t="s">
        <v>655</v>
      </c>
    </row>
    <row r="6" spans="1:14" x14ac:dyDescent="0.25">
      <c r="A6" s="9" t="s">
        <v>656</v>
      </c>
      <c r="B6" s="11" t="s">
        <v>657</v>
      </c>
      <c r="C6" s="37" t="s">
        <v>658</v>
      </c>
      <c r="D6" s="37" t="s">
        <v>659</v>
      </c>
    </row>
    <row r="7" spans="1:14" x14ac:dyDescent="0.25">
      <c r="A7" s="9" t="s">
        <v>660</v>
      </c>
      <c r="B7" s="11" t="s">
        <v>661</v>
      </c>
      <c r="C7" s="37" t="s">
        <v>662</v>
      </c>
      <c r="D7" s="37" t="s">
        <v>659</v>
      </c>
    </row>
    <row r="8" spans="1:14" x14ac:dyDescent="0.25">
      <c r="A8" s="9" t="s">
        <v>772</v>
      </c>
      <c r="B8" s="11">
        <v>1600</v>
      </c>
      <c r="C8" s="37" t="s">
        <v>773</v>
      </c>
      <c r="M8" t="s">
        <v>774</v>
      </c>
      <c r="N8" t="s">
        <v>775</v>
      </c>
    </row>
    <row r="9" spans="1:14" x14ac:dyDescent="0.25">
      <c r="A9" s="9" t="s">
        <v>776</v>
      </c>
      <c r="B9" s="11">
        <v>1200</v>
      </c>
      <c r="C9" s="37" t="s">
        <v>777</v>
      </c>
      <c r="H9" s="9" t="s">
        <v>778</v>
      </c>
      <c r="I9" s="11">
        <v>800</v>
      </c>
      <c r="J9" s="37" t="s">
        <v>779</v>
      </c>
      <c r="M9" t="s">
        <v>774</v>
      </c>
      <c r="N9" t="s">
        <v>775</v>
      </c>
    </row>
    <row r="10" spans="1:14" x14ac:dyDescent="0.25">
      <c r="A10" s="9" t="s">
        <v>786</v>
      </c>
      <c r="B10" s="11">
        <v>1</v>
      </c>
      <c r="C10" s="37" t="s">
        <v>787</v>
      </c>
      <c r="D10" t="s">
        <v>788</v>
      </c>
      <c r="E10" t="s">
        <v>775</v>
      </c>
      <c r="H10" s="9" t="s">
        <v>780</v>
      </c>
      <c r="I10" s="11">
        <v>600</v>
      </c>
      <c r="J10" s="37" t="s">
        <v>781</v>
      </c>
      <c r="M10" t="s">
        <v>774</v>
      </c>
      <c r="N10" t="s">
        <v>775</v>
      </c>
    </row>
    <row r="11" spans="1:14" x14ac:dyDescent="0.25">
      <c r="A11" s="9" t="s">
        <v>789</v>
      </c>
      <c r="B11" s="11">
        <v>1</v>
      </c>
      <c r="C11" s="37" t="s">
        <v>790</v>
      </c>
      <c r="D11" t="s">
        <v>788</v>
      </c>
      <c r="E11" t="s">
        <v>775</v>
      </c>
      <c r="H11" s="9" t="s">
        <v>782</v>
      </c>
      <c r="I11" s="11">
        <v>1600</v>
      </c>
      <c r="J11" s="37" t="s">
        <v>783</v>
      </c>
      <c r="M11" t="s">
        <v>774</v>
      </c>
      <c r="N11" t="s">
        <v>775</v>
      </c>
    </row>
    <row r="12" spans="1:14" x14ac:dyDescent="0.25">
      <c r="A12" s="9" t="s">
        <v>791</v>
      </c>
      <c r="B12" s="11" t="b">
        <v>1</v>
      </c>
      <c r="C12" s="37" t="s">
        <v>792</v>
      </c>
      <c r="D12" t="s">
        <v>788</v>
      </c>
      <c r="E12" t="s">
        <v>775</v>
      </c>
      <c r="H12" s="9" t="s">
        <v>784</v>
      </c>
      <c r="I12" s="11">
        <v>1200</v>
      </c>
      <c r="J12" s="37" t="s">
        <v>785</v>
      </c>
      <c r="M12" t="s">
        <v>774</v>
      </c>
      <c r="N12" t="s">
        <v>775</v>
      </c>
    </row>
    <row r="13" spans="1:14" x14ac:dyDescent="0.25">
      <c r="A13" s="9" t="s">
        <v>793</v>
      </c>
      <c r="B13" s="11">
        <v>0.3</v>
      </c>
      <c r="C13" s="37" t="s">
        <v>794</v>
      </c>
      <c r="D13" t="s">
        <v>788</v>
      </c>
      <c r="E13" t="s">
        <v>775</v>
      </c>
      <c r="M13" t="s">
        <v>774</v>
      </c>
      <c r="N13" t="s">
        <v>775</v>
      </c>
    </row>
    <row r="14" spans="1:14" x14ac:dyDescent="0.25">
      <c r="A14" s="9" t="s">
        <v>795</v>
      </c>
      <c r="B14" s="11">
        <v>3</v>
      </c>
      <c r="C14" s="37" t="s">
        <v>796</v>
      </c>
      <c r="D14" t="s">
        <v>788</v>
      </c>
      <c r="E14" t="s">
        <v>775</v>
      </c>
      <c r="M14" t="s">
        <v>774</v>
      </c>
      <c r="N14" t="s">
        <v>775</v>
      </c>
    </row>
    <row r="15" spans="1:14" x14ac:dyDescent="0.25">
      <c r="A15" s="9" t="s">
        <v>797</v>
      </c>
      <c r="B15" s="11" t="s">
        <v>807</v>
      </c>
      <c r="C15" s="37" t="s">
        <v>798</v>
      </c>
      <c r="D15" t="s">
        <v>788</v>
      </c>
      <c r="E15" t="s">
        <v>775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F12" sqref="F12"/>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615</v>
      </c>
      <c r="C2" t="s">
        <v>616</v>
      </c>
      <c r="D2" t="s">
        <v>617</v>
      </c>
      <c r="E2" t="s">
        <v>639</v>
      </c>
      <c r="F2" t="s">
        <v>619</v>
      </c>
      <c r="G2" t="s">
        <v>620</v>
      </c>
      <c r="H2" t="s">
        <v>621</v>
      </c>
      <c r="I2" t="s">
        <v>622</v>
      </c>
      <c r="J2" t="s">
        <v>623</v>
      </c>
      <c r="K2" t="s">
        <v>624</v>
      </c>
      <c r="L2" t="s">
        <v>625</v>
      </c>
      <c r="M2" t="s">
        <v>626</v>
      </c>
      <c r="N2" t="s">
        <v>627</v>
      </c>
      <c r="O2" t="s">
        <v>628</v>
      </c>
      <c r="P2" t="s">
        <v>629</v>
      </c>
    </row>
    <row r="3" spans="2:16" x14ac:dyDescent="0.25">
      <c r="C3" t="s">
        <v>630</v>
      </c>
      <c r="D3" t="s">
        <v>633</v>
      </c>
      <c r="E3" t="s">
        <v>640</v>
      </c>
    </row>
    <row r="4" spans="2:16" x14ac:dyDescent="0.25">
      <c r="C4" t="s">
        <v>631</v>
      </c>
      <c r="D4" t="s">
        <v>634</v>
      </c>
      <c r="E4" t="s">
        <v>641</v>
      </c>
    </row>
    <row r="5" spans="2:16" x14ac:dyDescent="0.25">
      <c r="C5" t="s">
        <v>632</v>
      </c>
      <c r="D5" t="s">
        <v>635</v>
      </c>
      <c r="E5" t="s">
        <v>642</v>
      </c>
    </row>
    <row r="6" spans="2:16" x14ac:dyDescent="0.25">
      <c r="C6" t="s">
        <v>637</v>
      </c>
      <c r="D6" t="s">
        <v>636</v>
      </c>
    </row>
    <row r="20" spans="2:6" x14ac:dyDescent="0.25">
      <c r="B20" t="s">
        <v>615</v>
      </c>
      <c r="C20" t="s">
        <v>618</v>
      </c>
    </row>
    <row r="21" spans="2:6" x14ac:dyDescent="0.25">
      <c r="B21" s="229" t="s">
        <v>501</v>
      </c>
      <c r="C21" s="229" t="s">
        <v>672</v>
      </c>
      <c r="D21" s="229" t="s">
        <v>673</v>
      </c>
      <c r="E21" s="229" t="s">
        <v>674</v>
      </c>
      <c r="F21" s="229" t="s">
        <v>675</v>
      </c>
    </row>
    <row r="22" spans="2:6" x14ac:dyDescent="0.25">
      <c r="B22" t="s">
        <v>676</v>
      </c>
      <c r="C22" t="s">
        <v>677</v>
      </c>
      <c r="D22" t="s">
        <v>678</v>
      </c>
      <c r="E22" t="s">
        <v>679</v>
      </c>
      <c r="F22" t="s">
        <v>680</v>
      </c>
    </row>
    <row r="23" spans="2:6" x14ac:dyDescent="0.25">
      <c r="B23" t="s">
        <v>676</v>
      </c>
      <c r="C23" t="s">
        <v>681</v>
      </c>
      <c r="D23" t="s">
        <v>682</v>
      </c>
      <c r="E23" t="s">
        <v>683</v>
      </c>
      <c r="F23" t="s">
        <v>684</v>
      </c>
    </row>
    <row r="24" spans="2:6" x14ac:dyDescent="0.25">
      <c r="B24" t="s">
        <v>676</v>
      </c>
      <c r="C24" t="s">
        <v>685</v>
      </c>
      <c r="D24" t="s">
        <v>686</v>
      </c>
      <c r="E24" t="s">
        <v>687</v>
      </c>
      <c r="F24" t="s">
        <v>688</v>
      </c>
    </row>
    <row r="25" spans="2:6" x14ac:dyDescent="0.25">
      <c r="B25" t="s">
        <v>676</v>
      </c>
      <c r="C25" t="s">
        <v>689</v>
      </c>
      <c r="D25" t="s">
        <v>690</v>
      </c>
      <c r="E25" t="s">
        <v>691</v>
      </c>
      <c r="F25" t="s">
        <v>692</v>
      </c>
    </row>
    <row r="26" spans="2:6" x14ac:dyDescent="0.25">
      <c r="B26" t="s">
        <v>676</v>
      </c>
      <c r="C26" t="s">
        <v>693</v>
      </c>
      <c r="D26" t="s">
        <v>694</v>
      </c>
      <c r="E26" t="s">
        <v>695</v>
      </c>
      <c r="F26" t="s">
        <v>696</v>
      </c>
    </row>
    <row r="27" spans="2:6" x14ac:dyDescent="0.25">
      <c r="B27" t="s">
        <v>697</v>
      </c>
      <c r="C27" t="s">
        <v>698</v>
      </c>
      <c r="D27" t="s">
        <v>699</v>
      </c>
      <c r="E27" t="s">
        <v>700</v>
      </c>
      <c r="F27" t="s">
        <v>701</v>
      </c>
    </row>
    <row r="28" spans="2:6" x14ac:dyDescent="0.25">
      <c r="B28" t="s">
        <v>697</v>
      </c>
      <c r="C28" t="s">
        <v>702</v>
      </c>
      <c r="D28" t="s">
        <v>703</v>
      </c>
      <c r="E28" t="s">
        <v>704</v>
      </c>
      <c r="F28" t="s">
        <v>705</v>
      </c>
    </row>
    <row r="29" spans="2:6" x14ac:dyDescent="0.25">
      <c r="B29" t="s">
        <v>697</v>
      </c>
      <c r="C29" t="s">
        <v>706</v>
      </c>
      <c r="D29" t="s">
        <v>707</v>
      </c>
      <c r="E29" t="s">
        <v>708</v>
      </c>
      <c r="F29" t="s">
        <v>709</v>
      </c>
    </row>
    <row r="30" spans="2:6" x14ac:dyDescent="0.25">
      <c r="B30" t="s">
        <v>697</v>
      </c>
      <c r="C30" t="s">
        <v>710</v>
      </c>
      <c r="D30" t="s">
        <v>711</v>
      </c>
      <c r="E30" t="s">
        <v>712</v>
      </c>
      <c r="F30" t="s">
        <v>713</v>
      </c>
    </row>
    <row r="31" spans="2:6" x14ac:dyDescent="0.25">
      <c r="B31" t="s">
        <v>714</v>
      </c>
      <c r="C31" t="s">
        <v>715</v>
      </c>
      <c r="D31" t="s">
        <v>716</v>
      </c>
      <c r="E31" t="s">
        <v>717</v>
      </c>
      <c r="F31" t="s">
        <v>718</v>
      </c>
    </row>
    <row r="32" spans="2:6" x14ac:dyDescent="0.25">
      <c r="B32" t="s">
        <v>714</v>
      </c>
      <c r="C32" t="s">
        <v>719</v>
      </c>
      <c r="D32" t="s">
        <v>720</v>
      </c>
      <c r="E32" t="s">
        <v>721</v>
      </c>
      <c r="F32" t="s">
        <v>722</v>
      </c>
    </row>
    <row r="33" spans="2:6" x14ac:dyDescent="0.25">
      <c r="B33" t="s">
        <v>714</v>
      </c>
      <c r="C33" t="s">
        <v>723</v>
      </c>
      <c r="D33" t="s">
        <v>724</v>
      </c>
      <c r="E33" t="s">
        <v>725</v>
      </c>
      <c r="F33" t="s">
        <v>726</v>
      </c>
    </row>
    <row r="34" spans="2:6" x14ac:dyDescent="0.25">
      <c r="B34" t="s">
        <v>714</v>
      </c>
      <c r="C34" t="s">
        <v>727</v>
      </c>
      <c r="D34" t="s">
        <v>728</v>
      </c>
      <c r="E34" t="s">
        <v>729</v>
      </c>
      <c r="F34" t="s">
        <v>730</v>
      </c>
    </row>
    <row r="35" spans="2:6" x14ac:dyDescent="0.25">
      <c r="B35" t="s">
        <v>731</v>
      </c>
      <c r="C35" t="s">
        <v>732</v>
      </c>
      <c r="D35" t="s">
        <v>733</v>
      </c>
      <c r="E35" t="s">
        <v>734</v>
      </c>
      <c r="F35" t="s">
        <v>735</v>
      </c>
    </row>
    <row r="36" spans="2:6" x14ac:dyDescent="0.25">
      <c r="B36" t="s">
        <v>731</v>
      </c>
      <c r="C36" t="s">
        <v>736</v>
      </c>
      <c r="D36" t="s">
        <v>737</v>
      </c>
      <c r="E36" t="s">
        <v>738</v>
      </c>
      <c r="F36" t="s">
        <v>739</v>
      </c>
    </row>
    <row r="37" spans="2:6" x14ac:dyDescent="0.25">
      <c r="B37" t="s">
        <v>731</v>
      </c>
      <c r="C37" t="s">
        <v>740</v>
      </c>
      <c r="D37" t="s">
        <v>741</v>
      </c>
      <c r="E37" t="s">
        <v>742</v>
      </c>
      <c r="F37" t="s">
        <v>743</v>
      </c>
    </row>
    <row r="38" spans="2:6" x14ac:dyDescent="0.25">
      <c r="B38" t="s">
        <v>731</v>
      </c>
      <c r="C38" t="s">
        <v>744</v>
      </c>
      <c r="D38" t="s">
        <v>745</v>
      </c>
      <c r="E38" t="s">
        <v>746</v>
      </c>
      <c r="F38" t="s">
        <v>747</v>
      </c>
    </row>
    <row r="39" spans="2:6" x14ac:dyDescent="0.25">
      <c r="B39" t="s">
        <v>748</v>
      </c>
      <c r="C39" t="s">
        <v>749</v>
      </c>
      <c r="D39" t="s">
        <v>750</v>
      </c>
      <c r="E39" t="s">
        <v>751</v>
      </c>
      <c r="F39" t="s">
        <v>752</v>
      </c>
    </row>
    <row r="40" spans="2:6" x14ac:dyDescent="0.25">
      <c r="B40" t="s">
        <v>748</v>
      </c>
      <c r="C40" t="s">
        <v>753</v>
      </c>
      <c r="D40" t="s">
        <v>754</v>
      </c>
      <c r="E40" t="s">
        <v>755</v>
      </c>
      <c r="F40" t="s">
        <v>756</v>
      </c>
    </row>
    <row r="41" spans="2:6" x14ac:dyDescent="0.25">
      <c r="B41" t="s">
        <v>748</v>
      </c>
      <c r="C41" t="s">
        <v>757</v>
      </c>
      <c r="D41" t="s">
        <v>758</v>
      </c>
      <c r="E41" t="s">
        <v>759</v>
      </c>
      <c r="F41" t="s">
        <v>760</v>
      </c>
    </row>
    <row r="42" spans="2:6" x14ac:dyDescent="0.25">
      <c r="B42" t="s">
        <v>748</v>
      </c>
      <c r="C42" t="s">
        <v>761</v>
      </c>
      <c r="D42" t="s">
        <v>762</v>
      </c>
      <c r="E42" t="s">
        <v>763</v>
      </c>
      <c r="F42" t="s">
        <v>764</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A58" sqref="A58:B60"/>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79" t="str">
        <f>'2_1_Definition_Processes'!D2</f>
        <v>Atmosphere</v>
      </c>
      <c r="C1" s="279"/>
      <c r="D1" s="279"/>
      <c r="E1" s="279"/>
      <c r="F1" s="279"/>
      <c r="G1" s="279"/>
      <c r="H1" s="279"/>
      <c r="I1" s="152" t="s">
        <v>261</v>
      </c>
      <c r="J1" s="280" t="s">
        <v>133</v>
      </c>
      <c r="K1" s="280"/>
      <c r="L1" s="280"/>
      <c r="M1" s="280"/>
    </row>
    <row r="2" spans="1:22" ht="16.5" thickBot="1" x14ac:dyDescent="0.3">
      <c r="A2" s="270" t="s">
        <v>260</v>
      </c>
      <c r="B2" s="271"/>
      <c r="C2" s="271"/>
      <c r="D2" s="271"/>
      <c r="E2" s="271"/>
      <c r="F2" s="271"/>
      <c r="G2" s="271"/>
      <c r="H2" s="271"/>
      <c r="I2" s="271"/>
      <c r="J2" s="271"/>
      <c r="K2" s="271"/>
      <c r="L2" s="271"/>
      <c r="M2" s="272"/>
    </row>
    <row r="3" spans="1:22" ht="126.75" customHeight="1" thickBot="1" x14ac:dyDescent="0.3">
      <c r="A3" s="281"/>
      <c r="B3" s="282"/>
      <c r="C3" s="282"/>
      <c r="D3" s="282"/>
      <c r="E3" s="282"/>
      <c r="F3" s="282"/>
      <c r="G3" s="282"/>
      <c r="H3" s="282"/>
      <c r="I3" s="282"/>
      <c r="J3" s="282"/>
      <c r="K3" s="282"/>
      <c r="L3" s="282"/>
      <c r="M3" s="283"/>
    </row>
    <row r="4" spans="1:22" ht="31.5" customHeight="1" x14ac:dyDescent="0.25">
      <c r="A4" s="151" t="s">
        <v>259</v>
      </c>
      <c r="B4" s="284"/>
      <c r="C4" s="285"/>
      <c r="D4" s="286"/>
      <c r="E4" s="287" t="s">
        <v>258</v>
      </c>
      <c r="F4" s="288"/>
      <c r="G4" s="156"/>
      <c r="H4" s="156"/>
      <c r="I4" s="150"/>
      <c r="J4" s="150"/>
      <c r="K4" s="150"/>
      <c r="L4" s="150"/>
      <c r="M4" s="150"/>
    </row>
    <row r="5" spans="1:22" ht="16.5" customHeight="1" x14ac:dyDescent="0.25">
      <c r="A5" s="153" t="s">
        <v>257</v>
      </c>
      <c r="B5" s="273" t="s">
        <v>808</v>
      </c>
      <c r="C5" s="273"/>
      <c r="D5" s="274"/>
      <c r="E5" s="153" t="s">
        <v>257</v>
      </c>
      <c r="F5" s="275" t="s">
        <v>810</v>
      </c>
      <c r="G5" s="275"/>
      <c r="H5" s="276"/>
      <c r="I5" s="154"/>
      <c r="J5" s="149"/>
      <c r="K5" s="149"/>
      <c r="L5" s="149"/>
      <c r="M5" s="146"/>
    </row>
    <row r="6" spans="1:22" ht="16.5" customHeight="1" x14ac:dyDescent="0.25">
      <c r="A6" s="153" t="s">
        <v>256</v>
      </c>
      <c r="B6" s="275" t="s">
        <v>809</v>
      </c>
      <c r="C6" s="275"/>
      <c r="D6" s="276"/>
      <c r="E6" s="153" t="s">
        <v>256</v>
      </c>
      <c r="F6" s="275" t="s">
        <v>475</v>
      </c>
      <c r="G6" s="275"/>
      <c r="H6" s="276"/>
      <c r="I6" s="154"/>
      <c r="J6" s="149"/>
      <c r="K6" s="149"/>
      <c r="L6" s="149"/>
      <c r="M6" s="146"/>
    </row>
    <row r="7" spans="1:22" ht="16.5" customHeight="1" x14ac:dyDescent="0.25">
      <c r="A7" s="148" t="s">
        <v>255</v>
      </c>
      <c r="B7" s="275" t="str">
        <f>_xlfn.XLOOKUP(J1,Tab_Def_Processes[Process_ID],Tab_Def_Processes[Input_Flow_I_3],"No_flow.",0,1)</f>
        <v>N.A.</v>
      </c>
      <c r="C7" s="275"/>
      <c r="D7" s="276"/>
      <c r="E7" s="148" t="s">
        <v>255</v>
      </c>
      <c r="F7" s="275" t="s">
        <v>476</v>
      </c>
      <c r="G7" s="275"/>
      <c r="H7" s="276"/>
      <c r="I7" s="155"/>
      <c r="J7" s="147"/>
      <c r="K7" s="147"/>
      <c r="L7" s="147"/>
      <c r="M7" s="146"/>
    </row>
    <row r="8" spans="1:22" ht="16.5" customHeight="1" x14ac:dyDescent="0.25">
      <c r="A8" s="148" t="s">
        <v>254</v>
      </c>
      <c r="B8" s="275" t="str">
        <f>_xlfn.XLOOKUP(J1,Tab_Def_Processes[Process_ID],Tab_Def_Processes[Input_Flow_I_4],"No_flow.",0,1)</f>
        <v>N.A.</v>
      </c>
      <c r="C8" s="275"/>
      <c r="D8" s="276"/>
      <c r="E8" s="148" t="s">
        <v>254</v>
      </c>
      <c r="F8" s="275" t="str">
        <f>_xlfn.XLOOKUP(J1,Tab_Def_Processes[Process_ID],Tab_Def_Processes[Output_Flow_O_4],"No_flow.",0,1)</f>
        <v>N.A.</v>
      </c>
      <c r="G8" s="275"/>
      <c r="H8" s="276"/>
      <c r="I8" s="155"/>
      <c r="J8" s="147"/>
      <c r="K8" s="147"/>
      <c r="L8" s="147"/>
      <c r="M8" s="146"/>
    </row>
    <row r="9" spans="1:22" ht="16.5" customHeight="1" x14ac:dyDescent="0.25">
      <c r="A9" s="148" t="s">
        <v>253</v>
      </c>
      <c r="B9" s="275" t="str">
        <f>_xlfn.XLOOKUP(J1,Tab_Def_Processes[Process_ID],Tab_Def_Processes[Input_Flow_I_5],"No_flow.",0,1)</f>
        <v>N.A.</v>
      </c>
      <c r="C9" s="275"/>
      <c r="D9" s="276"/>
      <c r="E9" s="148" t="s">
        <v>253</v>
      </c>
      <c r="F9" s="275" t="str">
        <f>_xlfn.XLOOKUP(J1,Tab_Def_Processes[Process_ID],Tab_Def_Processes[Output_Flow_O_5],"No_flow.",0,1)</f>
        <v>N.A.</v>
      </c>
      <c r="G9" s="275"/>
      <c r="H9" s="276"/>
      <c r="I9" s="155"/>
      <c r="J9" s="147"/>
      <c r="K9" s="147"/>
      <c r="L9" s="147"/>
      <c r="M9" s="146"/>
    </row>
    <row r="10" spans="1:22" ht="16.5" customHeight="1" thickBot="1" x14ac:dyDescent="0.3">
      <c r="A10" s="157" t="s">
        <v>252</v>
      </c>
      <c r="B10" s="277"/>
      <c r="C10" s="277"/>
      <c r="D10" s="278"/>
      <c r="E10" s="157" t="s">
        <v>252</v>
      </c>
      <c r="F10" s="277"/>
      <c r="G10" s="277"/>
      <c r="H10" s="278"/>
      <c r="I10" s="155"/>
      <c r="J10" s="147"/>
      <c r="K10" s="147"/>
      <c r="L10" s="147"/>
      <c r="M10" s="146"/>
    </row>
    <row r="11" spans="1:22" ht="16.5" thickBot="1" x14ac:dyDescent="0.3">
      <c r="A11" s="270" t="s">
        <v>251</v>
      </c>
      <c r="B11" s="271"/>
      <c r="C11" s="271"/>
      <c r="D11" s="271"/>
      <c r="E11" s="271"/>
      <c r="F11" s="271"/>
      <c r="G11" s="271"/>
      <c r="H11" s="271"/>
      <c r="I11" s="271"/>
      <c r="J11" s="271"/>
      <c r="K11" s="271"/>
      <c r="L11" s="271"/>
      <c r="M11" s="272"/>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45" t="s">
        <v>249</v>
      </c>
      <c r="B13" s="246"/>
      <c r="C13" s="246"/>
      <c r="D13" s="246"/>
      <c r="E13" s="246"/>
      <c r="F13" s="246"/>
      <c r="G13" s="246"/>
      <c r="H13" s="246"/>
      <c r="I13" s="246"/>
      <c r="J13" s="246"/>
      <c r="K13" s="246"/>
      <c r="L13" s="246"/>
      <c r="M13" s="247"/>
    </row>
    <row r="14" spans="1:22" ht="16.5" thickBot="1" x14ac:dyDescent="0.3">
      <c r="A14" s="103" t="s">
        <v>235</v>
      </c>
      <c r="B14" s="249" t="s">
        <v>247</v>
      </c>
      <c r="C14" s="250"/>
      <c r="D14" s="251"/>
      <c r="E14" s="252" t="s">
        <v>246</v>
      </c>
      <c r="F14" s="253"/>
      <c r="G14" s="253"/>
      <c r="H14" s="254"/>
      <c r="I14" s="255" t="s">
        <v>245</v>
      </c>
      <c r="J14" s="256"/>
      <c r="K14" s="256"/>
      <c r="L14" s="256"/>
      <c r="M14" s="257"/>
      <c r="P14" s="204">
        <v>0.2384</v>
      </c>
      <c r="Q14" s="55" t="s">
        <v>192</v>
      </c>
      <c r="R14" s="204">
        <v>0.76160000000000005</v>
      </c>
      <c r="S14" s="55" t="s">
        <v>192</v>
      </c>
      <c r="T14" s="204">
        <v>0</v>
      </c>
      <c r="U14" s="55" t="s">
        <v>192</v>
      </c>
      <c r="V14" s="190">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04">
        <v>0.14000000000000001</v>
      </c>
      <c r="Q15" s="55" t="s">
        <v>192</v>
      </c>
      <c r="R15" s="204">
        <v>0.86</v>
      </c>
      <c r="S15" s="55" t="s">
        <v>192</v>
      </c>
      <c r="T15" s="204">
        <v>0.48</v>
      </c>
      <c r="U15" s="55" t="s">
        <v>192</v>
      </c>
      <c r="V15" s="190">
        <f>Tab_Def_Flows[[#This Row],[CC_DM'[%']]]*Tab_Def_Flows[[#This Row],[DM]]</f>
        <v>0</v>
      </c>
    </row>
    <row r="16" spans="1:22" ht="23.25" customHeight="1" x14ac:dyDescent="0.25">
      <c r="A16" s="97" t="str">
        <f>B5</f>
        <v>Wheat Straw</v>
      </c>
      <c r="B16" s="73">
        <v>100</v>
      </c>
      <c r="C16" s="124">
        <f t="shared" ref="C16:C21" si="0">B16/$B$22</f>
        <v>0.77519379844961245</v>
      </c>
      <c r="D16" s="123" t="s">
        <v>208</v>
      </c>
      <c r="E16" s="122">
        <v>0.86</v>
      </c>
      <c r="F16" s="72">
        <f t="shared" ref="F16:F21" si="1">E16*B16</f>
        <v>86</v>
      </c>
      <c r="G16" s="121">
        <f t="shared" ref="G16:G21" si="2">F16/$F$22</f>
        <v>1</v>
      </c>
      <c r="H16" s="120" t="s">
        <v>208</v>
      </c>
      <c r="I16" s="119">
        <v>0.14000000000000001</v>
      </c>
      <c r="J16" s="71">
        <f t="shared" ref="J16:J21" si="3">I16*B16</f>
        <v>14.000000000000002</v>
      </c>
      <c r="K16" s="139">
        <f t="shared" ref="K16:K21" si="4">J16/$J$22</f>
        <v>0.32558139534883723</v>
      </c>
      <c r="L16" s="116" t="s">
        <v>208</v>
      </c>
      <c r="M16" s="116"/>
    </row>
    <row r="17" spans="1:23" ht="23.25" customHeight="1" x14ac:dyDescent="0.25">
      <c r="A17" s="97" t="str">
        <f t="shared" ref="A16:A21" si="5">B6</f>
        <v>Water</v>
      </c>
      <c r="B17" s="73">
        <v>29</v>
      </c>
      <c r="C17" s="124">
        <f t="shared" si="0"/>
        <v>0.22480620155038761</v>
      </c>
      <c r="D17" s="123" t="s">
        <v>208</v>
      </c>
      <c r="E17" s="122">
        <v>0</v>
      </c>
      <c r="F17" s="72">
        <f t="shared" si="1"/>
        <v>0</v>
      </c>
      <c r="G17" s="121">
        <f t="shared" si="2"/>
        <v>0</v>
      </c>
      <c r="H17" s="120" t="s">
        <v>208</v>
      </c>
      <c r="I17" s="119">
        <f>1-E17</f>
        <v>1</v>
      </c>
      <c r="J17" s="71">
        <f t="shared" si="3"/>
        <v>29</v>
      </c>
      <c r="K17" s="139">
        <f t="shared" si="4"/>
        <v>0.67441860465116277</v>
      </c>
      <c r="L17" s="116" t="s">
        <v>208</v>
      </c>
      <c r="M17" s="116"/>
    </row>
    <row r="18" spans="1:23" ht="23.25" customHeight="1" x14ac:dyDescent="0.25">
      <c r="A18" s="97" t="str">
        <f t="shared" si="5"/>
        <v>N.A.</v>
      </c>
      <c r="B18" s="73"/>
      <c r="C18" s="124">
        <f t="shared" si="0"/>
        <v>0</v>
      </c>
      <c r="D18" s="123"/>
      <c r="E18" s="122"/>
      <c r="F18" s="72">
        <f t="shared" si="1"/>
        <v>0</v>
      </c>
      <c r="G18" s="121">
        <f t="shared" si="2"/>
        <v>0</v>
      </c>
      <c r="H18" s="120"/>
      <c r="I18" s="119"/>
      <c r="J18" s="71">
        <f t="shared" si="3"/>
        <v>0</v>
      </c>
      <c r="K18" s="139">
        <f t="shared" si="4"/>
        <v>0</v>
      </c>
      <c r="L18" s="117"/>
      <c r="M18" s="116"/>
    </row>
    <row r="19" spans="1:23" ht="23.25" customHeight="1" x14ac:dyDescent="0.25">
      <c r="A19" s="97" t="str">
        <f t="shared" si="5"/>
        <v>N.A.</v>
      </c>
      <c r="B19" s="73"/>
      <c r="C19" s="124">
        <f t="shared" si="0"/>
        <v>0</v>
      </c>
      <c r="D19" s="123"/>
      <c r="E19" s="122"/>
      <c r="F19" s="72">
        <f t="shared" si="1"/>
        <v>0</v>
      </c>
      <c r="G19" s="121">
        <f t="shared" si="2"/>
        <v>0</v>
      </c>
      <c r="H19" s="141"/>
      <c r="I19" s="140"/>
      <c r="J19" s="71">
        <f t="shared" si="3"/>
        <v>0</v>
      </c>
      <c r="K19" s="139">
        <f t="shared" si="4"/>
        <v>0</v>
      </c>
      <c r="L19" s="117"/>
      <c r="M19" s="116"/>
    </row>
    <row r="20" spans="1:23" ht="23.25" customHeight="1" x14ac:dyDescent="0.25">
      <c r="A20" s="97" t="str">
        <f t="shared" si="5"/>
        <v>N.A.</v>
      </c>
      <c r="B20" s="73"/>
      <c r="C20" s="124">
        <f t="shared" si="0"/>
        <v>0</v>
      </c>
      <c r="D20" s="123"/>
      <c r="E20" s="122"/>
      <c r="F20" s="72">
        <f t="shared" si="1"/>
        <v>0</v>
      </c>
      <c r="G20" s="121">
        <f t="shared" si="2"/>
        <v>0</v>
      </c>
      <c r="H20" s="141"/>
      <c r="I20" s="140"/>
      <c r="J20" s="71">
        <f t="shared" si="3"/>
        <v>0</v>
      </c>
      <c r="K20" s="139">
        <f t="shared" si="4"/>
        <v>0</v>
      </c>
      <c r="L20" s="117"/>
      <c r="M20" s="116"/>
    </row>
    <row r="21" spans="1:23" ht="23.25" customHeight="1" thickBot="1" x14ac:dyDescent="0.3">
      <c r="A21" s="97">
        <f t="shared" si="5"/>
        <v>0</v>
      </c>
      <c r="B21" s="73"/>
      <c r="C21" s="124">
        <f t="shared" si="0"/>
        <v>0</v>
      </c>
      <c r="D21" s="123"/>
      <c r="E21" s="122"/>
      <c r="F21" s="72">
        <f t="shared" si="1"/>
        <v>0</v>
      </c>
      <c r="G21" s="121">
        <f t="shared" si="2"/>
        <v>0</v>
      </c>
      <c r="H21" s="141"/>
      <c r="I21" s="140"/>
      <c r="J21" s="71">
        <f t="shared" si="3"/>
        <v>0</v>
      </c>
      <c r="K21" s="139">
        <f t="shared" si="4"/>
        <v>0</v>
      </c>
      <c r="L21" s="117"/>
      <c r="M21" s="116"/>
    </row>
    <row r="22" spans="1:23" ht="16.5" thickBot="1" x14ac:dyDescent="0.3">
      <c r="A22" s="87" t="s">
        <v>210</v>
      </c>
      <c r="B22" s="115">
        <f>SUM(B16:B19)</f>
        <v>129</v>
      </c>
      <c r="C22" s="138">
        <f>C16+C17+C18</f>
        <v>1</v>
      </c>
      <c r="D22" s="113"/>
      <c r="E22" s="112">
        <f>F22/B22</f>
        <v>0.66666666666666663</v>
      </c>
      <c r="F22" s="111">
        <f>SUM(F16:F19)</f>
        <v>86</v>
      </c>
      <c r="G22" s="137">
        <f>SUM(G16:G19)</f>
        <v>1</v>
      </c>
      <c r="H22" s="109"/>
      <c r="I22" s="108">
        <f>J22/B22</f>
        <v>0.33333333333333331</v>
      </c>
      <c r="J22" s="107">
        <f>J16+J17+J18</f>
        <v>43</v>
      </c>
      <c r="K22" s="136">
        <f>SUM(K16:K19)</f>
        <v>1</v>
      </c>
      <c r="L22" s="105"/>
      <c r="M22" s="104"/>
    </row>
    <row r="23" spans="1:23" ht="16.5" customHeight="1" thickBot="1" x14ac:dyDescent="0.3">
      <c r="A23" s="167" t="s">
        <v>235</v>
      </c>
      <c r="B23" s="232" t="s">
        <v>234</v>
      </c>
      <c r="C23" s="233"/>
      <c r="D23" s="233"/>
      <c r="E23" s="233"/>
      <c r="F23" s="233"/>
      <c r="G23" s="233"/>
      <c r="H23" s="234"/>
      <c r="I23" s="235" t="s">
        <v>233</v>
      </c>
      <c r="J23" s="236"/>
      <c r="K23" s="236"/>
      <c r="L23" s="236"/>
      <c r="M23" s="237"/>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04">
        <v>0.14000000000000001</v>
      </c>
      <c r="Q24" s="55" t="s">
        <v>192</v>
      </c>
      <c r="R24" s="204">
        <v>0.86</v>
      </c>
      <c r="S24" s="55" t="s">
        <v>192</v>
      </c>
      <c r="T24" s="204">
        <v>0.48</v>
      </c>
      <c r="U24" s="55" t="s">
        <v>192</v>
      </c>
      <c r="V24" s="190">
        <f>Tab_Def_Flows[[#This Row],[CC_DM'[%']]]*Tab_Def_Flows[[#This Row],[DM]]</f>
        <v>0</v>
      </c>
      <c r="W24" s="205" t="s">
        <v>193</v>
      </c>
    </row>
    <row r="25" spans="1:23" ht="27" customHeight="1" x14ac:dyDescent="0.25">
      <c r="A25" s="97" t="str">
        <f t="shared" ref="A25:A30" si="6">B5</f>
        <v>Wheat Straw</v>
      </c>
      <c r="B25" s="96">
        <v>0.48</v>
      </c>
      <c r="C25" s="94">
        <f>F16*B25</f>
        <v>41.28</v>
      </c>
      <c r="D25" s="95">
        <f t="shared" ref="D25:D30" si="7">C25/$C$31</f>
        <v>1</v>
      </c>
      <c r="E25" s="94" t="s">
        <v>208</v>
      </c>
      <c r="F25" s="93">
        <f t="shared" ref="F25:F30" si="8">B25*E16</f>
        <v>0.4128</v>
      </c>
      <c r="G25" s="92">
        <f t="shared" ref="G25:G30" si="9">B25*E16*B16</f>
        <v>41.28</v>
      </c>
      <c r="H25" s="91">
        <f t="shared" ref="H25:H30" si="10">G25/$G$31</f>
        <v>1</v>
      </c>
      <c r="I25" s="135">
        <f t="shared" ref="I25:I30" si="11">$A$12*C16</f>
        <v>775.19379844961247</v>
      </c>
      <c r="J25" s="134">
        <f t="shared" ref="J25:J30" si="12">I25*E16</f>
        <v>666.66666666666674</v>
      </c>
      <c r="K25" s="134">
        <f t="shared" ref="K25:K30" si="13">I25*I16</f>
        <v>108.52713178294576</v>
      </c>
      <c r="L25" s="134">
        <f t="shared" ref="L25:L30" si="14">SUM(J25:K25)</f>
        <v>775.19379844961247</v>
      </c>
      <c r="M25" s="133">
        <f t="shared" ref="M25:M30" si="15">I25*F25</f>
        <v>320.00000000000006</v>
      </c>
    </row>
    <row r="26" spans="1:23" ht="31.5" x14ac:dyDescent="0.25">
      <c r="A26" s="97" t="str">
        <f t="shared" si="6"/>
        <v>Water</v>
      </c>
      <c r="B26" s="96">
        <v>0</v>
      </c>
      <c r="C26" s="94">
        <f>J17*B26</f>
        <v>0</v>
      </c>
      <c r="D26" s="95">
        <f t="shared" si="7"/>
        <v>0</v>
      </c>
      <c r="E26" s="94" t="s">
        <v>208</v>
      </c>
      <c r="F26" s="93">
        <f t="shared" si="8"/>
        <v>0</v>
      </c>
      <c r="G26" s="92">
        <f t="shared" si="9"/>
        <v>0</v>
      </c>
      <c r="H26" s="91">
        <f t="shared" si="10"/>
        <v>0</v>
      </c>
      <c r="I26" s="135">
        <f t="shared" si="11"/>
        <v>224.80620155038761</v>
      </c>
      <c r="J26" s="134">
        <f t="shared" si="12"/>
        <v>0</v>
      </c>
      <c r="K26" s="134">
        <f t="shared" si="13"/>
        <v>224.80620155038761</v>
      </c>
      <c r="L26" s="134">
        <f t="shared" si="14"/>
        <v>224.80620155038761</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f t="shared" si="10"/>
        <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f t="shared" si="10"/>
        <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f t="shared" si="10"/>
        <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f t="shared" si="10"/>
        <v>0</v>
      </c>
      <c r="I30" s="135">
        <f t="shared" si="11"/>
        <v>0</v>
      </c>
      <c r="J30" s="134">
        <f t="shared" si="12"/>
        <v>0</v>
      </c>
      <c r="K30" s="134">
        <f t="shared" si="13"/>
        <v>0</v>
      </c>
      <c r="L30" s="134">
        <f t="shared" si="14"/>
        <v>0</v>
      </c>
      <c r="M30" s="133">
        <f t="shared" si="15"/>
        <v>0</v>
      </c>
    </row>
    <row r="31" spans="1:23" ht="16.5" thickBot="1" x14ac:dyDescent="0.3">
      <c r="A31" s="87" t="s">
        <v>210</v>
      </c>
      <c r="B31" s="86">
        <f>C31/F22</f>
        <v>0.48000000000000004</v>
      </c>
      <c r="C31" s="84">
        <f>SUM(C25:C30)</f>
        <v>41.28</v>
      </c>
      <c r="D31" s="132">
        <f>SUM(D24:D30)</f>
        <v>1</v>
      </c>
      <c r="E31" s="84"/>
      <c r="F31" s="131">
        <f>G31/B22</f>
        <v>0.32</v>
      </c>
      <c r="G31" s="82">
        <f t="shared" ref="G31:M31" si="17">SUM(G25:G30)</f>
        <v>41.28</v>
      </c>
      <c r="H31" s="81">
        <f t="shared" si="17"/>
        <v>1</v>
      </c>
      <c r="I31" s="80">
        <f t="shared" si="17"/>
        <v>1000.0000000000001</v>
      </c>
      <c r="J31" s="79">
        <f t="shared" si="17"/>
        <v>666.66666666666674</v>
      </c>
      <c r="K31" s="79">
        <f t="shared" si="17"/>
        <v>333.33333333333337</v>
      </c>
      <c r="L31" s="79">
        <f t="shared" si="17"/>
        <v>1000.0000000000001</v>
      </c>
      <c r="M31" s="78">
        <f t="shared" si="17"/>
        <v>320.00000000000006</v>
      </c>
    </row>
    <row r="32" spans="1:23" ht="16.5" thickBot="1" x14ac:dyDescent="0.3">
      <c r="A32" s="258" t="s">
        <v>248</v>
      </c>
      <c r="B32" s="259"/>
      <c r="C32" s="259"/>
      <c r="D32" s="259"/>
      <c r="E32" s="259"/>
      <c r="F32" s="259"/>
      <c r="G32" s="259"/>
      <c r="H32" s="259"/>
      <c r="I32" s="259"/>
      <c r="J32" s="259"/>
      <c r="K32" s="259"/>
      <c r="L32" s="259"/>
      <c r="M32" s="260"/>
    </row>
    <row r="33" spans="1:18" ht="16.5" customHeight="1" thickBot="1" x14ac:dyDescent="0.3">
      <c r="A33" s="103" t="s">
        <v>235</v>
      </c>
      <c r="B33" s="261" t="s">
        <v>247</v>
      </c>
      <c r="C33" s="262"/>
      <c r="D33" s="263"/>
      <c r="E33" s="264" t="s">
        <v>246</v>
      </c>
      <c r="F33" s="265"/>
      <c r="G33" s="265"/>
      <c r="H33" s="266"/>
      <c r="I33" s="267" t="s">
        <v>245</v>
      </c>
      <c r="J33" s="268"/>
      <c r="K33" s="268"/>
      <c r="L33" s="268"/>
      <c r="M33" s="269"/>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Compost</v>
      </c>
      <c r="B35" s="73">
        <v>86</v>
      </c>
      <c r="C35" s="124">
        <f t="shared" ref="C35:C40" si="19">B35/$B$41</f>
        <v>0.66666666666666663</v>
      </c>
      <c r="D35" s="123" t="s">
        <v>208</v>
      </c>
      <c r="E35" s="122">
        <v>0.5</v>
      </c>
      <c r="F35" s="72">
        <f>E35*B35</f>
        <v>43</v>
      </c>
      <c r="G35" s="121">
        <f t="shared" ref="G35:G40" si="20">F35/$F$41</f>
        <v>0.5</v>
      </c>
      <c r="H35" s="120" t="s">
        <v>208</v>
      </c>
      <c r="I35" s="119">
        <f>1-E35</f>
        <v>0.5</v>
      </c>
      <c r="J35" s="71">
        <f t="shared" ref="J35:J40" si="21">I35*B35</f>
        <v>43</v>
      </c>
      <c r="K35" s="118">
        <f>J35/$J$41</f>
        <v>1</v>
      </c>
      <c r="L35" s="117" t="s">
        <v>208</v>
      </c>
      <c r="M35" s="116"/>
      <c r="R35">
        <f>C54/B17</f>
        <v>2.9655172413793105</v>
      </c>
    </row>
    <row r="36" spans="1:18" ht="15.75" x14ac:dyDescent="0.25">
      <c r="A36" s="97" t="str">
        <f t="shared" si="18"/>
        <v>Compost_Emissions_C</v>
      </c>
      <c r="B36" s="73">
        <v>18.920000000000002</v>
      </c>
      <c r="C36" s="124">
        <f t="shared" si="19"/>
        <v>0.14666666666666667</v>
      </c>
      <c r="D36" s="123" t="s">
        <v>208</v>
      </c>
      <c r="E36" s="122">
        <v>1</v>
      </c>
      <c r="F36" s="72">
        <v>18.920000000000002</v>
      </c>
      <c r="G36" s="121">
        <f t="shared" si="20"/>
        <v>0.22000000000000003</v>
      </c>
      <c r="H36" s="120" t="s">
        <v>208</v>
      </c>
      <c r="I36" s="119">
        <f>1-E36</f>
        <v>0</v>
      </c>
      <c r="J36" s="71">
        <f t="shared" si="21"/>
        <v>0</v>
      </c>
      <c r="K36" s="118">
        <f>J36/$J$41</f>
        <v>0</v>
      </c>
      <c r="L36" s="117" t="s">
        <v>208</v>
      </c>
      <c r="M36" s="116"/>
    </row>
    <row r="37" spans="1:18" ht="15.75" x14ac:dyDescent="0.25">
      <c r="A37" s="97" t="str">
        <f t="shared" si="18"/>
        <v>Compost_Emissions_E</v>
      </c>
      <c r="B37" s="73">
        <v>24.08</v>
      </c>
      <c r="C37" s="124">
        <f t="shared" si="19"/>
        <v>0.18666666666666665</v>
      </c>
      <c r="D37" s="123"/>
      <c r="E37" s="122">
        <v>1</v>
      </c>
      <c r="F37" s="72">
        <f t="shared" ref="F36:F40" si="22">E37*B37</f>
        <v>24.08</v>
      </c>
      <c r="G37" s="121">
        <f t="shared" si="20"/>
        <v>0.27999999999999997</v>
      </c>
      <c r="H37" s="120"/>
      <c r="I37" s="119">
        <f>1-E37</f>
        <v>0</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129</v>
      </c>
      <c r="C41" s="114">
        <f>SUM(C35:C40)</f>
        <v>0.99999999999999989</v>
      </c>
      <c r="D41" s="113"/>
      <c r="E41" s="112">
        <f>F41/B41</f>
        <v>0.66666666666666663</v>
      </c>
      <c r="F41" s="111">
        <f>SUM(F35:F40)</f>
        <v>86</v>
      </c>
      <c r="G41" s="110">
        <f>SUM(G35:G40)</f>
        <v>1</v>
      </c>
      <c r="H41" s="109"/>
      <c r="I41" s="108">
        <f>J41/B41</f>
        <v>0.33333333333333331</v>
      </c>
      <c r="J41" s="107">
        <f>SUM(J35:J40)</f>
        <v>43</v>
      </c>
      <c r="K41" s="106">
        <f>SUM(K35:K40)</f>
        <v>1</v>
      </c>
      <c r="L41" s="105"/>
      <c r="M41" s="104"/>
    </row>
    <row r="42" spans="1:18" ht="16.5" customHeight="1" thickBot="1" x14ac:dyDescent="0.3">
      <c r="A42" s="167" t="s">
        <v>235</v>
      </c>
      <c r="B42" s="232" t="s">
        <v>234</v>
      </c>
      <c r="C42" s="233"/>
      <c r="D42" s="233"/>
      <c r="E42" s="233"/>
      <c r="F42" s="233"/>
      <c r="G42" s="233"/>
      <c r="H42" s="234"/>
      <c r="I42" s="235" t="s">
        <v>233</v>
      </c>
      <c r="J42" s="236"/>
      <c r="K42" s="236"/>
      <c r="L42" s="236"/>
      <c r="M42" s="237"/>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Compost</v>
      </c>
      <c r="B44" s="96">
        <v>0.52</v>
      </c>
      <c r="C44" s="94">
        <f>J35*B44</f>
        <v>22.36</v>
      </c>
      <c r="D44" s="95">
        <f t="shared" ref="D44:D49" si="24">C44/$C$50</f>
        <v>0.54166666666666663</v>
      </c>
      <c r="E44" s="94" t="s">
        <v>208</v>
      </c>
      <c r="F44" s="93">
        <f>B44*I35</f>
        <v>0.26</v>
      </c>
      <c r="G44" s="92">
        <f>B44*I35*B35</f>
        <v>22.36</v>
      </c>
      <c r="H44" s="91">
        <f t="shared" ref="H44:H49" si="25">G44/$G$50</f>
        <v>0.54166666666666663</v>
      </c>
      <c r="I44" s="90">
        <f t="shared" ref="I44:I49" si="26">$A$12*B58</f>
        <v>666.66666666666652</v>
      </c>
      <c r="J44" s="89">
        <f t="shared" ref="J44:J49" si="27">I44*E35</f>
        <v>333.33333333333326</v>
      </c>
      <c r="K44" s="89">
        <f t="shared" ref="K44:K49" si="28">I44*I35</f>
        <v>333.33333333333326</v>
      </c>
      <c r="L44" s="89">
        <f t="shared" ref="L44:L49" si="29">SUM(J44:K44)</f>
        <v>666.66666666666652</v>
      </c>
      <c r="M44" s="88">
        <f t="shared" ref="M44:M49" si="30">I44*F44</f>
        <v>173.33333333333329</v>
      </c>
    </row>
    <row r="45" spans="1:18" ht="15.75" x14ac:dyDescent="0.25">
      <c r="A45" s="97" t="str">
        <f t="shared" si="23"/>
        <v>Compost_Emissions_C</v>
      </c>
      <c r="B45" s="96">
        <v>1</v>
      </c>
      <c r="C45" s="94">
        <f>F36*B45</f>
        <v>18.920000000000002</v>
      </c>
      <c r="D45" s="95">
        <f t="shared" si="24"/>
        <v>0.45833333333333337</v>
      </c>
      <c r="E45" s="94" t="s">
        <v>208</v>
      </c>
      <c r="F45" s="93">
        <f t="shared" ref="F45:F49" si="31">B45*E36</f>
        <v>1</v>
      </c>
      <c r="G45" s="92">
        <f t="shared" ref="G45:G49" si="32">B45*E36*B36</f>
        <v>18.920000000000002</v>
      </c>
      <c r="H45" s="91">
        <f t="shared" si="25"/>
        <v>0.45833333333333337</v>
      </c>
      <c r="I45" s="90">
        <f t="shared" si="26"/>
        <v>146.66666666666663</v>
      </c>
      <c r="J45" s="89">
        <f t="shared" si="27"/>
        <v>146.66666666666663</v>
      </c>
      <c r="K45" s="89">
        <f t="shared" si="28"/>
        <v>0</v>
      </c>
      <c r="L45" s="89">
        <f t="shared" si="29"/>
        <v>146.66666666666663</v>
      </c>
      <c r="M45" s="88">
        <f t="shared" si="30"/>
        <v>146.66666666666663</v>
      </c>
      <c r="R45">
        <f>E53-E54</f>
        <v>0</v>
      </c>
    </row>
    <row r="46" spans="1:18" ht="15.75" x14ac:dyDescent="0.25">
      <c r="A46" s="97" t="str">
        <f t="shared" si="23"/>
        <v>Compost_Emissions_E</v>
      </c>
      <c r="B46" s="96">
        <v>0</v>
      </c>
      <c r="C46" s="94">
        <f t="shared" ref="C46" si="33">J37*B46</f>
        <v>0</v>
      </c>
      <c r="D46" s="95">
        <f t="shared" si="24"/>
        <v>0</v>
      </c>
      <c r="E46" s="94" t="s">
        <v>208</v>
      </c>
      <c r="F46" s="93">
        <f t="shared" si="31"/>
        <v>0</v>
      </c>
      <c r="G46" s="92">
        <f t="shared" si="32"/>
        <v>0</v>
      </c>
      <c r="H46" s="91">
        <f t="shared" si="25"/>
        <v>0</v>
      </c>
      <c r="I46" s="90">
        <f t="shared" si="26"/>
        <v>186.66666666666663</v>
      </c>
      <c r="J46" s="89">
        <f t="shared" si="27"/>
        <v>186.66666666666663</v>
      </c>
      <c r="K46" s="89">
        <f t="shared" si="28"/>
        <v>0</v>
      </c>
      <c r="L46" s="89">
        <f t="shared" si="29"/>
        <v>186.66666666666663</v>
      </c>
      <c r="M46" s="88">
        <f t="shared" si="30"/>
        <v>0</v>
      </c>
    </row>
    <row r="47" spans="1:18" ht="15.75" x14ac:dyDescent="0.25">
      <c r="A47" s="97" t="str">
        <f t="shared" si="23"/>
        <v>N.A.</v>
      </c>
      <c r="B47" s="96"/>
      <c r="C47" s="94">
        <f t="shared" ref="C47" si="34">F38*B47</f>
        <v>0</v>
      </c>
      <c r="D47" s="95">
        <f t="shared" si="24"/>
        <v>0</v>
      </c>
      <c r="E47" s="94"/>
      <c r="F47" s="93">
        <f t="shared" si="31"/>
        <v>0</v>
      </c>
      <c r="G47" s="92">
        <f t="shared" si="32"/>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ref="C48" si="35">J39*B48</f>
        <v>0</v>
      </c>
      <c r="D48" s="95">
        <f t="shared" si="24"/>
        <v>0</v>
      </c>
      <c r="E48" s="94"/>
      <c r="F48" s="93">
        <f t="shared" si="31"/>
        <v>0</v>
      </c>
      <c r="G48" s="92">
        <f t="shared" si="32"/>
        <v>0</v>
      </c>
      <c r="H48" s="91">
        <f t="shared" si="25"/>
        <v>0</v>
      </c>
      <c r="I48" s="90">
        <f t="shared" si="26"/>
        <v>0</v>
      </c>
      <c r="J48" s="89">
        <f t="shared" si="27"/>
        <v>0</v>
      </c>
      <c r="K48" s="89">
        <f t="shared" si="28"/>
        <v>0</v>
      </c>
      <c r="L48" s="89">
        <f t="shared" si="29"/>
        <v>0</v>
      </c>
      <c r="M48" s="88">
        <f t="shared" si="30"/>
        <v>0</v>
      </c>
    </row>
    <row r="49" spans="1:18" ht="16.5" thickBot="1" x14ac:dyDescent="0.3">
      <c r="A49" s="97">
        <f t="shared" si="23"/>
        <v>0</v>
      </c>
      <c r="B49" s="96"/>
      <c r="C49" s="94">
        <f t="shared" ref="C49" si="36">F40*B49</f>
        <v>0</v>
      </c>
      <c r="D49" s="95">
        <f t="shared" si="24"/>
        <v>0</v>
      </c>
      <c r="E49" s="94"/>
      <c r="F49" s="93">
        <f t="shared" si="31"/>
        <v>0</v>
      </c>
      <c r="G49" s="92">
        <f t="shared" si="32"/>
        <v>0</v>
      </c>
      <c r="H49" s="91">
        <f t="shared" si="25"/>
        <v>0</v>
      </c>
      <c r="I49" s="90">
        <f t="shared" si="26"/>
        <v>0</v>
      </c>
      <c r="J49" s="89">
        <f t="shared" si="27"/>
        <v>0</v>
      </c>
      <c r="K49" s="89">
        <f t="shared" si="28"/>
        <v>0</v>
      </c>
      <c r="L49" s="89">
        <f t="shared" si="29"/>
        <v>0</v>
      </c>
      <c r="M49" s="88">
        <f t="shared" si="30"/>
        <v>0</v>
      </c>
      <c r="Q49" s="206"/>
    </row>
    <row r="50" spans="1:18" ht="16.5" thickBot="1" x14ac:dyDescent="0.3">
      <c r="A50" s="87" t="s">
        <v>210</v>
      </c>
      <c r="B50" s="86">
        <f>C50/F41</f>
        <v>0.48000000000000004</v>
      </c>
      <c r="C50" s="84">
        <f>SUM(C44:C49)</f>
        <v>41.28</v>
      </c>
      <c r="D50" s="85">
        <f>SUM(D44:D49)</f>
        <v>1</v>
      </c>
      <c r="E50" s="84"/>
      <c r="F50" s="83">
        <f>G50/B41</f>
        <v>0.32</v>
      </c>
      <c r="G50" s="82">
        <f t="shared" ref="G50:M50" si="37">SUM(G44:G49)</f>
        <v>41.28</v>
      </c>
      <c r="H50" s="81">
        <f t="shared" si="37"/>
        <v>1</v>
      </c>
      <c r="I50" s="80">
        <f t="shared" si="37"/>
        <v>999.99999999999977</v>
      </c>
      <c r="J50" s="79">
        <f t="shared" si="37"/>
        <v>666.66666666666652</v>
      </c>
      <c r="K50" s="79">
        <f t="shared" si="37"/>
        <v>333.33333333333326</v>
      </c>
      <c r="L50" s="79">
        <f t="shared" si="37"/>
        <v>999.99999999999977</v>
      </c>
      <c r="M50" s="78">
        <f t="shared" si="37"/>
        <v>319.99999999999989</v>
      </c>
      <c r="R50">
        <f>C53-C54</f>
        <v>0</v>
      </c>
    </row>
    <row r="51" spans="1:18" ht="15.75" thickBot="1" x14ac:dyDescent="0.3">
      <c r="A51" s="238" t="s">
        <v>220</v>
      </c>
      <c r="B51" s="239"/>
      <c r="C51" s="239"/>
      <c r="D51" s="239"/>
      <c r="E51" s="240"/>
      <c r="F51" s="241" t="s">
        <v>219</v>
      </c>
      <c r="G51" s="242"/>
      <c r="H51" s="242"/>
      <c r="I51" s="242"/>
      <c r="J51" s="242"/>
      <c r="K51" s="242"/>
      <c r="L51" s="242"/>
      <c r="M51" s="243"/>
    </row>
    <row r="52" spans="1:18" ht="16.5" thickBot="1" x14ac:dyDescent="0.3">
      <c r="A52" s="4" t="s">
        <v>218</v>
      </c>
      <c r="B52" s="77" t="s">
        <v>217</v>
      </c>
      <c r="C52" s="76" t="s">
        <v>189</v>
      </c>
      <c r="D52" s="75" t="s">
        <v>188</v>
      </c>
      <c r="E52" s="74" t="s">
        <v>216</v>
      </c>
      <c r="F52" s="231"/>
      <c r="G52" s="231"/>
      <c r="H52" s="231"/>
      <c r="I52" s="231"/>
      <c r="J52" s="231"/>
      <c r="K52" s="231"/>
      <c r="L52" s="231"/>
      <c r="M52" s="244"/>
    </row>
    <row r="53" spans="1:18" ht="15.75" x14ac:dyDescent="0.25">
      <c r="A53" s="5" t="s">
        <v>215</v>
      </c>
      <c r="B53" s="73">
        <f>B22</f>
        <v>129</v>
      </c>
      <c r="C53" s="72">
        <f>F22</f>
        <v>86</v>
      </c>
      <c r="D53" s="71">
        <f>J22</f>
        <v>43</v>
      </c>
      <c r="E53" s="70">
        <f>C31</f>
        <v>41.28</v>
      </c>
      <c r="F53" s="231"/>
      <c r="G53" s="231"/>
      <c r="H53" s="231"/>
      <c r="I53" s="231"/>
      <c r="J53" s="231"/>
      <c r="K53" s="231"/>
      <c r="L53" s="231"/>
      <c r="M53" s="244"/>
      <c r="P53">
        <f>C53-C54</f>
        <v>0</v>
      </c>
      <c r="R53">
        <f>R50-R45</f>
        <v>0</v>
      </c>
    </row>
    <row r="54" spans="1:18" ht="16.5" thickBot="1" x14ac:dyDescent="0.3">
      <c r="A54" s="5" t="s">
        <v>214</v>
      </c>
      <c r="B54" s="73">
        <f>B41</f>
        <v>129</v>
      </c>
      <c r="C54" s="72">
        <f>F41</f>
        <v>86</v>
      </c>
      <c r="D54" s="71">
        <f>J41</f>
        <v>43</v>
      </c>
      <c r="E54" s="70">
        <f>C50</f>
        <v>41.28</v>
      </c>
      <c r="F54" s="231"/>
      <c r="G54" s="231"/>
      <c r="H54" s="231"/>
      <c r="I54" s="231"/>
      <c r="J54" s="231"/>
      <c r="K54" s="231"/>
      <c r="L54" s="231"/>
      <c r="M54" s="244"/>
    </row>
    <row r="55" spans="1:18" ht="15.75" x14ac:dyDescent="0.25">
      <c r="A55" s="4" t="s">
        <v>213</v>
      </c>
      <c r="B55" s="162">
        <f>B53-B54</f>
        <v>0</v>
      </c>
      <c r="C55" s="163">
        <f>C53-C54</f>
        <v>0</v>
      </c>
      <c r="D55" s="164">
        <f>D53-D54</f>
        <v>0</v>
      </c>
      <c r="E55" s="165">
        <f>E53-E54</f>
        <v>0</v>
      </c>
      <c r="F55" s="231"/>
      <c r="G55" s="231"/>
      <c r="H55" s="231"/>
      <c r="I55" s="231"/>
      <c r="J55" s="231"/>
      <c r="K55" s="231"/>
      <c r="L55" s="231"/>
      <c r="M55" s="244"/>
    </row>
    <row r="56" spans="1:18" ht="16.5" thickBot="1" x14ac:dyDescent="0.3">
      <c r="A56" s="7" t="s">
        <v>212</v>
      </c>
      <c r="B56" s="69">
        <f>B53/B54</f>
        <v>1</v>
      </c>
      <c r="C56" s="67">
        <f>C53/C54</f>
        <v>1</v>
      </c>
      <c r="D56" s="66">
        <f>D53/D54</f>
        <v>1</v>
      </c>
      <c r="E56" s="65">
        <f>E53/E54</f>
        <v>1</v>
      </c>
      <c r="F56" s="231"/>
      <c r="G56" s="231"/>
      <c r="H56" s="231"/>
      <c r="I56" s="231"/>
      <c r="J56" s="231"/>
      <c r="K56" s="231"/>
      <c r="L56" s="231"/>
      <c r="M56" s="244"/>
    </row>
    <row r="57" spans="1:18" ht="15.75" thickBot="1" x14ac:dyDescent="0.3">
      <c r="A57" s="238" t="s">
        <v>211</v>
      </c>
      <c r="B57" s="239"/>
      <c r="C57" s="239"/>
      <c r="D57" s="239"/>
      <c r="E57" s="240"/>
      <c r="F57" s="231"/>
      <c r="G57" s="231"/>
      <c r="H57" s="231"/>
      <c r="I57" s="231"/>
      <c r="J57" s="231"/>
      <c r="K57" s="231"/>
      <c r="L57" s="231"/>
      <c r="M57" s="244"/>
    </row>
    <row r="58" spans="1:18" ht="16.5" thickBot="1" x14ac:dyDescent="0.3">
      <c r="A58" s="64" t="str">
        <f t="shared" ref="A58:A63" si="38">A44</f>
        <v>Compost</v>
      </c>
      <c r="B58" s="63">
        <f t="shared" ref="B58:B63" si="39">(B35*$C$41)/($B$22*$C$22)</f>
        <v>0.66666666666666652</v>
      </c>
      <c r="C58" s="62">
        <f>(E35*B35)/($B$22*$E$22)</f>
        <v>0.5</v>
      </c>
      <c r="D58" s="61">
        <f t="shared" ref="D58:D63" si="40">(I35*B35)/($B$22*$I$22)</f>
        <v>1</v>
      </c>
      <c r="E58" s="60">
        <f t="shared" ref="E58:E63" si="41">(F44*B35)/($B$22*$F$31)</f>
        <v>0.54166666666666663</v>
      </c>
      <c r="F58" s="231"/>
      <c r="G58" s="231"/>
      <c r="H58" s="231"/>
      <c r="I58" s="231"/>
      <c r="J58" s="231"/>
      <c r="K58" s="231"/>
      <c r="L58" s="231"/>
      <c r="M58" s="244"/>
    </row>
    <row r="59" spans="1:18" ht="16.5" thickBot="1" x14ac:dyDescent="0.3">
      <c r="A59" s="7" t="str">
        <f t="shared" si="38"/>
        <v>Compost_Emissions_C</v>
      </c>
      <c r="B59" s="68">
        <f t="shared" si="39"/>
        <v>0.14666666666666664</v>
      </c>
      <c r="C59" s="67">
        <f>(E36*B36)/($B$22*$E$22)</f>
        <v>0.22000000000000003</v>
      </c>
      <c r="D59" s="66">
        <f t="shared" si="40"/>
        <v>0</v>
      </c>
      <c r="E59" s="65">
        <f t="shared" si="41"/>
        <v>0.45833333333333337</v>
      </c>
      <c r="F59" s="231"/>
      <c r="G59" s="231"/>
      <c r="H59" s="231"/>
      <c r="I59" s="231"/>
      <c r="J59" s="231"/>
      <c r="K59" s="231"/>
      <c r="L59" s="231"/>
      <c r="M59" s="244"/>
    </row>
    <row r="60" spans="1:18" ht="16.5" thickBot="1" x14ac:dyDescent="0.3">
      <c r="A60" s="7" t="str">
        <f t="shared" si="38"/>
        <v>Compost_Emissions_E</v>
      </c>
      <c r="B60" s="68">
        <f t="shared" si="39"/>
        <v>0.18666666666666662</v>
      </c>
      <c r="C60" s="67">
        <f>(E37*B37)/($B$22*$E$22)</f>
        <v>0.27999999999999997</v>
      </c>
      <c r="D60" s="66">
        <f t="shared" si="40"/>
        <v>0</v>
      </c>
      <c r="E60" s="65">
        <f t="shared" si="41"/>
        <v>0</v>
      </c>
      <c r="F60" s="231"/>
      <c r="G60" s="231"/>
      <c r="H60" s="231"/>
      <c r="I60" s="231"/>
      <c r="J60" s="231"/>
      <c r="K60" s="231"/>
      <c r="L60" s="231"/>
      <c r="M60" s="244"/>
    </row>
    <row r="61" spans="1:18" ht="16.5" thickBot="1" x14ac:dyDescent="0.3">
      <c r="A61" s="7" t="str">
        <f t="shared" si="38"/>
        <v>N.A.</v>
      </c>
      <c r="B61" s="68">
        <f t="shared" si="39"/>
        <v>0</v>
      </c>
      <c r="C61" s="67">
        <f>($G$41*F38)/($B$22*$E$22)</f>
        <v>0</v>
      </c>
      <c r="D61" s="66">
        <f t="shared" si="40"/>
        <v>0</v>
      </c>
      <c r="E61" s="65">
        <f t="shared" si="41"/>
        <v>0</v>
      </c>
      <c r="F61" s="231"/>
      <c r="G61" s="231"/>
      <c r="H61" s="231"/>
      <c r="I61" s="231"/>
      <c r="J61" s="231"/>
      <c r="K61" s="231"/>
      <c r="L61" s="231"/>
      <c r="M61" s="244"/>
    </row>
    <row r="62" spans="1:18" ht="16.5" thickBot="1" x14ac:dyDescent="0.3">
      <c r="A62" s="7" t="str">
        <f t="shared" si="38"/>
        <v>N.A.</v>
      </c>
      <c r="B62" s="68">
        <f t="shared" si="39"/>
        <v>0</v>
      </c>
      <c r="C62" s="67">
        <f>(B39*E39)/($B$22*$E$22)</f>
        <v>0</v>
      </c>
      <c r="D62" s="66">
        <f t="shared" si="40"/>
        <v>0</v>
      </c>
      <c r="E62" s="65">
        <f t="shared" si="41"/>
        <v>0</v>
      </c>
      <c r="F62" s="231"/>
      <c r="G62" s="231"/>
      <c r="H62" s="231"/>
      <c r="I62" s="231"/>
      <c r="J62" s="231"/>
      <c r="K62" s="231"/>
      <c r="L62" s="231"/>
      <c r="M62" s="244"/>
    </row>
    <row r="63" spans="1:18" ht="16.5" thickBot="1" x14ac:dyDescent="0.3">
      <c r="A63" s="7">
        <f t="shared" si="38"/>
        <v>0</v>
      </c>
      <c r="B63" s="68">
        <f t="shared" si="39"/>
        <v>0</v>
      </c>
      <c r="C63" s="67">
        <f>(B40*E40)/($B$22*$E$22)</f>
        <v>0</v>
      </c>
      <c r="D63" s="66">
        <f t="shared" si="40"/>
        <v>0</v>
      </c>
      <c r="E63" s="65">
        <f t="shared" si="41"/>
        <v>0</v>
      </c>
      <c r="F63" s="231"/>
      <c r="G63" s="231"/>
      <c r="H63" s="231"/>
      <c r="I63" s="231"/>
      <c r="J63" s="231"/>
      <c r="K63" s="231"/>
      <c r="L63" s="231"/>
      <c r="M63" s="244"/>
    </row>
    <row r="64" spans="1:18" ht="16.5" thickBot="1" x14ac:dyDescent="0.3">
      <c r="A64" s="4" t="s">
        <v>210</v>
      </c>
      <c r="B64" s="158">
        <f>SUM(B58:B63)</f>
        <v>0.99999999999999978</v>
      </c>
      <c r="C64" s="159">
        <f>SUM(C58:C63)</f>
        <v>1</v>
      </c>
      <c r="D64" s="160">
        <f>SUM(D58:D63)</f>
        <v>1</v>
      </c>
      <c r="E64" s="161">
        <f>SUM(E58:E63)</f>
        <v>1</v>
      </c>
      <c r="F64" s="231"/>
      <c r="G64" s="231"/>
      <c r="H64" s="231"/>
      <c r="I64" s="231"/>
      <c r="J64" s="231"/>
      <c r="K64" s="231"/>
      <c r="L64" s="231"/>
      <c r="M64" s="244"/>
    </row>
    <row r="65" spans="1:13" ht="16.5" thickBot="1" x14ac:dyDescent="0.3">
      <c r="A65" s="245" t="s">
        <v>209</v>
      </c>
      <c r="B65" s="246"/>
      <c r="C65" s="246"/>
      <c r="D65" s="246"/>
      <c r="E65" s="246"/>
      <c r="F65" s="246"/>
      <c r="G65" s="246"/>
      <c r="H65" s="246"/>
      <c r="I65" s="246"/>
      <c r="J65" s="246"/>
      <c r="K65" s="246"/>
      <c r="L65" s="246"/>
      <c r="M65" s="247"/>
    </row>
    <row r="66" spans="1:13" x14ac:dyDescent="0.25">
      <c r="A66" s="5" t="s">
        <v>208</v>
      </c>
      <c r="B66" s="248" t="s">
        <v>207</v>
      </c>
      <c r="C66" s="248"/>
      <c r="D66" s="248"/>
      <c r="E66" s="248"/>
      <c r="F66" s="248"/>
      <c r="G66" s="5" t="s">
        <v>206</v>
      </c>
      <c r="M66" s="59"/>
    </row>
    <row r="67" spans="1:13" ht="18.75" customHeight="1" x14ac:dyDescent="0.25">
      <c r="A67" s="5" t="s">
        <v>205</v>
      </c>
      <c r="B67" s="231" t="s">
        <v>192</v>
      </c>
      <c r="C67" s="231"/>
      <c r="D67" s="231"/>
      <c r="E67" s="231"/>
      <c r="F67" s="231"/>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A11:M11"/>
    <mergeCell ref="A13:M13"/>
    <mergeCell ref="B14:D14"/>
    <mergeCell ref="E14:H14"/>
    <mergeCell ref="I14:M14"/>
    <mergeCell ref="B23:H23"/>
    <mergeCell ref="I23:M23"/>
    <mergeCell ref="B8:D8"/>
    <mergeCell ref="F8:H8"/>
    <mergeCell ref="B9:D9"/>
    <mergeCell ref="F9:H9"/>
    <mergeCell ref="B10:D10"/>
    <mergeCell ref="F10:H10"/>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'2_1_Definition_Processes'!$C$2:$C$54</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5"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79" t="str">
        <f>'2_1_Definition_Processes'!D2</f>
        <v>Atmosphere</v>
      </c>
      <c r="C1" s="279"/>
      <c r="D1" s="279"/>
      <c r="E1" s="279"/>
      <c r="F1" s="279"/>
      <c r="G1" s="279"/>
      <c r="H1" s="279"/>
      <c r="I1" s="152" t="s">
        <v>261</v>
      </c>
      <c r="J1" s="280" t="s">
        <v>133</v>
      </c>
      <c r="K1" s="280"/>
      <c r="L1" s="280"/>
      <c r="M1" s="280"/>
    </row>
    <row r="2" spans="1:22" ht="16.5" thickBot="1" x14ac:dyDescent="0.3">
      <c r="A2" s="270" t="s">
        <v>260</v>
      </c>
      <c r="B2" s="271"/>
      <c r="C2" s="271"/>
      <c r="D2" s="271"/>
      <c r="E2" s="271"/>
      <c r="F2" s="271"/>
      <c r="G2" s="271"/>
      <c r="H2" s="271"/>
      <c r="I2" s="271"/>
      <c r="J2" s="271"/>
      <c r="K2" s="271"/>
      <c r="L2" s="271"/>
      <c r="M2" s="272"/>
    </row>
    <row r="3" spans="1:22" ht="126.75" customHeight="1" thickBot="1" x14ac:dyDescent="0.3">
      <c r="A3" s="281"/>
      <c r="B3" s="282"/>
      <c r="C3" s="282"/>
      <c r="D3" s="282"/>
      <c r="E3" s="282"/>
      <c r="F3" s="282"/>
      <c r="G3" s="282"/>
      <c r="H3" s="282"/>
      <c r="I3" s="282"/>
      <c r="J3" s="282"/>
      <c r="K3" s="282"/>
      <c r="L3" s="282"/>
      <c r="M3" s="283"/>
    </row>
    <row r="4" spans="1:22" ht="31.5" customHeight="1" x14ac:dyDescent="0.25">
      <c r="A4" s="151" t="s">
        <v>259</v>
      </c>
      <c r="B4" s="284"/>
      <c r="C4" s="285"/>
      <c r="D4" s="286"/>
      <c r="E4" s="287" t="s">
        <v>258</v>
      </c>
      <c r="F4" s="288"/>
      <c r="G4" s="156"/>
      <c r="H4" s="156"/>
      <c r="I4" s="150"/>
      <c r="J4" s="150"/>
      <c r="K4" s="150"/>
      <c r="L4" s="150"/>
      <c r="M4" s="150"/>
    </row>
    <row r="5" spans="1:22" ht="16.5" customHeight="1" x14ac:dyDescent="0.25">
      <c r="A5" s="153" t="s">
        <v>257</v>
      </c>
      <c r="B5" s="273" t="s">
        <v>444</v>
      </c>
      <c r="C5" s="273"/>
      <c r="D5" s="274"/>
      <c r="E5" s="153" t="s">
        <v>257</v>
      </c>
      <c r="F5" s="275" t="str">
        <f>_xlfn.XLOOKUP(J1,Tab_Def_Processes[Process_ID],Tab_Def_Processes[Output_Flow_O_1],"No_flow.",0,1)</f>
        <v>Wheat Plant</v>
      </c>
      <c r="G5" s="275"/>
      <c r="H5" s="276"/>
      <c r="I5" s="154"/>
      <c r="J5" s="149"/>
      <c r="K5" s="149"/>
      <c r="L5" s="149"/>
      <c r="M5" s="146"/>
    </row>
    <row r="6" spans="1:22" ht="16.5" customHeight="1" x14ac:dyDescent="0.25">
      <c r="A6" s="153" t="s">
        <v>256</v>
      </c>
      <c r="B6" s="275" t="s">
        <v>445</v>
      </c>
      <c r="C6" s="275"/>
      <c r="D6" s="276"/>
      <c r="E6" s="153" t="s">
        <v>256</v>
      </c>
      <c r="F6" s="275" t="str">
        <f>_xlfn.XLOOKUP(J1,Tab_Def_Processes[Process_ID],Tab_Def_Processes[Output_Flow_O_2],"No_flow.",0,1)</f>
        <v>N.A.</v>
      </c>
      <c r="G6" s="275"/>
      <c r="H6" s="276"/>
      <c r="I6" s="154"/>
      <c r="J6" s="149"/>
      <c r="K6" s="149"/>
      <c r="L6" s="149"/>
      <c r="M6" s="146"/>
    </row>
    <row r="7" spans="1:22" ht="16.5" customHeight="1" x14ac:dyDescent="0.25">
      <c r="A7" s="148" t="s">
        <v>255</v>
      </c>
      <c r="B7" s="275" t="str">
        <f>_xlfn.XLOOKUP(J1,Tab_Def_Processes[Process_ID],Tab_Def_Processes[Input_Flow_I_3],"No_flow.",0,1)</f>
        <v>N.A.</v>
      </c>
      <c r="C7" s="275"/>
      <c r="D7" s="276"/>
      <c r="E7" s="148" t="s">
        <v>255</v>
      </c>
      <c r="F7" s="275" t="str">
        <f>_xlfn.XLOOKUP(J1,Tab_Def_Processes[Process_ID],Tab_Def_Processes[Output_Flow_O_3],"No_flow.",0,1)</f>
        <v>N.A.</v>
      </c>
      <c r="G7" s="275"/>
      <c r="H7" s="276"/>
      <c r="I7" s="155"/>
      <c r="J7" s="147"/>
      <c r="K7" s="147"/>
      <c r="L7" s="147"/>
      <c r="M7" s="146"/>
    </row>
    <row r="8" spans="1:22" ht="16.5" customHeight="1" x14ac:dyDescent="0.25">
      <c r="A8" s="148" t="s">
        <v>254</v>
      </c>
      <c r="B8" s="275" t="str">
        <f>_xlfn.XLOOKUP(J1,Tab_Def_Processes[Process_ID],Tab_Def_Processes[Input_Flow_I_4],"No_flow.",0,1)</f>
        <v>N.A.</v>
      </c>
      <c r="C8" s="275"/>
      <c r="D8" s="276"/>
      <c r="E8" s="148" t="s">
        <v>254</v>
      </c>
      <c r="F8" s="275" t="str">
        <f>_xlfn.XLOOKUP(J1,Tab_Def_Processes[Process_ID],Tab_Def_Processes[Output_Flow_O_4],"No_flow.",0,1)</f>
        <v>N.A.</v>
      </c>
      <c r="G8" s="275"/>
      <c r="H8" s="276"/>
      <c r="I8" s="155"/>
      <c r="J8" s="147"/>
      <c r="K8" s="147"/>
      <c r="L8" s="147"/>
      <c r="M8" s="146"/>
    </row>
    <row r="9" spans="1:22" ht="16.5" customHeight="1" x14ac:dyDescent="0.25">
      <c r="A9" s="148" t="s">
        <v>253</v>
      </c>
      <c r="B9" s="275" t="str">
        <f>_xlfn.XLOOKUP(J1,Tab_Def_Processes[Process_ID],Tab_Def_Processes[Input_Flow_I_5],"No_flow.",0,1)</f>
        <v>N.A.</v>
      </c>
      <c r="C9" s="275"/>
      <c r="D9" s="276"/>
      <c r="E9" s="148" t="s">
        <v>253</v>
      </c>
      <c r="F9" s="275" t="str">
        <f>_xlfn.XLOOKUP(J1,Tab_Def_Processes[Process_ID],Tab_Def_Processes[Output_Flow_O_5],"No_flow.",0,1)</f>
        <v>N.A.</v>
      </c>
      <c r="G9" s="275"/>
      <c r="H9" s="276"/>
      <c r="I9" s="155"/>
      <c r="J9" s="147"/>
      <c r="K9" s="147"/>
      <c r="L9" s="147"/>
      <c r="M9" s="146"/>
    </row>
    <row r="10" spans="1:22" ht="16.5" customHeight="1" thickBot="1" x14ac:dyDescent="0.3">
      <c r="A10" s="157" t="s">
        <v>252</v>
      </c>
      <c r="B10" s="277"/>
      <c r="C10" s="277"/>
      <c r="D10" s="278"/>
      <c r="E10" s="157" t="s">
        <v>252</v>
      </c>
      <c r="F10" s="277"/>
      <c r="G10" s="277"/>
      <c r="H10" s="278"/>
      <c r="I10" s="155"/>
      <c r="J10" s="147"/>
      <c r="K10" s="147"/>
      <c r="L10" s="147"/>
      <c r="M10" s="146"/>
    </row>
    <row r="11" spans="1:22" ht="16.5" thickBot="1" x14ac:dyDescent="0.3">
      <c r="A11" s="270" t="s">
        <v>251</v>
      </c>
      <c r="B11" s="271"/>
      <c r="C11" s="271"/>
      <c r="D11" s="271"/>
      <c r="E11" s="271"/>
      <c r="F11" s="271"/>
      <c r="G11" s="271"/>
      <c r="H11" s="271"/>
      <c r="I11" s="271"/>
      <c r="J11" s="271"/>
      <c r="K11" s="271"/>
      <c r="L11" s="271"/>
      <c r="M11" s="272"/>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45" t="s">
        <v>249</v>
      </c>
      <c r="B13" s="246"/>
      <c r="C13" s="246"/>
      <c r="D13" s="246"/>
      <c r="E13" s="246"/>
      <c r="F13" s="246"/>
      <c r="G13" s="246"/>
      <c r="H13" s="246"/>
      <c r="I13" s="246"/>
      <c r="J13" s="246"/>
      <c r="K13" s="246"/>
      <c r="L13" s="246"/>
      <c r="M13" s="247"/>
    </row>
    <row r="14" spans="1:22" ht="16.5" thickBot="1" x14ac:dyDescent="0.3">
      <c r="A14" s="103" t="s">
        <v>235</v>
      </c>
      <c r="B14" s="249" t="s">
        <v>247</v>
      </c>
      <c r="C14" s="250"/>
      <c r="D14" s="251"/>
      <c r="E14" s="252" t="s">
        <v>246</v>
      </c>
      <c r="F14" s="253"/>
      <c r="G14" s="253"/>
      <c r="H14" s="254"/>
      <c r="I14" s="255" t="s">
        <v>245</v>
      </c>
      <c r="J14" s="256"/>
      <c r="K14" s="256"/>
      <c r="L14" s="256"/>
      <c r="M14" s="257"/>
      <c r="P14" s="204">
        <v>0.2384</v>
      </c>
      <c r="Q14" s="55" t="s">
        <v>192</v>
      </c>
      <c r="R14" s="204">
        <v>0.76160000000000005</v>
      </c>
      <c r="S14" s="55" t="s">
        <v>192</v>
      </c>
      <c r="T14" s="204">
        <v>0</v>
      </c>
      <c r="U14" s="55" t="s">
        <v>192</v>
      </c>
      <c r="V14" s="190">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04">
        <v>0.14000000000000001</v>
      </c>
      <c r="Q15" s="55" t="s">
        <v>192</v>
      </c>
      <c r="R15" s="204">
        <v>0.86</v>
      </c>
      <c r="S15" s="55" t="s">
        <v>192</v>
      </c>
      <c r="T15" s="204">
        <v>0.48</v>
      </c>
      <c r="U15" s="55" t="s">
        <v>192</v>
      </c>
      <c r="V15" s="190">
        <f>Tab_Def_Flows[[#This Row],[CC_DM'[%']]]*Tab_Def_Flows[[#This Row],[DM]]</f>
        <v>0</v>
      </c>
    </row>
    <row r="16" spans="1:22" ht="23.25" customHeight="1" x14ac:dyDescent="0.25">
      <c r="A16" s="97" t="str">
        <f t="shared" ref="A16:A21" si="0">B5</f>
        <v>Atmosphere input</v>
      </c>
      <c r="B16" s="73">
        <v>297904.57</v>
      </c>
      <c r="C16" s="124">
        <f t="shared" ref="C16:C21" si="1">B16/$B$22</f>
        <v>0.41279999855889421</v>
      </c>
      <c r="D16" s="123" t="s">
        <v>208</v>
      </c>
      <c r="E16" s="122">
        <v>0</v>
      </c>
      <c r="F16" s="72">
        <f t="shared" ref="F16:F21" si="2">E16*B16</f>
        <v>0</v>
      </c>
      <c r="G16" s="121">
        <f t="shared" ref="G16:G21" si="3">F16/$F$22</f>
        <v>0</v>
      </c>
      <c r="H16" s="120" t="s">
        <v>208</v>
      </c>
      <c r="I16" s="119">
        <f>1-E16</f>
        <v>1</v>
      </c>
      <c r="J16" s="71">
        <f t="shared" ref="J16:J21" si="4">I16*B16</f>
        <v>297904.57</v>
      </c>
      <c r="K16" s="139">
        <f t="shared" ref="K16:K21" si="5">J16/$J$22</f>
        <v>0.47999999832429568</v>
      </c>
      <c r="L16" s="116" t="s">
        <v>208</v>
      </c>
      <c r="M16" s="116"/>
    </row>
    <row r="17" spans="1:23" ht="23.25" customHeight="1" x14ac:dyDescent="0.25">
      <c r="A17" s="97" t="str">
        <f t="shared" si="0"/>
        <v>Environment Input</v>
      </c>
      <c r="B17" s="73">
        <v>423763.48</v>
      </c>
      <c r="C17" s="124">
        <f t="shared" si="1"/>
        <v>0.58720000144110573</v>
      </c>
      <c r="D17" s="123" t="s">
        <v>208</v>
      </c>
      <c r="E17" s="122">
        <v>0.23841961794348115</v>
      </c>
      <c r="F17" s="72">
        <f t="shared" si="2"/>
        <v>101033.52700000002</v>
      </c>
      <c r="G17" s="121">
        <f t="shared" si="3"/>
        <v>1</v>
      </c>
      <c r="H17" s="120" t="s">
        <v>208</v>
      </c>
      <c r="I17" s="119">
        <f>1-E17</f>
        <v>0.76158038205651879</v>
      </c>
      <c r="J17" s="71">
        <f t="shared" si="4"/>
        <v>322729.95299999992</v>
      </c>
      <c r="K17" s="139">
        <f t="shared" si="5"/>
        <v>0.52000000167570437</v>
      </c>
      <c r="L17" s="116" t="s">
        <v>208</v>
      </c>
      <c r="M17" s="116"/>
    </row>
    <row r="18" spans="1:23" ht="23.25" customHeight="1" x14ac:dyDescent="0.25">
      <c r="A18" s="97" t="str">
        <f t="shared" si="0"/>
        <v>N.A.</v>
      </c>
      <c r="B18" s="73"/>
      <c r="C18" s="124">
        <f t="shared" si="1"/>
        <v>0</v>
      </c>
      <c r="D18" s="123"/>
      <c r="E18" s="122"/>
      <c r="F18" s="72">
        <f t="shared" si="2"/>
        <v>0</v>
      </c>
      <c r="G18" s="121">
        <f t="shared" si="3"/>
        <v>0</v>
      </c>
      <c r="H18" s="120"/>
      <c r="I18" s="119"/>
      <c r="J18" s="71">
        <f t="shared" si="4"/>
        <v>0</v>
      </c>
      <c r="K18" s="139">
        <f t="shared" si="5"/>
        <v>0</v>
      </c>
      <c r="L18" s="117"/>
      <c r="M18" s="116"/>
    </row>
    <row r="19" spans="1:2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2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2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23" ht="16.5" thickBot="1" x14ac:dyDescent="0.3">
      <c r="A22" s="87" t="s">
        <v>210</v>
      </c>
      <c r="B22" s="115">
        <f>SUM(B16:B19)</f>
        <v>721668.05</v>
      </c>
      <c r="C22" s="138">
        <f>C16+C17+C18</f>
        <v>1</v>
      </c>
      <c r="D22" s="113"/>
      <c r="E22" s="112">
        <f>F22/B22</f>
        <v>0.14000000000000001</v>
      </c>
      <c r="F22" s="111">
        <f>SUM(F16:F19)</f>
        <v>101033.52700000002</v>
      </c>
      <c r="G22" s="137">
        <f>SUM(G16:G19)</f>
        <v>1</v>
      </c>
      <c r="H22" s="109"/>
      <c r="I22" s="108">
        <f>J22/B22</f>
        <v>0.85999999999999988</v>
      </c>
      <c r="J22" s="107">
        <f>J16+J17+J18</f>
        <v>620634.52299999993</v>
      </c>
      <c r="K22" s="136">
        <f>SUM(K16:K19)</f>
        <v>1</v>
      </c>
      <c r="L22" s="105"/>
      <c r="M22" s="104"/>
    </row>
    <row r="23" spans="1:23" ht="16.5" customHeight="1" thickBot="1" x14ac:dyDescent="0.3">
      <c r="A23" s="167" t="s">
        <v>235</v>
      </c>
      <c r="B23" s="232" t="s">
        <v>234</v>
      </c>
      <c r="C23" s="233"/>
      <c r="D23" s="233"/>
      <c r="E23" s="233"/>
      <c r="F23" s="233"/>
      <c r="G23" s="233"/>
      <c r="H23" s="234"/>
      <c r="I23" s="235" t="s">
        <v>233</v>
      </c>
      <c r="J23" s="236"/>
      <c r="K23" s="236"/>
      <c r="L23" s="236"/>
      <c r="M23" s="237"/>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04">
        <v>0.14000000000000001</v>
      </c>
      <c r="Q24" s="55" t="s">
        <v>192</v>
      </c>
      <c r="R24" s="204">
        <v>0.86</v>
      </c>
      <c r="S24" s="55" t="s">
        <v>192</v>
      </c>
      <c r="T24" s="204">
        <v>0.48</v>
      </c>
      <c r="U24" s="55" t="s">
        <v>192</v>
      </c>
      <c r="V24" s="190">
        <f>Tab_Def_Flows[[#This Row],[CC_DM'[%']]]*Tab_Def_Flows[[#This Row],[DM]]</f>
        <v>0</v>
      </c>
      <c r="W24" s="205" t="s">
        <v>193</v>
      </c>
    </row>
    <row r="25" spans="1:23" ht="27" customHeight="1" x14ac:dyDescent="0.25">
      <c r="A25" s="97" t="str">
        <f t="shared" ref="A25:A30" si="6">B5</f>
        <v>Atmosphere input</v>
      </c>
      <c r="B25" s="96">
        <v>1</v>
      </c>
      <c r="C25" s="94">
        <f>J16*B25</f>
        <v>297904.57</v>
      </c>
      <c r="D25" s="95">
        <f t="shared" ref="D25:D30" si="7">C25/$C$31</f>
        <v>1</v>
      </c>
      <c r="E25" s="94" t="s">
        <v>208</v>
      </c>
      <c r="F25" s="93">
        <f t="shared" ref="F25:F30" si="8">B25*E16</f>
        <v>0</v>
      </c>
      <c r="G25" s="92">
        <f t="shared" ref="G25:G30" si="9">B25*E16*B16</f>
        <v>0</v>
      </c>
      <c r="H25" s="91" t="e">
        <f t="shared" ref="H25:H30" si="10">G25/$G$31</f>
        <v>#DIV/0!</v>
      </c>
      <c r="I25" s="135">
        <f t="shared" ref="I25:I30" si="11">$A$12*C16</f>
        <v>412.79999855889423</v>
      </c>
      <c r="J25" s="134">
        <f t="shared" ref="J25:J30" si="12">I25*E16</f>
        <v>0</v>
      </c>
      <c r="K25" s="134">
        <f t="shared" ref="K25:K30" si="13">I25*I16</f>
        <v>412.79999855889423</v>
      </c>
      <c r="L25" s="134">
        <f t="shared" ref="L25:L30" si="14">SUM(J25:K25)</f>
        <v>412.79999855889423</v>
      </c>
      <c r="M25" s="133">
        <f t="shared" ref="M25:M30" si="15">I25*F25</f>
        <v>0</v>
      </c>
    </row>
    <row r="26" spans="1:23" ht="31.5" x14ac:dyDescent="0.25">
      <c r="A26" s="97" t="str">
        <f t="shared" si="6"/>
        <v>Environment Input</v>
      </c>
      <c r="B26" s="96">
        <v>0</v>
      </c>
      <c r="C26" s="94">
        <f>J17*B26</f>
        <v>0</v>
      </c>
      <c r="D26" s="95">
        <f t="shared" si="7"/>
        <v>0</v>
      </c>
      <c r="E26" s="94" t="s">
        <v>208</v>
      </c>
      <c r="F26" s="93">
        <f t="shared" si="8"/>
        <v>0</v>
      </c>
      <c r="G26" s="92">
        <f t="shared" si="9"/>
        <v>0</v>
      </c>
      <c r="H26" s="91" t="e">
        <f t="shared" si="10"/>
        <v>#DIV/0!</v>
      </c>
      <c r="I26" s="135">
        <f t="shared" si="11"/>
        <v>587.20000144110577</v>
      </c>
      <c r="J26" s="134">
        <f t="shared" si="12"/>
        <v>140.00000000000003</v>
      </c>
      <c r="K26" s="134">
        <f t="shared" si="13"/>
        <v>447.20000144110571</v>
      </c>
      <c r="L26" s="134">
        <f t="shared" si="14"/>
        <v>587.20000144110577</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t="e">
        <f t="shared" si="10"/>
        <v>#DIV/0!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t="e">
        <f t="shared" si="10"/>
        <v>#DIV/0!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t="e">
        <f t="shared" si="10"/>
        <v>#DIV/0!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t="e">
        <f t="shared" si="10"/>
        <v>#DIV/0!</v>
      </c>
      <c r="I30" s="135">
        <f t="shared" si="11"/>
        <v>0</v>
      </c>
      <c r="J30" s="134">
        <f t="shared" si="12"/>
        <v>0</v>
      </c>
      <c r="K30" s="134">
        <f t="shared" si="13"/>
        <v>0</v>
      </c>
      <c r="L30" s="134">
        <f t="shared" si="14"/>
        <v>0</v>
      </c>
      <c r="M30" s="133">
        <f t="shared" si="15"/>
        <v>0</v>
      </c>
    </row>
    <row r="31" spans="1:23" ht="16.5" thickBot="1" x14ac:dyDescent="0.3">
      <c r="A31" s="87" t="s">
        <v>210</v>
      </c>
      <c r="B31" s="86">
        <f>C31/F22</f>
        <v>2.9485714182778153</v>
      </c>
      <c r="C31" s="84">
        <f>SUM(C25:C30)</f>
        <v>297904.57</v>
      </c>
      <c r="D31" s="132">
        <f>SUM(D24:D30)</f>
        <v>1</v>
      </c>
      <c r="E31" s="84"/>
      <c r="F31" s="131">
        <f>G31/B22</f>
        <v>0</v>
      </c>
      <c r="G31" s="82">
        <f t="shared" ref="G31:M31" si="17">SUM(G25:G30)</f>
        <v>0</v>
      </c>
      <c r="H31" s="81" t="e">
        <f t="shared" si="17"/>
        <v>#DIV/0!</v>
      </c>
      <c r="I31" s="80">
        <f t="shared" si="17"/>
        <v>1000</v>
      </c>
      <c r="J31" s="79">
        <f t="shared" si="17"/>
        <v>140.00000000000003</v>
      </c>
      <c r="K31" s="79">
        <f t="shared" si="17"/>
        <v>860</v>
      </c>
      <c r="L31" s="79">
        <f t="shared" si="17"/>
        <v>1000</v>
      </c>
      <c r="M31" s="78">
        <f t="shared" si="17"/>
        <v>0</v>
      </c>
    </row>
    <row r="32" spans="1:23" ht="16.5" thickBot="1" x14ac:dyDescent="0.3">
      <c r="A32" s="258" t="s">
        <v>248</v>
      </c>
      <c r="B32" s="259"/>
      <c r="C32" s="259"/>
      <c r="D32" s="259"/>
      <c r="E32" s="259"/>
      <c r="F32" s="259"/>
      <c r="G32" s="259"/>
      <c r="H32" s="259"/>
      <c r="I32" s="259"/>
      <c r="J32" s="259"/>
      <c r="K32" s="259"/>
      <c r="L32" s="259"/>
      <c r="M32" s="260"/>
    </row>
    <row r="33" spans="1:18" ht="16.5" customHeight="1" thickBot="1" x14ac:dyDescent="0.3">
      <c r="A33" s="103" t="s">
        <v>235</v>
      </c>
      <c r="B33" s="261" t="s">
        <v>247</v>
      </c>
      <c r="C33" s="262"/>
      <c r="D33" s="263"/>
      <c r="E33" s="264" t="s">
        <v>246</v>
      </c>
      <c r="F33" s="265"/>
      <c r="G33" s="265"/>
      <c r="H33" s="266"/>
      <c r="I33" s="267" t="s">
        <v>245</v>
      </c>
      <c r="J33" s="268"/>
      <c r="K33" s="268"/>
      <c r="L33" s="268"/>
      <c r="M33" s="269"/>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Wheat Plant</v>
      </c>
      <c r="B35" s="73">
        <f>B22</f>
        <v>721668.05</v>
      </c>
      <c r="C35" s="124">
        <f t="shared" ref="C35:C40" si="19">B35/$B$41</f>
        <v>1</v>
      </c>
      <c r="D35" s="123" t="s">
        <v>208</v>
      </c>
      <c r="E35" s="122">
        <v>0.14000000000000001</v>
      </c>
      <c r="F35" s="72">
        <f>E35*B35</f>
        <v>101033.52700000002</v>
      </c>
      <c r="G35" s="121">
        <f t="shared" ref="G35:G40" si="20">F35/$F$41</f>
        <v>1</v>
      </c>
      <c r="H35" s="120" t="s">
        <v>208</v>
      </c>
      <c r="I35" s="119">
        <f>1-E35</f>
        <v>0.86</v>
      </c>
      <c r="J35" s="71">
        <f t="shared" ref="J35:J40" si="21">I35*B35</f>
        <v>620634.52300000004</v>
      </c>
      <c r="K35" s="118">
        <f>J35/$J$41</f>
        <v>1</v>
      </c>
      <c r="L35" s="117" t="s">
        <v>208</v>
      </c>
      <c r="M35" s="116"/>
      <c r="R35">
        <f>C54/B17</f>
        <v>0.23841961794348115</v>
      </c>
    </row>
    <row r="36" spans="1:18" ht="15.75" x14ac:dyDescent="0.25">
      <c r="A36" s="97" t="str">
        <f t="shared" si="18"/>
        <v>N.A.</v>
      </c>
      <c r="B36" s="73">
        <v>0</v>
      </c>
      <c r="C36" s="124">
        <f t="shared" si="19"/>
        <v>0</v>
      </c>
      <c r="D36" s="123" t="s">
        <v>208</v>
      </c>
      <c r="E36" s="122">
        <v>0</v>
      </c>
      <c r="F36" s="72">
        <f t="shared" ref="F36:F40" si="22">E36*B36</f>
        <v>0</v>
      </c>
      <c r="G36" s="121">
        <f t="shared" si="20"/>
        <v>0</v>
      </c>
      <c r="H36" s="120" t="s">
        <v>208</v>
      </c>
      <c r="I36" s="119">
        <f>1-E36</f>
        <v>1</v>
      </c>
      <c r="J36" s="71">
        <f t="shared" si="21"/>
        <v>0</v>
      </c>
      <c r="K36" s="118">
        <f>J36/$J$41</f>
        <v>0</v>
      </c>
      <c r="L36" s="117" t="s">
        <v>208</v>
      </c>
      <c r="M36" s="116"/>
    </row>
    <row r="37" spans="1:18" ht="15.75" x14ac:dyDescent="0.25">
      <c r="A37" s="97" t="str">
        <f t="shared" si="18"/>
        <v>N.A.</v>
      </c>
      <c r="B37" s="73">
        <v>0</v>
      </c>
      <c r="C37" s="124">
        <f t="shared" si="19"/>
        <v>0</v>
      </c>
      <c r="D37" s="123"/>
      <c r="E37" s="122">
        <v>0</v>
      </c>
      <c r="F37" s="72">
        <f t="shared" si="22"/>
        <v>0</v>
      </c>
      <c r="G37" s="121">
        <f t="shared" si="20"/>
        <v>0</v>
      </c>
      <c r="H37" s="120"/>
      <c r="I37" s="119">
        <f>1-E37</f>
        <v>1</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721668.05</v>
      </c>
      <c r="C41" s="114">
        <f>SUM(C35:C40)</f>
        <v>1</v>
      </c>
      <c r="D41" s="113"/>
      <c r="E41" s="112">
        <f>F41/B41</f>
        <v>0.14000000000000001</v>
      </c>
      <c r="F41" s="111">
        <f>SUM(F35:F40)</f>
        <v>101033.52700000002</v>
      </c>
      <c r="G41" s="110">
        <f>SUM(G35:G40)</f>
        <v>1</v>
      </c>
      <c r="H41" s="109"/>
      <c r="I41" s="108">
        <f>J41/B41</f>
        <v>0.86</v>
      </c>
      <c r="J41" s="107">
        <f>SUM(J35:J40)</f>
        <v>620634.52300000004</v>
      </c>
      <c r="K41" s="106">
        <f>SUM(K35:K40)</f>
        <v>1</v>
      </c>
      <c r="L41" s="105"/>
      <c r="M41" s="104"/>
    </row>
    <row r="42" spans="1:18" ht="16.5" customHeight="1" thickBot="1" x14ac:dyDescent="0.3">
      <c r="A42" s="167" t="s">
        <v>235</v>
      </c>
      <c r="B42" s="232" t="s">
        <v>234</v>
      </c>
      <c r="C42" s="233"/>
      <c r="D42" s="233"/>
      <c r="E42" s="233"/>
      <c r="F42" s="233"/>
      <c r="G42" s="233"/>
      <c r="H42" s="234"/>
      <c r="I42" s="235" t="s">
        <v>233</v>
      </c>
      <c r="J42" s="236"/>
      <c r="K42" s="236"/>
      <c r="L42" s="236"/>
      <c r="M42" s="237"/>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Wheat Plant</v>
      </c>
      <c r="B44" s="96">
        <v>0.48</v>
      </c>
      <c r="C44" s="94">
        <f>J35*B44</f>
        <v>297904.57104000001</v>
      </c>
      <c r="D44" s="95">
        <f t="shared" ref="D44:D49" si="24">C44/$C$50</f>
        <v>1</v>
      </c>
      <c r="E44" s="94" t="s">
        <v>208</v>
      </c>
      <c r="F44" s="93">
        <f>B44*I35</f>
        <v>0.4128</v>
      </c>
      <c r="G44" s="92">
        <f>B44*I35*B35</f>
        <v>297904.57104000001</v>
      </c>
      <c r="H44" s="91">
        <f t="shared" ref="H44:H49" si="25">G44/$G$50</f>
        <v>1</v>
      </c>
      <c r="I44" s="90">
        <f t="shared" ref="I44:I49" si="26">$A$12*B58</f>
        <v>1000</v>
      </c>
      <c r="J44" s="89">
        <f t="shared" ref="J44:J49" si="27">I44*E35</f>
        <v>140</v>
      </c>
      <c r="K44" s="89">
        <f t="shared" ref="K44:K49" si="28">I44*I35</f>
        <v>860</v>
      </c>
      <c r="L44" s="89">
        <f t="shared" ref="L44:L49" si="29">SUM(J44:K44)</f>
        <v>1000</v>
      </c>
      <c r="M44" s="88">
        <f t="shared" ref="M44:M49" si="30">I44*F44</f>
        <v>412.8</v>
      </c>
    </row>
    <row r="45" spans="1:18" ht="15.75" x14ac:dyDescent="0.25">
      <c r="A45" s="97" t="str">
        <f t="shared" si="23"/>
        <v>N.A.</v>
      </c>
      <c r="B45" s="96">
        <v>0</v>
      </c>
      <c r="C45" s="94">
        <f t="shared" ref="C45:C49" si="31">F36*B45</f>
        <v>0</v>
      </c>
      <c r="D45" s="95">
        <f t="shared" si="24"/>
        <v>0</v>
      </c>
      <c r="E45" s="94" t="s">
        <v>208</v>
      </c>
      <c r="F45" s="93">
        <f t="shared" ref="F45:F49" si="32">B45*E36</f>
        <v>0</v>
      </c>
      <c r="G45" s="92">
        <f t="shared" ref="G45:G49" si="33">B45*E36*B36</f>
        <v>0</v>
      </c>
      <c r="H45" s="91">
        <f t="shared" si="25"/>
        <v>0</v>
      </c>
      <c r="I45" s="90">
        <f t="shared" si="26"/>
        <v>0</v>
      </c>
      <c r="J45" s="89">
        <f t="shared" si="27"/>
        <v>0</v>
      </c>
      <c r="K45" s="89">
        <f t="shared" si="28"/>
        <v>0</v>
      </c>
      <c r="L45" s="89">
        <f t="shared" si="29"/>
        <v>0</v>
      </c>
      <c r="M45" s="88">
        <f t="shared" si="30"/>
        <v>0</v>
      </c>
    </row>
    <row r="46" spans="1:18" ht="15.75" x14ac:dyDescent="0.25">
      <c r="A46" s="97" t="str">
        <f t="shared" si="23"/>
        <v>N.A.</v>
      </c>
      <c r="B46" s="96">
        <v>0</v>
      </c>
      <c r="C46" s="94">
        <f t="shared" si="31"/>
        <v>0</v>
      </c>
      <c r="D46" s="95">
        <f t="shared" si="24"/>
        <v>0</v>
      </c>
      <c r="E46" s="94" t="s">
        <v>208</v>
      </c>
      <c r="F46" s="93">
        <f t="shared" si="32"/>
        <v>0</v>
      </c>
      <c r="G46" s="92">
        <f t="shared" si="33"/>
        <v>0</v>
      </c>
      <c r="H46" s="91">
        <f t="shared" si="25"/>
        <v>0</v>
      </c>
      <c r="I46" s="90">
        <f t="shared" si="26"/>
        <v>0</v>
      </c>
      <c r="J46" s="89">
        <f t="shared" si="27"/>
        <v>0</v>
      </c>
      <c r="K46" s="89">
        <f t="shared" si="28"/>
        <v>0</v>
      </c>
      <c r="L46" s="89">
        <f t="shared" si="29"/>
        <v>0</v>
      </c>
      <c r="M46" s="88">
        <f t="shared" si="30"/>
        <v>0</v>
      </c>
    </row>
    <row r="47" spans="1:18" ht="15.75" x14ac:dyDescent="0.25">
      <c r="A47" s="97" t="str">
        <f t="shared" si="23"/>
        <v>N.A.</v>
      </c>
      <c r="B47" s="96"/>
      <c r="C47" s="94">
        <f t="shared" si="31"/>
        <v>0</v>
      </c>
      <c r="D47" s="95">
        <f t="shared" si="24"/>
        <v>0</v>
      </c>
      <c r="E47" s="94"/>
      <c r="F47" s="93">
        <f t="shared" si="32"/>
        <v>0</v>
      </c>
      <c r="G47" s="92">
        <f t="shared" si="33"/>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si="31"/>
        <v>0</v>
      </c>
      <c r="D48" s="95">
        <f t="shared" si="24"/>
        <v>0</v>
      </c>
      <c r="E48" s="94"/>
      <c r="F48" s="93">
        <f t="shared" si="32"/>
        <v>0</v>
      </c>
      <c r="G48" s="92">
        <f t="shared" si="33"/>
        <v>0</v>
      </c>
      <c r="H48" s="91">
        <f t="shared" si="25"/>
        <v>0</v>
      </c>
      <c r="I48" s="90">
        <f t="shared" si="26"/>
        <v>0</v>
      </c>
      <c r="J48" s="89">
        <f t="shared" si="27"/>
        <v>0</v>
      </c>
      <c r="K48" s="89">
        <f t="shared" si="28"/>
        <v>0</v>
      </c>
      <c r="L48" s="89">
        <f t="shared" si="29"/>
        <v>0</v>
      </c>
      <c r="M48" s="88">
        <f t="shared" si="30"/>
        <v>0</v>
      </c>
    </row>
    <row r="49" spans="1:17" ht="16.5" thickBot="1" x14ac:dyDescent="0.3">
      <c r="A49" s="97">
        <f t="shared" si="23"/>
        <v>0</v>
      </c>
      <c r="B49" s="96"/>
      <c r="C49" s="94">
        <f t="shared" si="31"/>
        <v>0</v>
      </c>
      <c r="D49" s="95">
        <f t="shared" si="24"/>
        <v>0</v>
      </c>
      <c r="E49" s="94"/>
      <c r="F49" s="93">
        <f t="shared" si="32"/>
        <v>0</v>
      </c>
      <c r="G49" s="92">
        <f t="shared" si="33"/>
        <v>0</v>
      </c>
      <c r="H49" s="91">
        <f t="shared" si="25"/>
        <v>0</v>
      </c>
      <c r="I49" s="90">
        <f t="shared" si="26"/>
        <v>0</v>
      </c>
      <c r="J49" s="89">
        <f t="shared" si="27"/>
        <v>0</v>
      </c>
      <c r="K49" s="89">
        <f t="shared" si="28"/>
        <v>0</v>
      </c>
      <c r="L49" s="89">
        <f t="shared" si="29"/>
        <v>0</v>
      </c>
      <c r="M49" s="88">
        <f t="shared" si="30"/>
        <v>0</v>
      </c>
      <c r="Q49" s="206"/>
    </row>
    <row r="50" spans="1:17" ht="16.5" thickBot="1" x14ac:dyDescent="0.3">
      <c r="A50" s="87" t="s">
        <v>210</v>
      </c>
      <c r="B50" s="86">
        <f>C50/F41</f>
        <v>2.9485714285714284</v>
      </c>
      <c r="C50" s="84">
        <f>SUM(C44:C49)</f>
        <v>297904.57104000001</v>
      </c>
      <c r="D50" s="85">
        <f>SUM(D44:D49)</f>
        <v>1</v>
      </c>
      <c r="E50" s="84"/>
      <c r="F50" s="83">
        <f>G50/B41</f>
        <v>0.4128</v>
      </c>
      <c r="G50" s="82">
        <f t="shared" ref="G50:M50" si="34">SUM(G44:G49)</f>
        <v>297904.57104000001</v>
      </c>
      <c r="H50" s="81">
        <f t="shared" si="34"/>
        <v>1</v>
      </c>
      <c r="I50" s="80">
        <f t="shared" si="34"/>
        <v>1000</v>
      </c>
      <c r="J50" s="79">
        <f t="shared" si="34"/>
        <v>140</v>
      </c>
      <c r="K50" s="79">
        <f t="shared" si="34"/>
        <v>860</v>
      </c>
      <c r="L50" s="79">
        <f t="shared" si="34"/>
        <v>1000</v>
      </c>
      <c r="M50" s="78">
        <f t="shared" si="34"/>
        <v>412.8</v>
      </c>
    </row>
    <row r="51" spans="1:17" ht="15.75" thickBot="1" x14ac:dyDescent="0.3">
      <c r="A51" s="238" t="s">
        <v>220</v>
      </c>
      <c r="B51" s="239"/>
      <c r="C51" s="239"/>
      <c r="D51" s="239"/>
      <c r="E51" s="240"/>
      <c r="F51" s="241" t="s">
        <v>219</v>
      </c>
      <c r="G51" s="242"/>
      <c r="H51" s="242"/>
      <c r="I51" s="242"/>
      <c r="J51" s="242"/>
      <c r="K51" s="242"/>
      <c r="L51" s="242"/>
      <c r="M51" s="243"/>
    </row>
    <row r="52" spans="1:17" ht="16.5" thickBot="1" x14ac:dyDescent="0.3">
      <c r="A52" s="4" t="s">
        <v>218</v>
      </c>
      <c r="B52" s="77" t="s">
        <v>217</v>
      </c>
      <c r="C52" s="76" t="s">
        <v>189</v>
      </c>
      <c r="D52" s="75" t="s">
        <v>188</v>
      </c>
      <c r="E52" s="74" t="s">
        <v>216</v>
      </c>
      <c r="F52" s="231"/>
      <c r="G52" s="231"/>
      <c r="H52" s="231"/>
      <c r="I52" s="231"/>
      <c r="J52" s="231"/>
      <c r="K52" s="231"/>
      <c r="L52" s="231"/>
      <c r="M52" s="244"/>
    </row>
    <row r="53" spans="1:17" ht="15.75" x14ac:dyDescent="0.25">
      <c r="A53" s="5" t="s">
        <v>215</v>
      </c>
      <c r="B53" s="73">
        <f>B22</f>
        <v>721668.05</v>
      </c>
      <c r="C53" s="72">
        <f>F22</f>
        <v>101033.52700000002</v>
      </c>
      <c r="D53" s="71">
        <f>J22</f>
        <v>620634.52299999993</v>
      </c>
      <c r="E53" s="70">
        <f>C31</f>
        <v>297904.57</v>
      </c>
      <c r="F53" s="231"/>
      <c r="G53" s="231"/>
      <c r="H53" s="231"/>
      <c r="I53" s="231"/>
      <c r="J53" s="231"/>
      <c r="K53" s="231"/>
      <c r="L53" s="231"/>
      <c r="M53" s="244"/>
    </row>
    <row r="54" spans="1:17" ht="16.5" thickBot="1" x14ac:dyDescent="0.3">
      <c r="A54" s="5" t="s">
        <v>214</v>
      </c>
      <c r="B54" s="73">
        <f>B41</f>
        <v>721668.05</v>
      </c>
      <c r="C54" s="72">
        <f>F41</f>
        <v>101033.52700000002</v>
      </c>
      <c r="D54" s="71">
        <f>J41</f>
        <v>620634.52300000004</v>
      </c>
      <c r="E54" s="70">
        <f>C50</f>
        <v>297904.57104000001</v>
      </c>
      <c r="F54" s="231"/>
      <c r="G54" s="231"/>
      <c r="H54" s="231"/>
      <c r="I54" s="231"/>
      <c r="J54" s="231"/>
      <c r="K54" s="231"/>
      <c r="L54" s="231"/>
      <c r="M54" s="244"/>
    </row>
    <row r="55" spans="1:17" ht="15.75" x14ac:dyDescent="0.25">
      <c r="A55" s="4" t="s">
        <v>213</v>
      </c>
      <c r="B55" s="162">
        <f>B53-B54</f>
        <v>0</v>
      </c>
      <c r="C55" s="163">
        <f>C53-C54</f>
        <v>0</v>
      </c>
      <c r="D55" s="164">
        <f>D53-D54</f>
        <v>0</v>
      </c>
      <c r="E55" s="165">
        <f>E53-E54</f>
        <v>-1.0400000028312206E-3</v>
      </c>
      <c r="F55" s="231"/>
      <c r="G55" s="231"/>
      <c r="H55" s="231"/>
      <c r="I55" s="231"/>
      <c r="J55" s="231"/>
      <c r="K55" s="231"/>
      <c r="L55" s="231"/>
      <c r="M55" s="244"/>
    </row>
    <row r="56" spans="1:17" ht="16.5" thickBot="1" x14ac:dyDescent="0.3">
      <c r="A56" s="7" t="s">
        <v>212</v>
      </c>
      <c r="B56" s="69">
        <f>B53/B54</f>
        <v>1</v>
      </c>
      <c r="C56" s="67">
        <f>C53/C54</f>
        <v>1</v>
      </c>
      <c r="D56" s="66">
        <f>D53/D54</f>
        <v>0.99999999999999978</v>
      </c>
      <c r="E56" s="65">
        <f>E53/E54</f>
        <v>0.99999999650894911</v>
      </c>
      <c r="F56" s="231"/>
      <c r="G56" s="231"/>
      <c r="H56" s="231"/>
      <c r="I56" s="231"/>
      <c r="J56" s="231"/>
      <c r="K56" s="231"/>
      <c r="L56" s="231"/>
      <c r="M56" s="244"/>
    </row>
    <row r="57" spans="1:17" ht="15.75" thickBot="1" x14ac:dyDescent="0.3">
      <c r="A57" s="238" t="s">
        <v>211</v>
      </c>
      <c r="B57" s="239"/>
      <c r="C57" s="239"/>
      <c r="D57" s="239"/>
      <c r="E57" s="240"/>
      <c r="F57" s="231"/>
      <c r="G57" s="231"/>
      <c r="H57" s="231"/>
      <c r="I57" s="231"/>
      <c r="J57" s="231"/>
      <c r="K57" s="231"/>
      <c r="L57" s="231"/>
      <c r="M57" s="244"/>
    </row>
    <row r="58" spans="1:17" ht="16.5" thickBot="1" x14ac:dyDescent="0.3">
      <c r="A58" s="64" t="str">
        <f t="shared" ref="A58:A63" si="35">A44</f>
        <v>Wheat Plant</v>
      </c>
      <c r="B58" s="63">
        <f t="shared" ref="B58:B63" si="36">(B35*$C$41)/($B$22*$C$22)</f>
        <v>1</v>
      </c>
      <c r="C58" s="62">
        <f>(E35*B35)/($B$22*$E$22)</f>
        <v>1</v>
      </c>
      <c r="D58" s="61">
        <f t="shared" ref="D58:D63" si="37">(I35*B35)/($B$22*$I$22)</f>
        <v>1.0000000000000002</v>
      </c>
      <c r="E58" s="60" t="e">
        <f t="shared" ref="E58:E63" si="38">(F44*B35)/($B$22*$F$31)</f>
        <v>#DIV/0!</v>
      </c>
      <c r="F58" s="231"/>
      <c r="G58" s="231"/>
      <c r="H58" s="231"/>
      <c r="I58" s="231"/>
      <c r="J58" s="231"/>
      <c r="K58" s="231"/>
      <c r="L58" s="231"/>
      <c r="M58" s="244"/>
    </row>
    <row r="59" spans="1:17" ht="16.5" thickBot="1" x14ac:dyDescent="0.3">
      <c r="A59" s="7" t="str">
        <f t="shared" si="35"/>
        <v>N.A.</v>
      </c>
      <c r="B59" s="68">
        <f t="shared" si="36"/>
        <v>0</v>
      </c>
      <c r="C59" s="67">
        <f>(E36*B36)/($B$22*$E$22)</f>
        <v>0</v>
      </c>
      <c r="D59" s="66">
        <f t="shared" si="37"/>
        <v>0</v>
      </c>
      <c r="E59" s="65" t="e">
        <f t="shared" si="38"/>
        <v>#DIV/0!</v>
      </c>
      <c r="F59" s="231"/>
      <c r="G59" s="231"/>
      <c r="H59" s="231"/>
      <c r="I59" s="231"/>
      <c r="J59" s="231"/>
      <c r="K59" s="231"/>
      <c r="L59" s="231"/>
      <c r="M59" s="244"/>
    </row>
    <row r="60" spans="1:17" ht="16.5" thickBot="1" x14ac:dyDescent="0.3">
      <c r="A60" s="7" t="str">
        <f t="shared" si="35"/>
        <v>N.A.</v>
      </c>
      <c r="B60" s="68">
        <f t="shared" si="36"/>
        <v>0</v>
      </c>
      <c r="C60" s="67">
        <f>(E37*B37)/($B$22*$E$22)</f>
        <v>0</v>
      </c>
      <c r="D60" s="66">
        <f t="shared" si="37"/>
        <v>0</v>
      </c>
      <c r="E60" s="65" t="e">
        <f t="shared" si="38"/>
        <v>#DIV/0!</v>
      </c>
      <c r="F60" s="231"/>
      <c r="G60" s="231"/>
      <c r="H60" s="231"/>
      <c r="I60" s="231"/>
      <c r="J60" s="231"/>
      <c r="K60" s="231"/>
      <c r="L60" s="231"/>
      <c r="M60" s="244"/>
    </row>
    <row r="61" spans="1:17" ht="16.5" thickBot="1" x14ac:dyDescent="0.3">
      <c r="A61" s="7" t="str">
        <f t="shared" si="35"/>
        <v>N.A.</v>
      </c>
      <c r="B61" s="68">
        <f t="shared" si="36"/>
        <v>0</v>
      </c>
      <c r="C61" s="67">
        <f>($G$41*F38)/($B$22*$E$22)</f>
        <v>0</v>
      </c>
      <c r="D61" s="66">
        <f t="shared" si="37"/>
        <v>0</v>
      </c>
      <c r="E61" s="65" t="e">
        <f t="shared" si="38"/>
        <v>#DIV/0!</v>
      </c>
      <c r="F61" s="231"/>
      <c r="G61" s="231"/>
      <c r="H61" s="231"/>
      <c r="I61" s="231"/>
      <c r="J61" s="231"/>
      <c r="K61" s="231"/>
      <c r="L61" s="231"/>
      <c r="M61" s="244"/>
    </row>
    <row r="62" spans="1:17" ht="16.5" thickBot="1" x14ac:dyDescent="0.3">
      <c r="A62" s="7" t="str">
        <f t="shared" si="35"/>
        <v>N.A.</v>
      </c>
      <c r="B62" s="68">
        <f t="shared" si="36"/>
        <v>0</v>
      </c>
      <c r="C62" s="67">
        <f>(B39*E39)/($B$22*$E$22)</f>
        <v>0</v>
      </c>
      <c r="D62" s="66">
        <f t="shared" si="37"/>
        <v>0</v>
      </c>
      <c r="E62" s="65" t="e">
        <f t="shared" si="38"/>
        <v>#DIV/0!</v>
      </c>
      <c r="F62" s="231"/>
      <c r="G62" s="231"/>
      <c r="H62" s="231"/>
      <c r="I62" s="231"/>
      <c r="J62" s="231"/>
      <c r="K62" s="231"/>
      <c r="L62" s="231"/>
      <c r="M62" s="244"/>
    </row>
    <row r="63" spans="1:17" ht="16.5" thickBot="1" x14ac:dyDescent="0.3">
      <c r="A63" s="7">
        <f t="shared" si="35"/>
        <v>0</v>
      </c>
      <c r="B63" s="68">
        <f t="shared" si="36"/>
        <v>0</v>
      </c>
      <c r="C63" s="67">
        <f>(B40*E40)/($B$22*$E$22)</f>
        <v>0</v>
      </c>
      <c r="D63" s="66">
        <f t="shared" si="37"/>
        <v>0</v>
      </c>
      <c r="E63" s="65" t="e">
        <f t="shared" si="38"/>
        <v>#DIV/0!</v>
      </c>
      <c r="F63" s="231"/>
      <c r="G63" s="231"/>
      <c r="H63" s="231"/>
      <c r="I63" s="231"/>
      <c r="J63" s="231"/>
      <c r="K63" s="231"/>
      <c r="L63" s="231"/>
      <c r="M63" s="244"/>
    </row>
    <row r="64" spans="1:17" ht="16.5" thickBot="1" x14ac:dyDescent="0.3">
      <c r="A64" s="4" t="s">
        <v>210</v>
      </c>
      <c r="B64" s="158">
        <f>SUM(B58:B63)</f>
        <v>1</v>
      </c>
      <c r="C64" s="159">
        <f>SUM(C58:C63)</f>
        <v>1</v>
      </c>
      <c r="D64" s="160">
        <f>SUM(D58:D63)</f>
        <v>1.0000000000000002</v>
      </c>
      <c r="E64" s="161" t="e">
        <f>SUM(E58:E63)</f>
        <v>#DIV/0!</v>
      </c>
      <c r="F64" s="231"/>
      <c r="G64" s="231"/>
      <c r="H64" s="231"/>
      <c r="I64" s="231"/>
      <c r="J64" s="231"/>
      <c r="K64" s="231"/>
      <c r="L64" s="231"/>
      <c r="M64" s="244"/>
    </row>
    <row r="65" spans="1:13" ht="16.5" thickBot="1" x14ac:dyDescent="0.3">
      <c r="A65" s="245" t="s">
        <v>209</v>
      </c>
      <c r="B65" s="246"/>
      <c r="C65" s="246"/>
      <c r="D65" s="246"/>
      <c r="E65" s="246"/>
      <c r="F65" s="246"/>
      <c r="G65" s="246"/>
      <c r="H65" s="246"/>
      <c r="I65" s="246"/>
      <c r="J65" s="246"/>
      <c r="K65" s="246"/>
      <c r="L65" s="246"/>
      <c r="M65" s="247"/>
    </row>
    <row r="66" spans="1:13" x14ac:dyDescent="0.25">
      <c r="A66" s="5" t="s">
        <v>208</v>
      </c>
      <c r="B66" s="248" t="s">
        <v>207</v>
      </c>
      <c r="C66" s="248"/>
      <c r="D66" s="248"/>
      <c r="E66" s="248"/>
      <c r="F66" s="248"/>
      <c r="G66" s="5" t="s">
        <v>206</v>
      </c>
      <c r="M66" s="59"/>
    </row>
    <row r="67" spans="1:13" ht="18.75" customHeight="1" x14ac:dyDescent="0.25">
      <c r="A67" s="5" t="s">
        <v>205</v>
      </c>
      <c r="B67" s="231" t="s">
        <v>192</v>
      </c>
      <c r="C67" s="231"/>
      <c r="D67" s="231"/>
      <c r="E67" s="231"/>
      <c r="F67" s="231"/>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'2_1_Definition_Processes'!$C$2:$C$54</xm:f>
          </x14:formula1>
          <xm:sqref>J1:M1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99" t="s">
        <v>35</v>
      </c>
    </row>
    <row r="7" spans="2:5" x14ac:dyDescent="0.25">
      <c r="B7" t="s">
        <v>440</v>
      </c>
      <c r="D7">
        <v>0.47399999999999998</v>
      </c>
      <c r="E7" s="200">
        <v>0.47399999999999998</v>
      </c>
    </row>
    <row r="8" spans="2:5" x14ac:dyDescent="0.25">
      <c r="B8" t="s">
        <v>441</v>
      </c>
      <c r="D8">
        <v>7.3850399999999941E-2</v>
      </c>
      <c r="E8" s="200">
        <v>7.3850399999999941E-2</v>
      </c>
    </row>
    <row r="9" spans="2:5" x14ac:dyDescent="0.25">
      <c r="B9" t="s">
        <v>442</v>
      </c>
      <c r="D9">
        <v>0.38923999999999964</v>
      </c>
      <c r="E9" s="200">
        <v>0.38923999999999964</v>
      </c>
    </row>
    <row r="10" spans="2:5" x14ac:dyDescent="0.25">
      <c r="B10" t="s">
        <v>443</v>
      </c>
      <c r="D10">
        <v>6.2909599999999954E-2</v>
      </c>
      <c r="E10" s="200">
        <v>6.2909599999999954E-2</v>
      </c>
    </row>
    <row r="11" spans="2:5" x14ac:dyDescent="0.25">
      <c r="D11">
        <f>SUM(D7:D10)</f>
        <v>0.99999999999999956</v>
      </c>
      <c r="E11" s="34">
        <f>SUM(E7:E10)</f>
        <v>0.99999999999999956</v>
      </c>
    </row>
    <row r="13" spans="2:5" x14ac:dyDescent="0.25">
      <c r="B13" t="s">
        <v>441</v>
      </c>
      <c r="D13">
        <v>7.3850399999999941E-2</v>
      </c>
      <c r="E13" s="200">
        <f>D13/$D$16</f>
        <v>0.1404</v>
      </c>
    </row>
    <row r="14" spans="2:5" x14ac:dyDescent="0.25">
      <c r="B14" t="s">
        <v>442</v>
      </c>
      <c r="D14">
        <v>0.38923999999999964</v>
      </c>
      <c r="E14" s="200">
        <f t="shared" ref="E14:E15" si="0">D14/$D$16</f>
        <v>0.73999999999999988</v>
      </c>
    </row>
    <row r="15" spans="2:5" x14ac:dyDescent="0.25">
      <c r="B15" t="s">
        <v>443</v>
      </c>
      <c r="D15">
        <v>6.2909599999999954E-2</v>
      </c>
      <c r="E15" s="200">
        <f t="shared" si="0"/>
        <v>0.11960000000000001</v>
      </c>
    </row>
    <row r="16" spans="2:5" x14ac:dyDescent="0.25">
      <c r="D16">
        <f>SUM(D13:D15)</f>
        <v>0.52599999999999958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4" zoomScaleNormal="100" workbookViewId="0">
      <selection activeCell="F23" sqref="F23"/>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89" t="s">
        <v>341</v>
      </c>
      <c r="B1" s="289"/>
      <c r="C1" s="289"/>
      <c r="E1" s="289" t="s">
        <v>342</v>
      </c>
      <c r="F1" s="289"/>
      <c r="G1" s="289"/>
    </row>
    <row r="2" spans="1:12" x14ac:dyDescent="0.25">
      <c r="A2" s="22" t="s">
        <v>32</v>
      </c>
      <c r="B2" s="22" t="s">
        <v>33</v>
      </c>
      <c r="C2" s="22" t="s">
        <v>6</v>
      </c>
      <c r="E2" s="22" t="s">
        <v>32</v>
      </c>
      <c r="F2" s="22" t="s">
        <v>33</v>
      </c>
      <c r="G2" s="22" t="s">
        <v>6</v>
      </c>
      <c r="J2" s="290" t="s">
        <v>63</v>
      </c>
      <c r="K2" s="290"/>
      <c r="L2" s="290"/>
    </row>
    <row r="3" spans="1:12" x14ac:dyDescent="0.25">
      <c r="A3" s="3">
        <v>1</v>
      </c>
      <c r="B3" s="3" t="s">
        <v>215</v>
      </c>
      <c r="C3" s="3"/>
      <c r="E3" s="3">
        <v>1</v>
      </c>
      <c r="F3" s="3" t="s">
        <v>125</v>
      </c>
      <c r="G3" s="3" t="s">
        <v>127</v>
      </c>
      <c r="J3" s="2" t="s">
        <v>32</v>
      </c>
      <c r="K3" s="2" t="s">
        <v>33</v>
      </c>
      <c r="L3" s="2" t="s">
        <v>6</v>
      </c>
    </row>
    <row r="4" spans="1:12" x14ac:dyDescent="0.25">
      <c r="A4" s="3">
        <v>2</v>
      </c>
      <c r="B4" s="3" t="s">
        <v>214</v>
      </c>
      <c r="C4" s="3"/>
      <c r="E4" s="3">
        <v>2</v>
      </c>
      <c r="F4" s="3" t="s">
        <v>126</v>
      </c>
      <c r="G4" s="3" t="s">
        <v>128</v>
      </c>
      <c r="J4" s="3">
        <v>1</v>
      </c>
      <c r="K4" s="3" t="s">
        <v>100</v>
      </c>
      <c r="L4" s="3" t="s">
        <v>100</v>
      </c>
    </row>
    <row r="5" spans="1:12" x14ac:dyDescent="0.25">
      <c r="A5">
        <v>3</v>
      </c>
      <c r="B5" t="s">
        <v>122</v>
      </c>
      <c r="E5" s="3">
        <v>3</v>
      </c>
      <c r="F5" s="3" t="s">
        <v>130</v>
      </c>
      <c r="G5" s="3" t="s">
        <v>131</v>
      </c>
      <c r="J5">
        <v>2</v>
      </c>
      <c r="K5" t="s">
        <v>16</v>
      </c>
      <c r="L5" t="s">
        <v>16</v>
      </c>
    </row>
    <row r="6" spans="1:12" x14ac:dyDescent="0.25">
      <c r="E6" s="3">
        <v>4</v>
      </c>
      <c r="F6" s="3" t="s">
        <v>124</v>
      </c>
      <c r="G6" s="3" t="s">
        <v>129</v>
      </c>
      <c r="J6" s="3">
        <v>3</v>
      </c>
      <c r="K6" s="3" t="s">
        <v>101</v>
      </c>
      <c r="L6" s="3" t="s">
        <v>101</v>
      </c>
    </row>
    <row r="7" spans="1:12" x14ac:dyDescent="0.25">
      <c r="J7">
        <v>4</v>
      </c>
      <c r="K7" t="s">
        <v>102</v>
      </c>
      <c r="L7" t="s">
        <v>102</v>
      </c>
    </row>
    <row r="8" spans="1:12" x14ac:dyDescent="0.25">
      <c r="J8" s="3">
        <v>5</v>
      </c>
      <c r="K8" s="3" t="s">
        <v>103</v>
      </c>
      <c r="L8" s="3" t="s">
        <v>103</v>
      </c>
    </row>
    <row r="9" spans="1:12" x14ac:dyDescent="0.25">
      <c r="A9" s="289" t="s">
        <v>343</v>
      </c>
      <c r="B9" s="289"/>
      <c r="C9" s="289"/>
      <c r="J9">
        <v>6</v>
      </c>
    </row>
    <row r="10" spans="1:12" x14ac:dyDescent="0.25">
      <c r="A10" t="s">
        <v>32</v>
      </c>
      <c r="B10" t="s">
        <v>218</v>
      </c>
      <c r="C10" t="s">
        <v>6</v>
      </c>
      <c r="E10" s="289"/>
      <c r="F10" s="289"/>
      <c r="G10" s="289"/>
    </row>
    <row r="11" spans="1:12" x14ac:dyDescent="0.25">
      <c r="B11" t="s">
        <v>450</v>
      </c>
      <c r="E11" s="202"/>
      <c r="F11" s="202"/>
      <c r="G11" s="202"/>
    </row>
    <row r="12" spans="1:12" x14ac:dyDescent="0.25">
      <c r="B12" t="s">
        <v>465</v>
      </c>
      <c r="E12" s="202"/>
      <c r="F12" s="202"/>
      <c r="G12" s="202"/>
    </row>
    <row r="13" spans="1:12" x14ac:dyDescent="0.25">
      <c r="B13" t="s">
        <v>467</v>
      </c>
      <c r="E13" s="202"/>
      <c r="F13" s="202"/>
      <c r="G13" s="202"/>
    </row>
    <row r="14" spans="1:12" x14ac:dyDescent="0.25">
      <c r="B14" t="s">
        <v>466</v>
      </c>
      <c r="C14" t="s">
        <v>451</v>
      </c>
      <c r="E14" s="202"/>
      <c r="F14" s="202"/>
      <c r="G14" s="202"/>
    </row>
    <row r="15" spans="1:12" x14ac:dyDescent="0.25">
      <c r="B15" t="s">
        <v>468</v>
      </c>
      <c r="E15" s="202"/>
      <c r="F15" s="202"/>
      <c r="G15" s="202"/>
    </row>
    <row r="16" spans="1:12" x14ac:dyDescent="0.25">
      <c r="B16" t="s">
        <v>454</v>
      </c>
      <c r="E16" s="202"/>
      <c r="F16" s="202"/>
      <c r="G16" s="202"/>
    </row>
    <row r="17" spans="1:12" x14ac:dyDescent="0.25">
      <c r="B17" t="s">
        <v>464</v>
      </c>
      <c r="E17" s="202"/>
      <c r="F17" s="202"/>
      <c r="G17" s="202"/>
    </row>
    <row r="18" spans="1:12" x14ac:dyDescent="0.25">
      <c r="B18" t="s">
        <v>455</v>
      </c>
      <c r="E18" s="202"/>
      <c r="F18" s="202"/>
      <c r="G18" s="202"/>
    </row>
    <row r="19" spans="1:12" x14ac:dyDescent="0.25">
      <c r="E19" s="202"/>
      <c r="F19" s="202"/>
      <c r="G19" s="202"/>
    </row>
    <row r="20" spans="1:12" x14ac:dyDescent="0.25">
      <c r="A20" s="289" t="s">
        <v>462</v>
      </c>
      <c r="B20" s="289"/>
      <c r="C20" s="289"/>
    </row>
    <row r="21" spans="1:12" x14ac:dyDescent="0.25">
      <c r="A21" t="s">
        <v>311</v>
      </c>
      <c r="B21" t="s">
        <v>452</v>
      </c>
      <c r="C21" t="s">
        <v>6</v>
      </c>
    </row>
    <row r="22" spans="1:12" x14ac:dyDescent="0.25">
      <c r="A22">
        <v>1</v>
      </c>
      <c r="B22" t="s">
        <v>456</v>
      </c>
    </row>
    <row r="23" spans="1:12" x14ac:dyDescent="0.25">
      <c r="A23">
        <v>2</v>
      </c>
      <c r="B23" t="s">
        <v>457</v>
      </c>
    </row>
    <row r="24" spans="1:12" x14ac:dyDescent="0.25">
      <c r="A24">
        <v>3</v>
      </c>
      <c r="B24" t="s">
        <v>458</v>
      </c>
    </row>
    <row r="25" spans="1:12" x14ac:dyDescent="0.25">
      <c r="A25">
        <v>4</v>
      </c>
      <c r="B25" t="s">
        <v>459</v>
      </c>
    </row>
    <row r="26" spans="1:12" x14ac:dyDescent="0.25">
      <c r="A26" t="s">
        <v>460</v>
      </c>
      <c r="B26" t="s">
        <v>460</v>
      </c>
    </row>
    <row r="27" spans="1:12" x14ac:dyDescent="0.25">
      <c r="A27" t="s">
        <v>461</v>
      </c>
      <c r="B27" t="s">
        <v>461</v>
      </c>
    </row>
    <row r="28" spans="1:12" x14ac:dyDescent="0.25">
      <c r="J28" s="290" t="s">
        <v>63</v>
      </c>
      <c r="K28" s="290"/>
      <c r="L28" s="290"/>
    </row>
    <row r="29" spans="1:12" x14ac:dyDescent="0.25">
      <c r="J29" s="2" t="s">
        <v>32</v>
      </c>
      <c r="K29" s="2" t="s">
        <v>33</v>
      </c>
      <c r="L29" s="2" t="s">
        <v>6</v>
      </c>
    </row>
    <row r="30" spans="1:12" x14ac:dyDescent="0.25">
      <c r="J30" s="3">
        <v>1</v>
      </c>
      <c r="K30" s="3" t="s">
        <v>100</v>
      </c>
      <c r="L30" s="3" t="s">
        <v>100</v>
      </c>
    </row>
    <row r="31" spans="1:12" x14ac:dyDescent="0.25">
      <c r="A31" s="289" t="s">
        <v>344</v>
      </c>
      <c r="B31" s="289"/>
      <c r="C31" s="289"/>
      <c r="J31">
        <v>2</v>
      </c>
      <c r="K31" t="s">
        <v>16</v>
      </c>
      <c r="L31" t="s">
        <v>16</v>
      </c>
    </row>
    <row r="32" spans="1:12" x14ac:dyDescent="0.25">
      <c r="A32" t="s">
        <v>32</v>
      </c>
      <c r="B32" t="s">
        <v>345</v>
      </c>
      <c r="C32" t="s">
        <v>6</v>
      </c>
      <c r="J32" s="3">
        <v>3</v>
      </c>
      <c r="K32" s="3" t="s">
        <v>101</v>
      </c>
      <c r="L32" s="3" t="s">
        <v>101</v>
      </c>
    </row>
    <row r="33" spans="1:12" x14ac:dyDescent="0.25">
      <c r="A33">
        <v>1</v>
      </c>
      <c r="B33" t="s">
        <v>320</v>
      </c>
      <c r="C33" t="s">
        <v>346</v>
      </c>
      <c r="J33">
        <v>4</v>
      </c>
      <c r="K33" t="s">
        <v>102</v>
      </c>
      <c r="L33" t="s">
        <v>102</v>
      </c>
    </row>
    <row r="34" spans="1:12" x14ac:dyDescent="0.25">
      <c r="A34">
        <v>2</v>
      </c>
      <c r="B34" t="s">
        <v>321</v>
      </c>
      <c r="C34" t="s">
        <v>347</v>
      </c>
      <c r="J34" s="3">
        <v>5</v>
      </c>
      <c r="K34" s="3" t="s">
        <v>103</v>
      </c>
      <c r="L34" s="3" t="s">
        <v>103</v>
      </c>
    </row>
    <row r="35" spans="1:12" x14ac:dyDescent="0.25">
      <c r="A35">
        <v>3</v>
      </c>
      <c r="B35" t="s">
        <v>322</v>
      </c>
      <c r="C35" t="s">
        <v>348</v>
      </c>
    </row>
    <row r="36" spans="1:12" x14ac:dyDescent="0.25">
      <c r="A36">
        <v>4</v>
      </c>
    </row>
    <row r="38" spans="1:12" x14ac:dyDescent="0.25">
      <c r="A38" s="289" t="s">
        <v>349</v>
      </c>
      <c r="B38" s="289"/>
      <c r="C38" s="289"/>
    </row>
    <row r="39" spans="1:12" x14ac:dyDescent="0.25">
      <c r="A39" t="s">
        <v>311</v>
      </c>
      <c r="B39" t="s">
        <v>350</v>
      </c>
      <c r="C39" t="s">
        <v>6</v>
      </c>
    </row>
    <row r="40" spans="1:12" x14ac:dyDescent="0.25">
      <c r="A40">
        <v>1</v>
      </c>
      <c r="B40" t="s">
        <v>312</v>
      </c>
      <c r="F40" s="289" t="s">
        <v>64</v>
      </c>
      <c r="G40" s="289"/>
      <c r="H40" s="289"/>
    </row>
    <row r="41" spans="1:12" x14ac:dyDescent="0.25">
      <c r="A41">
        <v>2</v>
      </c>
      <c r="B41" t="s">
        <v>313</v>
      </c>
      <c r="F41" t="s">
        <v>32</v>
      </c>
      <c r="G41" t="s">
        <v>33</v>
      </c>
      <c r="H41" t="s">
        <v>6</v>
      </c>
    </row>
    <row r="42" spans="1:12" x14ac:dyDescent="0.25">
      <c r="A42">
        <v>3</v>
      </c>
      <c r="B42" t="s">
        <v>314</v>
      </c>
      <c r="F42">
        <v>1</v>
      </c>
      <c r="G42" t="s">
        <v>34</v>
      </c>
      <c r="H42" t="s">
        <v>34</v>
      </c>
    </row>
    <row r="43" spans="1:12" x14ac:dyDescent="0.25">
      <c r="A43">
        <v>4</v>
      </c>
      <c r="B43" t="s">
        <v>315</v>
      </c>
      <c r="F43">
        <v>2</v>
      </c>
      <c r="G43" t="s">
        <v>14</v>
      </c>
      <c r="H43" t="s">
        <v>14</v>
      </c>
    </row>
    <row r="44" spans="1:12" x14ac:dyDescent="0.25">
      <c r="A44">
        <v>5</v>
      </c>
      <c r="B44" t="s">
        <v>316</v>
      </c>
      <c r="F44">
        <v>3</v>
      </c>
      <c r="G44" t="s">
        <v>15</v>
      </c>
      <c r="H44" t="s">
        <v>15</v>
      </c>
    </row>
    <row r="45" spans="1:12" x14ac:dyDescent="0.25">
      <c r="A45">
        <v>6</v>
      </c>
      <c r="B45" t="s">
        <v>317</v>
      </c>
      <c r="F45">
        <v>4</v>
      </c>
      <c r="G45" t="s">
        <v>104</v>
      </c>
      <c r="H45" t="s">
        <v>104</v>
      </c>
    </row>
    <row r="46" spans="1:12" x14ac:dyDescent="0.25">
      <c r="A46">
        <v>7</v>
      </c>
      <c r="B46" t="s">
        <v>318</v>
      </c>
      <c r="F46">
        <v>5</v>
      </c>
    </row>
    <row r="47" spans="1:12" x14ac:dyDescent="0.25">
      <c r="A47">
        <v>8</v>
      </c>
      <c r="F47">
        <v>6</v>
      </c>
    </row>
    <row r="48" spans="1:12" x14ac:dyDescent="0.25">
      <c r="A48">
        <v>9</v>
      </c>
      <c r="F48">
        <v>7</v>
      </c>
    </row>
    <row r="49" spans="1:6" x14ac:dyDescent="0.25">
      <c r="F49">
        <v>8</v>
      </c>
    </row>
    <row r="51" spans="1:6" x14ac:dyDescent="0.25">
      <c r="A51" s="289" t="s">
        <v>351</v>
      </c>
      <c r="B51" s="289"/>
    </row>
    <row r="52" spans="1:6" x14ac:dyDescent="0.25">
      <c r="A52" t="s">
        <v>32</v>
      </c>
      <c r="B52" t="s">
        <v>36</v>
      </c>
    </row>
    <row r="53" spans="1:6" x14ac:dyDescent="0.25">
      <c r="A53">
        <v>1</v>
      </c>
      <c r="B53" t="s">
        <v>7</v>
      </c>
    </row>
    <row r="54" spans="1:6" x14ac:dyDescent="0.25">
      <c r="A54">
        <v>2</v>
      </c>
      <c r="B54" t="s">
        <v>8</v>
      </c>
    </row>
    <row r="56" spans="1:6" x14ac:dyDescent="0.25">
      <c r="A56" t="s">
        <v>311</v>
      </c>
      <c r="B56" t="s">
        <v>350</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311</v>
      </c>
      <c r="B68" t="s">
        <v>433</v>
      </c>
      <c r="C68" t="s">
        <v>6</v>
      </c>
      <c r="E68" t="s">
        <v>311</v>
      </c>
      <c r="F68" t="s">
        <v>427</v>
      </c>
      <c r="G68" t="s">
        <v>6</v>
      </c>
      <c r="I68" t="s">
        <v>311</v>
      </c>
      <c r="J68" t="s">
        <v>428</v>
      </c>
      <c r="K68" t="s">
        <v>6</v>
      </c>
      <c r="M68" t="s">
        <v>311</v>
      </c>
      <c r="N68" t="s">
        <v>429</v>
      </c>
      <c r="O68" t="s">
        <v>6</v>
      </c>
      <c r="Q68" t="s">
        <v>311</v>
      </c>
      <c r="R68" t="s">
        <v>430</v>
      </c>
      <c r="S68" t="s">
        <v>6</v>
      </c>
      <c r="U68" t="s">
        <v>311</v>
      </c>
      <c r="V68" t="s">
        <v>434</v>
      </c>
      <c r="W68" t="s">
        <v>6</v>
      </c>
    </row>
    <row r="69" spans="1:23" x14ac:dyDescent="0.25">
      <c r="A69">
        <v>1</v>
      </c>
      <c r="B69" t="s">
        <v>435</v>
      </c>
      <c r="E69">
        <v>1</v>
      </c>
      <c r="F69" t="s">
        <v>418</v>
      </c>
      <c r="I69">
        <v>1</v>
      </c>
      <c r="J69" t="s">
        <v>420</v>
      </c>
      <c r="M69">
        <v>1</v>
      </c>
      <c r="N69" t="s">
        <v>422</v>
      </c>
      <c r="Q69">
        <v>1</v>
      </c>
      <c r="R69" t="s">
        <v>424</v>
      </c>
      <c r="U69">
        <v>1</v>
      </c>
      <c r="V69" t="s">
        <v>418</v>
      </c>
    </row>
    <row r="70" spans="1:23" x14ac:dyDescent="0.25">
      <c r="A70">
        <v>2</v>
      </c>
      <c r="B70" t="s">
        <v>438</v>
      </c>
      <c r="E70">
        <v>2</v>
      </c>
      <c r="F70" t="s">
        <v>419</v>
      </c>
      <c r="I70">
        <v>2</v>
      </c>
      <c r="J70" t="s">
        <v>421</v>
      </c>
      <c r="M70">
        <v>2</v>
      </c>
      <c r="N70" t="s">
        <v>423</v>
      </c>
      <c r="Q70">
        <v>2</v>
      </c>
      <c r="R70" t="s">
        <v>425</v>
      </c>
      <c r="U70">
        <v>2</v>
      </c>
      <c r="V70" t="s">
        <v>419</v>
      </c>
    </row>
    <row r="71" spans="1:23" x14ac:dyDescent="0.25">
      <c r="A71">
        <v>3</v>
      </c>
      <c r="B71" t="s">
        <v>436</v>
      </c>
      <c r="E71">
        <v>3</v>
      </c>
      <c r="I71">
        <v>3</v>
      </c>
      <c r="M71">
        <v>3</v>
      </c>
      <c r="Q71">
        <v>3</v>
      </c>
      <c r="R71" t="s">
        <v>426</v>
      </c>
      <c r="U71">
        <v>3</v>
      </c>
      <c r="V71" t="s">
        <v>420</v>
      </c>
    </row>
    <row r="72" spans="1:23" x14ac:dyDescent="0.25">
      <c r="A72">
        <v>4</v>
      </c>
      <c r="B72" t="s">
        <v>437</v>
      </c>
      <c r="E72">
        <v>4</v>
      </c>
      <c r="I72">
        <v>4</v>
      </c>
      <c r="M72">
        <v>4</v>
      </c>
      <c r="Q72">
        <v>4</v>
      </c>
      <c r="U72">
        <v>4</v>
      </c>
      <c r="V72" t="s">
        <v>421</v>
      </c>
    </row>
    <row r="73" spans="1:23" x14ac:dyDescent="0.25">
      <c r="A73">
        <v>5</v>
      </c>
      <c r="B73" t="s">
        <v>439</v>
      </c>
      <c r="E73">
        <v>5</v>
      </c>
      <c r="I73">
        <v>5</v>
      </c>
      <c r="M73">
        <v>5</v>
      </c>
      <c r="Q73">
        <v>5</v>
      </c>
      <c r="U73">
        <v>5</v>
      </c>
      <c r="V73" t="s">
        <v>422</v>
      </c>
    </row>
    <row r="74" spans="1:23" x14ac:dyDescent="0.25">
      <c r="A74">
        <v>6</v>
      </c>
      <c r="E74">
        <v>6</v>
      </c>
      <c r="I74">
        <v>6</v>
      </c>
      <c r="M74">
        <v>6</v>
      </c>
      <c r="Q74">
        <v>6</v>
      </c>
      <c r="U74">
        <v>6</v>
      </c>
      <c r="V74" t="s">
        <v>423</v>
      </c>
    </row>
    <row r="75" spans="1:23" x14ac:dyDescent="0.25">
      <c r="A75">
        <v>7</v>
      </c>
      <c r="E75">
        <v>7</v>
      </c>
      <c r="I75">
        <v>7</v>
      </c>
      <c r="M75">
        <v>7</v>
      </c>
      <c r="Q75">
        <v>7</v>
      </c>
      <c r="U75">
        <v>7</v>
      </c>
      <c r="V75" t="s">
        <v>424</v>
      </c>
    </row>
    <row r="76" spans="1:23" x14ac:dyDescent="0.25">
      <c r="A76">
        <v>8</v>
      </c>
      <c r="E76">
        <v>8</v>
      </c>
      <c r="I76">
        <v>8</v>
      </c>
      <c r="M76">
        <v>8</v>
      </c>
      <c r="Q76">
        <v>8</v>
      </c>
      <c r="U76">
        <v>8</v>
      </c>
      <c r="V76" t="s">
        <v>425</v>
      </c>
    </row>
    <row r="77" spans="1:23" x14ac:dyDescent="0.25">
      <c r="A77">
        <v>9</v>
      </c>
      <c r="E77">
        <v>9</v>
      </c>
      <c r="I77">
        <v>9</v>
      </c>
      <c r="M77">
        <v>9</v>
      </c>
      <c r="Q77">
        <v>9</v>
      </c>
      <c r="U77">
        <v>9</v>
      </c>
      <c r="V77" t="s">
        <v>426</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311</v>
      </c>
      <c r="B88" t="s">
        <v>488</v>
      </c>
      <c r="C88" t="s">
        <v>6</v>
      </c>
    </row>
    <row r="89" spans="1:21" x14ac:dyDescent="0.25">
      <c r="A89">
        <v>1</v>
      </c>
      <c r="B89" t="s">
        <v>485</v>
      </c>
      <c r="C89" t="s">
        <v>489</v>
      </c>
    </row>
    <row r="90" spans="1:21" ht="135" x14ac:dyDescent="0.25">
      <c r="A90">
        <v>2</v>
      </c>
      <c r="B90" t="s">
        <v>491</v>
      </c>
      <c r="C90" s="1" t="s">
        <v>490</v>
      </c>
    </row>
    <row r="91" spans="1:21" ht="75" x14ac:dyDescent="0.25">
      <c r="A91">
        <v>3</v>
      </c>
      <c r="B91" t="s">
        <v>486</v>
      </c>
      <c r="C91" s="1" t="s">
        <v>492</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L2"/>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L53" sqref="L53"/>
    </sheetView>
  </sheetViews>
  <sheetFormatPr defaultColWidth="10.85546875" defaultRowHeight="15" x14ac:dyDescent="0.25"/>
  <sheetData>
    <row r="1" spans="1:1" x14ac:dyDescent="0.25">
      <c r="A1" t="s">
        <v>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26</vt:i4>
      </vt:variant>
      <vt:variant>
        <vt:lpstr>Named Ranges</vt:lpstr>
      </vt:variant>
      <vt:variant>
        <vt:i4>13</vt:i4>
      </vt:variant>
    </vt:vector>
  </HeadingPairs>
  <TitlesOfParts>
    <vt:vector size="39" baseType="lpstr">
      <vt:lpstr>Version_CS2_08.05.</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PX - Template</vt:lpstr>
      <vt:lpstr>4. Calculation_factors&gt;&gt;&gt;&gt;</vt:lpstr>
      <vt:lpstr>Sheet2</vt:lpstr>
      <vt:lpstr>4. Codelists&gt;&gt;&gt;&gt;</vt:lpstr>
      <vt:lpstr>4_1 Codelists</vt:lpstr>
      <vt:lpstr>5. Wastefiles &gt;&gt;&gt;&gt;</vt:lpstr>
      <vt:lpstr>'PX - Template (2)'!List_DSM_Parameters</vt:lpstr>
      <vt:lpstr>List_DSM_Parameters</vt:lpstr>
      <vt:lpstr>'PX - Template (2)'!List_Flow_Parameters</vt:lpstr>
      <vt:lpstr>List_Flow_Parameters</vt:lpstr>
      <vt:lpstr>'PX - Template (2)'!List_FOMP_Parameters</vt:lpstr>
      <vt:lpstr>List_FOMP_Parameters</vt:lpstr>
      <vt:lpstr>'PX - Template (2)'!List_Initial_Stock_Parameters</vt:lpstr>
      <vt:lpstr>List_Initial_Stock_Parameters</vt:lpstr>
      <vt:lpstr>'PX - Template (2)'!List_Transfer_Coefficients</vt:lpstr>
      <vt:lpstr>List_Transfer_Coefficients</vt:lpstr>
      <vt:lpstr>'PX - Template (2)'!List_Uncertainty_Parameters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2025-09-12T15:07:09Z</dcterms:modified>
</cp:coreProperties>
</file>