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FEDCE47E-340F-4F0C-9AF8-FB7C58F82F1C}" xr6:coauthVersionLast="47" xr6:coauthVersionMax="47" xr10:uidLastSave="{00000000-0000-0000-0000-000000000000}"/>
  <bookViews>
    <workbookView xWindow="-120" yWindow="-120" windowWidth="38640" windowHeight="21120" tabRatio="840" firstSheet="3" activeTab="5"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 name="5. Wastefiles &gt;&gt;&gt;&gt;" sheetId="14" r:id="rId26"/>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A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F9" i="48"/>
  <c r="A39" i="48" s="1"/>
  <c r="A48" i="48" s="1"/>
  <c r="A62" i="48" s="1"/>
  <c r="B9" i="48"/>
  <c r="A20" i="48" s="1"/>
  <c r="F8" i="48"/>
  <c r="A38" i="48" s="1"/>
  <c r="A47" i="48" s="1"/>
  <c r="A61" i="48" s="1"/>
  <c r="B8" i="48"/>
  <c r="A28" i="48" s="1"/>
  <c r="A37" i="48"/>
  <c r="A46" i="48" s="1"/>
  <c r="A60" i="48" s="1"/>
  <c r="B7" i="48"/>
  <c r="A27"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22" i="48" l="1"/>
  <c r="G19" i="48" s="1"/>
  <c r="A19" i="48"/>
  <c r="F31" i="48"/>
  <c r="E62" i="48" s="1"/>
  <c r="H29" i="48"/>
  <c r="H25" i="48"/>
  <c r="H26" i="48"/>
  <c r="J22" i="48"/>
  <c r="K16" i="48" s="1"/>
  <c r="G21" i="48"/>
  <c r="M25" i="48"/>
  <c r="K25" i="48"/>
  <c r="J25" i="48"/>
  <c r="C53" i="48"/>
  <c r="G17" i="48"/>
  <c r="E22" i="48"/>
  <c r="C62" i="48" s="1"/>
  <c r="H30" i="48"/>
  <c r="H27" i="48"/>
  <c r="H28" i="48"/>
  <c r="A1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R50" i="48" l="1"/>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M45" i="48" l="1"/>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B21" i="46" s="1"/>
  <c r="C78" i="15"/>
  <c r="C71" i="15"/>
  <c r="X25"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7"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N41" i="39"/>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C10" i="15"/>
  <c r="B10" i="46" s="1"/>
  <c r="R17" i="16"/>
  <c r="AD10" i="16"/>
  <c r="C11" i="15"/>
  <c r="C17" i="15"/>
  <c r="F205" i="2"/>
  <c r="C9" i="15"/>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13" i="39" l="1"/>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2" i="33" l="1"/>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<sst xmlns="http://schemas.openxmlformats.org/spreadsheetml/2006/main" count="3931" uniqueCount="813">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</sst>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2"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670891</xdr:colOff>
          <xdr:row>13</xdr:row>
          <xdr:rowOff>49696</xdr:rowOff>
        </xdr:from>
        <xdr:to>
          <xdr:col>20</xdr:col>
          <xdr:colOff>617468</xdr:colOff>
          <xdr:row>16</xdr:row>
          <xdr:rowOff>106846</xdr:rowOff>
        </xdr:to>
        <xdr:pic>
          <xdr:nvPicPr>
            <xdr:cNvPr id="2" name="Picture 1">
              <a:extLst>
                <a:ext uri="{FF2B5EF4-FFF2-40B4-BE49-F238E27FC236}">
                  <a16:creationId xmlns:a16="http://schemas.microsoft.com/office/drawing/2014/main" id="{E07FD229-698C-9B22-5BD2-B0F09F088E44}"/>
                </a:ext>
              </a:extLst>
            </xdr:cNvPr>
            <xdr:cNvPicPr>
              <a:picLocks noChangeAspect="1" noChangeArrowheads="1"/>
              <a:extLst>
                <a:ext uri="{84589F7E-364E-4C9E-8A38-B11213B215E9}">
                  <a14:cameraTool cellRange="'PX - Template (2)'!$A$58:$B$60" spid="_x0000_s9236"/>
                </a:ext>
              </a:extLst>
            </xdr:cNvPicPr>
          </xdr:nvPicPr>
          <xdr:blipFill>
            <a:blip xmlns:r="http://schemas.openxmlformats.org/officeDocument/2006/relationships" r:embed="rId1"/>
            <a:srcRect/>
            <a:stretch>
              <a:fillRect/>
            </a:stretch>
          </xdr:blipFill>
          <xdr:spPr bwMode="auto">
            <a:xfrm>
              <a:off x="14825869" y="2526196"/>
              <a:ext cx="2828925" cy="6286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5" headerRowCellStyle="05_Header">
  <autoFilter ref="A1:U59" xr:uid="{7602A998-85E6-499A-B1A3-C584F22BB41F}"/>
  <tableColumns count="21">
    <tableColumn id="33" xr3:uid="{2E104FB0-3B3F-413B-B1B0-969D126AA7B1}" name="Complete?" dataDxfId="4" dataCellStyle="04_Comments"/>
    <tableColumn id="1" xr3:uid="{B9E05773-FB7F-407B-8FB3-BE93F6BB50D9}" name="ID" dataDxfId="3">
      <calculatedColumnFormula>ROW()-1</calculatedColumnFormula>
    </tableColumn>
    <tableColumn id="2" xr3:uid="{4324CFF4-5791-4829-80A7-8BA4CF2CD799}" name="Process_ID" dataDxfId="2">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
      <calculatedColumnFormula>_xlfn.XLOOKUP($D2,Tab_Def_Processes[Name(EN)],Tab_Def_Processes[Initial_Stock?],,0,)</calculatedColumnFormula>
    </tableColumn>
    <tableColumn id="12" xr3:uid="{1AEDC949-1281-46C8-9543-F9AB0A724F08}" name="DSM?" dataDxfId="0">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104" headerRowCellStyle="05_Header">
  <autoFilter ref="A1:U63" xr:uid="{7602A998-85E6-499A-B1A3-C584F22BB41F}"/>
  <tableColumns count="21">
    <tableColumn id="24" xr3:uid="{799CF049-9A74-47E4-BCE6-68EB92DFEDD4}" name="Complete?" dataDxfId="103" dataCellStyle="04_Comments"/>
    <tableColumn id="1" xr3:uid="{75AB9428-C675-46D8-B904-74A952E29611}" name="ID" dataDxfId="102">
      <calculatedColumnFormula>ROW()-1</calculatedColumnFormula>
    </tableColumn>
    <tableColumn id="22" xr3:uid="{055CB3E4-C1DF-486D-9F8E-E65039E95278}" name="Stock_ID" dataDxfId="101">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10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9" headerRowBorderDxfId="98" tableBorderDxfId="97">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6" dataCellStyle="04_Comments"/>
    <tableColumn id="1" xr3:uid="{CE7CE076-C32F-4791-85A9-C6321A66E672}" name="ID" dataDxfId="95">
      <calculatedColumnFormula>ROW()-1</calculatedColumnFormula>
    </tableColumn>
    <tableColumn id="2" xr3:uid="{F7259AFD-9D16-4ACC-BDB2-8D0DCC203B92}" name="Process_ID" dataDxfId="94"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93"/>
    <tableColumn id="57" xr3:uid="{D3D78B03-02F6-42CA-BD33-6A54DF04FE86}" name="Column1"/>
    <tableColumn id="11" xr3:uid="{D4C9F650-44B6-4DD5-875E-10DEE39F6D03}" name="Input_Flow_I_1" dataDxfId="92">
      <calculatedColumnFormula>_xlfn.XLOOKUP($D2,Tab_Def_Processes[Name(EN)],Tab_Def_Processes[Input_Flow_I_1],,0,)</calculatedColumnFormula>
    </tableColumn>
    <tableColumn id="12" xr3:uid="{5D9673E4-4F5C-4A02-8FE3-DAF7E360A271}" name="Flow_ID_I_1" dataDxfId="91">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90">
      <calculatedColumnFormula>_xlfn.XLOOKUP($D2,Tab_Def_Processes[Name(EN)],Tab_Def_Processes[Input_Flow_I_2],,0,)</calculatedColumnFormula>
    </tableColumn>
    <tableColumn id="14" xr3:uid="{39DCAF4C-C94E-4F6B-9473-486EB368D1A4}" name="Flow_ID_I_3" dataDxfId="89">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8">
      <calculatedColumnFormula>_xlfn.XLOOKUP($D2,Tab_Def_Processes[Name(EN)],Tab_Def_Processes[Input_Flow_I_3],,0,)</calculatedColumnFormula>
    </tableColumn>
    <tableColumn id="16" xr3:uid="{59EB2AB7-4406-48E2-A12E-175CA457D434}" name="Flow ID I_3" dataDxfId="87">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6">
      <calculatedColumnFormula>_xlfn.XLOOKUP($D2,Tab_Def_Processes[Name(EN)],Tab_Def_Processes[Input_Flow_I_4],,0,)</calculatedColumnFormula>
    </tableColumn>
    <tableColumn id="18" xr3:uid="{6B6A8FB7-CFFD-4E02-B4C2-DA33227D2D15}" name="Flow ID I_4" dataDxfId="85">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84">
      <calculatedColumnFormula>_xlfn.XLOOKUP($D2,Tab_Def_Processes[Name(EN)],Tab_Def_Processes[Input_Flow_I_5],,0,)</calculatedColumnFormula>
    </tableColumn>
    <tableColumn id="20" xr3:uid="{4DEF4D28-396A-452E-A2BA-F6E3F074F47C}" name="Flow ID I_5" dataDxfId="83">
      <calculatedColumnFormula>_xlfn.XLOOKUP($D2,Tab_Def_Processes[Name(EN)],Tab_Def_Processes[Flow_ID_I_5],,0,)</calculatedColumnFormula>
    </tableColumn>
    <tableColumn id="39" xr3:uid="{31A505D2-1052-4114-89A3-0125D2AEA2C0}" name="Flow_TC_I_5_[%]"/>
    <tableColumn id="34" xr3:uid="{87220065-CDDC-4D7C-BE11-D9EA0B3FF3E5}" name="Sum_TC_I" dataDxfId="82">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81">
      <calculatedColumnFormula>_xlfn.XLOOKUP($D2,#REF!,#REF!,,0,)</calculatedColumnFormula>
    </tableColumn>
    <tableColumn id="22" xr3:uid="{B381C1D4-C8F7-4BE4-A024-4BBD1B417D36}" name="Flow_ID_O_1" dataDxfId="80">
      <calculatedColumnFormula>_xlfn.XLOOKUP($D2,#REF!,#REF!,,0,)</calculatedColumnFormula>
    </tableColumn>
    <tableColumn id="63" xr3:uid="{C44CA027-9688-45B0-88EB-F14F3A7BECB8}" name="TC_ID_O_1_Year" dataDxfId="79">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8"/>
    <tableColumn id="23" xr3:uid="{B25FB2F6-238F-410A-AF2E-782A213D011A}" name="Output_Flow_O_2" dataDxfId="77">
      <calculatedColumnFormula>_xlfn.XLOOKUP($D2,#REF!,#REF!,,0,)</calculatedColumnFormula>
    </tableColumn>
    <tableColumn id="24" xr3:uid="{97798FE5-868B-45C0-AE3B-C29AF4C86E8E}" name="Flow_ID_O_2" dataDxfId="76">
      <calculatedColumnFormula>_xlfn.XLOOKUP($D2,#REF!,#REF!,,0,)</calculatedColumnFormula>
    </tableColumn>
    <tableColumn id="64" xr3:uid="{3679F173-262B-4D42-9125-71B27049FF31}" name="TC_ID_O_2_Year" dataDxfId="75">
      <calculatedColumnFormula>Tab_Process_TCs2527[[#This Row],[Flow_ID]]</calculatedColumnFormula>
    </tableColumn>
    <tableColumn id="54" xr3:uid="{59052527-1CA5-4A17-978F-E10A4CF13AAE}" name="TC_ID_O_2" dataDxfId="74">
      <calculatedColumnFormula>"TC"&amp;"_"&amp;RIGHT(AI2,5)</calculatedColumnFormula>
    </tableColumn>
    <tableColumn id="41" xr3:uid="{7F915D49-034F-4E82-9BAA-B8ED5CA4F335}" name="TC_O_2_[%]" dataDxfId="73" dataCellStyle="Percent"/>
    <tableColumn id="25" xr3:uid="{5714904F-F57E-48CA-BFAA-826C1CEFD309}" name="Output_Flow_O_3" dataDxfId="72">
      <calculatedColumnFormula>_xlfn.XLOOKUP($D2,#REF!,#REF!,,0,)</calculatedColumnFormula>
    </tableColumn>
    <tableColumn id="26" xr3:uid="{BF841E8C-9EB2-40B0-BD1F-8C768DE188AD}" name="Flow_ID_O_3" dataDxfId="71">
      <calculatedColumnFormula>_xlfn.XLOOKUP($D2,#REF!,#REF!,,0,)</calculatedColumnFormula>
    </tableColumn>
    <tableColumn id="65" xr3:uid="{40F24D12-78F3-4E2A-85F5-F634958096FD}" name="TC_ID_O_3_Year" dataDxfId="70">
      <calculatedColumnFormula>Tab_Process_TCs2527[[#This Row],[Flow_ID]]</calculatedColumnFormula>
    </tableColumn>
    <tableColumn id="42" xr3:uid="{231A0501-9932-43B0-A3F9-EB8BB036203D}" name="TC_ID_O_3" dataDxfId="69">
      <calculatedColumnFormula>"TC"&amp;"_"&amp;RIGHT(AN2,5)</calculatedColumnFormula>
    </tableColumn>
    <tableColumn id="27" xr3:uid="{25A11679-9BF9-4DEC-B798-B8A275D3B8AC}" name="TC_O_3_[%]" dataDxfId="68" dataCellStyle="Percent"/>
    <tableColumn id="28" xr3:uid="{67E45B1E-4E5D-4D83-A664-45983FD6F9D1}" name="Output_Flow_O_4" dataDxfId="67">
      <calculatedColumnFormula>_xlfn.XLOOKUP($D2,#REF!,#REF!,,0,)</calculatedColumnFormula>
    </tableColumn>
    <tableColumn id="43" xr3:uid="{C5680328-8545-431B-B943-966088B5B85B}" name="Flow_ID_O_4" dataDxfId="66">
      <calculatedColumnFormula>_xlfn.XLOOKUP($D2,#REF!,#REF!,,0,)</calculatedColumnFormula>
    </tableColumn>
    <tableColumn id="66" xr3:uid="{3C939FEA-060E-42BF-AC8F-37677818A9F4}" name="TC_ID_O_4_Year" dataDxfId="65">
      <calculatedColumnFormula>Tab_Process_TCs2527[[#This Row],[Flow_ID]]</calculatedColumnFormula>
    </tableColumn>
    <tableColumn id="29" xr3:uid="{5B8610D8-109C-4CC7-9DE9-5EF61CC39BD7}" name="TC_ID_O_4" dataDxfId="64">
      <calculatedColumnFormula>"TC"&amp;"_"&amp;RIGHT(AN2,5)</calculatedColumnFormula>
    </tableColumn>
    <tableColumn id="30" xr3:uid="{8DFBA5BB-ECEC-455D-9C69-3FF71622F2AC}" name="TC_O_4_[%]" dataDxfId="63" dataCellStyle="Percent"/>
    <tableColumn id="44" xr3:uid="{5785B5EE-01FF-44CB-9D74-9D2780652646}" name="Output_Flow_O_5" dataDxfId="62">
      <calculatedColumnFormula>_xlfn.XLOOKUP($D2,#REF!,#REF!,,0,)</calculatedColumnFormula>
    </tableColumn>
    <tableColumn id="31" xr3:uid="{54C02504-99D3-419C-9253-1DA532111E60}" name="Flow_ID_O_5" dataDxfId="61">
      <calculatedColumnFormula>_xlfn.XLOOKUP($D2,#REF!,#REF!,,0,)</calculatedColumnFormula>
    </tableColumn>
    <tableColumn id="67" xr3:uid="{770D2E29-F077-423A-9DDE-B86470FADA38}" name="TC_ID_O_5_Year" dataDxfId="60">
      <calculatedColumnFormula>Tab_Process_TCs2527[[#This Row],[Flow_ID]]</calculatedColumnFormula>
    </tableColumn>
    <tableColumn id="46" xr3:uid="{CBB535D2-9A64-4C2F-AF19-4CF0A79C6798}" name="TC_ID_O_5" dataDxfId="59">
      <calculatedColumnFormula>"TC"&amp;"_"&amp;RIGHT(AX2,5)</calculatedColumnFormula>
    </tableColumn>
    <tableColumn id="45" xr3:uid="{43E42E8C-202D-4522-9E50-CB3B80F8EE29}" name="TC O_5_[%]" dataDxfId="58" dataCellStyle="Percent"/>
    <tableColumn id="32" xr3:uid="{FD3810B5-3F37-4777-8ACB-D2CAAFA5C5EB}" name="Output_Flow_O_6" dataDxfId="57">
      <calculatedColumnFormula>_xlfn.XLOOKUP($D2,#REF!,#REF!,,0,)</calculatedColumnFormula>
    </tableColumn>
    <tableColumn id="48" xr3:uid="{EF811571-9CC9-41DC-BFA4-320CD8D9C0C6}" name="Flow_ID_O_6" dataDxfId="56">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5">
      <calculatedColumnFormula>"TC"&amp;"_"&amp;RIGHT(BC2,5)</calculatedColumnFormula>
    </tableColumn>
    <tableColumn id="50" xr3:uid="{5AF5E9BC-3B3E-4244-A22E-AC3284E0E97C}" name="TC O_6_[%]" dataDxfId="54" dataCellStyle="Percent"/>
    <tableColumn id="51" xr3:uid="{B76A3DEE-BBAC-4CE1-BE1D-2941B928DB78}" name="Sum_TC_O" dataDxfId="53"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2" dataDxfId="51" tableBorderDxfId="50">
  <autoFilter ref="A1:R51" xr:uid="{258723AD-03F6-4700-9C12-0435A55E108D}"/>
  <tableColumns count="18">
    <tableColumn id="1" xr3:uid="{33B8EF63-7663-4BA6-9B91-D446C0C9C276}" name="Complete?" dataCellStyle="04_Comments"/>
    <tableColumn id="2" xr3:uid="{6589C290-508A-4E8E-8896-B6E09EB1B594}" name="ID" dataDxfId="49">
      <calculatedColumnFormula>ROW()-1</calculatedColumnFormula>
    </tableColumn>
    <tableColumn id="4" xr3:uid="{F4E33EB8-7313-4BD5-8A0A-D0E18A2A18E9}" name="Process_ID" dataDxfId="48">
      <calculatedColumnFormula>_xlfn.XLOOKUP($D2,Tab_Def_Processes[Name(EN)],Tab_Def_Processes[Process_ID],,0,)</calculatedColumnFormula>
    </tableColumn>
    <tableColumn id="5" xr3:uid="{E9F30AE4-3733-473D-B124-CDB1D225C217}" name="Name(EN)" dataDxfId="47"/>
    <tableColumn id="6" xr3:uid="{8636F935-6448-4819-ADDF-71DFA45559FA}" name="Process_Type" dataDxfId="46">
      <calculatedColumnFormula>_xlfn.XLOOKUP($D2,Tab_Def_Processes[Name(EN)],Tab_Def_Processes[Process_Type],,0,)</calculatedColumnFormula>
    </tableColumn>
    <tableColumn id="11" xr3:uid="{60B3771B-3986-46D1-B5BA-CE7814BD4A11}" name="TC?" dataDxfId="45">
      <calculatedColumnFormula>_xlfn.XLOOKUP($D2,Tab_Def_Processes[Name(EN)],Tab_Def_Processes[TC?],,0,)</calculatedColumnFormula>
    </tableColumn>
    <tableColumn id="12" xr3:uid="{A2F17CD8-5CAE-47C5-88AC-65F98D1E04A7}" name="Dyn_TC?" dataDxfId="44">
      <calculatedColumnFormula>_xlfn.XLOOKUP($D2,Tab_Def_Processes[Name(EN)],Tab_Def_Processes[Dyn_TC?],,0,)</calculatedColumnFormula>
    </tableColumn>
    <tableColumn id="13" xr3:uid="{AAC3F32E-5E29-4B43-870A-6E7FC451D4C7}" name="Stock?" dataDxfId="43">
      <calculatedColumnFormula>_xlfn.XLOOKUP($D2,Tab_Def_Processes[Name(EN)],Tab_Def_Processes[Stock?],,0,)</calculatedColumnFormula>
    </tableColumn>
    <tableColumn id="14" xr3:uid="{46AA84AB-D3F4-4DFC-AFA9-73ECA93071B0}" name="Initial_Stock?" dataDxfId="42">
      <calculatedColumnFormula>_xlfn.XLOOKUP($D2,Tab_Def_Processes[Name(EN)],Tab_Def_Processes[Initial_Stock?],,0,)</calculatedColumnFormula>
    </tableColumn>
    <tableColumn id="7" xr3:uid="{4D982150-569B-49F8-B2ED-A59759BD8284}" name="DSM?" dataDxfId="41"/>
    <tableColumn id="8" xr3:uid="{722B87D6-F9E5-415C-984B-850168F8B4C0}" name="FOMP?" dataDxfId="40"/>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9" tableBorderDxfId="38" headerRowCellStyle="05_Header">
  <autoFilter ref="A1:Q41" xr:uid="{258723AD-03F6-4700-9C12-0435A55E108D}"/>
  <tableColumns count="17">
    <tableColumn id="1" xr3:uid="{45321D18-7A58-4FFA-814A-4BFE5587094A}" name="Complete?" dataCellStyle="04_Comments"/>
    <tableColumn id="2" xr3:uid="{EC881CBD-180B-4D64-9A86-8AA6EC24B7F6}" name="ID" dataDxfId="37">
      <calculatedColumnFormula>ROW()-1</calculatedColumnFormula>
    </tableColumn>
    <tableColumn id="4" xr3:uid="{844E5006-9125-4DE3-A7C3-7D82AE3725EE}" name="Process_ID" dataDxfId="36">
      <calculatedColumnFormula>_xlfn.XLOOKUP($D2,Tab_Def_Processes[Name(EN)],Tab_Def_Processes[Process_ID],,0,)</calculatedColumnFormula>
    </tableColumn>
    <tableColumn id="5" xr3:uid="{0A9A4390-230F-4C39-9AF5-D72E04524EC5}" name="Name(EN)" dataDxfId="35"/>
    <tableColumn id="6" xr3:uid="{27F8000C-3015-4447-BAA8-364798FFAAFF}" name="Process_Type" dataDxfId="34">
      <calculatedColumnFormula>_xlfn.XLOOKUP($D2,Tab_Def_Processes[Name(EN)],Tab_Def_Processes[Process_Type],,0,)</calculatedColumnFormula>
    </tableColumn>
    <tableColumn id="11" xr3:uid="{CC767FA8-EDF4-482B-B626-0EE382C271A5}" name="TC?" dataDxfId="33">
      <calculatedColumnFormula>_xlfn.XLOOKUP($D2,Tab_Def_Processes[Name(EN)],Tab_Def_Processes[TC?],,0,)</calculatedColumnFormula>
    </tableColumn>
    <tableColumn id="12" xr3:uid="{E84B3ABE-4E12-4E6F-A681-7D39D8B20B42}" name="Dyn_TC?" dataDxfId="32">
      <calculatedColumnFormula>_xlfn.XLOOKUP($D2,Tab_Def_Processes[Name(EN)],Tab_Def_Processes[Dyn_TC?],,0,)</calculatedColumnFormula>
    </tableColumn>
    <tableColumn id="13" xr3:uid="{981DEE9B-FA47-4F47-8F80-39B1E8690449}" name="Stock?" dataDxfId="31">
      <calculatedColumnFormula>_xlfn.XLOOKUP($D2,Tab_Def_Processes[Name(EN)],Tab_Def_Processes[Stock?],,0,)</calculatedColumnFormula>
    </tableColumn>
    <tableColumn id="14" xr3:uid="{69989678-F20B-45BE-B37C-4E9CE9AA75DC}" name="Initial_Stock?" dataDxfId="30">
      <calculatedColumnFormula>_xlfn.XLOOKUP($D2,Tab_Def_Processes[Name(EN)],Tab_Def_Processes[Initial_Stock?],,0,)</calculatedColumnFormula>
    </tableColumn>
    <tableColumn id="7" xr3:uid="{3CFB9275-BB11-4A48-A179-F10B662CD314}" name="DSM?" dataDxfId="29">
      <calculatedColumnFormula>_xlfn.XLOOKUP($D2,Tab_Def_Processes[Name(EN)],Tab_Def_Processes[DSM?],,0,)</calculatedColumnFormula>
    </tableColumn>
    <tableColumn id="8" xr3:uid="{10C6F948-DB35-488A-BBCF-1C22C3F74E52}" name="FOMP?" dataDxfId="28">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7">
  <autoFilter ref="A1:P59"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DxfId="23" dataCellStyle="02_Data_Input (DD)"/>
    <tableColumn id="12" xr3:uid="{41BA6A81-81C1-4463-8311-87562C351952}" name="Color_Category" dataDxfId="22" dataCellStyle="02_Data_Input (DD)"/>
    <tableColumn id="11" xr3:uid="{A6B3115D-C460-49E4-B156-47D34854C0D6}" name="Node_Color" dataDxfId="21"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0">
  <autoFilter ref="A1:F51" xr:uid="{C3FEF386-C709-41D8-A84A-E296EE975D12}"/>
  <tableColumns count="6">
    <tableColumn id="1" xr3:uid="{B6E6225C-23E8-433A-835E-8BB33C78FBC1}" name="ID" dataDxfId="19" dataCellStyle="03_Auto_Calcaulation">
      <calculatedColumnFormula>ROW()-1</calculatedColumnFormula>
    </tableColumn>
    <tableColumn id="2" xr3:uid="{D19AA7EE-8012-4211-95D9-A412AE73FEA7}" name="Flow_ID" dataDxfId="18"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7" headerRowBorderDxfId="16" tableBorderDxfId="15">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4" headerRowBorderDxfId="13" tableBorderDxfId="12">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1" headerRowBorderDxfId="10" tableBorderDxfId="9">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8" headerRowBorderDxfId="7" tableBorderDxfId="6">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0" sqref="C10"/>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0</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Normal="100" workbookViewId="0">
      <pane xSplit="4" ySplit="16" topLeftCell="H17" activePane="bottomRight" state="frozen"/>
      <selection pane="topRight" activeCell="E1" sqref="E1"/>
      <selection pane="bottomLeft" activeCell="A14" sqref="A14"/>
      <selection pane="bottomRight" activeCell="O48" sqref="O48"/>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1</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1</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1</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1</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1</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1</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1</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v>
      </c>
      <c r="P18" s="55" t="s">
        <v>192</v>
      </c>
      <c r="Q18" s="183">
        <v>1</v>
      </c>
      <c r="R18" s="55" t="s">
        <v>192</v>
      </c>
      <c r="S18" s="183">
        <v>0</v>
      </c>
      <c r="T18" s="55" t="s">
        <v>192</v>
      </c>
      <c r="U18" s="190">
        <f>Tab_Def_Flows[[#This Row],[CC_DM'[%']]]*Tab_Def_Flows[[#This Row],[DM]]</f>
        <v>0</v>
      </c>
      <c r="V18" s="11" t="s">
        <v>193</v>
      </c>
    </row>
    <row r="19" spans="1:22" x14ac:dyDescent="0.25">
      <c r="A19" s="194" t="b">
        <v>1</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1</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1</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0.5</v>
      </c>
      <c r="P21" s="55" t="s">
        <v>192</v>
      </c>
      <c r="Q21" s="183">
        <v>0.5</v>
      </c>
      <c r="R21" s="55" t="s">
        <v>192</v>
      </c>
      <c r="S21" s="183">
        <v>0.52</v>
      </c>
      <c r="T21" s="55" t="s">
        <v>192</v>
      </c>
      <c r="U21" s="190">
        <f>Tab_Def_Flows[[#This Row],[CC_DM'[%']]]*Tab_Def_Flows[[#This Row],[DM]]</f>
        <v>0.26</v>
      </c>
      <c r="V21" s="11" t="s">
        <v>193</v>
      </c>
    </row>
    <row r="22" spans="1:22" x14ac:dyDescent="0.25">
      <c r="A22" s="194" t="b">
        <v>0</v>
      </c>
      <c r="B22" s="43">
        <f t="shared" si="0"/>
        <v>21</v>
      </c>
      <c r="C22" s="9" t="str">
        <f t="shared" si="2"/>
        <v>F_11_09</v>
      </c>
      <c r="D22" s="11" t="s">
        <v>812</v>
      </c>
      <c r="E22" s="37"/>
      <c r="F22" s="37"/>
      <c r="G22" s="37"/>
      <c r="H22" s="189" t="s">
        <v>811</v>
      </c>
      <c r="I22" s="9" t="str">
        <f>_xlfn.XLOOKUP(H22,Tab_Def_Processes[Name(EN)],Tab_Def_Processes[Process_ID],,0,)</f>
        <v>11</v>
      </c>
      <c r="J22" s="189" t="s">
        <v>470</v>
      </c>
      <c r="K22" s="17" t="str">
        <f>_xlfn.XLOOKUP(J22,Tab_Def_Processes[Name(EN)],Tab_Def_Processes[Process_ID],,0,)</f>
        <v>09</v>
      </c>
      <c r="L22" s="189" t="s">
        <v>7</v>
      </c>
      <c r="M22" s="189" t="s">
        <v>7</v>
      </c>
      <c r="N22" s="189" t="s">
        <v>7</v>
      </c>
      <c r="O22" s="183">
        <v>1</v>
      </c>
      <c r="P22" s="55"/>
      <c r="Q22" s="183">
        <v>0</v>
      </c>
      <c r="R22" s="55"/>
      <c r="S22" s="183">
        <v>0</v>
      </c>
      <c r="T22" s="55"/>
      <c r="U22" s="190">
        <f>Tab_Def_Flows[[#This Row],[CC_DM'[%']]]*Tab_Def_Flows[[#This Row],[DM]]</f>
        <v>0</v>
      </c>
      <c r="V22" s="11"/>
    </row>
    <row r="23" spans="1:22" x14ac:dyDescent="0.25">
      <c r="A23" s="194" t="b">
        <v>0</v>
      </c>
      <c r="B23" s="43">
        <f t="shared" si="0"/>
        <v>22</v>
      </c>
      <c r="C23" s="9" t="str">
        <f t="shared" si="2"/>
        <v>F_12_12</v>
      </c>
      <c r="D23" s="11"/>
      <c r="E23" s="37"/>
      <c r="F23" s="37"/>
      <c r="G23" s="37"/>
      <c r="H23" s="189"/>
      <c r="I23" s="9" t="str">
        <f>_xlfn.XLOOKUP(H23,Tab_Def_Processes[Name(EN)],Tab_Def_Processes[Process_ID],,0,)</f>
        <v>12</v>
      </c>
      <c r="J23" s="189"/>
      <c r="K23" s="17" t="str">
        <f>_xlfn.XLOOKUP(J23,Tab_Def_Processes[Name(EN)],Tab_Def_Processes[Process_ID],,0,)</f>
        <v>12</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F_12_12</v>
      </c>
      <c r="D24" s="11"/>
      <c r="E24" s="37"/>
      <c r="F24" s="37"/>
      <c r="G24" s="37"/>
      <c r="H24" s="189"/>
      <c r="I24" s="9" t="str">
        <f>_xlfn.XLOOKUP(H24,Tab_Def_Processes[Name(EN)],Tab_Def_Processes[Process_ID],,0,)</f>
        <v>12</v>
      </c>
      <c r="J24" s="189"/>
      <c r="K24" s="17" t="str">
        <f>_xlfn.XLOOKUP(J24,Tab_Def_Processes[Name(EN)],Tab_Def_Processes[Process_ID],,0,)</f>
        <v>12</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F_12_12</v>
      </c>
      <c r="D25" s="11"/>
      <c r="E25" s="37"/>
      <c r="F25" s="37"/>
      <c r="G25" s="37"/>
      <c r="H25" s="189"/>
      <c r="I25" s="9" t="str">
        <f>_xlfn.XLOOKUP(H25,Tab_Def_Processes[Name(EN)],Tab_Def_Processes[Process_ID],,0,)</f>
        <v>12</v>
      </c>
      <c r="J25" s="189"/>
      <c r="K25" s="17" t="str">
        <f>_xlfn.XLOOKUP(J25,Tab_Def_Processes[Name(EN)],Tab_Def_Processes[Process_ID],,0,)</f>
        <v>12</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F_12_12</v>
      </c>
      <c r="D26" s="11"/>
      <c r="E26" s="37"/>
      <c r="F26" s="37"/>
      <c r="G26" s="37"/>
      <c r="H26" s="189"/>
      <c r="I26" s="9" t="str">
        <f>_xlfn.XLOOKUP(H26,Tab_Def_Processes[Name(EN)],Tab_Def_Processes[Process_ID],,0,)</f>
        <v>12</v>
      </c>
      <c r="J26" s="189"/>
      <c r="K26" s="17" t="str">
        <f>_xlfn.XLOOKUP(J26,Tab_Def_Processes[Name(EN)],Tab_Def_Processes[Process_ID],,0,)</f>
        <v>12</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F_12_12</v>
      </c>
      <c r="D27" s="11"/>
      <c r="E27" s="37"/>
      <c r="F27" s="37"/>
      <c r="G27" s="37"/>
      <c r="H27" s="189"/>
      <c r="I27" s="9" t="str">
        <f>_xlfn.XLOOKUP(H27,Tab_Def_Processes[Name(EN)],Tab_Def_Processes[Process_ID],,0,)</f>
        <v>12</v>
      </c>
      <c r="J27" s="189"/>
      <c r="K27" s="17" t="str">
        <f>_xlfn.XLOOKUP(J27,Tab_Def_Processes[Name(EN)],Tab_Def_Processes[Process_ID],,0,)</f>
        <v>12</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F_12_12</v>
      </c>
      <c r="D28" s="11"/>
      <c r="E28" s="37"/>
      <c r="F28" s="37"/>
      <c r="G28" s="37"/>
      <c r="H28" s="189"/>
      <c r="I28" s="9" t="str">
        <f>_xlfn.XLOOKUP(H28,Tab_Def_Processes[Name(EN)],Tab_Def_Processes[Process_ID],,0,)</f>
        <v>12</v>
      </c>
      <c r="J28" s="189"/>
      <c r="K28" s="17" t="str">
        <f>_xlfn.XLOOKUP(J28,Tab_Def_Processes[Name(EN)],Tab_Def_Processes[Process_ID],,0,)</f>
        <v>12</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F_12_12</v>
      </c>
      <c r="D29" s="11"/>
      <c r="E29" s="37"/>
      <c r="F29" s="37"/>
      <c r="G29" s="37"/>
      <c r="H29" s="189"/>
      <c r="I29" s="9" t="str">
        <f>_xlfn.XLOOKUP(H29,Tab_Def_Processes[Name(EN)],Tab_Def_Processes[Process_ID],,0,)</f>
        <v>12</v>
      </c>
      <c r="J29" s="189"/>
      <c r="K29" s="17" t="str">
        <f>_xlfn.XLOOKUP(J29,Tab_Def_Processes[Name(EN)],Tab_Def_Processes[Process_ID],,0,)</f>
        <v>12</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F_12_12</v>
      </c>
      <c r="D30" s="11"/>
      <c r="E30" s="37"/>
      <c r="F30" s="37"/>
      <c r="G30" s="37"/>
      <c r="H30" s="189"/>
      <c r="I30" s="9" t="str">
        <f>_xlfn.XLOOKUP(H30,Tab_Def_Processes[Name(EN)],Tab_Def_Processes[Process_ID],,0,)</f>
        <v>12</v>
      </c>
      <c r="J30" s="189"/>
      <c r="K30" s="17" t="str">
        <f>_xlfn.XLOOKUP(J30,Tab_Def_Processes[Name(EN)],Tab_Def_Processes[Process_ID],,0,)</f>
        <v>12</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F_12_12</v>
      </c>
      <c r="D31" s="11"/>
      <c r="E31" s="37"/>
      <c r="F31" s="37"/>
      <c r="G31" s="37"/>
      <c r="H31" s="189"/>
      <c r="I31" s="9" t="str">
        <f>_xlfn.XLOOKUP(H31,Tab_Def_Processes[Name(EN)],Tab_Def_Processes[Process_ID],,0,)</f>
        <v>12</v>
      </c>
      <c r="J31" s="189"/>
      <c r="K31" s="17" t="str">
        <f>_xlfn.XLOOKUP(J31,Tab_Def_Processes[Name(EN)],Tab_Def_Processes[Process_ID],,0,)</f>
        <v>12</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F_12_12</v>
      </c>
      <c r="D32" s="11"/>
      <c r="E32" s="37"/>
      <c r="F32" s="37"/>
      <c r="G32" s="37"/>
      <c r="H32" s="189"/>
      <c r="I32" s="9" t="str">
        <f>_xlfn.XLOOKUP(H32,Tab_Def_Processes[Name(EN)],Tab_Def_Processes[Process_ID],,0,)</f>
        <v>12</v>
      </c>
      <c r="J32" s="189"/>
      <c r="K32" s="17" t="str">
        <f>_xlfn.XLOOKUP(J32,Tab_Def_Processes[Name(EN)],Tab_Def_Processes[Process_ID],,0,)</f>
        <v>12</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F_12_12</v>
      </c>
      <c r="D33" s="11"/>
      <c r="E33" s="37"/>
      <c r="F33" s="37"/>
      <c r="G33" s="37"/>
      <c r="H33" s="189"/>
      <c r="I33" s="9" t="str">
        <f>_xlfn.XLOOKUP(H33,Tab_Def_Processes[Name(EN)],Tab_Def_Processes[Process_ID],,0,)</f>
        <v>12</v>
      </c>
      <c r="J33" s="189"/>
      <c r="K33" s="17" t="str">
        <f>_xlfn.XLOOKUP(J33,Tab_Def_Processes[Name(EN)],Tab_Def_Processes[Process_ID],,0,)</f>
        <v>12</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F_12_12</v>
      </c>
      <c r="D34" s="11"/>
      <c r="E34" s="37"/>
      <c r="F34" s="37"/>
      <c r="G34" s="37"/>
      <c r="H34" s="189"/>
      <c r="I34" s="9" t="str">
        <f>_xlfn.XLOOKUP(H34,Tab_Def_Processes[Name(EN)],Tab_Def_Processes[Process_ID],,0,)</f>
        <v>12</v>
      </c>
      <c r="J34" s="189"/>
      <c r="K34" s="17" t="str">
        <f>_xlfn.XLOOKUP(J34,Tab_Def_Processes[Name(EN)],Tab_Def_Processes[Process_ID],,0,)</f>
        <v>12</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F_12_12</v>
      </c>
      <c r="D35" s="11"/>
      <c r="E35" s="37"/>
      <c r="F35" s="37"/>
      <c r="G35" s="37"/>
      <c r="H35" s="189"/>
      <c r="I35" s="9" t="str">
        <f>_xlfn.XLOOKUP(H35,Tab_Def_Processes[Name(EN)],Tab_Def_Processes[Process_ID],,0,)</f>
        <v>12</v>
      </c>
      <c r="J35" s="189"/>
      <c r="K35" s="17" t="str">
        <f>_xlfn.XLOOKUP(J35,Tab_Def_Processes[Name(EN)],Tab_Def_Processes[Process_ID],,0,)</f>
        <v>12</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F_12_12</v>
      </c>
      <c r="D36" s="11"/>
      <c r="E36" s="37"/>
      <c r="F36" s="37"/>
      <c r="G36" s="37"/>
      <c r="H36" s="189"/>
      <c r="I36" s="9" t="str">
        <f>_xlfn.XLOOKUP(H36,Tab_Def_Processes[Name(EN)],Tab_Def_Processes[Process_ID],,0,)</f>
        <v>12</v>
      </c>
      <c r="J36" s="189"/>
      <c r="K36" s="17" t="str">
        <f>_xlfn.XLOOKUP(J36,Tab_Def_Processes[Name(EN)],Tab_Def_Processes[Process_ID],,0,)</f>
        <v>12</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F_12_12</v>
      </c>
      <c r="D37" s="11"/>
      <c r="E37" s="37"/>
      <c r="F37" s="37"/>
      <c r="G37" s="37"/>
      <c r="H37" s="189"/>
      <c r="I37" s="9" t="str">
        <f>_xlfn.XLOOKUP(H37,Tab_Def_Processes[Name(EN)],Tab_Def_Processes[Process_ID],,0,)</f>
        <v>12</v>
      </c>
      <c r="J37" s="189"/>
      <c r="K37" s="17" t="str">
        <f>_xlfn.XLOOKUP(J37,Tab_Def_Processes[Name(EN)],Tab_Def_Processes[Process_ID],,0,)</f>
        <v>12</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F_12_12</v>
      </c>
      <c r="D38" s="11"/>
      <c r="E38" s="37"/>
      <c r="F38" s="37"/>
      <c r="G38" s="37"/>
      <c r="H38" s="189"/>
      <c r="I38" s="9" t="str">
        <f>_xlfn.XLOOKUP(H38,Tab_Def_Processes[Name(EN)],Tab_Def_Processes[Process_ID],,0,)</f>
        <v>12</v>
      </c>
      <c r="J38" s="189"/>
      <c r="K38" s="17" t="str">
        <f>_xlfn.XLOOKUP(J38,Tab_Def_Processes[Name(EN)],Tab_Def_Processes[Process_ID],,0,)</f>
        <v>12</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F_12_12</v>
      </c>
      <c r="D39" s="11"/>
      <c r="E39" s="37"/>
      <c r="F39" s="37"/>
      <c r="G39" s="37"/>
      <c r="H39" s="189"/>
      <c r="I39" s="9" t="str">
        <f>_xlfn.XLOOKUP(H39,Tab_Def_Processes[Name(EN)],Tab_Def_Processes[Process_ID],,0,)</f>
        <v>12</v>
      </c>
      <c r="J39" s="189"/>
      <c r="K39" s="17" t="str">
        <f>_xlfn.XLOOKUP(J39,Tab_Def_Processes[Name(EN)],Tab_Def_Processes[Process_ID],,0,)</f>
        <v>12</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F_12_12</v>
      </c>
      <c r="D40" s="11"/>
      <c r="E40" s="37"/>
      <c r="F40" s="37"/>
      <c r="G40" s="37"/>
      <c r="H40" s="189"/>
      <c r="I40" s="9" t="str">
        <f>_xlfn.XLOOKUP(H40,Tab_Def_Processes[Name(EN)],Tab_Def_Processes[Process_ID],,0,)</f>
        <v>12</v>
      </c>
      <c r="J40" s="189"/>
      <c r="K40" s="17" t="str">
        <f>_xlfn.XLOOKUP(J40,Tab_Def_Processes[Name(EN)],Tab_Def_Processes[Process_ID],,0,)</f>
        <v>12</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F_12_12</v>
      </c>
      <c r="D41" s="11"/>
      <c r="E41" s="37"/>
      <c r="F41" s="37"/>
      <c r="G41" s="37"/>
      <c r="H41" s="189"/>
      <c r="I41" s="9" t="str">
        <f>_xlfn.XLOOKUP(H41,Tab_Def_Processes[Name(EN)],Tab_Def_Processes[Process_ID],,0,)</f>
        <v>12</v>
      </c>
      <c r="J41" s="189"/>
      <c r="K41" s="17" t="str">
        <f>_xlfn.XLOOKUP(J41,Tab_Def_Processes[Name(EN)],Tab_Def_Processes[Process_ID],,0,)</f>
        <v>12</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F_12_12</v>
      </c>
      <c r="D42" s="11"/>
      <c r="E42" s="37"/>
      <c r="F42" s="37"/>
      <c r="G42" s="37"/>
      <c r="H42" s="189"/>
      <c r="I42" s="9" t="str">
        <f>_xlfn.XLOOKUP(H42,Tab_Def_Processes[Name(EN)],Tab_Def_Processes[Process_ID],,0,)</f>
        <v>12</v>
      </c>
      <c r="J42" s="189"/>
      <c r="K42" s="17" t="str">
        <f>_xlfn.XLOOKUP(J42,Tab_Def_Processes[Name(EN)],Tab_Def_Processes[Process_ID],,0,)</f>
        <v>12</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F_12_12</v>
      </c>
      <c r="D43" s="11"/>
      <c r="E43" s="37"/>
      <c r="F43" s="37"/>
      <c r="G43" s="37"/>
      <c r="H43" s="189"/>
      <c r="I43" s="9" t="str">
        <f>_xlfn.XLOOKUP(H43,Tab_Def_Processes[Name(EN)],Tab_Def_Processes[Process_ID],,0,)</f>
        <v>12</v>
      </c>
      <c r="J43" s="189"/>
      <c r="K43" s="17" t="str">
        <f>_xlfn.XLOOKUP(J43,Tab_Def_Processes[Name(EN)],Tab_Def_Processes[Process_ID],,0,)</f>
        <v>12</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F_12_12</v>
      </c>
      <c r="D44" s="11"/>
      <c r="E44" s="37"/>
      <c r="F44" s="37"/>
      <c r="G44" s="37"/>
      <c r="H44" s="189"/>
      <c r="I44" s="9" t="str">
        <f>_xlfn.XLOOKUP(H44,Tab_Def_Processes[Name(EN)],Tab_Def_Processes[Process_ID],,0,)</f>
        <v>12</v>
      </c>
      <c r="J44" s="189"/>
      <c r="K44" s="17" t="str">
        <f>_xlfn.XLOOKUP(J44,Tab_Def_Processes[Name(EN)],Tab_Def_Processes[Process_ID],,0,)</f>
        <v>12</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F_12_12</v>
      </c>
      <c r="D45" s="11"/>
      <c r="E45" s="37"/>
      <c r="F45" s="37"/>
      <c r="G45" s="37"/>
      <c r="H45" s="189"/>
      <c r="I45" s="9" t="str">
        <f>_xlfn.XLOOKUP(H45,Tab_Def_Processes[Name(EN)],Tab_Def_Processes[Process_ID],,0,)</f>
        <v>12</v>
      </c>
      <c r="J45" s="189"/>
      <c r="K45" s="17" t="str">
        <f>_xlfn.XLOOKUP(J45,Tab_Def_Processes[Name(EN)],Tab_Def_Processes[Process_ID],,0,)</f>
        <v>12</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F_12_12</v>
      </c>
      <c r="D46" s="11"/>
      <c r="E46" s="37"/>
      <c r="F46" s="37"/>
      <c r="G46" s="37"/>
      <c r="H46" s="189"/>
      <c r="I46" s="9" t="str">
        <f>_xlfn.XLOOKUP(H46,Tab_Def_Processes[Name(EN)],Tab_Def_Processes[Process_ID],,0,)</f>
        <v>12</v>
      </c>
      <c r="J46" s="189"/>
      <c r="K46" s="17" t="str">
        <f>_xlfn.XLOOKUP(J46,Tab_Def_Processes[Name(EN)],Tab_Def_Processes[Process_ID],,0,)</f>
        <v>12</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F_12_12</v>
      </c>
      <c r="D47" s="11"/>
      <c r="E47" s="37"/>
      <c r="F47" s="37"/>
      <c r="G47" s="37"/>
      <c r="H47" s="189"/>
      <c r="I47" s="9" t="str">
        <f>_xlfn.XLOOKUP(H47,Tab_Def_Processes[Name(EN)],Tab_Def_Processes[Process_ID],,0,)</f>
        <v>12</v>
      </c>
      <c r="J47" s="189"/>
      <c r="K47" s="17" t="str">
        <f>_xlfn.XLOOKUP(J47,Tab_Def_Processes[Name(EN)],Tab_Def_Processes[Process_ID],,0,)</f>
        <v>12</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F_12_12</v>
      </c>
      <c r="D48" s="11"/>
      <c r="E48" s="37"/>
      <c r="F48" s="37"/>
      <c r="G48" s="37"/>
      <c r="H48" s="189"/>
      <c r="I48" s="9" t="str">
        <f>_xlfn.XLOOKUP(H48,Tab_Def_Processes[Name(EN)],Tab_Def_Processes[Process_ID],,0,)</f>
        <v>12</v>
      </c>
      <c r="J48" s="189"/>
      <c r="K48" s="17" t="str">
        <f>_xlfn.XLOOKUP(J48,Tab_Def_Processes[Name(EN)],Tab_Def_Processes[Process_ID],,0,)</f>
        <v>12</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F_12_12</v>
      </c>
      <c r="D49" s="11"/>
      <c r="E49" s="37"/>
      <c r="F49" s="37"/>
      <c r="G49" s="37"/>
      <c r="H49" s="189"/>
      <c r="I49" s="9" t="str">
        <f>_xlfn.XLOOKUP(H49,Tab_Def_Processes[Name(EN)],Tab_Def_Processes[Process_ID],,0,)</f>
        <v>12</v>
      </c>
      <c r="J49" s="189"/>
      <c r="K49" s="17" t="str">
        <f>_xlfn.XLOOKUP(J49,Tab_Def_Processes[Name(EN)],Tab_Def_Processes[Process_ID],,0,)</f>
        <v>12</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F_12_12</v>
      </c>
      <c r="D50" s="11"/>
      <c r="E50" s="37"/>
      <c r="F50" s="37"/>
      <c r="G50" s="37"/>
      <c r="H50" s="189"/>
      <c r="I50" s="9" t="str">
        <f>_xlfn.XLOOKUP(H50,Tab_Def_Processes[Name(EN)],Tab_Def_Processes[Process_ID],,0,)</f>
        <v>12</v>
      </c>
      <c r="J50" s="189"/>
      <c r="K50" s="17" t="str">
        <f>_xlfn.XLOOKUP(J50,Tab_Def_Processes[Name(EN)],Tab_Def_Processes[Process_ID],,0,)</f>
        <v>12</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F_12_12</v>
      </c>
      <c r="D51" s="11"/>
      <c r="E51" s="37"/>
      <c r="F51" s="37"/>
      <c r="G51" s="37"/>
      <c r="H51" s="189"/>
      <c r="I51" s="9" t="str">
        <f>_xlfn.XLOOKUP(H51,Tab_Def_Processes[Name(EN)],Tab_Def_Processes[Process_ID],,0,)</f>
        <v>12</v>
      </c>
      <c r="J51" s="189"/>
      <c r="K51" s="17" t="str">
        <f>_xlfn.XLOOKUP(J51,Tab_Def_Processes[Name(EN)],Tab_Def_Processes[Process_ID],,0,)</f>
        <v>12</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F_12_12</v>
      </c>
      <c r="D52" s="11"/>
      <c r="E52" s="37"/>
      <c r="F52" s="37"/>
      <c r="G52" s="37"/>
      <c r="H52" s="189"/>
      <c r="I52" s="9" t="str">
        <f>_xlfn.XLOOKUP(H52,Tab_Def_Processes[Name(EN)],Tab_Def_Processes[Process_ID],,0,)</f>
        <v>12</v>
      </c>
      <c r="J52" s="189"/>
      <c r="K52" s="17" t="str">
        <f>_xlfn.XLOOKUP(J52,Tab_Def_Processes[Name(EN)],Tab_Def_Processes[Process_ID],,0,)</f>
        <v>12</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F_12_12</v>
      </c>
      <c r="D53" s="11"/>
      <c r="E53" s="37"/>
      <c r="F53" s="37"/>
      <c r="G53" s="37"/>
      <c r="H53" s="189"/>
      <c r="I53" s="9" t="str">
        <f>_xlfn.XLOOKUP(H53,Tab_Def_Processes[Name(EN)],Tab_Def_Processes[Process_ID],,0,)</f>
        <v>12</v>
      </c>
      <c r="J53" s="189"/>
      <c r="K53" s="17" t="str">
        <f>_xlfn.XLOOKUP(J53,Tab_Def_Processes[Name(EN)],Tab_Def_Processes[Process_ID],,0,)</f>
        <v>12</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F_12_12</v>
      </c>
      <c r="D54" s="11"/>
      <c r="E54" s="38"/>
      <c r="F54" s="37"/>
      <c r="G54" s="38"/>
      <c r="H54" s="189"/>
      <c r="I54" s="9" t="str">
        <f>_xlfn.XLOOKUP(H54,Tab_Def_Processes[Name(EN)],Tab_Def_Processes[Process_ID],,0,)</f>
        <v>12</v>
      </c>
      <c r="J54" s="189"/>
      <c r="K54" s="17" t="str">
        <f>_xlfn.XLOOKUP(J54,Tab_Def_Processes[Name(EN)],Tab_Def_Processes[Process_ID],,0,)</f>
        <v>12</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F_12_12</v>
      </c>
      <c r="D55" s="11"/>
      <c r="E55" s="38"/>
      <c r="F55" s="37"/>
      <c r="G55" s="38"/>
      <c r="H55" s="189"/>
      <c r="I55" s="9" t="str">
        <f>_xlfn.XLOOKUP(H55,Tab_Def_Processes[Name(EN)],Tab_Def_Processes[Process_ID],,0,)</f>
        <v>12</v>
      </c>
      <c r="J55" s="189"/>
      <c r="K55" s="17" t="str">
        <f>_xlfn.XLOOKUP(J55,Tab_Def_Processes[Name(EN)],Tab_Def_Processes[Process_ID],,0,)</f>
        <v>12</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F_12_12</v>
      </c>
      <c r="D56" s="11"/>
      <c r="E56" s="38"/>
      <c r="F56" s="37"/>
      <c r="G56" s="38"/>
      <c r="H56" s="189"/>
      <c r="I56" s="9" t="str">
        <f>_xlfn.XLOOKUP(H56,Tab_Def_Processes[Name(EN)],Tab_Def_Processes[Process_ID],,0,)</f>
        <v>12</v>
      </c>
      <c r="J56" s="189"/>
      <c r="K56" s="17" t="str">
        <f>_xlfn.XLOOKUP(J56,Tab_Def_Processes[Name(EN)],Tab_Def_Processes[Process_ID],,0,)</f>
        <v>12</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F_12_12</v>
      </c>
      <c r="D57" s="11"/>
      <c r="E57" s="38"/>
      <c r="F57" s="37"/>
      <c r="G57" s="38"/>
      <c r="H57" s="189"/>
      <c r="I57" s="9" t="str">
        <f>_xlfn.XLOOKUP(H57,Tab_Def_Processes[Name(EN)],Tab_Def_Processes[Process_ID],,0,)</f>
        <v>12</v>
      </c>
      <c r="J57" s="189"/>
      <c r="K57" s="17" t="str">
        <f>_xlfn.XLOOKUP(J57,Tab_Def_Processes[Name(EN)],Tab_Def_Processes[Process_ID],,0,)</f>
        <v>12</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F_12_12</v>
      </c>
      <c r="D58" s="11"/>
      <c r="E58" s="37"/>
      <c r="F58" s="37"/>
      <c r="G58" s="38"/>
      <c r="H58" s="189"/>
      <c r="I58" s="9" t="str">
        <f>_xlfn.XLOOKUP(H58,Tab_Def_Processes[Name(EN)],Tab_Def_Processes[Process_ID],,0,)</f>
        <v>12</v>
      </c>
      <c r="J58" s="189"/>
      <c r="K58" s="17" t="str">
        <f>_xlfn.XLOOKUP(J58,Tab_Def_Processes[Name(EN)],Tab_Def_Processes[Process_ID],,0,)</f>
        <v>12</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F_12_12</v>
      </c>
      <c r="D59" s="11"/>
      <c r="E59" s="37"/>
      <c r="F59" s="37"/>
      <c r="G59" s="38"/>
      <c r="H59" s="189"/>
      <c r="I59" s="9" t="str">
        <f>_xlfn.XLOOKUP(H59,Tab_Def_Processes[Name(EN)],Tab_Def_Processes[Process_ID],,0,)</f>
        <v>12</v>
      </c>
      <c r="J59" s="189"/>
      <c r="K59" s="17" t="str">
        <f>_xlfn.XLOOKUP(J59,Tab_Def_Processes[Name(EN)],Tab_Def_Processes[Process_ID],,0,)</f>
        <v>12</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F_12_12</v>
      </c>
      <c r="D60" s="11"/>
      <c r="E60" s="37"/>
      <c r="F60" s="37"/>
      <c r="G60" s="38"/>
      <c r="H60" s="189"/>
      <c r="I60" s="9" t="str">
        <f>_xlfn.XLOOKUP(H60,Tab_Def_Processes[Name(EN)],Tab_Def_Processes[Process_ID],,0,)</f>
        <v>12</v>
      </c>
      <c r="J60" s="189"/>
      <c r="K60" s="17" t="str">
        <f>_xlfn.XLOOKUP(J60,Tab_Def_Processes[Name(EN)],Tab_Def_Processes[Process_ID],,0,)</f>
        <v>12</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F_12_12</v>
      </c>
      <c r="D61" s="11"/>
      <c r="E61" s="37"/>
      <c r="F61" s="37"/>
      <c r="G61" s="38"/>
      <c r="H61" s="189"/>
      <c r="I61" s="9" t="str">
        <f>_xlfn.XLOOKUP(H61,Tab_Def_Processes[Name(EN)],Tab_Def_Processes[Process_ID],,0,)</f>
        <v>12</v>
      </c>
      <c r="J61" s="189"/>
      <c r="K61" s="17" t="str">
        <f>_xlfn.XLOOKUP(J61,Tab_Def_Processes[Name(EN)],Tab_Def_Processes[Process_ID],,0,)</f>
        <v>12</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F_12_12</v>
      </c>
      <c r="D62" s="11"/>
      <c r="E62" s="37"/>
      <c r="F62" s="37"/>
      <c r="G62" s="37"/>
      <c r="H62" s="189"/>
      <c r="I62" s="9" t="str">
        <f>_xlfn.XLOOKUP(H62,Tab_Def_Processes[Name(EN)],Tab_Def_Processes[Process_ID],,0,)</f>
        <v>12</v>
      </c>
      <c r="J62" s="189"/>
      <c r="K62" s="17" t="str">
        <f>_xlfn.XLOOKUP(J62,Tab_Def_Processes[Name(EN)],Tab_Def_Processes[Process_ID],,0,)</f>
        <v>12</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F_12_12</v>
      </c>
      <c r="D63" s="11"/>
      <c r="E63" s="37"/>
      <c r="F63" s="37"/>
      <c r="G63" s="37"/>
      <c r="H63" s="189"/>
      <c r="I63" s="9" t="str">
        <f>_xlfn.XLOOKUP(H63,Tab_Def_Processes[Name(EN)],Tab_Def_Processes[Process_ID],,0,)</f>
        <v>12</v>
      </c>
      <c r="J63" s="189"/>
      <c r="K63" s="17" t="str">
        <f>_xlfn.XLOOKUP(J63,Tab_Def_Processes[Name(EN)],Tab_Def_Processes[Process_ID],,0,)</f>
        <v>12</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F_12_12</v>
      </c>
      <c r="D64" s="11"/>
      <c r="E64" s="37"/>
      <c r="F64" s="37"/>
      <c r="G64" s="37"/>
      <c r="H64" s="189"/>
      <c r="I64" s="9" t="str">
        <f>_xlfn.XLOOKUP(H64,Tab_Def_Processes[Name(EN)],Tab_Def_Processes[Process_ID],,0,)</f>
        <v>12</v>
      </c>
      <c r="J64" s="189"/>
      <c r="K64" s="17" t="str">
        <f>_xlfn.XLOOKUP(J64,Tab_Def_Processes[Name(EN)],Tab_Def_Processes[Process_ID],,0,)</f>
        <v>12</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F_12_12</v>
      </c>
      <c r="D65" s="11"/>
      <c r="E65" s="37"/>
      <c r="F65" s="37"/>
      <c r="G65" s="37"/>
      <c r="H65" s="189"/>
      <c r="I65" s="9" t="str">
        <f>_xlfn.XLOOKUP(H65,Tab_Def_Processes[Name(EN)],Tab_Def_Processes[Process_ID],,0,)</f>
        <v>12</v>
      </c>
      <c r="J65" s="189"/>
      <c r="K65" s="17" t="str">
        <f>_xlfn.XLOOKUP(J65,Tab_Def_Processes[Name(EN)],Tab_Def_Processes[Process_ID],,0,)</f>
        <v>12</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F_12_12</v>
      </c>
      <c r="D66" s="11"/>
      <c r="E66" s="37"/>
      <c r="F66" s="37"/>
      <c r="G66" s="37"/>
      <c r="H66" s="189"/>
      <c r="I66" s="9" t="str">
        <f>_xlfn.XLOOKUP(H66,Tab_Def_Processes[Name(EN)],Tab_Def_Processes[Process_ID],,0,)</f>
        <v>12</v>
      </c>
      <c r="J66" s="189"/>
      <c r="K66" s="17" t="str">
        <f>_xlfn.XLOOKUP(J66,Tab_Def_Processes[Name(EN)],Tab_Def_Processes[Process_ID],,0,)</f>
        <v>12</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F_12_12</v>
      </c>
      <c r="D67" s="11"/>
      <c r="E67" s="37"/>
      <c r="F67" s="37"/>
      <c r="G67" s="37"/>
      <c r="H67" s="189"/>
      <c r="I67" s="9" t="str">
        <f>_xlfn.XLOOKUP(H67,Tab_Def_Processes[Name(EN)],Tab_Def_Processes[Process_ID],,0,)</f>
        <v>12</v>
      </c>
      <c r="J67" s="189"/>
      <c r="K67" s="17" t="str">
        <f>_xlfn.XLOOKUP(J67,Tab_Def_Processes[Name(EN)],Tab_Def_Processes[Process_ID],,0,)</f>
        <v>12</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F_12_12</v>
      </c>
      <c r="D68" s="11"/>
      <c r="E68" s="37"/>
      <c r="F68" s="37"/>
      <c r="G68" s="37"/>
      <c r="H68" s="189"/>
      <c r="I68" s="9" t="str">
        <f>_xlfn.XLOOKUP(H68,Tab_Def_Processes[Name(EN)],Tab_Def_Processes[Process_ID],,0,)</f>
        <v>12</v>
      </c>
      <c r="J68" s="189"/>
      <c r="K68" s="17" t="str">
        <f>_xlfn.XLOOKUP(J68,Tab_Def_Processes[Name(EN)],Tab_Def_Processes[Process_ID],,0,)</f>
        <v>12</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F_12_12</v>
      </c>
      <c r="D69" s="11"/>
      <c r="E69" s="37"/>
      <c r="F69" s="37"/>
      <c r="G69" s="37"/>
      <c r="H69" s="189"/>
      <c r="I69" s="9" t="str">
        <f>_xlfn.XLOOKUP(H69,Tab_Def_Processes[Name(EN)],Tab_Def_Processes[Process_ID],,0,)</f>
        <v>12</v>
      </c>
      <c r="J69" s="189"/>
      <c r="K69" s="17" t="str">
        <f>_xlfn.XLOOKUP(J69,Tab_Def_Processes[Name(EN)],Tab_Def_Processes[Process_ID],,0,)</f>
        <v>12</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F_12_12</v>
      </c>
      <c r="D70" s="11"/>
      <c r="E70" s="37"/>
      <c r="F70" s="37"/>
      <c r="G70" s="37"/>
      <c r="H70" s="189"/>
      <c r="I70" s="9" t="str">
        <f>_xlfn.XLOOKUP(H70,Tab_Def_Processes[Name(EN)],Tab_Def_Processes[Process_ID],,0,)</f>
        <v>12</v>
      </c>
      <c r="J70" s="189"/>
      <c r="K70" s="17" t="str">
        <f>_xlfn.XLOOKUP(J70,Tab_Def_Processes[Name(EN)],Tab_Def_Processes[Process_ID],,0,)</f>
        <v>12</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F_12_12</v>
      </c>
      <c r="D71" s="11"/>
      <c r="E71" s="37"/>
      <c r="F71" s="37"/>
      <c r="G71" s="37"/>
      <c r="H71" s="189"/>
      <c r="I71" s="9" t="str">
        <f>_xlfn.XLOOKUP(H71,Tab_Def_Processes[Name(EN)],Tab_Def_Processes[Process_ID],,0,)</f>
        <v>12</v>
      </c>
      <c r="J71" s="189"/>
      <c r="K71" s="17" t="str">
        <f>_xlfn.XLOOKUP(J71,Tab_Def_Processes[Name(EN)],Tab_Def_Processes[Process_ID],,0,)</f>
        <v>12</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F_12_12</v>
      </c>
      <c r="D72" s="11"/>
      <c r="E72" s="37"/>
      <c r="F72" s="37"/>
      <c r="G72" s="37"/>
      <c r="H72" s="189"/>
      <c r="I72" s="9" t="str">
        <f>_xlfn.XLOOKUP(H72,Tab_Def_Processes[Name(EN)],Tab_Def_Processes[Process_ID],,0,)</f>
        <v>12</v>
      </c>
      <c r="J72" s="189"/>
      <c r="K72" s="17" t="str">
        <f>_xlfn.XLOOKUP(J72,Tab_Def_Processes[Name(EN)],Tab_Def_Processes[Process_ID],,0,)</f>
        <v>12</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F_12_12</v>
      </c>
      <c r="D73" s="11"/>
      <c r="E73" s="37"/>
      <c r="F73" s="37"/>
      <c r="G73" s="37"/>
      <c r="H73" s="189"/>
      <c r="I73" s="9" t="str">
        <f>_xlfn.XLOOKUP(H73,Tab_Def_Processes[Name(EN)],Tab_Def_Processes[Process_ID],,0,)</f>
        <v>12</v>
      </c>
      <c r="J73" s="189"/>
      <c r="K73" s="17" t="str">
        <f>_xlfn.XLOOKUP(J73,Tab_Def_Processes[Name(EN)],Tab_Def_Processes[Process_ID],,0,)</f>
        <v>12</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F_12_12</v>
      </c>
      <c r="D74" s="11"/>
      <c r="E74" s="37"/>
      <c r="F74" s="37"/>
      <c r="G74" s="37"/>
      <c r="H74" s="189"/>
      <c r="I74" s="9" t="str">
        <f>_xlfn.XLOOKUP(H74,Tab_Def_Processes[Name(EN)],Tab_Def_Processes[Process_ID],,0,)</f>
        <v>12</v>
      </c>
      <c r="J74" s="189"/>
      <c r="K74" s="17" t="str">
        <f>_xlfn.XLOOKUP(J74,Tab_Def_Processes[Name(EN)],Tab_Def_Processes[Process_ID],,0,)</f>
        <v>12</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F_12_12</v>
      </c>
      <c r="D75" s="11"/>
      <c r="E75" s="37"/>
      <c r="F75" s="37"/>
      <c r="G75" s="37"/>
      <c r="H75" s="189"/>
      <c r="I75" s="9" t="str">
        <f>_xlfn.XLOOKUP(H75,Tab_Def_Processes[Name(EN)],Tab_Def_Processes[Process_ID],,0,)</f>
        <v>12</v>
      </c>
      <c r="J75" s="189"/>
      <c r="K75" s="17" t="str">
        <f>_xlfn.XLOOKUP(J75,Tab_Def_Processes[Name(EN)],Tab_Def_Processes[Process_ID],,0,)</f>
        <v>12</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F_12_12</v>
      </c>
      <c r="D76" s="11"/>
      <c r="E76" s="37"/>
      <c r="F76" s="37"/>
      <c r="G76" s="37"/>
      <c r="H76" s="189"/>
      <c r="I76" s="9" t="str">
        <f>_xlfn.XLOOKUP(H76,Tab_Def_Processes[Name(EN)],Tab_Def_Processes[Process_ID],,0,)</f>
        <v>12</v>
      </c>
      <c r="J76" s="189"/>
      <c r="K76" s="17" t="str">
        <f>_xlfn.XLOOKUP(J76,Tab_Def_Processes[Name(EN)],Tab_Def_Processes[Process_ID],,0,)</f>
        <v>12</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F_12_12</v>
      </c>
      <c r="D77" s="11"/>
      <c r="E77" s="37"/>
      <c r="F77" s="37"/>
      <c r="G77" s="37"/>
      <c r="H77" s="189"/>
      <c r="I77" s="9" t="str">
        <f>_xlfn.XLOOKUP(H77,Tab_Def_Processes[Name(EN)],Tab_Def_Processes[Process_ID],,0,)</f>
        <v>12</v>
      </c>
      <c r="J77" s="189"/>
      <c r="K77" s="17" t="str">
        <f>_xlfn.XLOOKUP(J77,Tab_Def_Processes[Name(EN)],Tab_Def_Processes[Process_ID],,0,)</f>
        <v>12</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F_12_12</v>
      </c>
      <c r="D78" s="11"/>
      <c r="E78" s="37"/>
      <c r="F78" s="37"/>
      <c r="G78" s="37"/>
      <c r="H78" s="189"/>
      <c r="I78" s="9" t="str">
        <f>_xlfn.XLOOKUP(H78,Tab_Def_Processes[Name(EN)],Tab_Def_Processes[Process_ID],,0,)</f>
        <v>12</v>
      </c>
      <c r="J78" s="189"/>
      <c r="K78" s="17" t="str">
        <f>_xlfn.XLOOKUP(J78,Tab_Def_Processes[Name(EN)],Tab_Def_Processes[Process_ID],,0,)</f>
        <v>12</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abSelected="1" topLeftCell="A37" zoomScale="115" zoomScaleNormal="115" workbookViewId="0">
      <selection activeCell="P76" sqref="P7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F_11_09</v>
      </c>
      <c r="C54" s="11" t="s">
        <v>812</v>
      </c>
      <c r="D54" s="9"/>
      <c r="E54" s="9" t="str">
        <f>_xlfn.XLOOKUP(C54,Tab_Def_Flows[Name(EN)],Tab_Def_Flows[Output_Process],,0,)</f>
        <v>Water Compostation</v>
      </c>
      <c r="F54" s="9" t="str">
        <f>_xlfn.XLOOKUP(C54,Tab_Def_Flows[Name(EN)],Tab_Def_Flows[Process_ID_O],,0,)</f>
        <v>11</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22016.648869400004</v>
      </c>
      <c r="P54" s="11"/>
      <c r="Q54" s="11"/>
      <c r="R54" s="11" t="e">
        <f>INDEX(#REF!,MATCH(Tab_Data_Flows[[#This Row],[Name(EN)]],#REF!,0),12)</f>
        <v>#REF!</v>
      </c>
      <c r="S54" s="11" t="e">
        <f>MATCH(Tab_Data_Flows[[#This Row],[Name(EN)]],#REF!,0)</f>
        <v>#REF!</v>
      </c>
      <c r="T54" s="11"/>
      <c r="U54" s="11"/>
      <c r="V54" s="11"/>
      <c r="W54" s="11"/>
      <c r="X54" s="11" t="s">
        <v>8</v>
      </c>
      <c r="Y54" s="11"/>
      <c r="Z54" s="11"/>
      <c r="AA54" s="35">
        <f t="shared" si="1"/>
        <v>22016.648869400004</v>
      </c>
      <c r="AB54" s="11" t="s">
        <v>276</v>
      </c>
      <c r="AC54" s="190">
        <f>INDEX(Tab_Def_Flows[[Flow_ID]:[CC_DM_source]],MATCH(Tab_Data_Flows[[#This Row],[Name(EN)]],Tab_Def_Flows[Name(EN)],0),13)</f>
        <v>1</v>
      </c>
      <c r="AD54" s="9">
        <f>IF(J54="Yes",AA54*Tab_Data_Flows[[#This Row],[WC_'[%']]],"N.A.")</f>
        <v>22016.648869400004</v>
      </c>
      <c r="AE54" s="9" t="str">
        <f>Tab_Data_Flows[[#This Row],[UoM_Flow_Py]]</f>
        <v>Mg</v>
      </c>
      <c r="AF54" s="190">
        <f>INDEX(Tab_Def_Flows[[Flow_ID]:[CC_DM_source]],MATCH(Tab_Data_Flows[[#This Row],[Name(EN)]],Tab_Def_Flows[Name(EN)],0),15)</f>
        <v>0</v>
      </c>
      <c r="AG54" s="9">
        <f>IF(K54="Yes",AF54*Tab_Data_Flows[[#This Row],[Flow_Py]],"N.A.")</f>
        <v>0</v>
      </c>
      <c r="AH54" s="9" t="str">
        <f>Tab_Data_Flows[[#This Row],[UoM_Flow_Py]]</f>
        <v>Mg</v>
      </c>
      <c r="AI54" s="190">
        <f>INDEX(Tab_Def_Flows[[Flow_ID]:[CC_DM_source]],MATCH(Tab_Data_Flows[[#This Row],[Name(EN)]],Tab_Def_Flows[Name(EN)],0),17)</f>
        <v>0</v>
      </c>
      <c r="AJ54" s="9">
        <f>IF(L54="Yes",AI54*Tab_Data_Flows[[#This Row],[Flow_Py]]*Tab_Data_Flows[[#This Row],[DM_'[%']]],"N.A.")</f>
        <v>0</v>
      </c>
      <c r="AK54" s="9" t="str">
        <f>Tab_Data_Flows[[#This Row],[UoM_Flow_Py]]</f>
        <v>Mg</v>
      </c>
    </row>
    <row r="55" spans="1:37" x14ac:dyDescent="0.25">
      <c r="A55" s="16">
        <f t="shared" si="0"/>
        <v>54</v>
      </c>
      <c r="B55" s="9" t="str">
        <f>_xlfn.XLOOKUP(C55,Tab_Def_Flows[Name(EN)],Tab_Def_Flows[Flow_ID],,0,)</f>
        <v>F_11_09</v>
      </c>
      <c r="C55" s="11" t="s">
        <v>812</v>
      </c>
      <c r="D55" s="9"/>
      <c r="E55" s="9" t="str">
        <f>_xlfn.XLOOKUP(C55,Tab_Def_Flows[Name(EN)],Tab_Def_Flows[Output_Process],,0,)</f>
        <v>Water Compostation</v>
      </c>
      <c r="F55" s="9" t="str">
        <f>_xlfn.XLOOKUP(C55,Tab_Def_Flows[Name(EN)],Tab_Def_Flows[Process_ID_O],,0,)</f>
        <v>11</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25064.3401042</v>
      </c>
      <c r="P55" s="11"/>
      <c r="Q55" s="11"/>
      <c r="R55" s="11" t="e">
        <f>INDEX(#REF!,MATCH(Tab_Data_Flows[[#This Row],[Name(EN)]],#REF!,0),12)</f>
        <v>#REF!</v>
      </c>
      <c r="S55" s="11" t="e">
        <f>MATCH(Tab_Data_Flows[[#This Row],[Name(EN)]],#REF!,0)</f>
        <v>#REF!</v>
      </c>
      <c r="T55" s="11"/>
      <c r="U55" s="11"/>
      <c r="V55" s="11"/>
      <c r="W55" s="11"/>
      <c r="X55" s="11" t="s">
        <v>8</v>
      </c>
      <c r="Y55" s="11"/>
      <c r="Z55" s="11"/>
      <c r="AA55" s="35">
        <f t="shared" si="1"/>
        <v>25064.3401042</v>
      </c>
      <c r="AB55" s="11" t="s">
        <v>276</v>
      </c>
      <c r="AC55" s="190">
        <f>INDEX(Tab_Def_Flows[[Flow_ID]:[CC_DM_source]],MATCH(Tab_Data_Flows[[#This Row],[Name(EN)]],Tab_Def_Flows[Name(EN)],0),13)</f>
        <v>1</v>
      </c>
      <c r="AD55" s="9">
        <f>IF(J55="Yes",AA55*Tab_Data_Flows[[#This Row],[WC_'[%']]],"N.A.")</f>
        <v>25064.3401042</v>
      </c>
      <c r="AE55" s="9" t="str">
        <f>Tab_Data_Flows[[#This Row],[UoM_Flow_Py]]</f>
        <v>Mg</v>
      </c>
      <c r="AF55" s="190">
        <f>INDEX(Tab_Def_Flows[[Flow_ID]:[CC_DM_source]],MATCH(Tab_Data_Flows[[#This Row],[Name(EN)]],Tab_Def_Flows[Name(EN)],0),15)</f>
        <v>0</v>
      </c>
      <c r="AG55" s="9">
        <f>IF(K55="Yes",AF55*Tab_Data_Flows[[#This Row],[Flow_Py]],"N.A.")</f>
        <v>0</v>
      </c>
      <c r="AH55" s="9" t="str">
        <f>Tab_Data_Flows[[#This Row],[UoM_Flow_Py]]</f>
        <v>Mg</v>
      </c>
      <c r="AI55" s="190">
        <f>INDEX(Tab_Def_Flows[[Flow_ID]:[CC_DM_source]],MATCH(Tab_Data_Flows[[#This Row],[Name(EN)]],Tab_Def_Flows[Name(EN)],0),17)</f>
        <v>0</v>
      </c>
      <c r="AJ55" s="9">
        <f>IF(L55="Yes",AI55*Tab_Data_Flows[[#This Row],[Flow_Py]]*Tab_Data_Flows[[#This Row],[DM_'[%']]],"N.A.")</f>
        <v>0</v>
      </c>
      <c r="AK55" s="9" t="str">
        <f>Tab_Data_Flows[[#This Row],[UoM_Flow_Py]]</f>
        <v>Mg</v>
      </c>
    </row>
    <row r="56" spans="1:37" x14ac:dyDescent="0.25">
      <c r="A56" s="16">
        <f t="shared" si="0"/>
        <v>55</v>
      </c>
      <c r="B56" s="9" t="str">
        <f>_xlfn.XLOOKUP(C56,Tab_Def_Flows[Name(EN)],Tab_Def_Flows[Flow_ID],,0,)</f>
        <v>F_11_09</v>
      </c>
      <c r="C56" s="11" t="s">
        <v>812</v>
      </c>
      <c r="D56" s="9"/>
      <c r="E56" s="9" t="str">
        <f>_xlfn.XLOOKUP(C56,Tab_Def_Flows[Name(EN)],Tab_Def_Flows[Output_Process],,0,)</f>
        <v>Water Compostation</v>
      </c>
      <c r="F56" s="9" t="str">
        <f>_xlfn.XLOOKUP(C56,Tab_Def_Flows[Name(EN)],Tab_Def_Flows[Process_ID_O],,0,)</f>
        <v>11</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18997.301091999998</v>
      </c>
      <c r="P56" s="11"/>
      <c r="Q56" s="11"/>
      <c r="R56" s="11" t="e">
        <f>INDEX(#REF!,MATCH(Tab_Data_Flows[[#This Row],[Name(EN)]],#REF!,0),12)</f>
        <v>#REF!</v>
      </c>
      <c r="S56" s="11" t="e">
        <f>MATCH(Tab_Data_Flows[[#This Row],[Name(EN)]],#REF!,0)</f>
        <v>#REF!</v>
      </c>
      <c r="T56" s="11"/>
      <c r="U56" s="11"/>
      <c r="V56" s="11"/>
      <c r="W56" s="11"/>
      <c r="X56" s="11" t="s">
        <v>8</v>
      </c>
      <c r="Y56" s="11"/>
      <c r="Z56" s="11"/>
      <c r="AA56" s="35">
        <f t="shared" si="1"/>
        <v>18997.301091999998</v>
      </c>
      <c r="AB56" s="11" t="s">
        <v>276</v>
      </c>
      <c r="AC56" s="190">
        <f>INDEX(Tab_Def_Flows[[Flow_ID]:[CC_DM_source]],MATCH(Tab_Data_Flows[[#This Row],[Name(EN)]],Tab_Def_Flows[Name(EN)],0),13)</f>
        <v>1</v>
      </c>
      <c r="AD56" s="9">
        <f>IF(J56="Yes",AA56*Tab_Data_Flows[[#This Row],[WC_'[%']]],"N.A.")</f>
        <v>18997.301091999998</v>
      </c>
      <c r="AE56" s="9" t="str">
        <f>Tab_Data_Flows[[#This Row],[UoM_Flow_Py]]</f>
        <v>Mg</v>
      </c>
      <c r="AF56" s="190">
        <f>INDEX(Tab_Def_Flows[[Flow_ID]:[CC_DM_source]],MATCH(Tab_Data_Flows[[#This Row],[Name(EN)]],Tab_Def_Flows[Name(EN)],0),15)</f>
        <v>0</v>
      </c>
      <c r="AG56" s="9">
        <f>IF(K56="Yes",AF56*Tab_Data_Flows[[#This Row],[Flow_Py]],"N.A.")</f>
        <v>0</v>
      </c>
      <c r="AH56" s="9" t="str">
        <f>Tab_Data_Flows[[#This Row],[UoM_Flow_Py]]</f>
        <v>Mg</v>
      </c>
      <c r="AI56" s="190">
        <f>INDEX(Tab_Def_Flows[[Flow_ID]:[CC_DM_source]],MATCH(Tab_Data_Flows[[#This Row],[Name(EN)]],Tab_Def_Flows[Name(EN)],0),17)</f>
        <v>0</v>
      </c>
      <c r="AJ56" s="9">
        <f>IF(L56="Yes",AI56*Tab_Data_Flows[[#This Row],[Flow_Py]]*Tab_Data_Flows[[#This Row],[DM_'[%']]],"N.A.")</f>
        <v>0</v>
      </c>
      <c r="AK56" s="9" t="str">
        <f>Tab_Data_Flows[[#This Row],[UoM_Flow_Py]]</f>
        <v>Mg</v>
      </c>
    </row>
    <row r="57" spans="1:37" x14ac:dyDescent="0.25">
      <c r="A57" s="16">
        <f t="shared" si="0"/>
        <v>56</v>
      </c>
      <c r="B57" s="9" t="str">
        <f>_xlfn.XLOOKUP(C57,Tab_Def_Flows[Name(EN)],Tab_Def_Flows[Flow_ID],,0,)</f>
        <v>F_11_09</v>
      </c>
      <c r="C57" s="11" t="s">
        <v>812</v>
      </c>
      <c r="D57" s="9"/>
      <c r="E57" s="9" t="str">
        <f>_xlfn.XLOOKUP(C57,Tab_Def_Flows[Name(EN)],Tab_Def_Flows[Output_Process],,0,)</f>
        <v>Water Compostation</v>
      </c>
      <c r="F57" s="9" t="str">
        <f>_xlfn.XLOOKUP(C57,Tab_Def_Flows[Name(EN)],Tab_Def_Flows[Process_ID_O],,0,)</f>
        <v>11</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19514.475453719999</v>
      </c>
      <c r="P57" s="11"/>
      <c r="Q57" s="11"/>
      <c r="R57" s="11" t="e">
        <f>INDEX(#REF!,MATCH(Tab_Data_Flows[[#This Row],[Name(EN)]],#REF!,0),12)</f>
        <v>#REF!</v>
      </c>
      <c r="S57" s="11" t="e">
        <f>MATCH(Tab_Data_Flows[[#This Row],[Name(EN)]],#REF!,0)</f>
        <v>#REF!</v>
      </c>
      <c r="T57" s="11"/>
      <c r="U57" s="11"/>
      <c r="V57" s="11"/>
      <c r="W57" s="11"/>
      <c r="X57" s="11" t="s">
        <v>8</v>
      </c>
      <c r="Y57" s="11"/>
      <c r="Z57" s="11"/>
      <c r="AA57" s="35">
        <f t="shared" si="1"/>
        <v>19514.475453719999</v>
      </c>
      <c r="AB57" s="11" t="s">
        <v>276</v>
      </c>
      <c r="AC57" s="190">
        <f>INDEX(Tab_Def_Flows[[Flow_ID]:[CC_DM_source]],MATCH(Tab_Data_Flows[[#This Row],[Name(EN)]],Tab_Def_Flows[Name(EN)],0),13)</f>
        <v>1</v>
      </c>
      <c r="AD57" s="9">
        <f>IF(J57="Yes",AA57*Tab_Data_Flows[[#This Row],[WC_'[%']]],"N.A.")</f>
        <v>19514.475453719999</v>
      </c>
      <c r="AE57" s="9" t="str">
        <f>Tab_Data_Flows[[#This Row],[UoM_Flow_Py]]</f>
        <v>Mg</v>
      </c>
      <c r="AF57" s="190">
        <f>INDEX(Tab_Def_Flows[[Flow_ID]:[CC_DM_source]],MATCH(Tab_Data_Flows[[#This Row],[Name(EN)]],Tab_Def_Flows[Name(EN)],0),15)</f>
        <v>0</v>
      </c>
      <c r="AG57" s="9">
        <f>IF(K57="Yes",AF57*Tab_Data_Flows[[#This Row],[Flow_Py]],"N.A.")</f>
        <v>0</v>
      </c>
      <c r="AH57" s="9" t="str">
        <f>Tab_Data_Flows[[#This Row],[UoM_Flow_Py]]</f>
        <v>Mg</v>
      </c>
      <c r="AI57" s="190">
        <f>INDEX(Tab_Def_Flows[[Flow_ID]:[CC_DM_source]],MATCH(Tab_Data_Flows[[#This Row],[Name(EN)]],Tab_Def_Flows[Name(EN)],0),17)</f>
        <v>0</v>
      </c>
      <c r="AJ57" s="9">
        <f>IF(L57="Yes",AI57*Tab_Data_Flows[[#This Row],[Flow_Py]]*Tab_Data_Flows[[#This Row],[DM_'[%']]],"N.A.")</f>
        <v>0</v>
      </c>
      <c r="AK57" s="9" t="str">
        <f>Tab_Data_Flows[[#This Row],[UoM_Flow_Py]]</f>
        <v>Mg</v>
      </c>
    </row>
    <row r="58" spans="1:37" x14ac:dyDescent="0.25">
      <c r="A58" s="16">
        <f t="shared" si="0"/>
        <v>57</v>
      </c>
      <c r="B58" s="9" t="str">
        <f>_xlfn.XLOOKUP(C58,Tab_Def_Flows[Name(EN)],Tab_Def_Flows[Flow_ID],,0,)</f>
        <v>F_11_09</v>
      </c>
      <c r="C58" s="11" t="s">
        <v>812</v>
      </c>
      <c r="D58" s="9"/>
      <c r="E58" s="9" t="str">
        <f>_xlfn.XLOOKUP(C58,Tab_Def_Flows[Name(EN)],Tab_Def_Flows[Output_Process],,0,)</f>
        <v>Water Compostation</v>
      </c>
      <c r="F58" s="9" t="str">
        <f>_xlfn.XLOOKUP(C58,Tab_Def_Flows[Name(EN)],Tab_Def_Flows[Process_ID_O],,0,)</f>
        <v>11</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25434.671834920002</v>
      </c>
      <c r="P58" s="11"/>
      <c r="Q58" s="11"/>
      <c r="R58" s="11" t="e">
        <f>INDEX(#REF!,MATCH(Tab_Data_Flows[[#This Row],[Name(EN)]],#REF!,0),12)</f>
        <v>#REF!</v>
      </c>
      <c r="S58" s="11" t="e">
        <f>MATCH(Tab_Data_Flows[[#This Row],[Name(EN)]],#REF!,0)</f>
        <v>#REF!</v>
      </c>
      <c r="T58" s="11"/>
      <c r="U58" s="11"/>
      <c r="V58" s="11"/>
      <c r="W58" s="11"/>
      <c r="X58" s="11" t="s">
        <v>8</v>
      </c>
      <c r="Y58" s="11"/>
      <c r="Z58" s="11"/>
      <c r="AA58" s="35">
        <f t="shared" si="1"/>
        <v>25434.671834920002</v>
      </c>
      <c r="AB58" s="11" t="s">
        <v>276</v>
      </c>
      <c r="AC58" s="190">
        <f>INDEX(Tab_Def_Flows[[Flow_ID]:[CC_DM_source]],MATCH(Tab_Data_Flows[[#This Row],[Name(EN)]],Tab_Def_Flows[Name(EN)],0),13)</f>
        <v>1</v>
      </c>
      <c r="AD58" s="9">
        <f>IF(J58="Yes",AA58*Tab_Data_Flows[[#This Row],[WC_'[%']]],"N.A.")</f>
        <v>25434.671834920002</v>
      </c>
      <c r="AE58" s="9" t="str">
        <f>Tab_Data_Flows[[#This Row],[UoM_Flow_Py]]</f>
        <v>Mg</v>
      </c>
      <c r="AF58" s="190">
        <f>INDEX(Tab_Def_Flows[[Flow_ID]:[CC_DM_source]],MATCH(Tab_Data_Flows[[#This Row],[Name(EN)]],Tab_Def_Flows[Name(EN)],0),15)</f>
        <v>0</v>
      </c>
      <c r="AG58" s="9">
        <f>IF(K58="Yes",AF58*Tab_Data_Flows[[#This Row],[Flow_Py]],"N.A.")</f>
        <v>0</v>
      </c>
      <c r="AH58" s="9" t="str">
        <f>Tab_Data_Flows[[#This Row],[UoM_Flow_Py]]</f>
        <v>Mg</v>
      </c>
      <c r="AI58" s="190">
        <f>INDEX(Tab_Def_Flows[[Flow_ID]:[CC_DM_source]],MATCH(Tab_Data_Flows[[#This Row],[Name(EN)]],Tab_Def_Flows[Name(EN)],0),17)</f>
        <v>0</v>
      </c>
      <c r="AJ58" s="9">
        <f>IF(L58="Yes",AI58*Tab_Data_Flows[[#This Row],[Flow_Py]]*Tab_Data_Flows[[#This Row],[DM_'[%']]],"N.A.")</f>
        <v>0</v>
      </c>
      <c r="AK58" s="9" t="str">
        <f>Tab_Data_Flows[[#This Row],[UoM_Flow_Py]]</f>
        <v>Mg</v>
      </c>
    </row>
    <row r="59" spans="1:37" x14ac:dyDescent="0.25">
      <c r="A59" s="16">
        <f t="shared" si="0"/>
        <v>58</v>
      </c>
      <c r="B59" s="9" t="str">
        <f>_xlfn.XLOOKUP(C59,Tab_Def_Flows[Name(EN)],Tab_Def_Flows[Flow_ID],,0,)</f>
        <v>F_11_09</v>
      </c>
      <c r="C59" s="11" t="s">
        <v>812</v>
      </c>
      <c r="D59" s="9"/>
      <c r="E59" s="9" t="str">
        <f>_xlfn.XLOOKUP(C59,Tab_Def_Flows[Name(EN)],Tab_Def_Flows[Output_Process],,0,)</f>
        <v>Water Compostation</v>
      </c>
      <c r="F59" s="9" t="str">
        <f>_xlfn.XLOOKUP(C59,Tab_Def_Flows[Name(EN)],Tab_Def_Flows[Process_ID_O],,0,)</f>
        <v>11</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23305.390991480002</v>
      </c>
      <c r="P59" s="11"/>
      <c r="Q59" s="11"/>
      <c r="R59" s="11" t="e">
        <f>INDEX(#REF!,MATCH(Tab_Data_Flows[[#This Row],[Name(EN)]],#REF!,0),12)</f>
        <v>#REF!</v>
      </c>
      <c r="S59" s="11" t="e">
        <f>MATCH(Tab_Data_Flows[[#This Row],[Name(EN)]],#REF!,0)</f>
        <v>#REF!</v>
      </c>
      <c r="T59" s="11"/>
      <c r="U59" s="11"/>
      <c r="V59" s="11"/>
      <c r="W59" s="11"/>
      <c r="X59" s="11" t="s">
        <v>8</v>
      </c>
      <c r="Y59" s="11"/>
      <c r="Z59" s="11"/>
      <c r="AA59" s="35">
        <f t="shared" si="1"/>
        <v>23305.390991480002</v>
      </c>
      <c r="AB59" s="11" t="s">
        <v>276</v>
      </c>
      <c r="AC59" s="190">
        <f>INDEX(Tab_Def_Flows[[Flow_ID]:[CC_DM_source]],MATCH(Tab_Data_Flows[[#This Row],[Name(EN)]],Tab_Def_Flows[Name(EN)],0),13)</f>
        <v>1</v>
      </c>
      <c r="AD59" s="9">
        <f>IF(J59="Yes",AA59*Tab_Data_Flows[[#This Row],[WC_'[%']]],"N.A.")</f>
        <v>23305.390991480002</v>
      </c>
      <c r="AE59" s="9" t="str">
        <f>Tab_Data_Flows[[#This Row],[UoM_Flow_Py]]</f>
        <v>Mg</v>
      </c>
      <c r="AF59" s="190">
        <f>INDEX(Tab_Def_Flows[[Flow_ID]:[CC_DM_source]],MATCH(Tab_Data_Flows[[#This Row],[Name(EN)]],Tab_Def_Flows[Name(EN)],0),15)</f>
        <v>0</v>
      </c>
      <c r="AG59" s="9">
        <f>IF(K59="Yes",AF59*Tab_Data_Flows[[#This Row],[Flow_Py]],"N.A.")</f>
        <v>0</v>
      </c>
      <c r="AH59" s="9" t="str">
        <f>Tab_Data_Flows[[#This Row],[UoM_Flow_Py]]</f>
        <v>Mg</v>
      </c>
      <c r="AI59" s="190">
        <f>INDEX(Tab_Def_Flows[[Flow_ID]:[CC_DM_source]],MATCH(Tab_Data_Flows[[#This Row],[Name(EN)]],Tab_Def_Flows[Name(EN)],0),17)</f>
        <v>0</v>
      </c>
      <c r="AJ59" s="9">
        <f>IF(L59="Yes",AI59*Tab_Data_Flows[[#This Row],[Flow_Py]]*Tab_Data_Flows[[#This Row],[DM_'[%']]],"N.A.")</f>
        <v>0</v>
      </c>
      <c r="AK59" s="9" t="str">
        <f>Tab_Data_Flows[[#This Row],[UoM_Flow_Py]]</f>
        <v>Mg</v>
      </c>
    </row>
    <row r="60" spans="1:37" x14ac:dyDescent="0.25">
      <c r="A60" s="16">
        <f t="shared" si="0"/>
        <v>59</v>
      </c>
      <c r="B60" s="9" t="str">
        <f>_xlfn.XLOOKUP(C60,Tab_Def_Flows[Name(EN)],Tab_Def_Flows[Flow_ID],,0,)</f>
        <v>F_11_09</v>
      </c>
      <c r="C60" s="11" t="s">
        <v>812</v>
      </c>
      <c r="D60" s="9">
        <f>_xlfn.XLOOKUP(C60,Tab_Def_Flows[Name(EN)],Tab_Def_Flows[Type_Biomass],,0,)</f>
        <v>0</v>
      </c>
      <c r="E60" s="9" t="str">
        <f>_xlfn.XLOOKUP(C60,Tab_Def_Flows[Name(EN)],Tab_Def_Flows[Output_Process],,0,)</f>
        <v>Water Compostation</v>
      </c>
      <c r="F60" s="9" t="str">
        <f>_xlfn.XLOOKUP(C60,Tab_Def_Flows[Name(EN)],Tab_Def_Flows[Process_ID_O],,0,)</f>
        <v>11</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c r="O60" s="48">
        <v>27685.866612400005</v>
      </c>
      <c r="P60" s="11"/>
      <c r="Q60" s="11"/>
      <c r="R60" s="11"/>
      <c r="S60" s="11"/>
      <c r="T60" s="11"/>
      <c r="U60" s="11"/>
      <c r="V60" s="11"/>
      <c r="W60" s="11"/>
      <c r="X60" s="11" t="s">
        <v>8</v>
      </c>
      <c r="Y60" s="41"/>
      <c r="Z60" s="11"/>
      <c r="AA60" s="35">
        <f>IF(X60="no",O60,O60*Y60)</f>
        <v>27685.866612400005</v>
      </c>
      <c r="AB60" s="11" t="s">
        <v>276</v>
      </c>
      <c r="AC60" s="190">
        <f>INDEX(Tab_Def_Flows[[Flow_ID]:[CC_DM_source]],MATCH(Tab_Data_Flows[[#This Row],[Name(EN)]],Tab_Def_Flows[Name(EN)],0),13)</f>
        <v>1</v>
      </c>
      <c r="AD60" s="9">
        <f>IF(J60="Yes",AA60*Tab_Data_Flows[[#This Row],[WC_'[%']]],"N.A.")</f>
        <v>27685.866612400005</v>
      </c>
      <c r="AE60" s="9" t="str">
        <f>Tab_Data_Flows[[#This Row],[UoM_Flow_Py]]</f>
        <v>Mg</v>
      </c>
      <c r="AF60" s="190">
        <f>INDEX(Tab_Def_Flows[[Flow_ID]:[CC_DM_source]],MATCH(Tab_Data_Flows[[#This Row],[Name(EN)]],Tab_Def_Flows[Name(EN)],0),15)</f>
        <v>0</v>
      </c>
      <c r="AG60" s="9">
        <f>IF(K60="Yes",AF60*Tab_Data_Flows[[#This Row],[Flow_Py]],"N.A.")</f>
        <v>0</v>
      </c>
      <c r="AH60" s="9" t="str">
        <f>Tab_Data_Flows[[#This Row],[UoM_Flow_Py]]</f>
        <v>Mg</v>
      </c>
      <c r="AI60" s="190">
        <f>INDEX(Tab_Def_Flows[[Flow_ID]:[CC_DM_source]],MATCH(Tab_Data_Flows[[#This Row],[Name(EN)]],Tab_Def_Flows[Name(EN)],0),17)</f>
        <v>0</v>
      </c>
      <c r="AJ60" s="9">
        <f>IF(L60="Yes",AI60*Tab_Data_Flows[[#This Row],[Flow_Py]]*Tab_Data_Flows[[#This Row],[DM_'[%']]],"N.A.")</f>
        <v>0</v>
      </c>
      <c r="AK60" s="9" t="str">
        <f>Tab_Data_Flows[[#This Row],[UoM_Flow_Py]]</f>
        <v>Mg</v>
      </c>
    </row>
    <row r="61" spans="1:37" x14ac:dyDescent="0.25">
      <c r="A61" s="16">
        <f t="shared" si="0"/>
        <v>60</v>
      </c>
      <c r="B61" s="9" t="str">
        <f>_xlfn.XLOOKUP(C61,Tab_Def_Flows[Name(EN)],Tab_Def_Flows[Flow_ID],,0,)</f>
        <v>F_11_09</v>
      </c>
      <c r="C61" s="11" t="s">
        <v>812</v>
      </c>
      <c r="D61" s="9">
        <f>_xlfn.XLOOKUP(C61,Tab_Def_Flows[Name(EN)],Tab_Def_Flows[Type_Biomass],,0,)</f>
        <v>0</v>
      </c>
      <c r="E61" s="9" t="str">
        <f>_xlfn.XLOOKUP(C61,Tab_Def_Flows[Name(EN)],Tab_Def_Flows[Output_Process],,0,)</f>
        <v>Water Compostation</v>
      </c>
      <c r="F61" s="9" t="str">
        <f>_xlfn.XLOOKUP(C61,Tab_Def_Flows[Name(EN)],Tab_Def_Flows[Process_ID_O],,0,)</f>
        <v>11</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c r="O61" s="48">
        <v>26092.248588840001</v>
      </c>
      <c r="P61" s="11"/>
      <c r="Q61" s="11"/>
      <c r="R61" s="11"/>
      <c r="S61" s="11"/>
      <c r="T61" s="11"/>
      <c r="U61" s="11"/>
      <c r="V61" s="11"/>
      <c r="W61" s="11"/>
      <c r="X61" s="11" t="s">
        <v>8</v>
      </c>
      <c r="Y61" s="41"/>
      <c r="Z61" s="11"/>
      <c r="AA61" s="35">
        <f t="shared" si="1"/>
        <v>26092.248588840001</v>
      </c>
      <c r="AB61" s="11" t="s">
        <v>276</v>
      </c>
      <c r="AC61" s="190">
        <f>INDEX(Tab_Def_Flows[[Flow_ID]:[CC_DM_source]],MATCH(Tab_Data_Flows[[#This Row],[Name(EN)]],Tab_Def_Flows[Name(EN)],0),13)</f>
        <v>1</v>
      </c>
      <c r="AD61" s="9">
        <f>IF(J61="Yes",AA61*Tab_Data_Flows[[#This Row],[WC_'[%']]],"N.A.")</f>
        <v>26092.248588840001</v>
      </c>
      <c r="AE61" s="9" t="str">
        <f>Tab_Data_Flows[[#This Row],[UoM_Flow_Py]]</f>
        <v>Mg</v>
      </c>
      <c r="AF61" s="190">
        <f>INDEX(Tab_Def_Flows[[Flow_ID]:[CC_DM_source]],MATCH(Tab_Data_Flows[[#This Row],[Name(EN)]],Tab_Def_Flows[Name(EN)],0),15)</f>
        <v>0</v>
      </c>
      <c r="AG61" s="9">
        <f>IF(K61="Yes",AF61*Tab_Data_Flows[[#This Row],[Flow_Py]],"N.A.")</f>
        <v>0</v>
      </c>
      <c r="AH61" s="9" t="str">
        <f>Tab_Data_Flows[[#This Row],[UoM_Flow_Py]]</f>
        <v>Mg</v>
      </c>
      <c r="AI61" s="190">
        <f>INDEX(Tab_Def_Flows[[Flow_ID]:[CC_DM_source]],MATCH(Tab_Data_Flows[[#This Row],[Name(EN)]],Tab_Def_Flows[Name(EN)],0),17)</f>
        <v>0</v>
      </c>
      <c r="AJ61" s="9">
        <f>IF(L61="Yes",AI61*Tab_Data_Flows[[#This Row],[Flow_Py]]*Tab_Data_Flows[[#This Row],[DM_'[%']]],"N.A.")</f>
        <v>0</v>
      </c>
      <c r="AK61" s="9" t="str">
        <f>Tab_Data_Flows[[#This Row],[UoM_Flow_Py]]</f>
        <v>Mg</v>
      </c>
    </row>
    <row r="62" spans="1:37" x14ac:dyDescent="0.25">
      <c r="A62" s="16">
        <f t="shared" si="0"/>
        <v>61</v>
      </c>
      <c r="B62" s="9" t="str">
        <f>_xlfn.XLOOKUP(C62,Tab_Def_Flows[Name(EN)],Tab_Def_Flows[Flow_ID],,0,)</f>
        <v>F_11_09</v>
      </c>
      <c r="C62" s="11" t="s">
        <v>812</v>
      </c>
      <c r="D62" s="9">
        <f>_xlfn.XLOOKUP(C62,Tab_Def_Flows[Name(EN)],Tab_Def_Flows[Type_Biomass],,0,)</f>
        <v>0</v>
      </c>
      <c r="E62" s="9" t="str">
        <f>_xlfn.XLOOKUP(C62,Tab_Def_Flows[Name(EN)],Tab_Def_Flows[Output_Process],,0,)</f>
        <v>Water Compostation</v>
      </c>
      <c r="F62" s="9" t="str">
        <f>_xlfn.XLOOKUP(C62,Tab_Def_Flows[Name(EN)],Tab_Def_Flows[Process_ID_O],,0,)</f>
        <v>11</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c r="O62" s="48">
        <v>28784.767518120003</v>
      </c>
      <c r="P62" s="11"/>
      <c r="Q62" s="11"/>
      <c r="R62" s="11"/>
      <c r="S62" s="11"/>
      <c r="T62" s="11"/>
      <c r="U62" s="11"/>
      <c r="V62" s="11"/>
      <c r="W62" s="11"/>
      <c r="X62" s="11" t="s">
        <v>8</v>
      </c>
      <c r="Y62" s="41"/>
      <c r="Z62" s="11"/>
      <c r="AA62" s="35">
        <f t="shared" si="1"/>
        <v>28784.767518120003</v>
      </c>
      <c r="AB62" s="11" t="s">
        <v>276</v>
      </c>
      <c r="AC62" s="190">
        <f>INDEX(Tab_Def_Flows[[Flow_ID]:[CC_DM_source]],MATCH(Tab_Data_Flows[[#This Row],[Name(EN)]],Tab_Def_Flows[Name(EN)],0),13)</f>
        <v>1</v>
      </c>
      <c r="AD62" s="9">
        <f>IF(J62="Yes",AA62*Tab_Data_Flows[[#This Row],[WC_'[%']]],"N.A.")</f>
        <v>28784.767518120003</v>
      </c>
      <c r="AE62" s="9" t="str">
        <f>Tab_Data_Flows[[#This Row],[UoM_Flow_Py]]</f>
        <v>Mg</v>
      </c>
      <c r="AF62" s="190">
        <f>INDEX(Tab_Def_Flows[[Flow_ID]:[CC_DM_source]],MATCH(Tab_Data_Flows[[#This Row],[Name(EN)]],Tab_Def_Flows[Name(EN)],0),15)</f>
        <v>0</v>
      </c>
      <c r="AG62" s="9">
        <f>IF(K62="Yes",AF62*Tab_Data_Flows[[#This Row],[Flow_Py]],"N.A.")</f>
        <v>0</v>
      </c>
      <c r="AH62" s="9" t="str">
        <f>Tab_Data_Flows[[#This Row],[UoM_Flow_Py]]</f>
        <v>Mg</v>
      </c>
      <c r="AI62" s="190">
        <f>INDEX(Tab_Def_Flows[[Flow_ID]:[CC_DM_source]],MATCH(Tab_Data_Flows[[#This Row],[Name(EN)]],Tab_Def_Flows[Name(EN)],0),17)</f>
        <v>0</v>
      </c>
      <c r="AJ62" s="9">
        <f>IF(L62="Yes",AI62*Tab_Data_Flows[[#This Row],[Flow_Py]]*Tab_Data_Flows[[#This Row],[DM_'[%']]],"N.A.")</f>
        <v>0</v>
      </c>
      <c r="AK62" s="9" t="str">
        <f>Tab_Data_Flows[[#This Row],[UoM_Flow_Py]]</f>
        <v>Mg</v>
      </c>
    </row>
    <row r="63" spans="1:37" x14ac:dyDescent="0.25">
      <c r="A63" s="16">
        <f t="shared" si="0"/>
        <v>62</v>
      </c>
      <c r="B63" s="9" t="str">
        <f>_xlfn.XLOOKUP(C63,Tab_Def_Flows[Name(EN)],Tab_Def_Flows[Flow_ID],,0,)</f>
        <v>F_11_09</v>
      </c>
      <c r="C63" s="11" t="s">
        <v>812</v>
      </c>
      <c r="D63" s="9">
        <f>_xlfn.XLOOKUP(C63,Tab_Def_Flows[Name(EN)],Tab_Def_Flows[Type_Biomass],,0,)</f>
        <v>0</v>
      </c>
      <c r="E63" s="9" t="str">
        <f>_xlfn.XLOOKUP(C63,Tab_Def_Flows[Name(EN)],Tab_Def_Flows[Output_Process],,0,)</f>
        <v>Water Compostation</v>
      </c>
      <c r="F63" s="9" t="str">
        <f>_xlfn.XLOOKUP(C63,Tab_Def_Flows[Name(EN)],Tab_Def_Flows[Process_ID_O],,0,)</f>
        <v>11</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2034</v>
      </c>
      <c r="N63" s="11"/>
      <c r="O63" s="48">
        <v>25214.658816720003</v>
      </c>
      <c r="P63" s="11"/>
      <c r="Q63" s="11"/>
      <c r="R63" s="11"/>
      <c r="S63" s="11"/>
      <c r="T63" s="11"/>
      <c r="U63" s="11"/>
      <c r="V63" s="11"/>
      <c r="W63" s="11"/>
      <c r="X63" s="11" t="s">
        <v>8</v>
      </c>
      <c r="Y63" s="41"/>
      <c r="Z63" s="11"/>
      <c r="AA63" s="35">
        <f t="shared" si="1"/>
        <v>25214.658816720003</v>
      </c>
      <c r="AB63" s="11" t="s">
        <v>276</v>
      </c>
      <c r="AC63" s="190">
        <f>INDEX(Tab_Def_Flows[[Flow_ID]:[CC_DM_source]],MATCH(Tab_Data_Flows[[#This Row],[Name(EN)]],Tab_Def_Flows[Name(EN)],0),13)</f>
        <v>1</v>
      </c>
      <c r="AD63" s="9">
        <f>IF(J63="Yes",AA63*Tab_Data_Flows[[#This Row],[WC_'[%']]],"N.A.")</f>
        <v>25214.658816720003</v>
      </c>
      <c r="AE63" s="9" t="str">
        <f>Tab_Data_Flows[[#This Row],[UoM_Flow_Py]]</f>
        <v>Mg</v>
      </c>
      <c r="AF63" s="190">
        <f>INDEX(Tab_Def_Flows[[Flow_ID]:[CC_DM_source]],MATCH(Tab_Data_Flows[[#This Row],[Name(EN)]],Tab_Def_Flows[Name(EN)],0),15)</f>
        <v>0</v>
      </c>
      <c r="AG63" s="9">
        <f>IF(K63="Yes",AF63*Tab_Data_Flows[[#This Row],[Flow_Py]],"N.A.")</f>
        <v>0</v>
      </c>
      <c r="AH63" s="9" t="str">
        <f>Tab_Data_Flows[[#This Row],[UoM_Flow_Py]]</f>
        <v>Mg</v>
      </c>
      <c r="AI63" s="190">
        <f>INDEX(Tab_Def_Flows[[Flow_ID]:[CC_DM_source]],MATCH(Tab_Data_Flows[[#This Row],[Name(EN)]],Tab_Def_Flows[Name(EN)],0),17)</f>
        <v>0</v>
      </c>
      <c r="AJ63" s="9">
        <f>IF(L63="Yes",AI63*Tab_Data_Flows[[#This Row],[Flow_Py]]*Tab_Data_Flows[[#This Row],[DM_'[%']]],"N.A.")</f>
        <v>0</v>
      </c>
      <c r="AK63" s="9" t="str">
        <f>Tab_Data_Flows[[#This Row],[UoM_Flow_Py]]</f>
        <v>Mg</v>
      </c>
    </row>
    <row r="64" spans="1:37" x14ac:dyDescent="0.25">
      <c r="A64" s="16">
        <f t="shared" si="0"/>
        <v>63</v>
      </c>
      <c r="B64" s="9" t="str">
        <f>_xlfn.XLOOKUP(C64,Tab_Def_Flows[Name(EN)],Tab_Def_Flows[Flow_ID],,0,)</f>
        <v>F_11_09</v>
      </c>
      <c r="C64" s="11" t="s">
        <v>812</v>
      </c>
      <c r="D64" s="9">
        <f>_xlfn.XLOOKUP(C64,Tab_Def_Flows[Name(EN)],Tab_Def_Flows[Type_Biomass],,0,)</f>
        <v>0</v>
      </c>
      <c r="E64" s="9" t="str">
        <f>_xlfn.XLOOKUP(C64,Tab_Def_Flows[Name(EN)],Tab_Def_Flows[Output_Process],,0,)</f>
        <v>Water Compostation</v>
      </c>
      <c r="F64" s="9" t="str">
        <f>_xlfn.XLOOKUP(C64,Tab_Def_Flows[Name(EN)],Tab_Def_Flows[Process_ID_O],,0,)</f>
        <v>11</v>
      </c>
      <c r="G64" s="9" t="str">
        <f>_xlfn.XLOOKUP(C64,Tab_Def_Flows[Name(EN)],Tab_Def_Flows[Input_Process],,0,)</f>
        <v>Compostation &amp; Incorporation</v>
      </c>
      <c r="H64" s="17" t="str">
        <f>_xlfn.XLOOKUP(C64,Tab_Def_Flows[Name(EN)],Tab_Def_Flows[Process_ID_I],,0,)</f>
        <v>09</v>
      </c>
      <c r="I64" s="17" t="e">
        <f>_xlfn.XLOOKUP(C64,Tab_Def_Flows[Name(EN)],#REF!,,0,)</f>
        <v>#REF!</v>
      </c>
      <c r="J64" s="17" t="str">
        <f>_xlfn.XLOOKUP(C64,Tab_Def_Flows[Name(EN)],Tab_Def_Flows[WC?],,0,)</f>
        <v>Yes</v>
      </c>
      <c r="K64" s="17" t="str">
        <f>_xlfn.XLOOKUP(C64,Tab_Def_Flows[Name(EN)],Tab_Def_Flows[DM?],,0,)</f>
        <v>Yes</v>
      </c>
      <c r="L64" s="17" t="str">
        <f>_xlfn.XLOOKUP(C64,Tab_Def_Flows[Name(EN)],Tab_Def_Flows[CC?],,0,)</f>
        <v>Yes</v>
      </c>
      <c r="M64" s="11">
        <v>2035</v>
      </c>
      <c r="N64" s="11"/>
      <c r="O64" s="48">
        <v>23830.69024376</v>
      </c>
      <c r="P64" s="11"/>
      <c r="Q64" s="11"/>
      <c r="R64" s="11"/>
      <c r="S64" s="11"/>
      <c r="T64" s="11"/>
      <c r="U64" s="11"/>
      <c r="V64" s="11"/>
      <c r="W64" s="11"/>
      <c r="X64" s="11" t="s">
        <v>8</v>
      </c>
      <c r="Y64" s="41"/>
      <c r="Z64" s="11"/>
      <c r="AA64" s="35">
        <f t="shared" si="1"/>
        <v>23830.69024376</v>
      </c>
      <c r="AB64" s="11" t="s">
        <v>276</v>
      </c>
      <c r="AC64" s="190">
        <f>INDEX(Tab_Def_Flows[[Flow_ID]:[CC_DM_source]],MATCH(Tab_Data_Flows[[#This Row],[Name(EN)]],Tab_Def_Flows[Name(EN)],0),13)</f>
        <v>1</v>
      </c>
      <c r="AD64" s="9">
        <f>IF(J64="Yes",AA64*Tab_Data_Flows[[#This Row],[WC_'[%']]],"N.A.")</f>
        <v>23830.69024376</v>
      </c>
      <c r="AE64" s="9" t="str">
        <f>Tab_Data_Flows[[#This Row],[UoM_Flow_Py]]</f>
        <v>Mg</v>
      </c>
      <c r="AF64" s="190">
        <f>INDEX(Tab_Def_Flows[[Flow_ID]:[CC_DM_source]],MATCH(Tab_Data_Flows[[#This Row],[Name(EN)]],Tab_Def_Flows[Name(EN)],0),15)</f>
        <v>0</v>
      </c>
      <c r="AG64" s="9">
        <f>IF(K64="Yes",AF64*Tab_Data_Flows[[#This Row],[Flow_Py]],"N.A.")</f>
        <v>0</v>
      </c>
      <c r="AH64" s="9" t="str">
        <f>Tab_Data_Flows[[#This Row],[UoM_Flow_Py]]</f>
        <v>Mg</v>
      </c>
      <c r="AI64" s="190">
        <f>INDEX(Tab_Def_Flows[[Flow_ID]:[CC_DM_source]],MATCH(Tab_Data_Flows[[#This Row],[Name(EN)]],Tab_Def_Flows[Name(EN)],0),17)</f>
        <v>0</v>
      </c>
      <c r="AJ64" s="9">
        <f>IF(L64="Yes",AI64*Tab_Data_Flows[[#This Row],[Flow_Py]]*Tab_Data_Flows[[#This Row],[DM_'[%']]],"N.A.")</f>
        <v>0</v>
      </c>
      <c r="AK64" s="9" t="str">
        <f>Tab_Data_Flows[[#This Row],[UoM_Flow_Py]]</f>
        <v>Mg</v>
      </c>
    </row>
    <row r="65" spans="1:37" x14ac:dyDescent="0.25">
      <c r="A65" s="16">
        <f t="shared" si="0"/>
        <v>64</v>
      </c>
      <c r="B65" s="9" t="str">
        <f>_xlfn.XLOOKUP(C65,Tab_Def_Flows[Name(EN)],Tab_Def_Flows[Flow_ID],,0,)</f>
        <v>F_11_09</v>
      </c>
      <c r="C65" s="11" t="s">
        <v>812</v>
      </c>
      <c r="D65" s="9">
        <f>_xlfn.XLOOKUP(C65,Tab_Def_Flows[Name(EN)],Tab_Def_Flows[Type_Biomass],,0,)</f>
        <v>0</v>
      </c>
      <c r="E65" s="9" t="str">
        <f>_xlfn.XLOOKUP(C65,Tab_Def_Flows[Name(EN)],Tab_Def_Flows[Output_Process],,0,)</f>
        <v>Water Compostation</v>
      </c>
      <c r="F65" s="9" t="str">
        <f>_xlfn.XLOOKUP(C65,Tab_Def_Flows[Name(EN)],Tab_Def_Flows[Process_ID_O],,0,)</f>
        <v>11</v>
      </c>
      <c r="G65" s="9" t="str">
        <f>_xlfn.XLOOKUP(C65,Tab_Def_Flows[Name(EN)],Tab_Def_Flows[Input_Process],,0,)</f>
        <v>Compostation &amp; Incorporation</v>
      </c>
      <c r="H65" s="17" t="str">
        <f>_xlfn.XLOOKUP(C65,Tab_Def_Flows[Name(EN)],Tab_Def_Flows[Process_ID_I],,0,)</f>
        <v>09</v>
      </c>
      <c r="I65" s="17" t="e">
        <f>_xlfn.XLOOKUP(C65,Tab_Def_Flows[Name(EN)],#REF!,,0,)</f>
        <v>#REF!</v>
      </c>
      <c r="J65" s="17" t="str">
        <f>_xlfn.XLOOKUP(C65,Tab_Def_Flows[Name(EN)],Tab_Def_Flows[WC?],,0,)</f>
        <v>Yes</v>
      </c>
      <c r="K65" s="17" t="str">
        <f>_xlfn.XLOOKUP(C65,Tab_Def_Flows[Name(EN)],Tab_Def_Flows[DM?],,0,)</f>
        <v>Yes</v>
      </c>
      <c r="L65" s="17" t="str">
        <f>_xlfn.XLOOKUP(C65,Tab_Def_Flows[Name(EN)],Tab_Def_Flows[CC?],,0,)</f>
        <v>Yes</v>
      </c>
      <c r="M65" s="11">
        <v>2036</v>
      </c>
      <c r="N65" s="11"/>
      <c r="O65" s="48">
        <v>23667.149364040004</v>
      </c>
      <c r="P65" s="11"/>
      <c r="Q65" s="11"/>
      <c r="R65" s="11"/>
      <c r="S65" s="11"/>
      <c r="T65" s="11"/>
      <c r="U65" s="11"/>
      <c r="V65" s="11"/>
      <c r="W65" s="11"/>
      <c r="X65" s="11" t="s">
        <v>8</v>
      </c>
      <c r="Y65" s="41"/>
      <c r="Z65" s="11"/>
      <c r="AA65" s="35">
        <f t="shared" si="1"/>
        <v>23667.149364040004</v>
      </c>
      <c r="AB65" s="11" t="s">
        <v>276</v>
      </c>
      <c r="AC65" s="190">
        <f>INDEX(Tab_Def_Flows[[Flow_ID]:[CC_DM_source]],MATCH(Tab_Data_Flows[[#This Row],[Name(EN)]],Tab_Def_Flows[Name(EN)],0),13)</f>
        <v>1</v>
      </c>
      <c r="AD65" s="9">
        <f>IF(J65="Yes",AA65*Tab_Data_Flows[[#This Row],[WC_'[%']]],"N.A.")</f>
        <v>23667.149364040004</v>
      </c>
      <c r="AE65" s="9" t="str">
        <f>Tab_Data_Flows[[#This Row],[UoM_Flow_Py]]</f>
        <v>Mg</v>
      </c>
      <c r="AF65" s="190">
        <f>INDEX(Tab_Def_Flows[[Flow_ID]:[CC_DM_source]],MATCH(Tab_Data_Flows[[#This Row],[Name(EN)]],Tab_Def_Flows[Name(EN)],0),15)</f>
        <v>0</v>
      </c>
      <c r="AG65" s="9">
        <f>IF(K65="Yes",AF65*Tab_Data_Flows[[#This Row],[Flow_Py]],"N.A.")</f>
        <v>0</v>
      </c>
      <c r="AH65" s="9" t="str">
        <f>Tab_Data_Flows[[#This Row],[UoM_Flow_Py]]</f>
        <v>Mg</v>
      </c>
      <c r="AI65" s="190">
        <f>INDEX(Tab_Def_Flows[[Flow_ID]:[CC_DM_source]],MATCH(Tab_Data_Flows[[#This Row],[Name(EN)]],Tab_Def_Flows[Name(EN)],0),17)</f>
        <v>0</v>
      </c>
      <c r="AJ65" s="9">
        <f>IF(L65="Yes",AI65*Tab_Data_Flows[[#This Row],[Flow_Py]]*Tab_Data_Flows[[#This Row],[DM_'[%']]],"N.A.")</f>
        <v>0</v>
      </c>
      <c r="AK65" s="9" t="str">
        <f>Tab_Data_Flows[[#This Row],[UoM_Flow_Py]]</f>
        <v>Mg</v>
      </c>
    </row>
    <row r="66" spans="1:37" x14ac:dyDescent="0.25">
      <c r="A66" s="16">
        <f t="shared" si="0"/>
        <v>65</v>
      </c>
      <c r="B66" s="9" t="str">
        <f>_xlfn.XLOOKUP(C66,Tab_Def_Flows[Name(EN)],Tab_Def_Flows[Flow_ID],,0,)</f>
        <v>F_11_09</v>
      </c>
      <c r="C66" s="11" t="s">
        <v>812</v>
      </c>
      <c r="D66" s="9">
        <f>_xlfn.XLOOKUP(C66,Tab_Def_Flows[Name(EN)],Tab_Def_Flows[Type_Biomass],,0,)</f>
        <v>0</v>
      </c>
      <c r="E66" s="9" t="str">
        <f>_xlfn.XLOOKUP(C66,Tab_Def_Flows[Name(EN)],Tab_Def_Flows[Output_Process],,0,)</f>
        <v>Water Compostation</v>
      </c>
      <c r="F66" s="9" t="str">
        <f>_xlfn.XLOOKUP(C66,Tab_Def_Flows[Name(EN)],Tab_Def_Flows[Process_ID_O],,0,)</f>
        <v>11</v>
      </c>
      <c r="G66" s="9" t="str">
        <f>_xlfn.XLOOKUP(C66,Tab_Def_Flows[Name(EN)],Tab_Def_Flows[Input_Process],,0,)</f>
        <v>Compostation &amp; Incorporation</v>
      </c>
      <c r="H66" s="17" t="str">
        <f>_xlfn.XLOOKUP(C66,Tab_Def_Flows[Name(EN)],Tab_Def_Flows[Process_ID_I],,0,)</f>
        <v>09</v>
      </c>
      <c r="I66" s="17" t="e">
        <f>_xlfn.XLOOKUP(C66,Tab_Def_Flows[Name(EN)],#REF!,,0,)</f>
        <v>#REF!</v>
      </c>
      <c r="J66" s="17" t="str">
        <f>_xlfn.XLOOKUP(C66,Tab_Def_Flows[Name(EN)],Tab_Def_Flows[WC?],,0,)</f>
        <v>Yes</v>
      </c>
      <c r="K66" s="17" t="str">
        <f>_xlfn.XLOOKUP(C66,Tab_Def_Flows[Name(EN)],Tab_Def_Flows[DM?],,0,)</f>
        <v>Yes</v>
      </c>
      <c r="L66" s="17" t="str">
        <f>_xlfn.XLOOKUP(C66,Tab_Def_Flows[Name(EN)],Tab_Def_Flows[CC?],,0,)</f>
        <v>Yes</v>
      </c>
      <c r="M66" s="11">
        <v>2037</v>
      </c>
      <c r="N66" s="11" t="s">
        <v>105</v>
      </c>
      <c r="O66" s="48">
        <v>28076.82083588</v>
      </c>
      <c r="P66" s="11"/>
      <c r="Q66" s="11"/>
      <c r="R66" s="11"/>
      <c r="S66" s="11"/>
      <c r="T66" s="11"/>
      <c r="U66" s="11"/>
      <c r="V66" s="11"/>
      <c r="W66" s="11"/>
      <c r="X66" s="11" t="s">
        <v>8</v>
      </c>
      <c r="Y66" s="41"/>
      <c r="Z66" s="11"/>
      <c r="AA66" s="35">
        <f t="shared" si="1"/>
        <v>28076.82083588</v>
      </c>
      <c r="AB66" s="11" t="s">
        <v>276</v>
      </c>
      <c r="AC66" s="190">
        <f>INDEX(Tab_Def_Flows[[Flow_ID]:[CC_DM_source]],MATCH(Tab_Data_Flows[[#This Row],[Name(EN)]],Tab_Def_Flows[Name(EN)],0),13)</f>
        <v>1</v>
      </c>
      <c r="AD66" s="9">
        <f>IF(J66="Yes",AA66*Tab_Data_Flows[[#This Row],[WC_'[%']]],"N.A.")</f>
        <v>28076.82083588</v>
      </c>
      <c r="AE66" s="9" t="str">
        <f>Tab_Data_Flows[[#This Row],[UoM_Flow_Py]]</f>
        <v>Mg</v>
      </c>
      <c r="AF66" s="190">
        <f>INDEX(Tab_Def_Flows[[Flow_ID]:[CC_DM_source]],MATCH(Tab_Data_Flows[[#This Row],[Name(EN)]],Tab_Def_Flows[Name(EN)],0),15)</f>
        <v>0</v>
      </c>
      <c r="AG66" s="9">
        <f>IF(K66="Yes",AF66*Tab_Data_Flows[[#This Row],[Flow_Py]],"N.A.")</f>
        <v>0</v>
      </c>
      <c r="AH66" s="9" t="str">
        <f>Tab_Data_Flows[[#This Row],[UoM_Flow_Py]]</f>
        <v>Mg</v>
      </c>
      <c r="AI66" s="190">
        <f>INDEX(Tab_Def_Flows[[Flow_ID]:[CC_DM_source]],MATCH(Tab_Data_Flows[[#This Row],[Name(EN)]],Tab_Def_Flows[Name(EN)],0),17)</f>
        <v>0</v>
      </c>
      <c r="AJ66" s="9">
        <f>IF(L66="Yes",AI66*Tab_Data_Flows[[#This Row],[Flow_Py]]*Tab_Data_Flows[[#This Row],[DM_'[%']]],"N.A.")</f>
        <v>0</v>
      </c>
      <c r="AK66" s="9" t="str">
        <f>Tab_Data_Flows[[#This Row],[UoM_Flow_Py]]</f>
        <v>Mg</v>
      </c>
    </row>
    <row r="67" spans="1:37" x14ac:dyDescent="0.25">
      <c r="A67" s="16">
        <f t="shared" ref="A67:A130" si="2">ROW()-1</f>
        <v>66</v>
      </c>
      <c r="B67" s="9" t="str">
        <f>_xlfn.XLOOKUP(C67,Tab_Def_Flows[Name(EN)],Tab_Def_Flows[Flow_ID],,0,)</f>
        <v>F_11_09</v>
      </c>
      <c r="C67" s="11" t="s">
        <v>812</v>
      </c>
      <c r="D67" s="9"/>
      <c r="E67" s="9" t="str">
        <f>_xlfn.XLOOKUP(C67,Tab_Def_Flows[Name(EN)],Tab_Def_Flows[Output_Process],,0,)</f>
        <v>Water Compostation</v>
      </c>
      <c r="F67" s="9" t="str">
        <f>_xlfn.XLOOKUP(C67,Tab_Def_Flows[Name(EN)],Tab_Def_Flows[Process_ID_O],,0,)</f>
        <v>11</v>
      </c>
      <c r="G67" s="9" t="str">
        <f>_xlfn.XLOOKUP(C67,Tab_Def_Flows[Name(EN)],Tab_Def_Flows[Input_Process],,0,)</f>
        <v>Compostation &amp; Incorporation</v>
      </c>
      <c r="H67" s="17" t="str">
        <f>_xlfn.XLOOKUP(C67,Tab_Def_Flows[Name(EN)],Tab_Def_Flows[Process_ID_I],,0,)</f>
        <v>09</v>
      </c>
      <c r="I67" s="9" t="e">
        <f>_xlfn.XLOOKUP(C67,Tab_Def_Flows[Name(EN)],#REF!,,0,)</f>
        <v>#REF!</v>
      </c>
      <c r="J67" s="9" t="str">
        <f>_xlfn.XLOOKUP(C67,Tab_Def_Flows[Name(EN)],Tab_Def_Flows[WC?],,0,)</f>
        <v>Yes</v>
      </c>
      <c r="K67" s="9" t="str">
        <f>_xlfn.XLOOKUP(C67,Tab_Def_Flows[Name(EN)],Tab_Def_Flows[DM?],,0,)</f>
        <v>Yes</v>
      </c>
      <c r="L67" s="9" t="str">
        <f>_xlfn.XLOOKUP(C67,Tab_Def_Flows[Name(EN)],Tab_Def_Flows[CC?],,0,)</f>
        <v>Yes</v>
      </c>
      <c r="M67" s="11">
        <v>2038</v>
      </c>
      <c r="N67" s="11"/>
      <c r="O67" s="48">
        <v>26992.042388440001</v>
      </c>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26992.042388440001</v>
      </c>
      <c r="AB67" s="11" t="s">
        <v>276</v>
      </c>
      <c r="AC67" s="190">
        <f>INDEX(Tab_Def_Flows[[Flow_ID]:[CC_DM_source]],MATCH(Tab_Data_Flows[[#This Row],[Name(EN)]],Tab_Def_Flows[Name(EN)],0),13)</f>
        <v>1</v>
      </c>
      <c r="AD67" s="9">
        <f>IF(J67="Yes",AA67*Tab_Data_Flows[[#This Row],[WC_'[%']]],"N.A.")</f>
        <v>26992.042388440001</v>
      </c>
      <c r="AE67" s="9" t="str">
        <f>Tab_Data_Flows[[#This Row],[UoM_Flow_Py]]</f>
        <v>Mg</v>
      </c>
      <c r="AF67" s="190">
        <f>INDEX(Tab_Def_Flows[[Flow_ID]:[CC_DM_source]],MATCH(Tab_Data_Flows[[#This Row],[Name(EN)]],Tab_Def_Flows[Name(EN)],0),15)</f>
        <v>0</v>
      </c>
      <c r="AG67" s="9">
        <f>IF(K67="Yes",AF67*Tab_Data_Flows[[#This Row],[Flow_Py]],"N.A.")</f>
        <v>0</v>
      </c>
      <c r="AH67" s="9" t="str">
        <f>Tab_Data_Flows[[#This Row],[UoM_Flow_Py]]</f>
        <v>Mg</v>
      </c>
      <c r="AI67" s="190">
        <f>INDEX(Tab_Def_Flows[[Flow_ID]:[CC_DM_source]],MATCH(Tab_Data_Flows[[#This Row],[Name(EN)]],Tab_Def_Flows[Name(EN)],0),17)</f>
        <v>0</v>
      </c>
      <c r="AJ67" s="9">
        <f>IF(L67="Yes",AI67*Tab_Data_Flows[[#This Row],[Flow_Py]]*Tab_Data_Flows[[#This Row],[DM_'[%']]],"N.A.")</f>
        <v>0</v>
      </c>
      <c r="AK67" s="9" t="str">
        <f>Tab_Data_Flows[[#This Row],[UoM_Flow_Py]]</f>
        <v>Mg</v>
      </c>
    </row>
    <row r="68" spans="1:37" x14ac:dyDescent="0.25">
      <c r="A68" s="16">
        <f t="shared" si="2"/>
        <v>67</v>
      </c>
      <c r="B68" s="9" t="str">
        <f>_xlfn.XLOOKUP(C68,Tab_Def_Flows[Name(EN)],Tab_Def_Flows[Flow_ID],,0,)</f>
        <v>F_11_09</v>
      </c>
      <c r="C68" s="11" t="s">
        <v>812</v>
      </c>
      <c r="D68" s="9"/>
      <c r="E68" s="9" t="str">
        <f>_xlfn.XLOOKUP(C68,Tab_Def_Flows[Name(EN)],Tab_Def_Flows[Output_Process],,0,)</f>
        <v>Water Compostation</v>
      </c>
      <c r="F68" s="9" t="str">
        <f>_xlfn.XLOOKUP(C68,Tab_Def_Flows[Name(EN)],Tab_Def_Flows[Process_ID_O],,0,)</f>
        <v>11</v>
      </c>
      <c r="G68" s="9" t="str">
        <f>_xlfn.XLOOKUP(C68,Tab_Def_Flows[Name(EN)],Tab_Def_Flows[Input_Process],,0,)</f>
        <v>Compostation &amp; Incorporation</v>
      </c>
      <c r="H68" s="17" t="str">
        <f>_xlfn.XLOOKUP(C68,Tab_Def_Flows[Name(EN)],Tab_Def_Flows[Process_ID_I],,0,)</f>
        <v>09</v>
      </c>
      <c r="I68" s="9" t="e">
        <f>_xlfn.XLOOKUP(C68,Tab_Def_Flows[Name(EN)],#REF!,,0,)</f>
        <v>#REF!</v>
      </c>
      <c r="J68" s="9" t="str">
        <f>_xlfn.XLOOKUP(C68,Tab_Def_Flows[Name(EN)],Tab_Def_Flows[WC?],,0,)</f>
        <v>Yes</v>
      </c>
      <c r="K68" s="9" t="str">
        <f>_xlfn.XLOOKUP(C68,Tab_Def_Flows[Name(EN)],Tab_Def_Flows[DM?],,0,)</f>
        <v>Yes</v>
      </c>
      <c r="L68" s="9" t="str">
        <f>_xlfn.XLOOKUP(C68,Tab_Def_Flows[Name(EN)],Tab_Def_Flows[CC?],,0,)</f>
        <v>Yes</v>
      </c>
      <c r="M68" s="11">
        <v>2039</v>
      </c>
      <c r="N68" s="11"/>
      <c r="O68" s="48">
        <v>23489.155014240001</v>
      </c>
      <c r="P68" s="11"/>
      <c r="Q68" s="11"/>
      <c r="R68" s="11" t="e">
        <f>INDEX(#REF!,MATCH(Tab_Data_Flows[[#This Row],[Name(EN)]],#REF!,0),12)</f>
        <v>#REF!</v>
      </c>
      <c r="S68" s="11" t="e">
        <f>MATCH(Tab_Data_Flows[[#This Row],[Name(EN)]],#REF!,0)</f>
        <v>#REF!</v>
      </c>
      <c r="T68" s="11"/>
      <c r="U68" s="11"/>
      <c r="V68" s="11"/>
      <c r="W68" s="11"/>
      <c r="X68" s="11" t="s">
        <v>8</v>
      </c>
      <c r="Y68" s="11"/>
      <c r="Z68" s="11"/>
      <c r="AA68" s="35">
        <f t="shared" si="3"/>
        <v>23489.155014240001</v>
      </c>
      <c r="AB68" s="11" t="s">
        <v>276</v>
      </c>
      <c r="AC68" s="190">
        <f>INDEX(Tab_Def_Flows[[Flow_ID]:[CC_DM_source]],MATCH(Tab_Data_Flows[[#This Row],[Name(EN)]],Tab_Def_Flows[Name(EN)],0),13)</f>
        <v>1</v>
      </c>
      <c r="AD68" s="9">
        <f>IF(J68="Yes",AA68*Tab_Data_Flows[[#This Row],[WC_'[%']]],"N.A.")</f>
        <v>23489.155014240001</v>
      </c>
      <c r="AE68" s="9" t="str">
        <f>Tab_Data_Flows[[#This Row],[UoM_Flow_Py]]</f>
        <v>Mg</v>
      </c>
      <c r="AF68" s="190">
        <f>INDEX(Tab_Def_Flows[[Flow_ID]:[CC_DM_source]],MATCH(Tab_Data_Flows[[#This Row],[Name(EN)]],Tab_Def_Flows[Name(EN)],0),15)</f>
        <v>0</v>
      </c>
      <c r="AG68" s="9">
        <f>IF(K68="Yes",AF68*Tab_Data_Flows[[#This Row],[Flow_Py]],"N.A.")</f>
        <v>0</v>
      </c>
      <c r="AH68" s="9" t="str">
        <f>Tab_Data_Flows[[#This Row],[UoM_Flow_Py]]</f>
        <v>Mg</v>
      </c>
      <c r="AI68" s="190">
        <f>INDEX(Tab_Def_Flows[[Flow_ID]:[CC_DM_source]],MATCH(Tab_Data_Flows[[#This Row],[Name(EN)]],Tab_Def_Flows[Name(EN)],0),17)</f>
        <v>0</v>
      </c>
      <c r="AJ68" s="9">
        <f>IF(L68="Yes",AI68*Tab_Data_Flows[[#This Row],[Flow_Py]]*Tab_Data_Flows[[#This Row],[DM_'[%']]],"N.A.")</f>
        <v>0</v>
      </c>
      <c r="AK68" s="9" t="str">
        <f>Tab_Data_Flows[[#This Row],[UoM_Flow_Py]]</f>
        <v>Mg</v>
      </c>
    </row>
    <row r="69" spans="1:37" x14ac:dyDescent="0.25">
      <c r="A69" s="16">
        <f t="shared" si="2"/>
        <v>68</v>
      </c>
      <c r="B69" s="9" t="str">
        <f>_xlfn.XLOOKUP(C69,Tab_Def_Flows[Name(EN)],Tab_Def_Flows[Flow_ID],,0,)</f>
        <v>F_11_09</v>
      </c>
      <c r="C69" s="11" t="s">
        <v>812</v>
      </c>
      <c r="D69" s="9"/>
      <c r="E69" s="9" t="str">
        <f>_xlfn.XLOOKUP(C69,Tab_Def_Flows[Name(EN)],Tab_Def_Flows[Output_Process],,0,)</f>
        <v>Water Compostation</v>
      </c>
      <c r="F69" s="9" t="str">
        <f>_xlfn.XLOOKUP(C69,Tab_Def_Flows[Name(EN)],Tab_Def_Flows[Process_ID_O],,0,)</f>
        <v>11</v>
      </c>
      <c r="G69" s="9" t="str">
        <f>_xlfn.XLOOKUP(C69,Tab_Def_Flows[Name(EN)],Tab_Def_Flows[Input_Process],,0,)</f>
        <v>Compostation &amp; Incorporation</v>
      </c>
      <c r="H69" s="17" t="str">
        <f>_xlfn.XLOOKUP(C69,Tab_Def_Flows[Name(EN)],Tab_Def_Flows[Process_ID_I],,0,)</f>
        <v>09</v>
      </c>
      <c r="I69" s="9" t="e">
        <f>_xlfn.XLOOKUP(C69,Tab_Def_Flows[Name(EN)],#REF!,,0,)</f>
        <v>#REF!</v>
      </c>
      <c r="J69" s="9" t="str">
        <f>_xlfn.XLOOKUP(C69,Tab_Def_Flows[Name(EN)],Tab_Def_Flows[WC?],,0,)</f>
        <v>Yes</v>
      </c>
      <c r="K69" s="9" t="str">
        <f>_xlfn.XLOOKUP(C69,Tab_Def_Flows[Name(EN)],Tab_Def_Flows[DM?],,0,)</f>
        <v>Yes</v>
      </c>
      <c r="L69" s="9" t="str">
        <f>_xlfn.XLOOKUP(C69,Tab_Def_Flows[Name(EN)],Tab_Def_Flows[CC?],,0,)</f>
        <v>Yes</v>
      </c>
      <c r="M69" s="11">
        <v>2040</v>
      </c>
      <c r="N69" s="11"/>
      <c r="O69" s="48">
        <v>29256.706447919998</v>
      </c>
      <c r="P69" s="11"/>
      <c r="Q69" s="11"/>
      <c r="R69" s="11" t="e">
        <f>INDEX(#REF!,MATCH(Tab_Data_Flows[[#This Row],[Name(EN)]],#REF!,0),12)</f>
        <v>#REF!</v>
      </c>
      <c r="S69" s="11" t="e">
        <f>MATCH(Tab_Data_Flows[[#This Row],[Name(EN)]],#REF!,0)</f>
        <v>#REF!</v>
      </c>
      <c r="T69" s="11"/>
      <c r="U69" s="11"/>
      <c r="V69" s="11"/>
      <c r="W69" s="11"/>
      <c r="X69" s="11" t="s">
        <v>8</v>
      </c>
      <c r="Y69" s="11"/>
      <c r="Z69" s="11"/>
      <c r="AA69" s="35">
        <f t="shared" si="3"/>
        <v>29256.706447919998</v>
      </c>
      <c r="AB69" s="11" t="s">
        <v>276</v>
      </c>
      <c r="AC69" s="190">
        <f>INDEX(Tab_Def_Flows[[Flow_ID]:[CC_DM_source]],MATCH(Tab_Data_Flows[[#This Row],[Name(EN)]],Tab_Def_Flows[Name(EN)],0),13)</f>
        <v>1</v>
      </c>
      <c r="AD69" s="9">
        <f>IF(J69="Yes",AA69*Tab_Data_Flows[[#This Row],[WC_'[%']]],"N.A.")</f>
        <v>29256.706447919998</v>
      </c>
      <c r="AE69" s="9" t="str">
        <f>Tab_Data_Flows[[#This Row],[UoM_Flow_Py]]</f>
        <v>Mg</v>
      </c>
      <c r="AF69" s="190">
        <f>INDEX(Tab_Def_Flows[[Flow_ID]:[CC_DM_source]],MATCH(Tab_Data_Flows[[#This Row],[Name(EN)]],Tab_Def_Flows[Name(EN)],0),15)</f>
        <v>0</v>
      </c>
      <c r="AG69" s="9">
        <f>IF(K69="Yes",AF69*Tab_Data_Flows[[#This Row],[Flow_Py]],"N.A.")</f>
        <v>0</v>
      </c>
      <c r="AH69" s="9" t="str">
        <f>Tab_Data_Flows[[#This Row],[UoM_Flow_Py]]</f>
        <v>Mg</v>
      </c>
      <c r="AI69" s="190">
        <f>INDEX(Tab_Def_Flows[[Flow_ID]:[CC_DM_source]],MATCH(Tab_Data_Flows[[#This Row],[Name(EN)]],Tab_Def_Flows[Name(EN)],0),17)</f>
        <v>0</v>
      </c>
      <c r="AJ69" s="9">
        <f>IF(L69="Yes",AI69*Tab_Data_Flows[[#This Row],[Flow_Py]]*Tab_Data_Flows[[#This Row],[DM_'[%']]],"N.A.")</f>
        <v>0</v>
      </c>
      <c r="AK69" s="9" t="str">
        <f>Tab_Data_Flows[[#This Row],[UoM_Flow_Py]]</f>
        <v>Mg</v>
      </c>
    </row>
    <row r="70" spans="1:37" x14ac:dyDescent="0.25">
      <c r="A70" s="16">
        <f t="shared" si="2"/>
        <v>69</v>
      </c>
      <c r="B70" s="9" t="str">
        <f>_xlfn.XLOOKUP(C70,Tab_Def_Flows[Name(EN)],Tab_Def_Flows[Flow_ID],,0,)</f>
        <v>F_11_09</v>
      </c>
      <c r="C70" s="11" t="s">
        <v>812</v>
      </c>
      <c r="D70" s="9"/>
      <c r="E70" s="9" t="str">
        <f>_xlfn.XLOOKUP(C70,Tab_Def_Flows[Name(EN)],Tab_Def_Flows[Output_Process],,0,)</f>
        <v>Water Compostation</v>
      </c>
      <c r="F70" s="9" t="str">
        <f>_xlfn.XLOOKUP(C70,Tab_Def_Flows[Name(EN)],Tab_Def_Flows[Process_ID_O],,0,)</f>
        <v>11</v>
      </c>
      <c r="G70" s="9" t="str">
        <f>_xlfn.XLOOKUP(C70,Tab_Def_Flows[Name(EN)],Tab_Def_Flows[Input_Process],,0,)</f>
        <v>Compostation &amp; Incorporation</v>
      </c>
      <c r="H70" s="17" t="str">
        <f>_xlfn.XLOOKUP(C70,Tab_Def_Flows[Name(EN)],Tab_Def_Flows[Process_ID_I],,0,)</f>
        <v>09</v>
      </c>
      <c r="I70" s="9" t="e">
        <f>_xlfn.XLOOKUP(C70,Tab_Def_Flows[Name(EN)],#REF!,,0,)</f>
        <v>#REF!</v>
      </c>
      <c r="J70" s="9" t="str">
        <f>_xlfn.XLOOKUP(C70,Tab_Def_Flows[Name(EN)],Tab_Def_Flows[WC?],,0,)</f>
        <v>Yes</v>
      </c>
      <c r="K70" s="9" t="str">
        <f>_xlfn.XLOOKUP(C70,Tab_Def_Flows[Name(EN)],Tab_Def_Flows[DM?],,0,)</f>
        <v>Yes</v>
      </c>
      <c r="L70" s="9" t="str">
        <f>_xlfn.XLOOKUP(C70,Tab_Def_Flows[Name(EN)],Tab_Def_Flows[CC?],,0,)</f>
        <v>Yes</v>
      </c>
      <c r="M70" s="11">
        <v>2041</v>
      </c>
      <c r="N70" s="11"/>
      <c r="O70" s="48">
        <v>23965.815057039999</v>
      </c>
      <c r="P70" s="11"/>
      <c r="Q70" s="11"/>
      <c r="R70" s="11" t="e">
        <f>INDEX(#REF!,MATCH(Tab_Data_Flows[[#This Row],[Name(EN)]],#REF!,0),12)</f>
        <v>#REF!</v>
      </c>
      <c r="S70" s="11" t="e">
        <f>MATCH(Tab_Data_Flows[[#This Row],[Name(EN)]],#REF!,0)</f>
        <v>#REF!</v>
      </c>
      <c r="T70" s="11"/>
      <c r="U70" s="11"/>
      <c r="V70" s="11"/>
      <c r="W70" s="11"/>
      <c r="X70" s="11" t="s">
        <v>8</v>
      </c>
      <c r="Y70" s="11"/>
      <c r="Z70" s="11"/>
      <c r="AA70" s="35">
        <f t="shared" si="3"/>
        <v>23965.815057039999</v>
      </c>
      <c r="AB70" s="11" t="s">
        <v>276</v>
      </c>
      <c r="AC70" s="190">
        <f>INDEX(Tab_Def_Flows[[Flow_ID]:[CC_DM_source]],MATCH(Tab_Data_Flows[[#This Row],[Name(EN)]],Tab_Def_Flows[Name(EN)],0),13)</f>
        <v>1</v>
      </c>
      <c r="AD70" s="9">
        <f>IF(J70="Yes",AA70*Tab_Data_Flows[[#This Row],[WC_'[%']]],"N.A.")</f>
        <v>23965.815057039999</v>
      </c>
      <c r="AE70" s="9" t="str">
        <f>Tab_Data_Flows[[#This Row],[UoM_Flow_Py]]</f>
        <v>Mg</v>
      </c>
      <c r="AF70" s="190">
        <f>INDEX(Tab_Def_Flows[[Flow_ID]:[CC_DM_source]],MATCH(Tab_Data_Flows[[#This Row],[Name(EN)]],Tab_Def_Flows[Name(EN)],0),15)</f>
        <v>0</v>
      </c>
      <c r="AG70" s="9">
        <f>IF(K70="Yes",AF70*Tab_Data_Flows[[#This Row],[Flow_Py]],"N.A.")</f>
        <v>0</v>
      </c>
      <c r="AH70" s="9" t="str">
        <f>Tab_Data_Flows[[#This Row],[UoM_Flow_Py]]</f>
        <v>Mg</v>
      </c>
      <c r="AI70" s="190">
        <f>INDEX(Tab_Def_Flows[[Flow_ID]:[CC_DM_source]],MATCH(Tab_Data_Flows[[#This Row],[Name(EN)]],Tab_Def_Flows[Name(EN)],0),17)</f>
        <v>0</v>
      </c>
      <c r="AJ70" s="9">
        <f>IF(L70="Yes",AI70*Tab_Data_Flows[[#This Row],[Flow_Py]]*Tab_Data_Flows[[#This Row],[DM_'[%']]],"N.A.")</f>
        <v>0</v>
      </c>
      <c r="AK70" s="9" t="str">
        <f>Tab_Data_Flows[[#This Row],[UoM_Flow_Py]]</f>
        <v>Mg</v>
      </c>
    </row>
    <row r="71" spans="1:37" x14ac:dyDescent="0.25">
      <c r="A71" s="16">
        <f t="shared" si="2"/>
        <v>70</v>
      </c>
      <c r="B71" s="9" t="str">
        <f>_xlfn.XLOOKUP(C71,Tab_Def_Flows[Name(EN)],Tab_Def_Flows[Flow_ID],,0,)</f>
        <v>F_11_09</v>
      </c>
      <c r="C71" s="11" t="s">
        <v>812</v>
      </c>
      <c r="D71" s="9"/>
      <c r="E71" s="9" t="str">
        <f>_xlfn.XLOOKUP(C71,Tab_Def_Flows[Name(EN)],Tab_Def_Flows[Output_Process],,0,)</f>
        <v>Water Compostation</v>
      </c>
      <c r="F71" s="9" t="str">
        <f>_xlfn.XLOOKUP(C71,Tab_Def_Flows[Name(EN)],Tab_Def_Flows[Process_ID_O],,0,)</f>
        <v>11</v>
      </c>
      <c r="G71" s="9" t="str">
        <f>_xlfn.XLOOKUP(C71,Tab_Def_Flows[Name(EN)],Tab_Def_Flows[Input_Process],,0,)</f>
        <v>Compostation &amp; Incorporation</v>
      </c>
      <c r="H71" s="17" t="str">
        <f>_xlfn.XLOOKUP(C71,Tab_Def_Flows[Name(EN)],Tab_Def_Flows[Process_ID_I],,0,)</f>
        <v>09</v>
      </c>
      <c r="I71" s="9" t="e">
        <f>_xlfn.XLOOKUP(C71,Tab_Def_Flows[Name(EN)],#REF!,,0,)</f>
        <v>#REF!</v>
      </c>
      <c r="J71" s="9" t="str">
        <f>_xlfn.XLOOKUP(C71,Tab_Def_Flows[Name(EN)],Tab_Def_Flows[WC?],,0,)</f>
        <v>Yes</v>
      </c>
      <c r="K71" s="9" t="str">
        <f>_xlfn.XLOOKUP(C71,Tab_Def_Flows[Name(EN)],Tab_Def_Flows[DM?],,0,)</f>
        <v>Yes</v>
      </c>
      <c r="L71" s="9" t="str">
        <f>_xlfn.XLOOKUP(C71,Tab_Def_Flows[Name(EN)],Tab_Def_Flows[CC?],,0,)</f>
        <v>Yes</v>
      </c>
      <c r="M71" s="11">
        <v>2042</v>
      </c>
      <c r="N71" s="11"/>
      <c r="O71" s="48">
        <v>26310.404279999999</v>
      </c>
      <c r="P71" s="11"/>
      <c r="Q71" s="11"/>
      <c r="R71" s="11" t="e">
        <f>INDEX(#REF!,MATCH(Tab_Data_Flows[[#This Row],[Name(EN)]],#REF!,0),12)</f>
        <v>#REF!</v>
      </c>
      <c r="S71" s="11" t="e">
        <f>MATCH(Tab_Data_Flows[[#This Row],[Name(EN)]],#REF!,0)</f>
        <v>#REF!</v>
      </c>
      <c r="T71" s="11"/>
      <c r="U71" s="11"/>
      <c r="V71" s="11"/>
      <c r="W71" s="11"/>
      <c r="X71" s="11" t="s">
        <v>8</v>
      </c>
      <c r="Y71" s="11"/>
      <c r="Z71" s="11"/>
      <c r="AA71" s="35">
        <f t="shared" si="3"/>
        <v>26310.404279999999</v>
      </c>
      <c r="AB71" s="11" t="s">
        <v>276</v>
      </c>
      <c r="AC71" s="190">
        <f>INDEX(Tab_Def_Flows[[Flow_ID]:[CC_DM_source]],MATCH(Tab_Data_Flows[[#This Row],[Name(EN)]],Tab_Def_Flows[Name(EN)],0),13)</f>
        <v>1</v>
      </c>
      <c r="AD71" s="9">
        <f>IF(J71="Yes",AA71*Tab_Data_Flows[[#This Row],[WC_'[%']]],"N.A.")</f>
        <v>26310.404279999999</v>
      </c>
      <c r="AE71" s="9" t="str">
        <f>Tab_Data_Flows[[#This Row],[UoM_Flow_Py]]</f>
        <v>Mg</v>
      </c>
      <c r="AF71" s="190">
        <f>INDEX(Tab_Def_Flows[[Flow_ID]:[CC_DM_source]],MATCH(Tab_Data_Flows[[#This Row],[Name(EN)]],Tab_Def_Flows[Name(EN)],0),15)</f>
        <v>0</v>
      </c>
      <c r="AG71" s="9">
        <f>IF(K71="Yes",AF71*Tab_Data_Flows[[#This Row],[Flow_Py]],"N.A.")</f>
        <v>0</v>
      </c>
      <c r="AH71" s="9" t="str">
        <f>Tab_Data_Flows[[#This Row],[UoM_Flow_Py]]</f>
        <v>Mg</v>
      </c>
      <c r="AI71" s="190">
        <f>INDEX(Tab_Def_Flows[[Flow_ID]:[CC_DM_source]],MATCH(Tab_Data_Flows[[#This Row],[Name(EN)]],Tab_Def_Flows[Name(EN)],0),17)</f>
        <v>0</v>
      </c>
      <c r="AJ71" s="9">
        <f>IF(L71="Yes",AI71*Tab_Data_Flows[[#This Row],[Flow_Py]]*Tab_Data_Flows[[#This Row],[DM_'[%']]],"N.A.")</f>
        <v>0</v>
      </c>
      <c r="AK71" s="9" t="str">
        <f>Tab_Data_Flows[[#This Row],[UoM_Flow_Py]]</f>
        <v>Mg</v>
      </c>
    </row>
    <row r="72" spans="1:37" x14ac:dyDescent="0.25">
      <c r="A72" s="16">
        <f t="shared" si="2"/>
        <v>71</v>
      </c>
      <c r="B72" s="9" t="str">
        <f>_xlfn.XLOOKUP(C72,Tab_Def_Flows[Name(EN)],Tab_Def_Flows[Flow_ID],,0,)</f>
        <v>F_11_09</v>
      </c>
      <c r="C72" s="11" t="s">
        <v>812</v>
      </c>
      <c r="D72" s="9"/>
      <c r="E72" s="9" t="str">
        <f>_xlfn.XLOOKUP(C72,Tab_Def_Flows[Name(EN)],Tab_Def_Flows[Output_Process],,0,)</f>
        <v>Water Compostation</v>
      </c>
      <c r="F72" s="9" t="str">
        <f>_xlfn.XLOOKUP(C72,Tab_Def_Flows[Name(EN)],Tab_Def_Flows[Process_ID_O],,0,)</f>
        <v>11</v>
      </c>
      <c r="G72" s="9" t="str">
        <f>_xlfn.XLOOKUP(C72,Tab_Def_Flows[Name(EN)],Tab_Def_Flows[Input_Process],,0,)</f>
        <v>Compostation &amp; Incorporation</v>
      </c>
      <c r="H72" s="17" t="str">
        <f>_xlfn.XLOOKUP(C72,Tab_Def_Flows[Name(EN)],Tab_Def_Flows[Process_ID_I],,0,)</f>
        <v>09</v>
      </c>
      <c r="I72" s="9" t="e">
        <f>_xlfn.XLOOKUP(C72,Tab_Def_Flows[Name(EN)],#REF!,,0,)</f>
        <v>#REF!</v>
      </c>
      <c r="J72" s="9" t="str">
        <f>_xlfn.XLOOKUP(C72,Tab_Def_Flows[Name(EN)],Tab_Def_Flows[WC?],,0,)</f>
        <v>Yes</v>
      </c>
      <c r="K72" s="9" t="str">
        <f>_xlfn.XLOOKUP(C72,Tab_Def_Flows[Name(EN)],Tab_Def_Flows[DM?],,0,)</f>
        <v>Yes</v>
      </c>
      <c r="L72" s="9" t="str">
        <f>_xlfn.XLOOKUP(C72,Tab_Def_Flows[Name(EN)],Tab_Def_Flows[CC?],,0,)</f>
        <v>Yes</v>
      </c>
      <c r="M72" s="11">
        <v>2043</v>
      </c>
      <c r="N72" s="11"/>
      <c r="O72" s="48">
        <v>25474.403013479998</v>
      </c>
      <c r="P72" s="11"/>
      <c r="Q72" s="11"/>
      <c r="R72" s="11" t="e">
        <f>INDEX(#REF!,MATCH(Tab_Data_Flows[[#This Row],[Name(EN)]],#REF!,0),12)</f>
        <v>#REF!</v>
      </c>
      <c r="S72" s="11" t="e">
        <f>MATCH(Tab_Data_Flows[[#This Row],[Name(EN)]],#REF!,0)</f>
        <v>#REF!</v>
      </c>
      <c r="T72" s="11"/>
      <c r="U72" s="11"/>
      <c r="V72" s="11"/>
      <c r="W72" s="11"/>
      <c r="X72" s="11" t="s">
        <v>8</v>
      </c>
      <c r="Y72" s="11"/>
      <c r="Z72" s="11"/>
      <c r="AA72" s="35">
        <f t="shared" si="3"/>
        <v>25474.403013479998</v>
      </c>
      <c r="AB72" s="11" t="s">
        <v>276</v>
      </c>
      <c r="AC72" s="190">
        <f>INDEX(Tab_Def_Flows[[Flow_ID]:[CC_DM_source]],MATCH(Tab_Data_Flows[[#This Row],[Name(EN)]],Tab_Def_Flows[Name(EN)],0),13)</f>
        <v>1</v>
      </c>
      <c r="AD72" s="9">
        <f>IF(J72="Yes",AA72*Tab_Data_Flows[[#This Row],[WC_'[%']]],"N.A.")</f>
        <v>25474.403013479998</v>
      </c>
      <c r="AE72" s="9" t="str">
        <f>Tab_Data_Flows[[#This Row],[UoM_Flow_Py]]</f>
        <v>Mg</v>
      </c>
      <c r="AF72" s="190">
        <f>INDEX(Tab_Def_Flows[[Flow_ID]:[CC_DM_source]],MATCH(Tab_Data_Flows[[#This Row],[Name(EN)]],Tab_Def_Flows[Name(EN)],0),15)</f>
        <v>0</v>
      </c>
      <c r="AG72" s="9">
        <f>IF(K72="Yes",AF72*Tab_Data_Flows[[#This Row],[Flow_Py]],"N.A.")</f>
        <v>0</v>
      </c>
      <c r="AH72" s="9" t="str">
        <f>Tab_Data_Flows[[#This Row],[UoM_Flow_Py]]</f>
        <v>Mg</v>
      </c>
      <c r="AI72" s="190">
        <f>INDEX(Tab_Def_Flows[[Flow_ID]:[CC_DM_source]],MATCH(Tab_Data_Flows[[#This Row],[Name(EN)]],Tab_Def_Flows[Name(EN)],0),17)</f>
        <v>0</v>
      </c>
      <c r="AJ72" s="9">
        <f>IF(L72="Yes",AI72*Tab_Data_Flows[[#This Row],[Flow_Py]]*Tab_Data_Flows[[#This Row],[DM_'[%']]],"N.A.")</f>
        <v>0</v>
      </c>
      <c r="AK72" s="9" t="str">
        <f>Tab_Data_Flows[[#This Row],[UoM_Flow_Py]]</f>
        <v>Mg</v>
      </c>
    </row>
    <row r="73" spans="1:37" x14ac:dyDescent="0.25">
      <c r="A73" s="16">
        <f t="shared" si="2"/>
        <v>72</v>
      </c>
      <c r="B73" s="9" t="str">
        <f>_xlfn.XLOOKUP(C73,Tab_Def_Flows[Name(EN)],Tab_Def_Flows[Flow_ID],,0,)</f>
        <v>F_11_09</v>
      </c>
      <c r="C73" s="11" t="s">
        <v>812</v>
      </c>
      <c r="D73" s="9"/>
      <c r="E73" s="9" t="str">
        <f>_xlfn.XLOOKUP(C73,Tab_Def_Flows[Name(EN)],Tab_Def_Flows[Output_Process],,0,)</f>
        <v>Water Compostation</v>
      </c>
      <c r="F73" s="9" t="str">
        <f>_xlfn.XLOOKUP(C73,Tab_Def_Flows[Name(EN)],Tab_Def_Flows[Process_ID_O],,0,)</f>
        <v>11</v>
      </c>
      <c r="G73" s="9" t="str">
        <f>_xlfn.XLOOKUP(C73,Tab_Def_Flows[Name(EN)],Tab_Def_Flows[Input_Process],,0,)</f>
        <v>Compostation &amp; Incorporation</v>
      </c>
      <c r="H73" s="17" t="str">
        <f>_xlfn.XLOOKUP(C73,Tab_Def_Flows[Name(EN)],Tab_Def_Flows[Process_ID_I],,0,)</f>
        <v>09</v>
      </c>
      <c r="I73" s="9" t="e">
        <f>_xlfn.XLOOKUP(C73,Tab_Def_Flows[Name(EN)],#REF!,,0,)</f>
        <v>#REF!</v>
      </c>
      <c r="J73" s="9" t="str">
        <f>_xlfn.XLOOKUP(C73,Tab_Def_Flows[Name(EN)],Tab_Def_Flows[WC?],,0,)</f>
        <v>Yes</v>
      </c>
      <c r="K73" s="9" t="str">
        <f>_xlfn.XLOOKUP(C73,Tab_Def_Flows[Name(EN)],Tab_Def_Flows[DM?],,0,)</f>
        <v>Yes</v>
      </c>
      <c r="L73" s="9" t="str">
        <f>_xlfn.XLOOKUP(C73,Tab_Def_Flows[Name(EN)],Tab_Def_Flows[CC?],,0,)</f>
        <v>Yes</v>
      </c>
      <c r="M73" s="11">
        <v>2044</v>
      </c>
      <c r="N73" s="11"/>
      <c r="O73" s="48">
        <v>22725.220660560004</v>
      </c>
      <c r="P73" s="11"/>
      <c r="Q73" s="11"/>
      <c r="R73" s="11" t="e">
        <f>INDEX(#REF!,MATCH(Tab_Data_Flows[[#This Row],[Name(EN)]],#REF!,0),12)</f>
        <v>#REF!</v>
      </c>
      <c r="S73" s="11" t="e">
        <f>MATCH(Tab_Data_Flows[[#This Row],[Name(EN)]],#REF!,0)</f>
        <v>#REF!</v>
      </c>
      <c r="T73" s="11"/>
      <c r="U73" s="11"/>
      <c r="V73" s="11"/>
      <c r="W73" s="11"/>
      <c r="X73" s="11" t="s">
        <v>8</v>
      </c>
      <c r="Y73" s="11"/>
      <c r="Z73" s="11"/>
      <c r="AA73" s="35">
        <f t="shared" si="3"/>
        <v>22725.220660560004</v>
      </c>
      <c r="AB73" s="11" t="s">
        <v>276</v>
      </c>
      <c r="AC73" s="190">
        <f>INDEX(Tab_Def_Flows[[Flow_ID]:[CC_DM_source]],MATCH(Tab_Data_Flows[[#This Row],[Name(EN)]],Tab_Def_Flows[Name(EN)],0),13)</f>
        <v>1</v>
      </c>
      <c r="AD73" s="9">
        <f>IF(J73="Yes",AA73*Tab_Data_Flows[[#This Row],[WC_'[%']]],"N.A.")</f>
        <v>22725.220660560004</v>
      </c>
      <c r="AE73" s="9" t="str">
        <f>Tab_Data_Flows[[#This Row],[UoM_Flow_Py]]</f>
        <v>Mg</v>
      </c>
      <c r="AF73" s="190">
        <f>INDEX(Tab_Def_Flows[[Flow_ID]:[CC_DM_source]],MATCH(Tab_Data_Flows[[#This Row],[Name(EN)]],Tab_Def_Flows[Name(EN)],0),15)</f>
        <v>0</v>
      </c>
      <c r="AG73" s="9">
        <f>IF(K73="Yes",AF73*Tab_Data_Flows[[#This Row],[Flow_Py]],"N.A.")</f>
        <v>0</v>
      </c>
      <c r="AH73" s="9" t="str">
        <f>Tab_Data_Flows[[#This Row],[UoM_Flow_Py]]</f>
        <v>Mg</v>
      </c>
      <c r="AI73" s="190">
        <f>INDEX(Tab_Def_Flows[[Flow_ID]:[CC_DM_source]],MATCH(Tab_Data_Flows[[#This Row],[Name(EN)]],Tab_Def_Flows[Name(EN)],0),17)</f>
        <v>0</v>
      </c>
      <c r="AJ73" s="9">
        <f>IF(L73="Yes",AI73*Tab_Data_Flows[[#This Row],[Flow_Py]]*Tab_Data_Flows[[#This Row],[DM_'[%']]],"N.A.")</f>
        <v>0</v>
      </c>
      <c r="AK73" s="9" t="str">
        <f>Tab_Data_Flows[[#This Row],[UoM_Flow_Py]]</f>
        <v>Mg</v>
      </c>
    </row>
    <row r="74" spans="1:37" x14ac:dyDescent="0.25">
      <c r="A74" s="16">
        <f t="shared" si="2"/>
        <v>73</v>
      </c>
      <c r="B74" s="9" t="str">
        <f>_xlfn.XLOOKUP(C74,Tab_Def_Flows[Name(EN)],Tab_Def_Flows[Flow_ID],,0,)</f>
        <v>F_11_09</v>
      </c>
      <c r="C74" s="11" t="s">
        <v>812</v>
      </c>
      <c r="D74" s="9"/>
      <c r="E74" s="9" t="str">
        <f>_xlfn.XLOOKUP(C74,Tab_Def_Flows[Name(EN)],Tab_Def_Flows[Output_Process],,0,)</f>
        <v>Water Compostation</v>
      </c>
      <c r="F74" s="9" t="str">
        <f>_xlfn.XLOOKUP(C74,Tab_Def_Flows[Name(EN)],Tab_Def_Flows[Process_ID_O],,0,)</f>
        <v>11</v>
      </c>
      <c r="G74" s="9" t="str">
        <f>_xlfn.XLOOKUP(C74,Tab_Def_Flows[Name(EN)],Tab_Def_Flows[Input_Process],,0,)</f>
        <v>Compostation &amp; Incorporation</v>
      </c>
      <c r="H74" s="17" t="str">
        <f>_xlfn.XLOOKUP(C74,Tab_Def_Flows[Name(EN)],Tab_Def_Flows[Process_ID_I],,0,)</f>
        <v>09</v>
      </c>
      <c r="I74" s="9" t="e">
        <f>_xlfn.XLOOKUP(C74,Tab_Def_Flows[Name(EN)],#REF!,,0,)</f>
        <v>#REF!</v>
      </c>
      <c r="J74" s="9" t="str">
        <f>_xlfn.XLOOKUP(C74,Tab_Def_Flows[Name(EN)],Tab_Def_Flows[WC?],,0,)</f>
        <v>Yes</v>
      </c>
      <c r="K74" s="9" t="str">
        <f>_xlfn.XLOOKUP(C74,Tab_Def_Flows[Name(EN)],Tab_Def_Flows[DM?],,0,)</f>
        <v>Yes</v>
      </c>
      <c r="L74" s="9" t="str">
        <f>_xlfn.XLOOKUP(C74,Tab_Def_Flows[Name(EN)],Tab_Def_Flows[CC?],,0,)</f>
        <v>Yes</v>
      </c>
      <c r="M74" s="11">
        <v>2045</v>
      </c>
      <c r="N74" s="11"/>
      <c r="O74" s="48">
        <v>23395.877719480002</v>
      </c>
      <c r="P74" s="11"/>
      <c r="Q74" s="11"/>
      <c r="R74" s="11" t="e">
        <f>INDEX(#REF!,MATCH(Tab_Data_Flows[[#This Row],[Name(EN)]],#REF!,0),12)</f>
        <v>#REF!</v>
      </c>
      <c r="S74" s="11" t="e">
        <f>MATCH(Tab_Data_Flows[[#This Row],[Name(EN)]],#REF!,0)</f>
        <v>#REF!</v>
      </c>
      <c r="T74" s="11"/>
      <c r="U74" s="11"/>
      <c r="V74" s="11"/>
      <c r="W74" s="11"/>
      <c r="X74" s="11" t="s">
        <v>8</v>
      </c>
      <c r="Y74" s="11"/>
      <c r="Z74" s="11"/>
      <c r="AA74" s="35">
        <f t="shared" si="3"/>
        <v>23395.877719480002</v>
      </c>
      <c r="AB74" s="11" t="s">
        <v>276</v>
      </c>
      <c r="AC74" s="190">
        <f>INDEX(Tab_Def_Flows[[Flow_ID]:[CC_DM_source]],MATCH(Tab_Data_Flows[[#This Row],[Name(EN)]],Tab_Def_Flows[Name(EN)],0),13)</f>
        <v>1</v>
      </c>
      <c r="AD74" s="9">
        <f>IF(J74="Yes",AA74*Tab_Data_Flows[[#This Row],[WC_'[%']]],"N.A.")</f>
        <v>23395.877719480002</v>
      </c>
      <c r="AE74" s="9" t="str">
        <f>Tab_Data_Flows[[#This Row],[UoM_Flow_Py]]</f>
        <v>Mg</v>
      </c>
      <c r="AF74" s="190">
        <f>INDEX(Tab_Def_Flows[[Flow_ID]:[CC_DM_source]],MATCH(Tab_Data_Flows[[#This Row],[Name(EN)]],Tab_Def_Flows[Name(EN)],0),15)</f>
        <v>0</v>
      </c>
      <c r="AG74" s="9">
        <f>IF(K74="Yes",AF74*Tab_Data_Flows[[#This Row],[Flow_Py]],"N.A.")</f>
        <v>0</v>
      </c>
      <c r="AH74" s="9" t="str">
        <f>Tab_Data_Flows[[#This Row],[UoM_Flow_Py]]</f>
        <v>Mg</v>
      </c>
      <c r="AI74" s="190">
        <f>INDEX(Tab_Def_Flows[[Flow_ID]:[CC_DM_source]],MATCH(Tab_Data_Flows[[#This Row],[Name(EN)]],Tab_Def_Flows[Name(EN)],0),17)</f>
        <v>0</v>
      </c>
      <c r="AJ74" s="9">
        <f>IF(L74="Yes",AI74*Tab_Data_Flows[[#This Row],[Flow_Py]]*Tab_Data_Flows[[#This Row],[DM_'[%']]],"N.A.")</f>
        <v>0</v>
      </c>
      <c r="AK74" s="9" t="str">
        <f>Tab_Data_Flows[[#This Row],[UoM_Flow_Py]]</f>
        <v>Mg</v>
      </c>
    </row>
    <row r="75" spans="1:37" x14ac:dyDescent="0.25">
      <c r="A75" s="16">
        <f t="shared" si="2"/>
        <v>74</v>
      </c>
      <c r="B75" s="9" t="str">
        <f>_xlfn.XLOOKUP(C75,Tab_Def_Flows[Name(EN)],Tab_Def_Flows[Flow_ID],,0,)</f>
        <v>F_11_09</v>
      </c>
      <c r="C75" s="11" t="s">
        <v>812</v>
      </c>
      <c r="D75" s="9"/>
      <c r="E75" s="9" t="str">
        <f>_xlfn.XLOOKUP(C75,Tab_Def_Flows[Name(EN)],Tab_Def_Flows[Output_Process],,0,)</f>
        <v>Water Compostation</v>
      </c>
      <c r="F75" s="9" t="str">
        <f>_xlfn.XLOOKUP(C75,Tab_Def_Flows[Name(EN)],Tab_Def_Flows[Process_ID_O],,0,)</f>
        <v>11</v>
      </c>
      <c r="G75" s="9" t="str">
        <f>_xlfn.XLOOKUP(C75,Tab_Def_Flows[Name(EN)],Tab_Def_Flows[Input_Process],,0,)</f>
        <v>Compostation &amp; Incorporation</v>
      </c>
      <c r="H75" s="17" t="str">
        <f>_xlfn.XLOOKUP(C75,Tab_Def_Flows[Name(EN)],Tab_Def_Flows[Process_ID_I],,0,)</f>
        <v>09</v>
      </c>
      <c r="I75" s="9" t="e">
        <f>_xlfn.XLOOKUP(C75,Tab_Def_Flows[Name(EN)],#REF!,,0,)</f>
        <v>#REF!</v>
      </c>
      <c r="J75" s="9" t="str">
        <f>_xlfn.XLOOKUP(C75,Tab_Def_Flows[Name(EN)],Tab_Def_Flows[WC?],,0,)</f>
        <v>Yes</v>
      </c>
      <c r="K75" s="9" t="str">
        <f>_xlfn.XLOOKUP(C75,Tab_Def_Flows[Name(EN)],Tab_Def_Flows[DM?],,0,)</f>
        <v>Yes</v>
      </c>
      <c r="L75" s="9" t="str">
        <f>_xlfn.XLOOKUP(C75,Tab_Def_Flows[Name(EN)],Tab_Def_Flows[CC?],,0,)</f>
        <v>Yes</v>
      </c>
      <c r="M75" s="11">
        <v>2046</v>
      </c>
      <c r="N75" s="11"/>
      <c r="O75" s="48">
        <v>25673.792318599997</v>
      </c>
      <c r="P75" s="11"/>
      <c r="Q75" s="11"/>
      <c r="R75" s="11" t="e">
        <f>INDEX(#REF!,MATCH(Tab_Data_Flows[[#This Row],[Name(EN)]],#REF!,0),12)</f>
        <v>#REF!</v>
      </c>
      <c r="S75" s="11" t="e">
        <f>MATCH(Tab_Data_Flows[[#This Row],[Name(EN)]],#REF!,0)</f>
        <v>#REF!</v>
      </c>
      <c r="T75" s="11"/>
      <c r="U75" s="11"/>
      <c r="V75" s="11"/>
      <c r="W75" s="11"/>
      <c r="X75" s="11" t="s">
        <v>8</v>
      </c>
      <c r="Y75" s="11"/>
      <c r="Z75" s="11"/>
      <c r="AA75" s="35">
        <f t="shared" si="3"/>
        <v>25673.792318599997</v>
      </c>
      <c r="AB75" s="11" t="s">
        <v>276</v>
      </c>
      <c r="AC75" s="190">
        <f>INDEX(Tab_Def_Flows[[Flow_ID]:[CC_DM_source]],MATCH(Tab_Data_Flows[[#This Row],[Name(EN)]],Tab_Def_Flows[Name(EN)],0),13)</f>
        <v>1</v>
      </c>
      <c r="AD75" s="9">
        <f>IF(J75="Yes",AA75*Tab_Data_Flows[[#This Row],[WC_'[%']]],"N.A.")</f>
        <v>25673.792318599997</v>
      </c>
      <c r="AE75" s="9" t="str">
        <f>Tab_Data_Flows[[#This Row],[UoM_Flow_Py]]</f>
        <v>Mg</v>
      </c>
      <c r="AF75" s="190">
        <f>INDEX(Tab_Def_Flows[[Flow_ID]:[CC_DM_source]],MATCH(Tab_Data_Flows[[#This Row],[Name(EN)]],Tab_Def_Flows[Name(EN)],0),15)</f>
        <v>0</v>
      </c>
      <c r="AG75" s="9">
        <f>IF(K75="Yes",AF75*Tab_Data_Flows[[#This Row],[Flow_Py]],"N.A.")</f>
        <v>0</v>
      </c>
      <c r="AH75" s="9" t="str">
        <f>Tab_Data_Flows[[#This Row],[UoM_Flow_Py]]</f>
        <v>Mg</v>
      </c>
      <c r="AI75" s="190">
        <f>INDEX(Tab_Def_Flows[[Flow_ID]:[CC_DM_source]],MATCH(Tab_Data_Flows[[#This Row],[Name(EN)]],Tab_Def_Flows[Name(EN)],0),17)</f>
        <v>0</v>
      </c>
      <c r="AJ75" s="9">
        <f>IF(L75="Yes",AI75*Tab_Data_Flows[[#This Row],[Flow_Py]]*Tab_Data_Flows[[#This Row],[DM_'[%']]],"N.A.")</f>
        <v>0</v>
      </c>
      <c r="AK75" s="9" t="str">
        <f>Tab_Data_Flows[[#This Row],[UoM_Flow_Py]]</f>
        <v>Mg</v>
      </c>
    </row>
    <row r="76" spans="1:37" x14ac:dyDescent="0.25">
      <c r="A76" s="16">
        <f t="shared" si="2"/>
        <v>75</v>
      </c>
      <c r="B76" s="9" t="str">
        <f>_xlfn.XLOOKUP(C76,Tab_Def_Flows[Name(EN)],Tab_Def_Flows[Flow_ID],,0,)</f>
        <v>F_11_09</v>
      </c>
      <c r="C76" s="11" t="s">
        <v>812</v>
      </c>
      <c r="D76" s="9"/>
      <c r="E76" s="9" t="str">
        <f>_xlfn.XLOOKUP(C76,Tab_Def_Flows[Name(EN)],Tab_Def_Flows[Output_Process],,0,)</f>
        <v>Water Compostation</v>
      </c>
      <c r="F76" s="9" t="str">
        <f>_xlfn.XLOOKUP(C76,Tab_Def_Flows[Name(EN)],Tab_Def_Flows[Process_ID_O],,0,)</f>
        <v>11</v>
      </c>
      <c r="G76" s="9" t="str">
        <f>_xlfn.XLOOKUP(C76,Tab_Def_Flows[Name(EN)],Tab_Def_Flows[Input_Process],,0,)</f>
        <v>Compostation &amp; Incorporation</v>
      </c>
      <c r="H76" s="17" t="str">
        <f>_xlfn.XLOOKUP(C76,Tab_Def_Flows[Name(EN)],Tab_Def_Flows[Process_ID_I],,0,)</f>
        <v>09</v>
      </c>
      <c r="I76" s="9" t="e">
        <f>_xlfn.XLOOKUP(C76,Tab_Def_Flows[Name(EN)],#REF!,,0,)</f>
        <v>#REF!</v>
      </c>
      <c r="J76" s="9" t="str">
        <f>_xlfn.XLOOKUP(C76,Tab_Def_Flows[Name(EN)],Tab_Def_Flows[WC?],,0,)</f>
        <v>Yes</v>
      </c>
      <c r="K76" s="9" t="str">
        <f>_xlfn.XLOOKUP(C76,Tab_Def_Flows[Name(EN)],Tab_Def_Flows[DM?],,0,)</f>
        <v>Yes</v>
      </c>
      <c r="L76" s="9" t="str">
        <f>_xlfn.XLOOKUP(C76,Tab_Def_Flows[Name(EN)],Tab_Def_Flows[CC?],,0,)</f>
        <v>Yes</v>
      </c>
      <c r="M76" s="11">
        <v>2047</v>
      </c>
      <c r="N76" s="11"/>
      <c r="O76" s="48">
        <v>26147.553186160003</v>
      </c>
      <c r="P76" s="11"/>
      <c r="Q76" s="11"/>
      <c r="R76" s="11" t="e">
        <f>INDEX(#REF!,MATCH(Tab_Data_Flows[[#This Row],[Name(EN)]],#REF!,0),12)</f>
        <v>#REF!</v>
      </c>
      <c r="S76" s="11" t="e">
        <f>MATCH(Tab_Data_Flows[[#This Row],[Name(EN)]],#REF!,0)</f>
        <v>#REF!</v>
      </c>
      <c r="T76" s="11"/>
      <c r="U76" s="11"/>
      <c r="V76" s="11"/>
      <c r="W76" s="11"/>
      <c r="X76" s="11" t="s">
        <v>8</v>
      </c>
      <c r="Y76" s="11"/>
      <c r="Z76" s="11"/>
      <c r="AA76" s="35">
        <f t="shared" si="3"/>
        <v>26147.553186160003</v>
      </c>
      <c r="AB76" s="11" t="s">
        <v>276</v>
      </c>
      <c r="AC76" s="190">
        <f>INDEX(Tab_Def_Flows[[Flow_ID]:[CC_DM_source]],MATCH(Tab_Data_Flows[[#This Row],[Name(EN)]],Tab_Def_Flows[Name(EN)],0),13)</f>
        <v>1</v>
      </c>
      <c r="AD76" s="9">
        <f>IF(J76="Yes",AA76*Tab_Data_Flows[[#This Row],[WC_'[%']]],"N.A.")</f>
        <v>26147.553186160003</v>
      </c>
      <c r="AE76" s="9" t="str">
        <f>Tab_Data_Flows[[#This Row],[UoM_Flow_Py]]</f>
        <v>Mg</v>
      </c>
      <c r="AF76" s="190">
        <f>INDEX(Tab_Def_Flows[[Flow_ID]:[CC_DM_source]],MATCH(Tab_Data_Flows[[#This Row],[Name(EN)]],Tab_Def_Flows[Name(EN)],0),15)</f>
        <v>0</v>
      </c>
      <c r="AG76" s="9">
        <f>IF(K76="Yes",AF76*Tab_Data_Flows[[#This Row],[Flow_Py]],"N.A.")</f>
        <v>0</v>
      </c>
      <c r="AH76" s="9" t="str">
        <f>Tab_Data_Flows[[#This Row],[UoM_Flow_Py]]</f>
        <v>Mg</v>
      </c>
      <c r="AI76" s="190">
        <f>INDEX(Tab_Def_Flows[[Flow_ID]:[CC_DM_source]],MATCH(Tab_Data_Flows[[#This Row],[Name(EN)]],Tab_Def_Flows[Name(EN)],0),17)</f>
        <v>0</v>
      </c>
      <c r="AJ76" s="9">
        <f>IF(L76="Yes",AI76*Tab_Data_Flows[[#This Row],[Flow_Py]]*Tab_Data_Flows[[#This Row],[DM_'[%']]],"N.A.")</f>
        <v>0</v>
      </c>
      <c r="AK76" s="9" t="str">
        <f>Tab_Data_Flows[[#This Row],[UoM_Flow_Py]]</f>
        <v>Mg</v>
      </c>
    </row>
    <row r="77" spans="1:37" x14ac:dyDescent="0.25">
      <c r="A77" s="16">
        <f t="shared" si="2"/>
        <v>76</v>
      </c>
      <c r="B77" s="9" t="str">
        <f>_xlfn.XLOOKUP(C77,Tab_Def_Flows[Name(EN)],Tab_Def_Flows[Flow_ID],,0,)</f>
        <v>F_11_09</v>
      </c>
      <c r="C77" s="11" t="s">
        <v>812</v>
      </c>
      <c r="D77" s="9"/>
      <c r="E77" s="9" t="str">
        <f>_xlfn.XLOOKUP(C77,Tab_Def_Flows[Name(EN)],Tab_Def_Flows[Output_Process],,0,)</f>
        <v>Water Compostation</v>
      </c>
      <c r="F77" s="9" t="str">
        <f>_xlfn.XLOOKUP(C77,Tab_Def_Flows[Name(EN)],Tab_Def_Flows[Process_ID_O],,0,)</f>
        <v>11</v>
      </c>
      <c r="G77" s="9" t="str">
        <f>_xlfn.XLOOKUP(C77,Tab_Def_Flows[Name(EN)],Tab_Def_Flows[Input_Process],,0,)</f>
        <v>Compostation &amp; Incorporation</v>
      </c>
      <c r="H77" s="17" t="str">
        <f>_xlfn.XLOOKUP(C77,Tab_Def_Flows[Name(EN)],Tab_Def_Flows[Process_ID_I],,0,)</f>
        <v>09</v>
      </c>
      <c r="I77" s="9" t="e">
        <f>_xlfn.XLOOKUP(C77,Tab_Def_Flows[Name(EN)],#REF!,,0,)</f>
        <v>#REF!</v>
      </c>
      <c r="J77" s="9" t="str">
        <f>_xlfn.XLOOKUP(C77,Tab_Def_Flows[Name(EN)],Tab_Def_Flows[WC?],,0,)</f>
        <v>Yes</v>
      </c>
      <c r="K77" s="9" t="str">
        <f>_xlfn.XLOOKUP(C77,Tab_Def_Flows[Name(EN)],Tab_Def_Flows[DM?],,0,)</f>
        <v>Yes</v>
      </c>
      <c r="L77" s="9" t="str">
        <f>_xlfn.XLOOKUP(C77,Tab_Def_Flows[Name(EN)],Tab_Def_Flows[CC?],,0,)</f>
        <v>Yes</v>
      </c>
      <c r="M77" s="11">
        <v>2048</v>
      </c>
      <c r="N77" s="11"/>
      <c r="O77" s="48">
        <v>21396.307434560003</v>
      </c>
      <c r="P77" s="11"/>
      <c r="Q77" s="11"/>
      <c r="R77" s="11" t="e">
        <f>INDEX(#REF!,MATCH(Tab_Data_Flows[[#This Row],[Name(EN)]],#REF!,0),12)</f>
        <v>#REF!</v>
      </c>
      <c r="S77" s="11" t="e">
        <f>MATCH(Tab_Data_Flows[[#This Row],[Name(EN)]],#REF!,0)</f>
        <v>#REF!</v>
      </c>
      <c r="T77" s="11"/>
      <c r="U77" s="11"/>
      <c r="V77" s="11"/>
      <c r="W77" s="11"/>
      <c r="X77" s="11" t="s">
        <v>8</v>
      </c>
      <c r="Y77" s="11"/>
      <c r="Z77" s="11"/>
      <c r="AA77" s="35">
        <f t="shared" si="3"/>
        <v>21396.307434560003</v>
      </c>
      <c r="AB77" s="11" t="s">
        <v>276</v>
      </c>
      <c r="AC77" s="190">
        <f>INDEX(Tab_Def_Flows[[Flow_ID]:[CC_DM_source]],MATCH(Tab_Data_Flows[[#This Row],[Name(EN)]],Tab_Def_Flows[Name(EN)],0),13)</f>
        <v>1</v>
      </c>
      <c r="AD77" s="9">
        <f>IF(J77="Yes",AA77*Tab_Data_Flows[[#This Row],[WC_'[%']]],"N.A.")</f>
        <v>21396.307434560003</v>
      </c>
      <c r="AE77" s="9" t="str">
        <f>Tab_Data_Flows[[#This Row],[UoM_Flow_Py]]</f>
        <v>Mg</v>
      </c>
      <c r="AF77" s="190">
        <f>INDEX(Tab_Def_Flows[[Flow_ID]:[CC_DM_source]],MATCH(Tab_Data_Flows[[#This Row],[Name(EN)]],Tab_Def_Flows[Name(EN)],0),15)</f>
        <v>0</v>
      </c>
      <c r="AG77" s="9">
        <f>IF(K77="Yes",AF77*Tab_Data_Flows[[#This Row],[Flow_Py]],"N.A.")</f>
        <v>0</v>
      </c>
      <c r="AH77" s="9" t="str">
        <f>Tab_Data_Flows[[#This Row],[UoM_Flow_Py]]</f>
        <v>Mg</v>
      </c>
      <c r="AI77" s="190">
        <f>INDEX(Tab_Def_Flows[[Flow_ID]:[CC_DM_source]],MATCH(Tab_Data_Flows[[#This Row],[Name(EN)]],Tab_Def_Flows[Name(EN)],0),17)</f>
        <v>0</v>
      </c>
      <c r="AJ77" s="9">
        <f>IF(L77="Yes",AI77*Tab_Data_Flows[[#This Row],[Flow_Py]]*Tab_Data_Flows[[#This Row],[DM_'[%']]],"N.A.")</f>
        <v>0</v>
      </c>
      <c r="AK77" s="9" t="str">
        <f>Tab_Data_Flows[[#This Row],[UoM_Flow_Py]]</f>
        <v>Mg</v>
      </c>
    </row>
    <row r="78" spans="1:37" x14ac:dyDescent="0.25">
      <c r="A78" s="16">
        <f t="shared" si="2"/>
        <v>77</v>
      </c>
      <c r="B78" s="9" t="str">
        <f>_xlfn.XLOOKUP(C78,Tab_Def_Flows[Name(EN)],Tab_Def_Flows[Flow_ID],,0,)</f>
        <v>F_11_09</v>
      </c>
      <c r="C78" s="11" t="s">
        <v>812</v>
      </c>
      <c r="D78" s="9"/>
      <c r="E78" s="9" t="str">
        <f>_xlfn.XLOOKUP(C78,Tab_Def_Flows[Name(EN)],Tab_Def_Flows[Output_Process],,0,)</f>
        <v>Water Compostation</v>
      </c>
      <c r="F78" s="9" t="str">
        <f>_xlfn.XLOOKUP(C78,Tab_Def_Flows[Name(EN)],Tab_Def_Flows[Process_ID_O],,0,)</f>
        <v>11</v>
      </c>
      <c r="G78" s="9" t="str">
        <f>_xlfn.XLOOKUP(C78,Tab_Def_Flows[Name(EN)],Tab_Def_Flows[Input_Process],,0,)</f>
        <v>Compostation &amp; Incorporation</v>
      </c>
      <c r="H78" s="17" t="str">
        <f>_xlfn.XLOOKUP(C78,Tab_Def_Flows[Name(EN)],Tab_Def_Flows[Process_ID_I],,0,)</f>
        <v>09</v>
      </c>
      <c r="I78" s="9" t="e">
        <f>_xlfn.XLOOKUP(C78,Tab_Def_Flows[Name(EN)],#REF!,,0,)</f>
        <v>#REF!</v>
      </c>
      <c r="J78" s="9" t="str">
        <f>_xlfn.XLOOKUP(C78,Tab_Def_Flows[Name(EN)],Tab_Def_Flows[WC?],,0,)</f>
        <v>Yes</v>
      </c>
      <c r="K78" s="9" t="str">
        <f>_xlfn.XLOOKUP(C78,Tab_Def_Flows[Name(EN)],Tab_Def_Flows[DM?],,0,)</f>
        <v>Yes</v>
      </c>
      <c r="L78" s="9" t="str">
        <f>_xlfn.XLOOKUP(C78,Tab_Def_Flows[Name(EN)],Tab_Def_Flows[CC?],,0,)</f>
        <v>Yes</v>
      </c>
      <c r="M78" s="11">
        <v>2049</v>
      </c>
      <c r="N78" s="11"/>
      <c r="O78" s="48">
        <v>25257.789806799999</v>
      </c>
      <c r="P78" s="11"/>
      <c r="Q78" s="11"/>
      <c r="R78" s="11" t="e">
        <f>INDEX(#REF!,MATCH(Tab_Data_Flows[[#This Row],[Name(EN)]],#REF!,0),12)</f>
        <v>#REF!</v>
      </c>
      <c r="S78" s="11" t="e">
        <f>MATCH(Tab_Data_Flows[[#This Row],[Name(EN)]],#REF!,0)</f>
        <v>#REF!</v>
      </c>
      <c r="T78" s="11"/>
      <c r="U78" s="11"/>
      <c r="V78" s="11"/>
      <c r="W78" s="11"/>
      <c r="X78" s="11" t="s">
        <v>8</v>
      </c>
      <c r="Y78" s="11"/>
      <c r="Z78" s="11"/>
      <c r="AA78" s="35">
        <f t="shared" si="3"/>
        <v>25257.789806799999</v>
      </c>
      <c r="AB78" s="11" t="s">
        <v>276</v>
      </c>
      <c r="AC78" s="190">
        <f>INDEX(Tab_Def_Flows[[Flow_ID]:[CC_DM_source]],MATCH(Tab_Data_Flows[[#This Row],[Name(EN)]],Tab_Def_Flows[Name(EN)],0),13)</f>
        <v>1</v>
      </c>
      <c r="AD78" s="9">
        <f>IF(J78="Yes",AA78*Tab_Data_Flows[[#This Row],[WC_'[%']]],"N.A.")</f>
        <v>25257.789806799999</v>
      </c>
      <c r="AE78" s="9" t="str">
        <f>Tab_Data_Flows[[#This Row],[UoM_Flow_Py]]</f>
        <v>Mg</v>
      </c>
      <c r="AF78" s="190">
        <f>INDEX(Tab_Def_Flows[[Flow_ID]:[CC_DM_source]],MATCH(Tab_Data_Flows[[#This Row],[Name(EN)]],Tab_Def_Flows[Name(EN)],0),15)</f>
        <v>0</v>
      </c>
      <c r="AG78" s="9">
        <f>IF(K78="Yes",AF78*Tab_Data_Flows[[#This Row],[Flow_Py]],"N.A.")</f>
        <v>0</v>
      </c>
      <c r="AH78" s="9" t="str">
        <f>Tab_Data_Flows[[#This Row],[UoM_Flow_Py]]</f>
        <v>Mg</v>
      </c>
      <c r="AI78" s="190">
        <f>INDEX(Tab_Def_Flows[[Flow_ID]:[CC_DM_source]],MATCH(Tab_Data_Flows[[#This Row],[Name(EN)]],Tab_Def_Flows[Name(EN)],0),17)</f>
        <v>0</v>
      </c>
      <c r="AJ78" s="9">
        <f>IF(L78="Yes",AI78*Tab_Data_Flows[[#This Row],[Flow_Py]]*Tab_Data_Flows[[#This Row],[DM_'[%']]],"N.A.")</f>
        <v>0</v>
      </c>
      <c r="AK78" s="9" t="str">
        <f>Tab_Data_Flows[[#This Row],[UoM_Flow_Py]]</f>
        <v>Mg</v>
      </c>
    </row>
    <row r="79" spans="1:37" x14ac:dyDescent="0.25">
      <c r="A79" s="16">
        <f t="shared" si="2"/>
        <v>78</v>
      </c>
      <c r="B79" s="9" t="str">
        <f>_xlfn.XLOOKUP(C79,Tab_Def_Flows[Name(EN)],Tab_Def_Flows[Flow_ID],,0,)</f>
        <v>F_11_09</v>
      </c>
      <c r="C79" s="11" t="s">
        <v>812</v>
      </c>
      <c r="D79" s="9"/>
      <c r="E79" s="9" t="str">
        <f>_xlfn.XLOOKUP(C79,Tab_Def_Flows[Name(EN)],Tab_Def_Flows[Output_Process],,0,)</f>
        <v>Water Compostation</v>
      </c>
      <c r="F79" s="9" t="str">
        <f>_xlfn.XLOOKUP(C79,Tab_Def_Flows[Name(EN)],Tab_Def_Flows[Process_ID_O],,0,)</f>
        <v>11</v>
      </c>
      <c r="G79" s="9" t="str">
        <f>_xlfn.XLOOKUP(C79,Tab_Def_Flows[Name(EN)],Tab_Def_Flows[Input_Process],,0,)</f>
        <v>Compostation &amp; Incorporation</v>
      </c>
      <c r="H79" s="17" t="str">
        <f>_xlfn.XLOOKUP(C79,Tab_Def_Flows[Name(EN)],Tab_Def_Flows[Process_ID_I],,0,)</f>
        <v>09</v>
      </c>
      <c r="I79" s="9" t="e">
        <f>_xlfn.XLOOKUP(C79,Tab_Def_Flows[Name(EN)],#REF!,,0,)</f>
        <v>#REF!</v>
      </c>
      <c r="J79" s="9" t="str">
        <f>_xlfn.XLOOKUP(C79,Tab_Def_Flows[Name(EN)],Tab_Def_Flows[WC?],,0,)</f>
        <v>Yes</v>
      </c>
      <c r="K79" s="9" t="str">
        <f>_xlfn.XLOOKUP(C79,Tab_Def_Flows[Name(EN)],Tab_Def_Flows[DM?],,0,)</f>
        <v>Yes</v>
      </c>
      <c r="L79" s="9" t="str">
        <f>_xlfn.XLOOKUP(C79,Tab_Def_Flows[Name(EN)],Tab_Def_Flows[CC?],,0,)</f>
        <v>Yes</v>
      </c>
      <c r="M79" s="11">
        <v>2050</v>
      </c>
      <c r="N79" s="11"/>
      <c r="O79" s="48">
        <v>24825.834051640002</v>
      </c>
      <c r="P79" s="11"/>
      <c r="Q79" s="11"/>
      <c r="R79" s="11" t="e">
        <f>INDEX(#REF!,MATCH(Tab_Data_Flows[[#This Row],[Name(EN)]],#REF!,0),12)</f>
        <v>#REF!</v>
      </c>
      <c r="S79" s="11" t="e">
        <f>MATCH(Tab_Data_Flows[[#This Row],[Name(EN)]],#REF!,0)</f>
        <v>#REF!</v>
      </c>
      <c r="T79" s="11"/>
      <c r="U79" s="11"/>
      <c r="V79" s="11"/>
      <c r="W79" s="11"/>
      <c r="X79" s="11" t="s">
        <v>8</v>
      </c>
      <c r="Y79" s="11"/>
      <c r="Z79" s="11"/>
      <c r="AA79" s="35">
        <f t="shared" si="3"/>
        <v>24825.834051640002</v>
      </c>
      <c r="AB79" s="11" t="s">
        <v>276</v>
      </c>
      <c r="AC79" s="190">
        <f>INDEX(Tab_Def_Flows[[Flow_ID]:[CC_DM_source]],MATCH(Tab_Data_Flows[[#This Row],[Name(EN)]],Tab_Def_Flows[Name(EN)],0),13)</f>
        <v>1</v>
      </c>
      <c r="AD79" s="9">
        <f>IF(J79="Yes",AA79*Tab_Data_Flows[[#This Row],[WC_'[%']]],"N.A.")</f>
        <v>24825.834051640002</v>
      </c>
      <c r="AE79" s="9" t="str">
        <f>Tab_Data_Flows[[#This Row],[UoM_Flow_Py]]</f>
        <v>Mg</v>
      </c>
      <c r="AF79" s="190">
        <f>INDEX(Tab_Def_Flows[[Flow_ID]:[CC_DM_source]],MATCH(Tab_Data_Flows[[#This Row],[Name(EN)]],Tab_Def_Flows[Name(EN)],0),15)</f>
        <v>0</v>
      </c>
      <c r="AG79" s="9">
        <f>IF(K79="Yes",AF79*Tab_Data_Flows[[#This Row],[Flow_Py]],"N.A.")</f>
        <v>0</v>
      </c>
      <c r="AH79" s="9" t="str">
        <f>Tab_Data_Flows[[#This Row],[UoM_Flow_Py]]</f>
        <v>Mg</v>
      </c>
      <c r="AI79" s="190">
        <f>INDEX(Tab_Def_Flows[[Flow_ID]:[CC_DM_source]],MATCH(Tab_Data_Flows[[#This Row],[Name(EN)]],Tab_Def_Flows[Name(EN)],0),17)</f>
        <v>0</v>
      </c>
      <c r="AJ79" s="9">
        <f>IF(L79="Yes",AI79*Tab_Data_Flows[[#This Row],[Flow_Py]]*Tab_Data_Flows[[#This Row],[DM_'[%']]],"N.A.")</f>
        <v>0</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7" sqref="D17"/>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7</v>
      </c>
      <c r="K3" s="189" t="s">
        <v>8</v>
      </c>
      <c r="L3" s="189" t="s">
        <v>7</v>
      </c>
      <c r="M3" s="189" t="s">
        <v>8</v>
      </c>
      <c r="N3" s="189" t="s">
        <v>8</v>
      </c>
      <c r="O3" s="189" t="s">
        <v>8</v>
      </c>
      <c r="P3" s="184">
        <v>2</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1</v>
      </c>
      <c r="B13" s="43" t="s">
        <v>146</v>
      </c>
      <c r="C13" s="9" t="str">
        <f t="shared" si="0"/>
        <v>11</v>
      </c>
      <c r="D13" s="11" t="s">
        <v>811</v>
      </c>
      <c r="E13" s="11"/>
      <c r="F13" s="11"/>
      <c r="G13" s="11"/>
      <c r="H13" s="37"/>
      <c r="I13" s="189" t="s">
        <v>215</v>
      </c>
      <c r="J13" s="189" t="s">
        <v>8</v>
      </c>
      <c r="K13" s="189" t="s">
        <v>8</v>
      </c>
      <c r="L13" s="189" t="s">
        <v>7</v>
      </c>
      <c r="M13" s="189" t="s">
        <v>8</v>
      </c>
      <c r="N13" s="189" t="s">
        <v>8</v>
      </c>
      <c r="O13" s="189" t="s">
        <v>8</v>
      </c>
      <c r="P13" s="11">
        <v>1</v>
      </c>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F_12_12</v>
      </c>
      <c r="S52" s="11"/>
      <c r="T52" s="9" t="str">
        <f>_xlfn.XLOOKUP(S52,Tab_Def_Flows[Name(EN)],Tab_Def_Flows[Flow_ID],,0,)</f>
        <v>F_12_12</v>
      </c>
      <c r="U52" s="11"/>
      <c r="V52" s="9" t="str">
        <f>_xlfn.XLOOKUP(U52,Tab_Def_Flows[Name(EN)],Tab_Def_Flows[Flow_ID],,0,)</f>
        <v>F_12_12</v>
      </c>
      <c r="W52" s="11"/>
      <c r="X52" s="9" t="str">
        <f>_xlfn.XLOOKUP(W52,Tab_Def_Flows[Name(EN)],Tab_Def_Flows[Flow_ID],,0,)</f>
        <v>F_12_12</v>
      </c>
      <c r="Y52" s="11"/>
      <c r="Z52" s="20" t="str">
        <f>_xlfn.XLOOKUP(Y52,Tab_Def_Flows[Name(EN)],Tab_Def_Flows[Flow_ID],,0,)</f>
        <v>F_12_12</v>
      </c>
      <c r="AA52" s="189"/>
      <c r="AB52" s="9" t="str">
        <f>_xlfn.XLOOKUP(AA52,Tab_Def_Flows[Name(EN)],Tab_Def_Flows[Flow_ID],,0,)</f>
        <v>F_12_12</v>
      </c>
      <c r="AC52" s="189"/>
      <c r="AD52" s="9" t="str">
        <f>_xlfn.XLOOKUP(AC52,Tab_Def_Flows[Name(EN)],Tab_Def_Flows[Flow_ID],,0,)</f>
        <v>F_12_12</v>
      </c>
      <c r="AE52" s="189" t="s">
        <v>35</v>
      </c>
      <c r="AF52" s="9" t="str">
        <f>_xlfn.XLOOKUP(AE52,Tab_Def_Flows[Name(EN)],Tab_Def_Flows[Flow_ID],,0,)</f>
        <v>N.A.</v>
      </c>
      <c r="AG52" s="189"/>
      <c r="AH52" s="9" t="str">
        <f>_xlfn.XLOOKUP(AG52,Tab_Def_Flows[Name(EN)],Tab_Def_Flows[Flow_ID],,0,)</f>
        <v>F_12_12</v>
      </c>
      <c r="AI52" s="189"/>
      <c r="AJ52" s="9" t="str">
        <f>_xlfn.XLOOKUP(AI52,Tab_Def_Flows[Name(EN)],Tab_Def_Flows[Flow_ID],,0,)</f>
        <v>F_12_12</v>
      </c>
      <c r="AK52" s="189"/>
      <c r="AL52" s="13" t="str">
        <f>_xlfn.XLOOKUP(AK52,Tab_Def_Flows[Name(EN)],Tab_Def_Flows[Flow_ID],,0,)</f>
        <v>F_12_12</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F_12_12</v>
      </c>
      <c r="S53" s="11"/>
      <c r="T53" s="9" t="str">
        <f>_xlfn.XLOOKUP(S53,Tab_Def_Flows[Name(EN)],Tab_Def_Flows[Flow_ID],,0,)</f>
        <v>F_12_12</v>
      </c>
      <c r="U53" s="11"/>
      <c r="V53" s="9" t="str">
        <f>_xlfn.XLOOKUP(U53,Tab_Def_Flows[Name(EN)],Tab_Def_Flows[Flow_ID],,0,)</f>
        <v>F_12_12</v>
      </c>
      <c r="W53" s="11"/>
      <c r="X53" s="9" t="str">
        <f>_xlfn.XLOOKUP(W53,Tab_Def_Flows[Name(EN)],Tab_Def_Flows[Flow_ID],,0,)</f>
        <v>F_12_12</v>
      </c>
      <c r="Y53" s="11"/>
      <c r="Z53" s="21" t="str">
        <f>_xlfn.XLOOKUP(Y53,Tab_Def_Flows[Name(EN)],Tab_Def_Flows[Flow_ID],,0,)</f>
        <v>F_12_12</v>
      </c>
      <c r="AA53" s="189"/>
      <c r="AB53" s="9" t="str">
        <f>_xlfn.XLOOKUP(AA53,Tab_Def_Flows[Name(EN)],Tab_Def_Flows[Flow_ID],,0,)</f>
        <v>F_12_12</v>
      </c>
      <c r="AC53" s="189"/>
      <c r="AD53" s="9" t="str">
        <f>_xlfn.XLOOKUP(AC53,Tab_Def_Flows[Name(EN)],Tab_Def_Flows[Flow_ID],,0,)</f>
        <v>F_12_12</v>
      </c>
      <c r="AE53" s="189" t="s">
        <v>35</v>
      </c>
      <c r="AF53" s="9" t="str">
        <f>_xlfn.XLOOKUP(AE53,Tab_Def_Flows[Name(EN)],Tab_Def_Flows[Flow_ID],,0,)</f>
        <v>N.A.</v>
      </c>
      <c r="AG53" s="189"/>
      <c r="AH53" s="9" t="str">
        <f>_xlfn.XLOOKUP(AG53,Tab_Def_Flows[Name(EN)],Tab_Def_Flows[Flow_ID],,0,)</f>
        <v>F_12_12</v>
      </c>
      <c r="AI53" s="189"/>
      <c r="AJ53" s="9" t="str">
        <f>_xlfn.XLOOKUP(AI53,Tab_Def_Flows[Name(EN)],Tab_Def_Flows[Flow_ID],,0,)</f>
        <v>F_12_12</v>
      </c>
      <c r="AK53" s="189"/>
      <c r="AL53" s="13" t="str">
        <f>_xlfn.XLOOKUP(AK53,Tab_Def_Flows[Name(EN)],Tab_Def_Flows[Flow_ID],,0,)</f>
        <v>F_12_12</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F1" activePane="topRight" state="frozen"/>
      <selection pane="topRight" activeCell="V22" sqref="V22"/>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0.14666666666666664</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0.18666666666666662</v>
      </c>
      <c r="Q16" s="37"/>
      <c r="R16" s="37"/>
      <c r="S16" s="37"/>
      <c r="T16" s="37"/>
      <c r="U16" s="37"/>
    </row>
    <row r="17" spans="1:24"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0.86</v>
      </c>
      <c r="Q17" s="37"/>
      <c r="R17" s="37"/>
      <c r="S17" s="37"/>
      <c r="T17" s="37"/>
      <c r="U17" s="37"/>
    </row>
    <row r="18" spans="1:24"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4"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c r="X19">
        <v>0.66666666666666652</v>
      </c>
    </row>
    <row r="20" spans="1:24"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F_12_12</v>
      </c>
      <c r="O20" s="42" t="str">
        <f t="shared" si="1"/>
        <v>TC_12_12</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F_12_12</v>
      </c>
      <c r="O21" s="42" t="str">
        <f t="shared" si="1"/>
        <v>TC_12_12</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F_12_12</v>
      </c>
      <c r="O22" s="42" t="str">
        <f t="shared" si="1"/>
        <v>TC_12_12</v>
      </c>
      <c r="P22" s="192"/>
      <c r="Q22" s="37"/>
      <c r="R22" s="37"/>
      <c r="S22" s="37"/>
      <c r="T22" s="37"/>
      <c r="U22" s="37"/>
    </row>
    <row r="23" spans="1:24"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F_12_12</v>
      </c>
      <c r="O23" s="42" t="str">
        <f t="shared" si="1"/>
        <v>TC_12_12</v>
      </c>
      <c r="P23" s="192"/>
      <c r="Q23" s="37"/>
      <c r="R23" s="37"/>
      <c r="S23" s="37"/>
      <c r="T23" s="37"/>
      <c r="U23" s="37"/>
    </row>
    <row r="24" spans="1:24"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F_12_12</v>
      </c>
      <c r="O24" s="42" t="str">
        <f t="shared" si="1"/>
        <v>TC_12_12</v>
      </c>
      <c r="P24" s="192"/>
      <c r="Q24" s="37"/>
      <c r="R24" s="37"/>
      <c r="S24" s="37"/>
      <c r="T24" s="37"/>
      <c r="U24" s="37"/>
    </row>
    <row r="25" spans="1:24"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F_12_12</v>
      </c>
      <c r="O25" s="42" t="str">
        <f t="shared" si="1"/>
        <v>TC_12_12</v>
      </c>
      <c r="P25" s="192"/>
      <c r="Q25" s="37"/>
      <c r="R25" s="37"/>
      <c r="S25" s="37"/>
      <c r="T25" s="37"/>
      <c r="U25" s="37"/>
    </row>
    <row r="26" spans="1:24"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F_12_12</v>
      </c>
      <c r="O26" s="42" t="str">
        <f t="shared" si="1"/>
        <v>TC_12_12</v>
      </c>
      <c r="P26" s="192"/>
      <c r="Q26" s="37"/>
      <c r="R26" s="37"/>
      <c r="S26" s="37"/>
      <c r="T26" s="37"/>
      <c r="U26" s="37"/>
    </row>
    <row r="27" spans="1:24"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F_12_12</v>
      </c>
      <c r="O27" s="42" t="str">
        <f t="shared" si="1"/>
        <v>TC_12_12</v>
      </c>
      <c r="P27" s="192"/>
      <c r="Q27" s="37"/>
      <c r="R27" s="37"/>
      <c r="S27" s="37"/>
      <c r="T27" s="37"/>
      <c r="U27" s="37"/>
    </row>
    <row r="28" spans="1:24"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F_12_12</v>
      </c>
      <c r="O28" s="42" t="str">
        <f t="shared" si="1"/>
        <v>TC_12_12</v>
      </c>
      <c r="P28" s="192"/>
      <c r="Q28" s="37"/>
      <c r="R28" s="37"/>
      <c r="S28" s="37"/>
      <c r="T28" s="37"/>
      <c r="U28" s="37"/>
    </row>
    <row r="29" spans="1:24"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F_12_12</v>
      </c>
      <c r="O29" s="42" t="str">
        <f t="shared" si="1"/>
        <v>TC_12_12</v>
      </c>
      <c r="P29" s="192"/>
      <c r="Q29" s="37"/>
      <c r="R29" s="37"/>
      <c r="S29" s="37"/>
      <c r="T29" s="37"/>
      <c r="U29" s="37"/>
    </row>
    <row r="30" spans="1:24"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F_12_12</v>
      </c>
      <c r="O30" s="42" t="str">
        <f t="shared" si="1"/>
        <v>TC_12_12</v>
      </c>
      <c r="P30" s="192"/>
      <c r="Q30" s="37"/>
      <c r="R30" s="37"/>
      <c r="S30" s="37"/>
      <c r="T30" s="37"/>
      <c r="U30" s="37"/>
    </row>
    <row r="31" spans="1:24"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F_12_12</v>
      </c>
      <c r="O31" s="42" t="str">
        <f t="shared" si="1"/>
        <v>TC_12_12</v>
      </c>
      <c r="P31" s="192"/>
      <c r="Q31" s="37"/>
      <c r="R31" s="37"/>
      <c r="S31" s="37"/>
      <c r="T31" s="37"/>
      <c r="U31" s="37"/>
    </row>
    <row r="32" spans="1:24"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F_12_12</v>
      </c>
      <c r="O32" s="42" t="str">
        <f t="shared" si="1"/>
        <v>TC_12_12</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F_12_12</v>
      </c>
      <c r="O33" s="42" t="str">
        <f t="shared" si="1"/>
        <v>TC_12_12</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F_12_12</v>
      </c>
      <c r="O34" s="42" t="str">
        <f t="shared" si="1"/>
        <v>TC_12_12</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F_12_12</v>
      </c>
      <c r="O35" s="42" t="str">
        <f t="shared" si="1"/>
        <v>TC_12_12</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F_12_12</v>
      </c>
      <c r="O36" s="42" t="str">
        <f t="shared" si="1"/>
        <v>TC_12_12</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F_12_12</v>
      </c>
      <c r="O37" s="42" t="str">
        <f t="shared" si="1"/>
        <v>TC_12_12</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F_12_12</v>
      </c>
      <c r="O38" s="42" t="str">
        <f t="shared" si="1"/>
        <v>TC_12_12</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F_12_12</v>
      </c>
      <c r="O39" s="42" t="str">
        <f t="shared" si="1"/>
        <v>TC_12_12</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F_12_12</v>
      </c>
      <c r="O40" s="42" t="str">
        <f t="shared" si="1"/>
        <v>TC_12_12</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F_12_12</v>
      </c>
      <c r="O41" s="42" t="str">
        <f t="shared" si="1"/>
        <v>TC_12_12</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F_12_12</v>
      </c>
      <c r="O42" s="42" t="str">
        <f t="shared" si="1"/>
        <v>TC_12_12</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F_12_12</v>
      </c>
      <c r="O43" s="42" t="str">
        <f t="shared" si="1"/>
        <v>TC_12_12</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F_12_12</v>
      </c>
      <c r="O44" s="42" t="str">
        <f t="shared" si="1"/>
        <v>TC_12_12</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F_12_12</v>
      </c>
      <c r="O45" s="42" t="str">
        <f t="shared" si="1"/>
        <v>TC_12_12</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F_12_12</v>
      </c>
      <c r="O46" s="42" t="str">
        <f t="shared" si="1"/>
        <v>TC_12_12</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F_12_12</v>
      </c>
      <c r="O47" s="42" t="str">
        <f t="shared" si="1"/>
        <v>TC_12_12</v>
      </c>
      <c r="P47" s="192"/>
      <c r="Q47" s="37"/>
      <c r="R47" s="37"/>
      <c r="S47" s="37"/>
      <c r="T47" s="37"/>
      <c r="U47" s="37"/>
    </row>
    <row r="48" spans="1:21" x14ac:dyDescent="0.25">
      <c r="A48" s="194" t="b">
        <v>0</v>
      </c>
      <c r="B48" s="9">
        <f t="shared" si="0"/>
        <v>47</v>
      </c>
      <c r="C48" s="47" t="str">
        <f>_xlfn.XLOOKUP($D48,Tab_Def_Processes[Name(EN)],Tab_Def_Processes[ID],,0,)</f>
        <v>12</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F_12_12</v>
      </c>
      <c r="O48" s="42" t="str">
        <f t="shared" si="1"/>
        <v>TC_12_12</v>
      </c>
      <c r="P48" s="192"/>
      <c r="Q48" s="37"/>
      <c r="R48" s="37"/>
      <c r="S48" s="37"/>
      <c r="T48" s="37"/>
      <c r="U48" s="37"/>
    </row>
    <row r="49" spans="1:21" x14ac:dyDescent="0.25">
      <c r="A49" s="194" t="b">
        <v>0</v>
      </c>
      <c r="B49" s="9">
        <f t="shared" si="0"/>
        <v>48</v>
      </c>
      <c r="C49" s="47" t="str">
        <f>_xlfn.XLOOKUP($D49,Tab_Def_Processes[Name(EN)],Tab_Def_Processes[ID],,0,)</f>
        <v>12</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F_12_12</v>
      </c>
      <c r="O49" s="42" t="str">
        <f t="shared" si="1"/>
        <v>TC_12_12</v>
      </c>
      <c r="P49" s="192"/>
      <c r="Q49" s="37"/>
      <c r="R49" s="37"/>
      <c r="S49" s="37"/>
      <c r="T49" s="37"/>
      <c r="U49" s="37"/>
    </row>
    <row r="50" spans="1:21" x14ac:dyDescent="0.25">
      <c r="A50" s="194" t="b">
        <v>0</v>
      </c>
      <c r="B50" s="9">
        <f t="shared" si="0"/>
        <v>49</v>
      </c>
      <c r="C50" s="47" t="str">
        <f>_xlfn.XLOOKUP($D50,Tab_Def_Processes[Name(EN)],Tab_Def_Processes[ID],,0,)</f>
        <v>12</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F_12_12</v>
      </c>
      <c r="O50" s="42" t="str">
        <f t="shared" si="1"/>
        <v>TC_12_12</v>
      </c>
      <c r="P50" s="192"/>
      <c r="Q50" s="37"/>
      <c r="R50" s="37"/>
      <c r="S50" s="37"/>
      <c r="T50" s="37"/>
      <c r="U50" s="37"/>
    </row>
    <row r="51" spans="1:21" x14ac:dyDescent="0.25">
      <c r="A51" s="194" t="b">
        <v>0</v>
      </c>
      <c r="B51" s="9">
        <f t="shared" si="0"/>
        <v>50</v>
      </c>
      <c r="C51" s="47" t="str">
        <f>_xlfn.XLOOKUP($D51,Tab_Def_Processes[Name(EN)],Tab_Def_Processes[ID],,0,)</f>
        <v>12</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F_12_12</v>
      </c>
      <c r="O51" s="42" t="str">
        <f t="shared" si="1"/>
        <v>TC_12_12</v>
      </c>
      <c r="P51" s="192"/>
      <c r="Q51" s="37"/>
      <c r="R51" s="37"/>
      <c r="S51" s="37"/>
      <c r="T51" s="37"/>
      <c r="U51" s="37"/>
    </row>
    <row r="52" spans="1:21" x14ac:dyDescent="0.25">
      <c r="A52" s="194" t="b">
        <v>0</v>
      </c>
      <c r="B52" s="9">
        <f t="shared" si="0"/>
        <v>51</v>
      </c>
      <c r="C52" s="47" t="str">
        <f>_xlfn.XLOOKUP($D52,Tab_Def_Processes[Name(EN)],Tab_Def_Processes[ID],,0,)</f>
        <v>12</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F_12_12</v>
      </c>
      <c r="O52" s="42" t="str">
        <f t="shared" si="1"/>
        <v>TC_12_12</v>
      </c>
      <c r="P52" s="192"/>
      <c r="Q52" s="37"/>
      <c r="R52" s="37"/>
      <c r="S52" s="37"/>
      <c r="T52" s="37"/>
      <c r="U52" s="37"/>
    </row>
    <row r="53" spans="1:21" x14ac:dyDescent="0.25">
      <c r="A53" s="194" t="b">
        <v>0</v>
      </c>
      <c r="B53" s="9">
        <f t="shared" si="0"/>
        <v>52</v>
      </c>
      <c r="C53" s="47" t="str">
        <f>_xlfn.XLOOKUP($D53,Tab_Def_Processes[Name(EN)],Tab_Def_Processes[ID],,0,)</f>
        <v>12</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F_12_12</v>
      </c>
      <c r="O53" s="42" t="str">
        <f t="shared" si="1"/>
        <v>TC_12_12</v>
      </c>
      <c r="P53" s="192"/>
      <c r="Q53" s="37"/>
      <c r="R53" s="37"/>
      <c r="S53" s="37"/>
      <c r="T53" s="37"/>
      <c r="U53" s="37"/>
    </row>
    <row r="54" spans="1:21" x14ac:dyDescent="0.25">
      <c r="A54" s="194" t="b">
        <v>0</v>
      </c>
      <c r="B54" s="9">
        <f t="shared" si="0"/>
        <v>53</v>
      </c>
      <c r="C54" s="47" t="str">
        <f>_xlfn.XLOOKUP($D54,Tab_Def_Processes[Name(EN)],Tab_Def_Processes[ID],,0,)</f>
        <v>12</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F_12_12</v>
      </c>
      <c r="O54" s="42" t="str">
        <f t="shared" si="1"/>
        <v>TC_12_12</v>
      </c>
      <c r="P54" s="192"/>
      <c r="Q54" s="37"/>
      <c r="R54" s="37"/>
      <c r="S54" s="37"/>
      <c r="T54" s="37"/>
      <c r="U54" s="37"/>
    </row>
    <row r="55" spans="1:21" x14ac:dyDescent="0.25">
      <c r="A55" s="194" t="b">
        <v>0</v>
      </c>
      <c r="B55" s="9">
        <f t="shared" si="0"/>
        <v>54</v>
      </c>
      <c r="C55" s="47" t="str">
        <f>_xlfn.XLOOKUP($D55,Tab_Def_Processes[Name(EN)],Tab_Def_Processes[ID],,0,)</f>
        <v>12</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F_12_12</v>
      </c>
      <c r="O55" s="42" t="str">
        <f t="shared" si="1"/>
        <v>TC_12_12</v>
      </c>
      <c r="P55" s="192"/>
      <c r="Q55" s="37"/>
      <c r="R55" s="37"/>
      <c r="S55" s="37"/>
      <c r="T55" s="37"/>
      <c r="U55" s="37"/>
    </row>
    <row r="56" spans="1:21" x14ac:dyDescent="0.25">
      <c r="A56" s="194" t="b">
        <v>0</v>
      </c>
      <c r="B56" s="9">
        <f t="shared" si="0"/>
        <v>55</v>
      </c>
      <c r="C56" s="47" t="str">
        <f>_xlfn.XLOOKUP($D56,Tab_Def_Processes[Name(EN)],Tab_Def_Processes[ID],,0,)</f>
        <v>12</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F_12_12</v>
      </c>
      <c r="O56" s="42" t="str">
        <f t="shared" si="1"/>
        <v>TC_12_12</v>
      </c>
      <c r="P56" s="192"/>
      <c r="Q56" s="37"/>
      <c r="R56" s="37"/>
      <c r="S56" s="37"/>
      <c r="T56" s="37"/>
      <c r="U56" s="37"/>
    </row>
    <row r="57" spans="1:21" x14ac:dyDescent="0.25">
      <c r="A57" s="194" t="b">
        <v>0</v>
      </c>
      <c r="B57" s="9">
        <f t="shared" si="0"/>
        <v>56</v>
      </c>
      <c r="C57" s="47" t="str">
        <f>_xlfn.XLOOKUP($D57,Tab_Def_Processes[Name(EN)],Tab_Def_Processes[ID],,0,)</f>
        <v>12</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F_12_12</v>
      </c>
      <c r="O57" s="42" t="str">
        <f t="shared" si="1"/>
        <v>TC_12_12</v>
      </c>
      <c r="P57" s="192"/>
      <c r="Q57" s="37"/>
      <c r="R57" s="37"/>
      <c r="S57" s="37"/>
      <c r="T57" s="37"/>
      <c r="U57" s="37"/>
    </row>
    <row r="58" spans="1:21" x14ac:dyDescent="0.25">
      <c r="A58" s="194" t="b">
        <v>0</v>
      </c>
      <c r="B58" s="9">
        <f t="shared" si="0"/>
        <v>57</v>
      </c>
      <c r="C58" s="47" t="str">
        <f>_xlfn.XLOOKUP($D58,Tab_Def_Processes[Name(EN)],Tab_Def_Processes[ID],,0,)</f>
        <v>12</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F_12_12</v>
      </c>
      <c r="O58" s="42" t="str">
        <f t="shared" si="1"/>
        <v>TC_12_12</v>
      </c>
      <c r="P58" s="192"/>
      <c r="Q58" s="37"/>
      <c r="R58" s="37"/>
      <c r="S58" s="37"/>
      <c r="T58" s="37"/>
      <c r="U58" s="37"/>
    </row>
    <row r="59" spans="1:21" x14ac:dyDescent="0.25">
      <c r="A59" s="194" t="b">
        <v>0</v>
      </c>
      <c r="B59" s="9">
        <f t="shared" si="0"/>
        <v>58</v>
      </c>
      <c r="C59" s="47" t="str">
        <f>_xlfn.XLOOKUP($D59,Tab_Def_Processes[Name(EN)],Tab_Def_Processes[ID],,0,)</f>
        <v>12</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F_12_12</v>
      </c>
      <c r="O59" s="42" t="str">
        <f t="shared" si="1"/>
        <v>TC_12_12</v>
      </c>
      <c r="P59" s="192"/>
      <c r="Q59" s="37"/>
      <c r="R59" s="37"/>
      <c r="S59" s="37"/>
      <c r="T59" s="37"/>
      <c r="U59" s="37"/>
    </row>
  </sheetData>
  <phoneticPr fontId="2" type="noConversion"/>
  <pageMargins left="0.7" right="0.7" top="0.78740157499999996" bottom="0.78740157499999996"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12</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S_12</v>
      </c>
      <c r="D52" s="9" t="str">
        <f>_xlfn.XLOOKUP($E52,Tab_Def_Processes[Name(EN)],Tab_Def_Processes[Process_ID],,0,)</f>
        <v>12</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S_12</v>
      </c>
      <c r="D53" s="9" t="str">
        <f>_xlfn.XLOOKUP($E53,Tab_Def_Processes[Name(EN)],Tab_Def_Processes[Process_ID],,0,)</f>
        <v>12</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S_12</v>
      </c>
      <c r="D54" s="9" t="str">
        <f>_xlfn.XLOOKUP($E54,Tab_Def_Processes[Name(EN)],Tab_Def_Processes[Process_ID],,0,)</f>
        <v>12</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S_12</v>
      </c>
      <c r="D55" s="9" t="str">
        <f>_xlfn.XLOOKUP($E55,Tab_Def_Processes[Name(EN)],Tab_Def_Processes[Process_ID],,0,)</f>
        <v>12</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S_12</v>
      </c>
      <c r="D56" s="9" t="str">
        <f>_xlfn.XLOOKUP($E56,Tab_Def_Processes[Name(EN)],Tab_Def_Processes[Process_ID],,0,)</f>
        <v>12</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S_12</v>
      </c>
      <c r="D57" s="9" t="str">
        <f>_xlfn.XLOOKUP($E57,Tab_Def_Processes[Name(EN)],Tab_Def_Processes[Process_ID],,0,)</f>
        <v>12</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S_12</v>
      </c>
      <c r="D58" s="9" t="str">
        <f>_xlfn.XLOOKUP($E58,Tab_Def_Processes[Name(EN)],Tab_Def_Processes[Process_ID],,0,)</f>
        <v>12</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S_12</v>
      </c>
      <c r="D59" s="9" t="str">
        <f>_xlfn.XLOOKUP($E59,Tab_Def_Processes[Name(EN)],Tab_Def_Processes[Process_ID],,0,)</f>
        <v>12</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S_12</v>
      </c>
      <c r="D60" s="9" t="str">
        <f>_xlfn.XLOOKUP($E60,Tab_Def_Processes[Name(EN)],Tab_Def_Processes[Process_ID],,0,)</f>
        <v>12</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S_12</v>
      </c>
      <c r="D61" s="9" t="str">
        <f>_xlfn.XLOOKUP($E61,Tab_Def_Processes[Name(EN)],Tab_Def_Processes[Process_ID],,0,)</f>
        <v>12</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S_12</v>
      </c>
      <c r="D62" s="9" t="str">
        <f>_xlfn.XLOOKUP($E62,Tab_Def_Processes[Name(EN)],Tab_Def_Processes[Process_ID],,0,)</f>
        <v>12</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S_12</v>
      </c>
      <c r="D63" s="9" t="str">
        <f>_xlfn.XLOOKUP($E63,Tab_Def_Processes[Name(EN)],Tab_Def_Processes[Process_ID],,0,)</f>
        <v>12</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P37" sqref="P3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H40" sqref="H40"/>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710</v>
      </c>
      <c r="G2" s="9" t="str">
        <f>_xlfn.XLOOKUP($F2,Table32[Color_Name],Table32[Hex_Code],,0,)</f>
        <v>#87CEEB</v>
      </c>
      <c r="H2">
        <v>0.1</v>
      </c>
      <c r="I2">
        <v>0.8</v>
      </c>
      <c r="J2">
        <v>0.1</v>
      </c>
      <c r="K2">
        <v>0.8</v>
      </c>
      <c r="L2">
        <v>0.1</v>
      </c>
      <c r="M2">
        <v>0.8</v>
      </c>
      <c r="N2">
        <v>0.1</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677</v>
      </c>
      <c r="G3" s="9" t="str">
        <f>_xlfn.XLOOKUP($F3,Table32[Color_Name],Table32[Hex_Code],,0,)</f>
        <v>#228B22</v>
      </c>
      <c r="H3">
        <v>0.1</v>
      </c>
      <c r="I3">
        <v>0.2</v>
      </c>
      <c r="J3">
        <v>0.1</v>
      </c>
      <c r="K3">
        <v>0.2</v>
      </c>
      <c r="L3">
        <v>0.1</v>
      </c>
      <c r="M3">
        <v>0.2</v>
      </c>
      <c r="N3">
        <v>0.1</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693</v>
      </c>
      <c r="G4" s="9" t="str">
        <f>_xlfn.XLOOKUP($F4,Table32[Color_Name],Table32[Hex_Code],,0,)</f>
        <v>#F5DEB3</v>
      </c>
      <c r="H4">
        <v>0.2</v>
      </c>
      <c r="I4">
        <v>0.5</v>
      </c>
      <c r="J4">
        <v>0.2</v>
      </c>
      <c r="K4">
        <v>0.5</v>
      </c>
      <c r="L4">
        <v>0.2</v>
      </c>
      <c r="M4">
        <v>0.5</v>
      </c>
      <c r="N4">
        <v>0.2</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693</v>
      </c>
      <c r="G5" s="9" t="str">
        <f>_xlfn.XLOOKUP($F5,Table32[Color_Name],Table32[Hex_Code],,0,)</f>
        <v>#F5DEB3</v>
      </c>
      <c r="H5">
        <v>0.3</v>
      </c>
      <c r="I5">
        <v>0.5</v>
      </c>
      <c r="J5">
        <v>0.3</v>
      </c>
      <c r="K5">
        <v>0.5</v>
      </c>
      <c r="L5">
        <v>0.3</v>
      </c>
      <c r="M5">
        <v>0.5</v>
      </c>
      <c r="N5">
        <v>0.3</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693</v>
      </c>
      <c r="G6" s="9" t="str">
        <f>_xlfn.XLOOKUP($F6,Table32[Color_Name],Table32[Hex_Code],,0,)</f>
        <v>#F5DEB3</v>
      </c>
      <c r="H6">
        <v>0.4</v>
      </c>
      <c r="I6">
        <v>0.2</v>
      </c>
      <c r="J6">
        <v>0.4</v>
      </c>
      <c r="K6">
        <v>0.2</v>
      </c>
      <c r="L6">
        <v>0.4</v>
      </c>
      <c r="M6">
        <v>0.2</v>
      </c>
      <c r="N6">
        <v>0.4</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693</v>
      </c>
      <c r="G7" s="9" t="str">
        <f>_xlfn.XLOOKUP($F7,Table32[Color_Name],Table32[Hex_Code],,0,)</f>
        <v>#F5DEB3</v>
      </c>
      <c r="H7">
        <v>0.4</v>
      </c>
      <c r="I7">
        <v>0.6</v>
      </c>
      <c r="J7">
        <v>0.4</v>
      </c>
      <c r="K7">
        <v>0.6</v>
      </c>
      <c r="L7">
        <v>0.4</v>
      </c>
      <c r="M7">
        <v>0.6</v>
      </c>
      <c r="N7">
        <v>0.4</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693</v>
      </c>
      <c r="G8" s="9" t="str">
        <f>_xlfn.XLOOKUP($F8,Table32[Color_Name],Table32[Hex_Code],,0,)</f>
        <v>#F5DEB3</v>
      </c>
      <c r="H8">
        <v>0.6</v>
      </c>
      <c r="I8">
        <v>0.6</v>
      </c>
      <c r="J8">
        <v>0.6</v>
      </c>
      <c r="K8">
        <v>0.6</v>
      </c>
      <c r="L8">
        <v>0.6</v>
      </c>
      <c r="M8">
        <v>0.6</v>
      </c>
      <c r="N8">
        <v>0.6</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693</v>
      </c>
      <c r="G9" s="9" t="str">
        <f>_xlfn.XLOOKUP($F9,Table32[Color_Name],Table32[Hex_Code],,0,)</f>
        <v>#F5DEB3</v>
      </c>
      <c r="H9">
        <v>0.5</v>
      </c>
      <c r="I9">
        <v>0.2</v>
      </c>
      <c r="J9">
        <v>0.5</v>
      </c>
      <c r="K9">
        <v>0.2</v>
      </c>
      <c r="L9">
        <v>0.5</v>
      </c>
      <c r="M9">
        <v>0.2</v>
      </c>
      <c r="N9">
        <v>0.5</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689</v>
      </c>
      <c r="G10" s="9" t="str">
        <f>_xlfn.XLOOKUP($F10,Table32[Color_Name],Table32[Hex_Code],,0,)</f>
        <v>#8B4513</v>
      </c>
      <c r="H10">
        <v>0.9</v>
      </c>
      <c r="I10">
        <v>0.6</v>
      </c>
      <c r="J10">
        <v>0.9</v>
      </c>
      <c r="K10">
        <v>0.6</v>
      </c>
      <c r="L10">
        <v>0.9</v>
      </c>
      <c r="M10">
        <v>0.6</v>
      </c>
      <c r="N10">
        <v>0.9</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693</v>
      </c>
      <c r="G11" s="9" t="str">
        <f>_xlfn.XLOOKUP($F11,Table32[Color_Name],Table32[Hex_Code],,0,)</f>
        <v>#F5DEB3</v>
      </c>
      <c r="H11">
        <v>0.6</v>
      </c>
      <c r="I11">
        <v>0.4</v>
      </c>
      <c r="J11">
        <v>0.6</v>
      </c>
      <c r="K11">
        <v>0.4</v>
      </c>
      <c r="L11">
        <v>0.6</v>
      </c>
      <c r="M11">
        <v>0.4</v>
      </c>
      <c r="N11">
        <v>0.6</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689</v>
      </c>
      <c r="G12" s="9" t="str">
        <f>_xlfn.XLOOKUP($F12,Table32[Color_Name],Table32[Hex_Code],,0,)</f>
        <v>#8B4513</v>
      </c>
      <c r="H12">
        <v>0.9</v>
      </c>
      <c r="I12">
        <v>0.4</v>
      </c>
      <c r="J12">
        <v>0.9</v>
      </c>
      <c r="K12">
        <v>0.4</v>
      </c>
      <c r="L12">
        <v>0.9</v>
      </c>
      <c r="M12">
        <v>0.4</v>
      </c>
      <c r="N12">
        <v>0.9</v>
      </c>
      <c r="O12">
        <v>0.4</v>
      </c>
    </row>
    <row r="13" spans="1:16" x14ac:dyDescent="0.25">
      <c r="A13" s="225" t="b">
        <v>0</v>
      </c>
      <c r="B13" s="9">
        <f t="shared" si="0"/>
        <v>12</v>
      </c>
      <c r="C13" s="47" t="str">
        <f>_xlfn.XLOOKUP($D13,Tab_Def_Processes[Name(EN)],Tab_Def_Processes[ID],,0,)</f>
        <v>12</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12</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12</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12</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12</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12</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12</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12</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12</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12</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12</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12</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12</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12</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12</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12</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12</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12</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12</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12</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12</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12</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12</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12</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12</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12</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12</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12</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12</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12</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12</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12</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12</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12</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12</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12</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12</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12</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12</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12</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12</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12</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12</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12</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12</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12</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12</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D26" sqref="D26"/>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710</v>
      </c>
      <c r="E2" s="9" t="str">
        <f>_xlfn.XLOOKUP($D2,Table32[Color_Name],Table32[Hex_Code],,0,)</f>
        <v>#87CEEB</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677</v>
      </c>
      <c r="E3" s="9" t="str">
        <f>_xlfn.XLOOKUP($D3,Table32[Color_Name],Table32[Hex_Code],,0,)</f>
        <v>#228B22</v>
      </c>
      <c r="F3" s="37"/>
      <c r="J3" t="s">
        <v>768</v>
      </c>
    </row>
    <row r="4" spans="1:10" x14ac:dyDescent="0.25">
      <c r="A4" s="16">
        <f t="shared" si="0"/>
        <v>3</v>
      </c>
      <c r="B4" s="9" t="str">
        <f>_xlfn.XLOOKUP(C4,Tab_Def_Flows[Name(EN)],Tab_Def_Flows[Flow_ID],,0,)</f>
        <v>F_02_03</v>
      </c>
      <c r="C4" s="9" t="str">
        <f>Tab_Def_Flows[[#This Row],[Name(EN)]]</f>
        <v>Wheat Plant</v>
      </c>
      <c r="D4" s="189" t="s">
        <v>693</v>
      </c>
      <c r="E4" s="9" t="str">
        <f>_xlfn.XLOOKUP($D4,Table32[Color_Name],Table32[Hex_Code],,0,)</f>
        <v>#F5DEB3</v>
      </c>
      <c r="F4" s="37"/>
      <c r="J4" t="s">
        <v>769</v>
      </c>
    </row>
    <row r="5" spans="1:10" x14ac:dyDescent="0.25">
      <c r="A5" s="16">
        <f t="shared" si="0"/>
        <v>4</v>
      </c>
      <c r="B5" s="9" t="str">
        <f>_xlfn.XLOOKUP(C5,Tab_Def_Flows[Name(EN)],Tab_Def_Flows[Flow_ID],,0,)</f>
        <v>F_03_04</v>
      </c>
      <c r="C5" s="9" t="str">
        <f>Tab_Def_Flows[[#This Row],[Name(EN)]]</f>
        <v>Grain</v>
      </c>
      <c r="D5" s="189" t="s">
        <v>693</v>
      </c>
      <c r="E5" s="9" t="str">
        <f>_xlfn.XLOOKUP($D5,Table32[Color_Name],Table32[Hex_Code],,0,)</f>
        <v>#F5DEB3</v>
      </c>
      <c r="F5" s="37"/>
      <c r="J5" t="s">
        <v>770</v>
      </c>
    </row>
    <row r="6" spans="1:10" x14ac:dyDescent="0.25">
      <c r="A6" s="16">
        <f t="shared" si="0"/>
        <v>5</v>
      </c>
      <c r="B6" s="9" t="str">
        <f>_xlfn.XLOOKUP(C6,Tab_Def_Flows[Name(EN)],Tab_Def_Flows[Flow_ID],,0,)</f>
        <v>F_03_05</v>
      </c>
      <c r="C6" s="9" t="str">
        <f>Tab_Def_Flows[[#This Row],[Name(EN)]]</f>
        <v>Straw</v>
      </c>
      <c r="D6" s="189" t="s">
        <v>693</v>
      </c>
      <c r="E6" s="9" t="str">
        <f>_xlfn.XLOOKUP($D6,Table32[Color_Name],Table32[Hex_Code],,0,)</f>
        <v>#F5DEB3</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677</v>
      </c>
      <c r="E8" s="9" t="str">
        <f>_xlfn.XLOOKUP($D8,Table32[Color_Name],Table32[Hex_Code],,0,)</f>
        <v>#228B22</v>
      </c>
      <c r="F8" s="37"/>
    </row>
    <row r="9" spans="1:10" x14ac:dyDescent="0.25">
      <c r="A9" s="16">
        <f t="shared" si="0"/>
        <v>8</v>
      </c>
      <c r="B9" s="9" t="str">
        <f>_xlfn.XLOOKUP(C9,Tab_Def_Flows[Name(EN)],Tab_Def_Flows[Flow_ID],,0,)</f>
        <v>F_05_06</v>
      </c>
      <c r="C9" s="9" t="str">
        <f>Tab_Def_Flows[[#This Row],[Name(EN)]]</f>
        <v>Straw_incorperation</v>
      </c>
      <c r="D9" s="189" t="s">
        <v>693</v>
      </c>
      <c r="E9" s="9" t="str">
        <f>_xlfn.XLOOKUP($D9,Table32[Color_Name],Table32[Hex_Code],,0,)</f>
        <v>#F5DEB3</v>
      </c>
      <c r="F9" s="37"/>
    </row>
    <row r="10" spans="1:10" x14ac:dyDescent="0.25">
      <c r="A10" s="16">
        <f t="shared" si="0"/>
        <v>9</v>
      </c>
      <c r="B10" s="9" t="str">
        <f>_xlfn.XLOOKUP(C10,Tab_Def_Flows[Name(EN)],Tab_Def_Flows[Flow_ID],,0,)</f>
        <v>F_06_08</v>
      </c>
      <c r="C10" s="9" t="str">
        <f>Tab_Def_Flows[[#This Row],[Name(EN)]]</f>
        <v>Straw_lithosphere</v>
      </c>
      <c r="D10" s="189" t="s">
        <v>693</v>
      </c>
      <c r="E10" s="9" t="str">
        <f>_xlfn.XLOOKUP($D10,Table32[Color_Name],Table32[Hex_Code],,0,)</f>
        <v>#F5DEB3</v>
      </c>
      <c r="F10" s="37"/>
    </row>
    <row r="11" spans="1:10" x14ac:dyDescent="0.25">
      <c r="A11" s="16">
        <f t="shared" si="0"/>
        <v>10</v>
      </c>
      <c r="B11" s="9" t="str">
        <f>_xlfn.XLOOKUP(C11,Tab_Def_Flows[Name(EN)],Tab_Def_Flows[Flow_ID],,0,)</f>
        <v>F_05_07</v>
      </c>
      <c r="C11" s="9" t="str">
        <f>Tab_Def_Flows[[#This Row],[Name(EN)]]</f>
        <v>Straw_animal_bedding</v>
      </c>
      <c r="D11" s="189" t="s">
        <v>693</v>
      </c>
      <c r="E11" s="9" t="str">
        <f>_xlfn.XLOOKUP($D11,Table32[Color_Name],Table32[Hex_Code],,0,)</f>
        <v>#F5DEB3</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677</v>
      </c>
      <c r="E13" s="9" t="str">
        <f>_xlfn.XLOOKUP($D13,Table32[Color_Name],Table32[Hex_Code],,0,)</f>
        <v>#228B22</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677</v>
      </c>
      <c r="E15" s="9" t="str">
        <f>_xlfn.XLOOKUP($D15,Table32[Color_Name],Table32[Hex_Code],,0,)</f>
        <v>#228B22</v>
      </c>
      <c r="F15" s="37"/>
    </row>
    <row r="16" spans="1:10" x14ac:dyDescent="0.25">
      <c r="A16" s="16">
        <f t="shared" si="0"/>
        <v>15</v>
      </c>
      <c r="B16" s="9" t="str">
        <f>_xlfn.XLOOKUP(C16,Tab_Def_Flows[Name(EN)],Tab_Def_Flows[Flow_ID],,0,)</f>
        <v>F_05_09</v>
      </c>
      <c r="C16" s="9" t="str">
        <f>Tab_Def_Flows[[#This Row],[Name(EN)]]</f>
        <v>Straw_Compost</v>
      </c>
      <c r="D16" s="189" t="s">
        <v>693</v>
      </c>
      <c r="E16" s="9" t="str">
        <f>_xlfn.XLOOKUP($D16,Table32[Color_Name],Table32[Hex_Code],,0,)</f>
        <v>#F5DEB3</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677</v>
      </c>
      <c r="E18" s="9" t="str">
        <f>_xlfn.XLOOKUP($D18,Table32[Color_Name],Table32[Hex_Code],,0,)</f>
        <v>#228B22</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677</v>
      </c>
      <c r="E20" s="9" t="str">
        <f>_xlfn.XLOOKUP($D20,Table32[Color_Name],Table32[Hex_Code],,0,)</f>
        <v>#228B22</v>
      </c>
      <c r="F20" s="37"/>
    </row>
    <row r="21" spans="1:6" x14ac:dyDescent="0.25">
      <c r="A21" s="16">
        <f t="shared" si="0"/>
        <v>20</v>
      </c>
      <c r="B21" s="9" t="str">
        <f>_xlfn.XLOOKUP(C21,Tab_Def_Flows[Name(EN)],Tab_Def_Flows[Flow_ID],,0,)</f>
        <v>F_09_10</v>
      </c>
      <c r="C21" s="9" t="str">
        <f>Tab_Def_Flows[[#This Row],[Name(EN)]]</f>
        <v>Compost_lithosphere</v>
      </c>
      <c r="D21" s="189" t="s">
        <v>693</v>
      </c>
      <c r="E21" s="9" t="str">
        <f>_xlfn.XLOOKUP($D21,Table32[Color_Name],Table32[Hex_Code],,0,)</f>
        <v>#F5DEB3</v>
      </c>
      <c r="F21" s="37"/>
    </row>
    <row r="22" spans="1:6" x14ac:dyDescent="0.25">
      <c r="A22" s="16">
        <f t="shared" si="0"/>
        <v>21</v>
      </c>
      <c r="B22" s="9" t="str">
        <f>_xlfn.XLOOKUP(C22,Tab_Def_Flows[Name(EN)],Tab_Def_Flows[Flow_ID],,0,)</f>
        <v>F_11_09</v>
      </c>
      <c r="C22" s="9" t="str">
        <f>Tab_Def_Flows[[#This Row],[Name(EN)]]</f>
        <v>Water Compost</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t="s">
        <v>807</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t="s">
        <v>807</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808</v>
      </c>
      <c r="C5" s="273"/>
      <c r="D5" s="274"/>
      <c r="E5" s="153" t="s">
        <v>257</v>
      </c>
      <c r="F5" s="275" t="s">
        <v>810</v>
      </c>
      <c r="G5" s="275"/>
      <c r="H5" s="276"/>
      <c r="I5" s="154"/>
      <c r="J5" s="149"/>
      <c r="K5" s="149"/>
      <c r="L5" s="149"/>
      <c r="M5" s="146"/>
    </row>
    <row r="6" spans="1:22" ht="16.5" customHeight="1" x14ac:dyDescent="0.25">
      <c r="A6" s="153" t="s">
        <v>256</v>
      </c>
      <c r="B6" s="275" t="s">
        <v>809</v>
      </c>
      <c r="C6" s="275"/>
      <c r="D6" s="276"/>
      <c r="E6" s="153" t="s">
        <v>256</v>
      </c>
      <c r="F6" s="275" t="s">
        <v>475</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
        <v>476</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B5</f>
        <v>Wheat Straw</v>
      </c>
      <c r="B16" s="73">
        <v>100</v>
      </c>
      <c r="C16" s="124">
        <f t="shared" ref="C16:C21" si="0">B16/$B$22</f>
        <v>0.77519379844961245</v>
      </c>
      <c r="D16" s="123" t="s">
        <v>208</v>
      </c>
      <c r="E16" s="122">
        <v>0.86</v>
      </c>
      <c r="F16" s="72">
        <f t="shared" ref="F16:F21" si="1">E16*B16</f>
        <v>86</v>
      </c>
      <c r="G16" s="121">
        <f t="shared" ref="G16:G21" si="2">F16/$F$22</f>
        <v>1</v>
      </c>
      <c r="H16" s="120" t="s">
        <v>208</v>
      </c>
      <c r="I16" s="119">
        <v>0.14000000000000001</v>
      </c>
      <c r="J16" s="71">
        <f t="shared" ref="J16:J21" si="3">I16*B16</f>
        <v>14.000000000000002</v>
      </c>
      <c r="K16" s="139">
        <f t="shared" ref="K16:K21" si="4">J16/$J$22</f>
        <v>0.32558139534883723</v>
      </c>
      <c r="L16" s="116" t="s">
        <v>208</v>
      </c>
      <c r="M16" s="116"/>
    </row>
    <row r="17" spans="1:23" ht="23.25" customHeight="1" x14ac:dyDescent="0.25">
      <c r="A17" s="97" t="str">
        <f t="shared" ref="A16:A21" si="5">B6</f>
        <v>Water</v>
      </c>
      <c r="B17" s="73">
        <v>29</v>
      </c>
      <c r="C17" s="124">
        <f t="shared" si="0"/>
        <v>0.22480620155038761</v>
      </c>
      <c r="D17" s="123" t="s">
        <v>208</v>
      </c>
      <c r="E17" s="122">
        <v>0</v>
      </c>
      <c r="F17" s="72">
        <f t="shared" si="1"/>
        <v>0</v>
      </c>
      <c r="G17" s="121">
        <f t="shared" si="2"/>
        <v>0</v>
      </c>
      <c r="H17" s="120" t="s">
        <v>208</v>
      </c>
      <c r="I17" s="119">
        <f>1-E17</f>
        <v>1</v>
      </c>
      <c r="J17" s="71">
        <f t="shared" si="3"/>
        <v>29</v>
      </c>
      <c r="K17" s="139">
        <f t="shared" si="4"/>
        <v>0.67441860465116277</v>
      </c>
      <c r="L17" s="116" t="s">
        <v>208</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210</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Wheat Straw</v>
      </c>
      <c r="B25" s="96">
        <v>0.48</v>
      </c>
      <c r="C25" s="94">
        <f>F16*B25</f>
        <v>41.28</v>
      </c>
      <c r="D25" s="95">
        <f t="shared" ref="D25:D30" si="7">C25/$C$31</f>
        <v>1</v>
      </c>
      <c r="E25" s="94" t="s">
        <v>208</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208</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210</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Compost</v>
      </c>
      <c r="B35" s="73">
        <v>86</v>
      </c>
      <c r="C35" s="124">
        <f t="shared" ref="C35:C40" si="19">B35/$B$41</f>
        <v>0.66666666666666663</v>
      </c>
      <c r="D35" s="123" t="s">
        <v>208</v>
      </c>
      <c r="E35" s="122">
        <v>0.5</v>
      </c>
      <c r="F35" s="72">
        <f>E35*B35</f>
        <v>43</v>
      </c>
      <c r="G35" s="121">
        <f t="shared" ref="G35:G40" si="20">F35/$F$41</f>
        <v>0.5</v>
      </c>
      <c r="H35" s="120" t="s">
        <v>208</v>
      </c>
      <c r="I35" s="119">
        <f>1-E35</f>
        <v>0.5</v>
      </c>
      <c r="J35" s="71">
        <f t="shared" ref="J35:J40" si="21">I35*B35</f>
        <v>43</v>
      </c>
      <c r="K35" s="118">
        <f>J35/$J$41</f>
        <v>1</v>
      </c>
      <c r="L35" s="117" t="s">
        <v>208</v>
      </c>
      <c r="M35" s="116"/>
      <c r="R35">
        <f>C54/B17</f>
        <v>2.9655172413793105</v>
      </c>
    </row>
    <row r="36" spans="1:18" ht="15.75" x14ac:dyDescent="0.25">
      <c r="A36" s="97" t="str">
        <f t="shared" si="18"/>
        <v>Compost_Emissions_C</v>
      </c>
      <c r="B36" s="73">
        <v>18.920000000000002</v>
      </c>
      <c r="C36" s="124">
        <f t="shared" si="19"/>
        <v>0.14666666666666667</v>
      </c>
      <c r="D36" s="123" t="s">
        <v>208</v>
      </c>
      <c r="E36" s="122">
        <v>1</v>
      </c>
      <c r="F36" s="72">
        <v>18.920000000000002</v>
      </c>
      <c r="G36" s="121">
        <f t="shared" si="20"/>
        <v>0.22000000000000003</v>
      </c>
      <c r="H36" s="120" t="s">
        <v>208</v>
      </c>
      <c r="I36" s="119">
        <f>1-E36</f>
        <v>0</v>
      </c>
      <c r="J36" s="71">
        <f t="shared" si="21"/>
        <v>0</v>
      </c>
      <c r="K36" s="118">
        <f>J36/$J$41</f>
        <v>0</v>
      </c>
      <c r="L36" s="117" t="s">
        <v>208</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Compost</v>
      </c>
      <c r="B44" s="96">
        <v>0.52</v>
      </c>
      <c r="C44" s="94">
        <f>J35*B44</f>
        <v>22.36</v>
      </c>
      <c r="D44" s="95">
        <f t="shared" ref="D44:D49" si="24">C44/$C$50</f>
        <v>0.54166666666666663</v>
      </c>
      <c r="E44" s="94" t="s">
        <v>208</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208</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208</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210</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8" t="s">
        <v>220</v>
      </c>
      <c r="B51" s="239"/>
      <c r="C51" s="239"/>
      <c r="D51" s="239"/>
      <c r="E51" s="240"/>
      <c r="F51" s="241" t="s">
        <v>219</v>
      </c>
      <c r="G51" s="242"/>
      <c r="H51" s="242"/>
      <c r="I51" s="242"/>
      <c r="J51" s="242"/>
      <c r="K51" s="242"/>
      <c r="L51" s="242"/>
      <c r="M51" s="243"/>
    </row>
    <row r="52" spans="1:18" ht="16.5" thickBot="1" x14ac:dyDescent="0.3">
      <c r="A52" s="4" t="s">
        <v>218</v>
      </c>
      <c r="B52" s="77" t="s">
        <v>217</v>
      </c>
      <c r="C52" s="76" t="s">
        <v>189</v>
      </c>
      <c r="D52" s="75" t="s">
        <v>188</v>
      </c>
      <c r="E52" s="74" t="s">
        <v>216</v>
      </c>
      <c r="F52" s="231"/>
      <c r="G52" s="231"/>
      <c r="H52" s="231"/>
      <c r="I52" s="231"/>
      <c r="J52" s="231"/>
      <c r="K52" s="231"/>
      <c r="L52" s="231"/>
      <c r="M52" s="244"/>
    </row>
    <row r="53" spans="1:18" ht="15.75" x14ac:dyDescent="0.25">
      <c r="A53" s="5" t="s">
        <v>215</v>
      </c>
      <c r="B53" s="73">
        <f>B22</f>
        <v>129</v>
      </c>
      <c r="C53" s="72">
        <f>F22</f>
        <v>86</v>
      </c>
      <c r="D53" s="71">
        <f>J22</f>
        <v>43</v>
      </c>
      <c r="E53" s="70">
        <f>C31</f>
        <v>41.28</v>
      </c>
      <c r="F53" s="231"/>
      <c r="G53" s="231"/>
      <c r="H53" s="231"/>
      <c r="I53" s="231"/>
      <c r="J53" s="231"/>
      <c r="K53" s="231"/>
      <c r="L53" s="231"/>
      <c r="M53" s="244"/>
      <c r="P53">
        <f>C53-C54</f>
        <v>0</v>
      </c>
      <c r="R53">
        <f>R50-R45</f>
        <v>0</v>
      </c>
    </row>
    <row r="54" spans="1:18" ht="16.5" thickBot="1" x14ac:dyDescent="0.3">
      <c r="A54" s="5" t="s">
        <v>214</v>
      </c>
      <c r="B54" s="73">
        <f>B41</f>
        <v>129</v>
      </c>
      <c r="C54" s="72">
        <f>F41</f>
        <v>86</v>
      </c>
      <c r="D54" s="71">
        <f>J41</f>
        <v>43</v>
      </c>
      <c r="E54" s="70">
        <f>C50</f>
        <v>41.28</v>
      </c>
      <c r="F54" s="231"/>
      <c r="G54" s="231"/>
      <c r="H54" s="231"/>
      <c r="I54" s="231"/>
      <c r="J54" s="231"/>
      <c r="K54" s="231"/>
      <c r="L54" s="231"/>
      <c r="M54" s="244"/>
    </row>
    <row r="55" spans="1:18" ht="15.75" x14ac:dyDescent="0.25">
      <c r="A55" s="4" t="s">
        <v>213</v>
      </c>
      <c r="B55" s="162">
        <f>B53-B54</f>
        <v>0</v>
      </c>
      <c r="C55" s="163">
        <f>C53-C54</f>
        <v>0</v>
      </c>
      <c r="D55" s="164">
        <f>D53-D54</f>
        <v>0</v>
      </c>
      <c r="E55" s="165">
        <f>E53-E54</f>
        <v>0</v>
      </c>
      <c r="F55" s="231"/>
      <c r="G55" s="231"/>
      <c r="H55" s="231"/>
      <c r="I55" s="231"/>
      <c r="J55" s="231"/>
      <c r="K55" s="231"/>
      <c r="L55" s="231"/>
      <c r="M55" s="244"/>
    </row>
    <row r="56" spans="1:18" ht="16.5" thickBot="1" x14ac:dyDescent="0.3">
      <c r="A56" s="7" t="s">
        <v>212</v>
      </c>
      <c r="B56" s="69">
        <f>B53/B54</f>
        <v>1</v>
      </c>
      <c r="C56" s="67">
        <f>C53/C54</f>
        <v>1</v>
      </c>
      <c r="D56" s="66">
        <f>D53/D54</f>
        <v>1</v>
      </c>
      <c r="E56" s="65">
        <f>E53/E54</f>
        <v>1</v>
      </c>
      <c r="F56" s="231"/>
      <c r="G56" s="231"/>
      <c r="H56" s="231"/>
      <c r="I56" s="231"/>
      <c r="J56" s="231"/>
      <c r="K56" s="231"/>
      <c r="L56" s="231"/>
      <c r="M56" s="244"/>
    </row>
    <row r="57" spans="1:18" ht="15.75" thickBot="1" x14ac:dyDescent="0.3">
      <c r="A57" s="238" t="s">
        <v>211</v>
      </c>
      <c r="B57" s="239"/>
      <c r="C57" s="239"/>
      <c r="D57" s="239"/>
      <c r="E57" s="240"/>
      <c r="F57" s="231"/>
      <c r="G57" s="231"/>
      <c r="H57" s="231"/>
      <c r="I57" s="231"/>
      <c r="J57" s="231"/>
      <c r="K57" s="231"/>
      <c r="L57" s="231"/>
      <c r="M57" s="244"/>
      <c r="Q57" s="291">
        <f>B53-B54</f>
        <v>0</v>
      </c>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31"/>
      <c r="G58" s="231"/>
      <c r="H58" s="231"/>
      <c r="I58" s="231"/>
      <c r="J58" s="231"/>
      <c r="K58" s="231"/>
      <c r="L58" s="231"/>
      <c r="M58" s="244"/>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31"/>
      <c r="G59" s="231"/>
      <c r="H59" s="231"/>
      <c r="I59" s="231"/>
      <c r="J59" s="231"/>
      <c r="K59" s="231"/>
      <c r="L59" s="231"/>
      <c r="M59" s="244"/>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31"/>
      <c r="G60" s="231"/>
      <c r="H60" s="231"/>
      <c r="I60" s="231"/>
      <c r="J60" s="231"/>
      <c r="K60" s="231"/>
      <c r="L60" s="231"/>
      <c r="M60" s="244"/>
    </row>
    <row r="61" spans="1:18" ht="16.5" thickBot="1" x14ac:dyDescent="0.3">
      <c r="A61" s="7" t="str">
        <f t="shared" si="38"/>
        <v>N.A.</v>
      </c>
      <c r="B61" s="68">
        <f t="shared" si="39"/>
        <v>0</v>
      </c>
      <c r="C61" s="67">
        <f>($G$41*F38)/($B$22*$E$22)</f>
        <v>0</v>
      </c>
      <c r="D61" s="66">
        <f t="shared" si="40"/>
        <v>0</v>
      </c>
      <c r="E61" s="65">
        <f t="shared" si="41"/>
        <v>0</v>
      </c>
      <c r="F61" s="231"/>
      <c r="G61" s="231"/>
      <c r="H61" s="231"/>
      <c r="I61" s="231"/>
      <c r="J61" s="231"/>
      <c r="K61" s="231"/>
      <c r="L61" s="231"/>
      <c r="M61" s="244"/>
    </row>
    <row r="62" spans="1:18" ht="16.5" thickBot="1" x14ac:dyDescent="0.3">
      <c r="A62" s="7" t="str">
        <f t="shared" si="38"/>
        <v>N.A.</v>
      </c>
      <c r="B62" s="68">
        <f t="shared" si="39"/>
        <v>0</v>
      </c>
      <c r="C62" s="67">
        <f>(B39*E39)/($B$22*$E$22)</f>
        <v>0</v>
      </c>
      <c r="D62" s="66">
        <f t="shared" si="40"/>
        <v>0</v>
      </c>
      <c r="E62" s="65">
        <f t="shared" si="41"/>
        <v>0</v>
      </c>
      <c r="F62" s="231"/>
      <c r="G62" s="231"/>
      <c r="H62" s="231"/>
      <c r="I62" s="231"/>
      <c r="J62" s="231"/>
      <c r="K62" s="231"/>
      <c r="L62" s="231"/>
      <c r="M62" s="244"/>
    </row>
    <row r="63" spans="1:18" ht="16.5" thickBot="1" x14ac:dyDescent="0.3">
      <c r="A63" s="7">
        <f t="shared" si="38"/>
        <v>0</v>
      </c>
      <c r="B63" s="68">
        <f t="shared" si="39"/>
        <v>0</v>
      </c>
      <c r="C63" s="67">
        <f>(B40*E40)/($B$22*$E$22)</f>
        <v>0</v>
      </c>
      <c r="D63" s="66">
        <f t="shared" si="40"/>
        <v>0</v>
      </c>
      <c r="E63" s="65">
        <f t="shared" si="41"/>
        <v>0</v>
      </c>
      <c r="F63" s="231"/>
      <c r="G63" s="231"/>
      <c r="H63" s="231"/>
      <c r="I63" s="231"/>
      <c r="J63" s="231"/>
      <c r="K63" s="231"/>
      <c r="L63" s="231"/>
      <c r="M63" s="244"/>
    </row>
    <row r="64" spans="1:18" ht="16.5" thickBot="1" x14ac:dyDescent="0.3">
      <c r="A64" s="4" t="s">
        <v>210</v>
      </c>
      <c r="B64" s="158">
        <f>SUM(B58:B63)</f>
        <v>0.99999999999999978</v>
      </c>
      <c r="C64" s="159">
        <f>SUM(C58:C63)</f>
        <v>1</v>
      </c>
      <c r="D64" s="160">
        <f>SUM(D58:D63)</f>
        <v>1</v>
      </c>
      <c r="E64" s="161">
        <f>SUM(E58:E63)</f>
        <v>1</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444</v>
      </c>
      <c r="C5" s="273"/>
      <c r="D5" s="274"/>
      <c r="E5" s="153" t="s">
        <v>257</v>
      </c>
      <c r="F5" s="275" t="str">
        <f>_xlfn.XLOOKUP(J1,Tab_Def_Processes[Process_ID],Tab_Def_Processes[Output_Flow_O_1],"No_flow.",0,1)</f>
        <v>Wheat Plant</v>
      </c>
      <c r="G5" s="275"/>
      <c r="H5" s="276"/>
      <c r="I5" s="154"/>
      <c r="J5" s="149"/>
      <c r="K5" s="149"/>
      <c r="L5" s="149"/>
      <c r="M5" s="146"/>
    </row>
    <row r="6" spans="1:22" ht="16.5" customHeight="1" x14ac:dyDescent="0.25">
      <c r="A6" s="153" t="s">
        <v>256</v>
      </c>
      <c r="B6" s="275" t="s">
        <v>445</v>
      </c>
      <c r="C6" s="275"/>
      <c r="D6" s="276"/>
      <c r="E6" s="153" t="s">
        <v>256</v>
      </c>
      <c r="F6" s="275" t="str">
        <f>_xlfn.XLOOKUP(J1,Tab_Def_Processes[Process_ID],Tab_Def_Processes[Output_Flow_O_2],"No_flow.",0,1)</f>
        <v>N.A.</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tr">
        <f>_xlfn.XLOOKUP(J1,Tab_Def_Processes[Process_ID],Tab_Def_Processes[Output_Flow_O_3],"No_flow.",0,1)</f>
        <v>N.A.</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8" t="s">
        <v>220</v>
      </c>
      <c r="B51" s="239"/>
      <c r="C51" s="239"/>
      <c r="D51" s="239"/>
      <c r="E51" s="240"/>
      <c r="F51" s="241" t="s">
        <v>219</v>
      </c>
      <c r="G51" s="242"/>
      <c r="H51" s="242"/>
      <c r="I51" s="242"/>
      <c r="J51" s="242"/>
      <c r="K51" s="242"/>
      <c r="L51" s="242"/>
      <c r="M51" s="243"/>
    </row>
    <row r="52" spans="1:17" ht="16.5" thickBot="1" x14ac:dyDescent="0.3">
      <c r="A52" s="4" t="s">
        <v>218</v>
      </c>
      <c r="B52" s="77" t="s">
        <v>217</v>
      </c>
      <c r="C52" s="76" t="s">
        <v>189</v>
      </c>
      <c r="D52" s="75" t="s">
        <v>188</v>
      </c>
      <c r="E52" s="74" t="s">
        <v>216</v>
      </c>
      <c r="F52" s="231"/>
      <c r="G52" s="231"/>
      <c r="H52" s="231"/>
      <c r="I52" s="231"/>
      <c r="J52" s="231"/>
      <c r="K52" s="231"/>
      <c r="L52" s="231"/>
      <c r="M52" s="244"/>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44"/>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44"/>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44"/>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44"/>
    </row>
    <row r="57" spans="1:17" ht="15.75" thickBot="1" x14ac:dyDescent="0.3">
      <c r="A57" s="238" t="s">
        <v>211</v>
      </c>
      <c r="B57" s="239"/>
      <c r="C57" s="239"/>
      <c r="D57" s="239"/>
      <c r="E57" s="240"/>
      <c r="F57" s="231"/>
      <c r="G57" s="231"/>
      <c r="H57" s="231"/>
      <c r="I57" s="231"/>
      <c r="J57" s="231"/>
      <c r="K57" s="231"/>
      <c r="L57" s="231"/>
      <c r="M57" s="24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44"/>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44"/>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44"/>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44"/>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44"/>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44"/>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5. Wastefiles &gt;&gt;&gt;&gt;</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2025-09-12T15:52:56Z</dcterms:modified>
</cp:coreProperties>
</file>